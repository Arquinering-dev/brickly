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edro Pagliaricci\Documents\arquinering-migracion\dashboard\data\"/>
    </mc:Choice>
  </mc:AlternateContent>
  <xr:revisionPtr revIDLastSave="0" documentId="13_ncr:1_{206680DD-44D0-4681-A190-359EAD74C625}" xr6:coauthVersionLast="47" xr6:coauthVersionMax="47" xr10:uidLastSave="{00000000-0000-0000-0000-000000000000}"/>
  <bookViews>
    <workbookView xWindow="-110" yWindow="-110" windowWidth="19420" windowHeight="11500" tabRatio="500" firstSheet="4" activeTab="5" xr2:uid="{00000000-000D-0000-FFFF-FFFF00000000}"/>
  </bookViews>
  <sheets>
    <sheet name="0_CONFIG" sheetId="1" r:id="rId1"/>
    <sheet name="0_Indice_CAC" sheetId="2" r:id="rId2"/>
    <sheet name="0_Jornales_MO" sheetId="3" r:id="rId3"/>
    <sheet name="1_Presupuesto" sheetId="4" r:id="rId4"/>
    <sheet name="1_GGBB" sheetId="5" r:id="rId5"/>
    <sheet name="1_Composicion" sheetId="6" r:id="rId6"/>
    <sheet name="2_Gastos" sheetId="7" r:id="rId7"/>
    <sheet name="2_Gastos_DirInd" sheetId="8" r:id="rId8"/>
    <sheet name="2_Quincenas" sheetId="9" r:id="rId9"/>
    <sheet name="2_Subcontratos" sheetId="10" r:id="rId10"/>
    <sheet name="2_Pagos_Subc" sheetId="11" r:id="rId11"/>
    <sheet name="2_Pagos_Quincena_SC" sheetId="12" r:id="rId12"/>
    <sheet name="2_Certificaciones" sheetId="13" r:id="rId13"/>
    <sheet name="3_Dashboard" sheetId="14" r:id="rId14"/>
    <sheet name="3_Control_Ppto" sheetId="15" r:id="rId15"/>
    <sheet name="3_Control_Jornales" sheetId="16" r:id="rId16"/>
    <sheet name="3_Cash_Flow" sheetId="17" r:id="rId17"/>
    <sheet name="_Listas" sheetId="18" state="hidden" r:id="rId18"/>
  </sheets>
  <definedNames>
    <definedName name="_xlnm._FilterDatabase" localSheetId="5" hidden="1">'1_Composicion'!$A$1:$S$1879</definedName>
    <definedName name="_xlnm._FilterDatabase" localSheetId="3" hidden="1">'1_Presupuesto'!$F$3:$AO$228</definedName>
    <definedName name="_xlnm._FilterDatabase" localSheetId="8" hidden="1">'2_Quincenas'!$A$3:$O$77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7" l="1"/>
  <c r="B11" i="17"/>
  <c r="E56" i="16"/>
  <c r="E55" i="16"/>
  <c r="C55" i="16"/>
  <c r="D55" i="16" s="1"/>
  <c r="F55" i="16" s="1"/>
  <c r="G55" i="16" s="1"/>
  <c r="E54" i="16"/>
  <c r="C54" i="16"/>
  <c r="D54" i="16" s="1"/>
  <c r="F54" i="16" s="1"/>
  <c r="E53" i="16"/>
  <c r="C53" i="16"/>
  <c r="D53" i="16" s="1"/>
  <c r="F53" i="16" s="1"/>
  <c r="G53" i="16" s="1"/>
  <c r="E52" i="16"/>
  <c r="C52" i="16"/>
  <c r="D52" i="16" s="1"/>
  <c r="F52" i="16" s="1"/>
  <c r="E50" i="16"/>
  <c r="E49" i="16"/>
  <c r="C49" i="16"/>
  <c r="D49" i="16" s="1"/>
  <c r="F49" i="16" s="1"/>
  <c r="E48" i="16"/>
  <c r="C48" i="16"/>
  <c r="D48" i="16" s="1"/>
  <c r="F48" i="16" s="1"/>
  <c r="G48" i="16" s="1"/>
  <c r="E47" i="16"/>
  <c r="C47" i="16"/>
  <c r="D47" i="16" s="1"/>
  <c r="F47" i="16" s="1"/>
  <c r="E46" i="16"/>
  <c r="C46" i="16"/>
  <c r="D46" i="16" s="1"/>
  <c r="F46" i="16" s="1"/>
  <c r="G46" i="16" s="1"/>
  <c r="E44" i="16"/>
  <c r="E43" i="16"/>
  <c r="C43" i="16"/>
  <c r="D43" i="16" s="1"/>
  <c r="E42" i="16"/>
  <c r="C42" i="16"/>
  <c r="D42" i="16" s="1"/>
  <c r="E41" i="16"/>
  <c r="C41" i="16"/>
  <c r="D41" i="16" s="1"/>
  <c r="F41" i="16" s="1"/>
  <c r="E40" i="16"/>
  <c r="C40" i="16"/>
  <c r="D40" i="16" s="1"/>
  <c r="F40" i="16" s="1"/>
  <c r="E38" i="16"/>
  <c r="E37" i="16"/>
  <c r="C37" i="16"/>
  <c r="D37" i="16" s="1"/>
  <c r="F37" i="16" s="1"/>
  <c r="E36" i="16"/>
  <c r="C36" i="16"/>
  <c r="D36" i="16" s="1"/>
  <c r="E35" i="16"/>
  <c r="C35" i="16"/>
  <c r="D35" i="16" s="1"/>
  <c r="E34" i="16"/>
  <c r="C34" i="16"/>
  <c r="D34" i="16" s="1"/>
  <c r="F34" i="16" s="1"/>
  <c r="G34" i="16" s="1"/>
  <c r="E32" i="16"/>
  <c r="E31" i="16"/>
  <c r="C31" i="16"/>
  <c r="D31" i="16" s="1"/>
  <c r="F31" i="16" s="1"/>
  <c r="E30" i="16"/>
  <c r="C30" i="16"/>
  <c r="D30" i="16" s="1"/>
  <c r="E29" i="16"/>
  <c r="C29" i="16"/>
  <c r="D29" i="16" s="1"/>
  <c r="F29" i="16" s="1"/>
  <c r="G29" i="16" s="1"/>
  <c r="E28" i="16"/>
  <c r="C28" i="16"/>
  <c r="E26" i="16"/>
  <c r="E25" i="16"/>
  <c r="C25" i="16"/>
  <c r="D25" i="16" s="1"/>
  <c r="F25" i="16" s="1"/>
  <c r="E24" i="16"/>
  <c r="H24" i="16" s="1"/>
  <c r="I24" i="16" s="1"/>
  <c r="C24" i="16"/>
  <c r="D24" i="16" s="1"/>
  <c r="E23" i="16"/>
  <c r="C23" i="16"/>
  <c r="D23" i="16" s="1"/>
  <c r="F23" i="16" s="1"/>
  <c r="E22" i="16"/>
  <c r="C22" i="16"/>
  <c r="D22" i="16" s="1"/>
  <c r="F22" i="16" s="1"/>
  <c r="G22" i="16" s="1"/>
  <c r="E20" i="16"/>
  <c r="E19" i="16"/>
  <c r="C19" i="16"/>
  <c r="D19" i="16" s="1"/>
  <c r="F19" i="16" s="1"/>
  <c r="G19" i="16" s="1"/>
  <c r="E18" i="16"/>
  <c r="C18" i="16"/>
  <c r="D18" i="16" s="1"/>
  <c r="F18" i="16" s="1"/>
  <c r="E17" i="16"/>
  <c r="C17" i="16"/>
  <c r="D17" i="16" s="1"/>
  <c r="E16" i="16"/>
  <c r="C16" i="16"/>
  <c r="E14" i="16"/>
  <c r="E13" i="16"/>
  <c r="C13" i="16"/>
  <c r="D13" i="16" s="1"/>
  <c r="E12" i="16"/>
  <c r="C12" i="16"/>
  <c r="D12" i="16" s="1"/>
  <c r="F12" i="16" s="1"/>
  <c r="E11" i="16"/>
  <c r="C11" i="16"/>
  <c r="D11" i="16" s="1"/>
  <c r="F11" i="16" s="1"/>
  <c r="E10" i="16"/>
  <c r="C10" i="16"/>
  <c r="D10" i="16" s="1"/>
  <c r="F10" i="16" s="1"/>
  <c r="G10" i="16" s="1"/>
  <c r="E8" i="16"/>
  <c r="E7" i="16"/>
  <c r="C7" i="16"/>
  <c r="D7" i="16" s="1"/>
  <c r="F7" i="16" s="1"/>
  <c r="G7" i="16" s="1"/>
  <c r="E6" i="16"/>
  <c r="C6" i="16"/>
  <c r="D6" i="16" s="1"/>
  <c r="F6" i="16" s="1"/>
  <c r="E5" i="16"/>
  <c r="C5" i="16"/>
  <c r="D5" i="16" s="1"/>
  <c r="E4" i="16"/>
  <c r="C4" i="16"/>
  <c r="D4" i="16" s="1"/>
  <c r="F4" i="16" s="1"/>
  <c r="D111" i="15"/>
  <c r="B111" i="15" s="1"/>
  <c r="D110" i="15"/>
  <c r="B110" i="15" s="1"/>
  <c r="D109" i="15"/>
  <c r="B109" i="15" s="1"/>
  <c r="H92" i="15"/>
  <c r="F92" i="15"/>
  <c r="D92" i="15"/>
  <c r="D67" i="15"/>
  <c r="D66" i="15"/>
  <c r="M65" i="15"/>
  <c r="H65" i="15"/>
  <c r="F65" i="15"/>
  <c r="D65" i="15"/>
  <c r="H54" i="15"/>
  <c r="F54" i="15"/>
  <c r="H51" i="15"/>
  <c r="F51" i="15"/>
  <c r="H48" i="15"/>
  <c r="F48" i="15"/>
  <c r="H33" i="15"/>
  <c r="F33" i="15"/>
  <c r="M33" i="15" s="1"/>
  <c r="N33" i="15" s="1"/>
  <c r="O33" i="15" s="1"/>
  <c r="D33" i="15"/>
  <c r="Q32" i="15"/>
  <c r="H32" i="15"/>
  <c r="F32" i="15"/>
  <c r="D32" i="15"/>
  <c r="J32" i="15" s="1"/>
  <c r="K32" i="15" s="1"/>
  <c r="H31" i="15"/>
  <c r="F31" i="15"/>
  <c r="D31" i="15"/>
  <c r="J31" i="15" s="1"/>
  <c r="K31" i="15" s="1"/>
  <c r="H30" i="15"/>
  <c r="F30" i="15"/>
  <c r="D30" i="15"/>
  <c r="M30" i="15" s="1"/>
  <c r="N30" i="15" s="1"/>
  <c r="O30" i="15" s="1"/>
  <c r="H29" i="15"/>
  <c r="D29" i="15"/>
  <c r="H28" i="15"/>
  <c r="F28" i="15"/>
  <c r="D28" i="15"/>
  <c r="H27" i="15"/>
  <c r="D27" i="15"/>
  <c r="H26" i="15"/>
  <c r="F26" i="15"/>
  <c r="D26" i="15"/>
  <c r="J26" i="15" s="1"/>
  <c r="K26" i="15" s="1"/>
  <c r="D25" i="15"/>
  <c r="H24" i="15"/>
  <c r="D24" i="15"/>
  <c r="D23" i="15"/>
  <c r="H22" i="15"/>
  <c r="D22" i="15"/>
  <c r="H21" i="15"/>
  <c r="F21" i="15"/>
  <c r="D21" i="15"/>
  <c r="H20" i="15"/>
  <c r="D20" i="15"/>
  <c r="D19" i="15"/>
  <c r="H18" i="15"/>
  <c r="D18" i="15"/>
  <c r="D17" i="15"/>
  <c r="H16" i="15"/>
  <c r="D16" i="15"/>
  <c r="D15" i="15"/>
  <c r="H14" i="15"/>
  <c r="D14" i="15"/>
  <c r="H13" i="15"/>
  <c r="D13" i="15"/>
  <c r="H12" i="15"/>
  <c r="D12" i="15"/>
  <c r="H11" i="15"/>
  <c r="D11" i="15"/>
  <c r="H10" i="15"/>
  <c r="F10" i="15"/>
  <c r="D10" i="15"/>
  <c r="H9" i="15"/>
  <c r="D9" i="15"/>
  <c r="H8" i="15"/>
  <c r="D8" i="15"/>
  <c r="H7" i="15"/>
  <c r="F7" i="15"/>
  <c r="D7" i="15"/>
  <c r="H6" i="15"/>
  <c r="D6" i="15"/>
  <c r="H5" i="15"/>
  <c r="F5" i="15"/>
  <c r="D5" i="15"/>
  <c r="J5" i="15" s="1"/>
  <c r="K5" i="15" s="1"/>
  <c r="H4" i="15"/>
  <c r="F4" i="15"/>
  <c r="D4" i="15"/>
  <c r="J4" i="15" s="1"/>
  <c r="C35" i="14"/>
  <c r="C17" i="14"/>
  <c r="L69" i="13"/>
  <c r="J69" i="13"/>
  <c r="K69" i="13" s="1"/>
  <c r="R69" i="13" s="1"/>
  <c r="H69" i="13"/>
  <c r="L68" i="13"/>
  <c r="J68" i="13"/>
  <c r="K68" i="13" s="1"/>
  <c r="R68" i="13" s="1"/>
  <c r="H68" i="13"/>
  <c r="L66" i="13"/>
  <c r="J66" i="13"/>
  <c r="K66" i="13" s="1"/>
  <c r="R66" i="13" s="1"/>
  <c r="H66" i="13"/>
  <c r="L65" i="13"/>
  <c r="J65" i="13"/>
  <c r="K65" i="13" s="1"/>
  <c r="R65" i="13" s="1"/>
  <c r="H65" i="13"/>
  <c r="L63" i="13"/>
  <c r="J63" i="13"/>
  <c r="K63" i="13" s="1"/>
  <c r="R63" i="13" s="1"/>
  <c r="H63" i="13"/>
  <c r="L62" i="13"/>
  <c r="J62" i="13"/>
  <c r="K62" i="13" s="1"/>
  <c r="R62" i="13" s="1"/>
  <c r="H62" i="13"/>
  <c r="L60" i="13"/>
  <c r="J60" i="13"/>
  <c r="K60" i="13" s="1"/>
  <c r="R60" i="13" s="1"/>
  <c r="H60" i="13"/>
  <c r="L59" i="13"/>
  <c r="K59" i="13"/>
  <c r="R59" i="13" s="1"/>
  <c r="J59" i="13"/>
  <c r="H59" i="13"/>
  <c r="L58" i="13"/>
  <c r="K58" i="13"/>
  <c r="R58" i="13" s="1"/>
  <c r="J58" i="13"/>
  <c r="H58" i="13"/>
  <c r="L56" i="13"/>
  <c r="J56" i="13"/>
  <c r="K56" i="13" s="1"/>
  <c r="R56" i="13" s="1"/>
  <c r="H56" i="13"/>
  <c r="L55" i="13"/>
  <c r="J55" i="13"/>
  <c r="K55" i="13" s="1"/>
  <c r="R55" i="13" s="1"/>
  <c r="H55" i="13"/>
  <c r="L54" i="13"/>
  <c r="J54" i="13"/>
  <c r="K54" i="13" s="1"/>
  <c r="R54" i="13" s="1"/>
  <c r="H54" i="13"/>
  <c r="L53" i="13"/>
  <c r="J53" i="13"/>
  <c r="K53" i="13" s="1"/>
  <c r="R53" i="13" s="1"/>
  <c r="H53" i="13"/>
  <c r="L52" i="13"/>
  <c r="J52" i="13"/>
  <c r="K52" i="13" s="1"/>
  <c r="R52" i="13" s="1"/>
  <c r="H52" i="13"/>
  <c r="L50" i="13"/>
  <c r="J50" i="13"/>
  <c r="K50" i="13" s="1"/>
  <c r="R50" i="13" s="1"/>
  <c r="H50" i="13"/>
  <c r="L49" i="13"/>
  <c r="J49" i="13"/>
  <c r="K49" i="13" s="1"/>
  <c r="R49" i="13" s="1"/>
  <c r="H49" i="13"/>
  <c r="L48" i="13"/>
  <c r="J48" i="13"/>
  <c r="K48" i="13" s="1"/>
  <c r="R48" i="13" s="1"/>
  <c r="H48" i="13"/>
  <c r="L47" i="13"/>
  <c r="K47" i="13"/>
  <c r="R47" i="13" s="1"/>
  <c r="J47" i="13"/>
  <c r="H47" i="13"/>
  <c r="L46" i="13"/>
  <c r="K46" i="13"/>
  <c r="R46" i="13" s="1"/>
  <c r="J46" i="13"/>
  <c r="H46" i="13"/>
  <c r="L44" i="13"/>
  <c r="J44" i="13"/>
  <c r="K44" i="13" s="1"/>
  <c r="R44" i="13" s="1"/>
  <c r="H44" i="13"/>
  <c r="L43" i="13"/>
  <c r="J43" i="13"/>
  <c r="K43" i="13" s="1"/>
  <c r="R43" i="13" s="1"/>
  <c r="H43" i="13"/>
  <c r="L42" i="13"/>
  <c r="J42" i="13"/>
  <c r="K42" i="13" s="1"/>
  <c r="R42" i="13" s="1"/>
  <c r="H42" i="13"/>
  <c r="L41" i="13"/>
  <c r="J41" i="13"/>
  <c r="K41" i="13" s="1"/>
  <c r="R41" i="13" s="1"/>
  <c r="H41" i="13"/>
  <c r="L40" i="13"/>
  <c r="J40" i="13"/>
  <c r="K40" i="13" s="1"/>
  <c r="R40" i="13" s="1"/>
  <c r="H40" i="13"/>
  <c r="L38" i="13"/>
  <c r="J38" i="13"/>
  <c r="K38" i="13" s="1"/>
  <c r="R38" i="13" s="1"/>
  <c r="H38" i="13"/>
  <c r="L37" i="13"/>
  <c r="J37" i="13"/>
  <c r="K37" i="13" s="1"/>
  <c r="R37" i="13" s="1"/>
  <c r="H37" i="13"/>
  <c r="L36" i="13"/>
  <c r="J36" i="13"/>
  <c r="K36" i="13" s="1"/>
  <c r="R36" i="13" s="1"/>
  <c r="H36" i="13"/>
  <c r="L35" i="13"/>
  <c r="J35" i="13"/>
  <c r="K35" i="13" s="1"/>
  <c r="R35" i="13" s="1"/>
  <c r="H35" i="13"/>
  <c r="L34" i="13"/>
  <c r="J34" i="13"/>
  <c r="K34" i="13" s="1"/>
  <c r="R34" i="13" s="1"/>
  <c r="H34" i="13"/>
  <c r="L32" i="13"/>
  <c r="J32" i="13"/>
  <c r="K32" i="13" s="1"/>
  <c r="R32" i="13" s="1"/>
  <c r="H32" i="13"/>
  <c r="L31" i="13"/>
  <c r="K31" i="13"/>
  <c r="R31" i="13" s="1"/>
  <c r="J31" i="13"/>
  <c r="H31" i="13"/>
  <c r="L30" i="13"/>
  <c r="J30" i="13"/>
  <c r="K30" i="13" s="1"/>
  <c r="R30" i="13" s="1"/>
  <c r="H30" i="13"/>
  <c r="L29" i="13"/>
  <c r="J29" i="13"/>
  <c r="K29" i="13" s="1"/>
  <c r="R29" i="13" s="1"/>
  <c r="H29" i="13"/>
  <c r="L27" i="13"/>
  <c r="J27" i="13"/>
  <c r="K27" i="13" s="1"/>
  <c r="R27" i="13" s="1"/>
  <c r="H27" i="13"/>
  <c r="L26" i="13"/>
  <c r="J26" i="13"/>
  <c r="K26" i="13" s="1"/>
  <c r="R26" i="13" s="1"/>
  <c r="H26" i="13"/>
  <c r="L25" i="13"/>
  <c r="J25" i="13"/>
  <c r="K25" i="13" s="1"/>
  <c r="R25" i="13" s="1"/>
  <c r="H25" i="13"/>
  <c r="L24" i="13"/>
  <c r="J24" i="13"/>
  <c r="K24" i="13" s="1"/>
  <c r="R24" i="13" s="1"/>
  <c r="H24" i="13"/>
  <c r="R22" i="13"/>
  <c r="L22" i="13"/>
  <c r="J22" i="13"/>
  <c r="K22" i="13" s="1"/>
  <c r="H22" i="13"/>
  <c r="L21" i="13"/>
  <c r="J21" i="13"/>
  <c r="K21" i="13" s="1"/>
  <c r="R21" i="13" s="1"/>
  <c r="H21" i="13"/>
  <c r="X20" i="13"/>
  <c r="V20" i="13"/>
  <c r="L20" i="13"/>
  <c r="J20" i="13"/>
  <c r="K20" i="13" s="1"/>
  <c r="R20" i="13" s="1"/>
  <c r="H20" i="13"/>
  <c r="X19" i="13"/>
  <c r="V19" i="13"/>
  <c r="L19" i="13"/>
  <c r="J19" i="13"/>
  <c r="K19" i="13" s="1"/>
  <c r="V16" i="13" s="1"/>
  <c r="H19" i="13"/>
  <c r="X18" i="13"/>
  <c r="X17" i="13"/>
  <c r="V17" i="13"/>
  <c r="L17" i="13"/>
  <c r="J17" i="13"/>
  <c r="K17" i="13" s="1"/>
  <c r="R17" i="13" s="1"/>
  <c r="H17" i="13"/>
  <c r="X16" i="13"/>
  <c r="X21" i="13" s="1"/>
  <c r="L16" i="13"/>
  <c r="J16" i="13"/>
  <c r="K16" i="13" s="1"/>
  <c r="R16" i="13" s="1"/>
  <c r="H16" i="13"/>
  <c r="L15" i="13"/>
  <c r="J15" i="13"/>
  <c r="K15" i="13" s="1"/>
  <c r="R15" i="13" s="1"/>
  <c r="H15" i="13"/>
  <c r="L14" i="13"/>
  <c r="J14" i="13"/>
  <c r="K14" i="13" s="1"/>
  <c r="R14" i="13" s="1"/>
  <c r="H14" i="13"/>
  <c r="W12" i="13"/>
  <c r="L12" i="13"/>
  <c r="J12" i="13"/>
  <c r="K12" i="13" s="1"/>
  <c r="R12" i="13" s="1"/>
  <c r="H12" i="13"/>
  <c r="Z11" i="13"/>
  <c r="X11" i="13"/>
  <c r="Y11" i="13" s="1"/>
  <c r="R11" i="13"/>
  <c r="L11" i="13"/>
  <c r="K11" i="13"/>
  <c r="J11" i="13"/>
  <c r="H11" i="13"/>
  <c r="X10" i="13"/>
  <c r="Z10" i="13" s="1"/>
  <c r="L10" i="13"/>
  <c r="J10" i="13"/>
  <c r="K10" i="13" s="1"/>
  <c r="R10" i="13" s="1"/>
  <c r="H10" i="13"/>
  <c r="X9" i="13"/>
  <c r="L9" i="13"/>
  <c r="K9" i="13"/>
  <c r="R9" i="13" s="1"/>
  <c r="J9" i="13"/>
  <c r="H9" i="13"/>
  <c r="X8" i="13"/>
  <c r="Y8" i="13" s="1"/>
  <c r="L8" i="13"/>
  <c r="J8" i="13"/>
  <c r="K8" i="13" s="1"/>
  <c r="R8" i="13" s="1"/>
  <c r="H8" i="13"/>
  <c r="X7" i="13"/>
  <c r="Y7" i="13" s="1"/>
  <c r="R7" i="13"/>
  <c r="L7" i="13"/>
  <c r="K7" i="13"/>
  <c r="J7" i="13"/>
  <c r="H7" i="13"/>
  <c r="L6" i="13"/>
  <c r="J6" i="13"/>
  <c r="K6" i="13" s="1"/>
  <c r="R6" i="13" s="1"/>
  <c r="H6" i="13"/>
  <c r="L5" i="13"/>
  <c r="J5" i="13"/>
  <c r="K5" i="13" s="1"/>
  <c r="R5" i="13" s="1"/>
  <c r="H5" i="13"/>
  <c r="G68" i="11"/>
  <c r="F68" i="11"/>
  <c r="E68" i="11"/>
  <c r="D68" i="11"/>
  <c r="H68" i="11" s="1"/>
  <c r="C68" i="11"/>
  <c r="B68" i="11"/>
  <c r="A68" i="11"/>
  <c r="G67" i="11"/>
  <c r="E67" i="11"/>
  <c r="D67" i="11"/>
  <c r="F67" i="11" s="1"/>
  <c r="C67" i="11"/>
  <c r="B67" i="11"/>
  <c r="A67" i="11"/>
  <c r="G66" i="11"/>
  <c r="E66" i="11"/>
  <c r="F66" i="11" s="1"/>
  <c r="D66" i="11"/>
  <c r="C66" i="11"/>
  <c r="B66" i="11"/>
  <c r="A66" i="11"/>
  <c r="G65" i="11"/>
  <c r="E65" i="11"/>
  <c r="D65" i="11"/>
  <c r="F65" i="11" s="1"/>
  <c r="C65" i="11"/>
  <c r="B65" i="11"/>
  <c r="A65" i="11"/>
  <c r="G64" i="11"/>
  <c r="E64" i="11"/>
  <c r="D64" i="11"/>
  <c r="C64" i="11"/>
  <c r="B64" i="11"/>
  <c r="A64" i="11"/>
  <c r="C63" i="11"/>
  <c r="B63" i="11"/>
  <c r="A63" i="11"/>
  <c r="C62" i="11"/>
  <c r="B62" i="11"/>
  <c r="A62" i="11"/>
  <c r="C61" i="11"/>
  <c r="B61" i="11"/>
  <c r="A61" i="11"/>
  <c r="E60" i="11"/>
  <c r="C60" i="11"/>
  <c r="B60" i="11"/>
  <c r="A60" i="11"/>
  <c r="C59" i="11"/>
  <c r="B59" i="11"/>
  <c r="A59" i="11"/>
  <c r="I53" i="11"/>
  <c r="J53" i="11" s="1"/>
  <c r="I52" i="11"/>
  <c r="J52" i="11" s="1"/>
  <c r="J51" i="11"/>
  <c r="I51" i="11"/>
  <c r="I50" i="11"/>
  <c r="J50" i="11" s="1"/>
  <c r="I49" i="11"/>
  <c r="J49" i="11" s="1"/>
  <c r="I48" i="11"/>
  <c r="J48" i="11" s="1"/>
  <c r="I47" i="11"/>
  <c r="J47" i="11" s="1"/>
  <c r="I46" i="11"/>
  <c r="J46" i="11" s="1"/>
  <c r="I45" i="11"/>
  <c r="J45" i="11" s="1"/>
  <c r="J44" i="11"/>
  <c r="I44" i="11"/>
  <c r="I43" i="11"/>
  <c r="J43" i="11" s="1"/>
  <c r="I42" i="11"/>
  <c r="J42" i="11" s="1"/>
  <c r="J41" i="11"/>
  <c r="I41" i="11"/>
  <c r="I40" i="11"/>
  <c r="J40" i="11" s="1"/>
  <c r="J39" i="11"/>
  <c r="I39" i="11"/>
  <c r="I38" i="11"/>
  <c r="J38" i="11" s="1"/>
  <c r="I37" i="11"/>
  <c r="J37" i="11" s="1"/>
  <c r="I36" i="11"/>
  <c r="J36" i="11" s="1"/>
  <c r="I35" i="11"/>
  <c r="J35" i="11" s="1"/>
  <c r="I34" i="11"/>
  <c r="J34" i="11" s="1"/>
  <c r="J33" i="11"/>
  <c r="I33" i="11"/>
  <c r="I32" i="11"/>
  <c r="J32" i="11" s="1"/>
  <c r="I31" i="11"/>
  <c r="J31" i="11" s="1"/>
  <c r="I30" i="11"/>
  <c r="J30" i="11" s="1"/>
  <c r="I29" i="11"/>
  <c r="J29" i="11" s="1"/>
  <c r="I28" i="11"/>
  <c r="J28" i="11" s="1"/>
  <c r="J27" i="11"/>
  <c r="I27" i="11"/>
  <c r="J26" i="11"/>
  <c r="I26" i="11"/>
  <c r="I25" i="11"/>
  <c r="J25" i="11" s="1"/>
  <c r="I24" i="11"/>
  <c r="J24" i="11" s="1"/>
  <c r="I23" i="11"/>
  <c r="J23" i="11" s="1"/>
  <c r="I22" i="11"/>
  <c r="J22" i="11" s="1"/>
  <c r="I21" i="11"/>
  <c r="J21" i="11" s="1"/>
  <c r="I20" i="11"/>
  <c r="J20" i="11" s="1"/>
  <c r="J19" i="11"/>
  <c r="I19" i="11"/>
  <c r="J18" i="11"/>
  <c r="I18" i="11"/>
  <c r="I17" i="11"/>
  <c r="J17" i="11" s="1"/>
  <c r="I16" i="11"/>
  <c r="J16" i="11" s="1"/>
  <c r="I15" i="11"/>
  <c r="J15" i="11" s="1"/>
  <c r="I14" i="11"/>
  <c r="J14" i="11" s="1"/>
  <c r="I13" i="11"/>
  <c r="J13" i="11" s="1"/>
  <c r="I12" i="11"/>
  <c r="J12" i="11" s="1"/>
  <c r="I11" i="11"/>
  <c r="J11" i="11" s="1"/>
  <c r="I10" i="11"/>
  <c r="J10" i="11" s="1"/>
  <c r="I9" i="11"/>
  <c r="J9" i="11" s="1"/>
  <c r="I8" i="11"/>
  <c r="J8" i="11" s="1"/>
  <c r="I7" i="11"/>
  <c r="J7" i="11" s="1"/>
  <c r="I6" i="11"/>
  <c r="J6" i="11" s="1"/>
  <c r="I5" i="11"/>
  <c r="J5" i="11" s="1"/>
  <c r="I4" i="11"/>
  <c r="J4" i="11" s="1"/>
  <c r="E14" i="10"/>
  <c r="C31" i="14" s="1"/>
  <c r="M13" i="10"/>
  <c r="K13" i="10"/>
  <c r="J13" i="10"/>
  <c r="I13" i="10"/>
  <c r="L13" i="10" s="1"/>
  <c r="H13" i="10"/>
  <c r="K12" i="10"/>
  <c r="J12" i="10"/>
  <c r="M12" i="10" s="1"/>
  <c r="I12" i="10"/>
  <c r="L12" i="10" s="1"/>
  <c r="H12" i="10"/>
  <c r="M11" i="10"/>
  <c r="K11" i="10"/>
  <c r="J11" i="10"/>
  <c r="I11" i="10"/>
  <c r="L11" i="10" s="1"/>
  <c r="H11" i="10"/>
  <c r="K10" i="10"/>
  <c r="J10" i="10"/>
  <c r="M10" i="10" s="1"/>
  <c r="I10" i="10"/>
  <c r="L10" i="10" s="1"/>
  <c r="H10" i="10"/>
  <c r="K9" i="10"/>
  <c r="J9" i="10"/>
  <c r="M9" i="10" s="1"/>
  <c r="I9" i="10"/>
  <c r="L9" i="10" s="1"/>
  <c r="H9" i="10"/>
  <c r="H8" i="10"/>
  <c r="K7" i="10"/>
  <c r="E62" i="11" s="1"/>
  <c r="H7" i="10"/>
  <c r="K6" i="10"/>
  <c r="E61" i="11" s="1"/>
  <c r="H6" i="10"/>
  <c r="K5" i="10"/>
  <c r="H5" i="10"/>
  <c r="K4" i="10"/>
  <c r="E59" i="11" s="1"/>
  <c r="H4" i="10"/>
  <c r="N94" i="9"/>
  <c r="O94" i="9" s="1"/>
  <c r="M94" i="9"/>
  <c r="L94" i="9"/>
  <c r="K94" i="9"/>
  <c r="M93" i="9"/>
  <c r="L93" i="9"/>
  <c r="K93" i="9"/>
  <c r="N93" i="9" s="1"/>
  <c r="O93" i="9" s="1"/>
  <c r="M92" i="9"/>
  <c r="L92" i="9"/>
  <c r="K92" i="9"/>
  <c r="M91" i="9"/>
  <c r="L91" i="9"/>
  <c r="K91" i="9"/>
  <c r="M90" i="9"/>
  <c r="L90" i="9"/>
  <c r="K90" i="9"/>
  <c r="N89" i="9"/>
  <c r="O89" i="9" s="1"/>
  <c r="M89" i="9"/>
  <c r="L89" i="9"/>
  <c r="K89" i="9"/>
  <c r="M88" i="9"/>
  <c r="L88" i="9"/>
  <c r="K88" i="9"/>
  <c r="M87" i="9"/>
  <c r="L87" i="9"/>
  <c r="K87" i="9"/>
  <c r="N87" i="9" s="1"/>
  <c r="O87" i="9" s="1"/>
  <c r="M86" i="9"/>
  <c r="L86" i="9"/>
  <c r="N86" i="9" s="1"/>
  <c r="O86" i="9" s="1"/>
  <c r="K86" i="9"/>
  <c r="M85" i="9"/>
  <c r="L85" i="9"/>
  <c r="K85" i="9"/>
  <c r="N85" i="9" s="1"/>
  <c r="O85" i="9" s="1"/>
  <c r="M84" i="9"/>
  <c r="N84" i="9" s="1"/>
  <c r="O84" i="9" s="1"/>
  <c r="L84" i="9"/>
  <c r="K84" i="9"/>
  <c r="M83" i="9"/>
  <c r="L83" i="9"/>
  <c r="K83" i="9"/>
  <c r="N83" i="9" s="1"/>
  <c r="O83" i="9" s="1"/>
  <c r="M82" i="9"/>
  <c r="L82" i="9"/>
  <c r="K82" i="9"/>
  <c r="M81" i="9"/>
  <c r="L81" i="9"/>
  <c r="K81" i="9"/>
  <c r="M80" i="9"/>
  <c r="L80" i="9"/>
  <c r="K80" i="9"/>
  <c r="M79" i="9"/>
  <c r="L79" i="9"/>
  <c r="K79" i="9"/>
  <c r="N79" i="9" s="1"/>
  <c r="O79" i="9" s="1"/>
  <c r="M78" i="9"/>
  <c r="N78" i="9" s="1"/>
  <c r="O78" i="9" s="1"/>
  <c r="L78" i="9"/>
  <c r="K78" i="9"/>
  <c r="F77" i="9"/>
  <c r="F76" i="9"/>
  <c r="F75" i="9"/>
  <c r="F74" i="9"/>
  <c r="F73" i="9"/>
  <c r="F72" i="9"/>
  <c r="F71" i="9"/>
  <c r="F70" i="9"/>
  <c r="F69" i="9"/>
  <c r="F68" i="9"/>
  <c r="F67" i="9"/>
  <c r="F66" i="9"/>
  <c r="F65" i="9"/>
  <c r="F64" i="9"/>
  <c r="F63" i="9"/>
  <c r="F62" i="9"/>
  <c r="F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F5" i="9"/>
  <c r="F4" i="9"/>
  <c r="W26" i="8"/>
  <c r="W12" i="17" s="1"/>
  <c r="V26" i="8"/>
  <c r="V12" i="17" s="1"/>
  <c r="U26" i="8"/>
  <c r="U12" i="17" s="1"/>
  <c r="T26" i="8"/>
  <c r="T12" i="17" s="1"/>
  <c r="S26" i="8"/>
  <c r="S12" i="17" s="1"/>
  <c r="R26" i="8"/>
  <c r="R12" i="17" s="1"/>
  <c r="Q26" i="8"/>
  <c r="Q12" i="17" s="1"/>
  <c r="P26" i="8"/>
  <c r="P12" i="17" s="1"/>
  <c r="O26" i="8"/>
  <c r="O12" i="17" s="1"/>
  <c r="N26" i="8"/>
  <c r="N12" i="17" s="1"/>
  <c r="M26" i="8"/>
  <c r="M12" i="17" s="1"/>
  <c r="L26" i="8"/>
  <c r="L12" i="17" s="1"/>
  <c r="K26" i="8"/>
  <c r="K12" i="17" s="1"/>
  <c r="J26" i="8"/>
  <c r="J12" i="17" s="1"/>
  <c r="I26" i="8"/>
  <c r="I12" i="17" s="1"/>
  <c r="H26" i="8"/>
  <c r="H12" i="17" s="1"/>
  <c r="G26" i="8"/>
  <c r="G12" i="17" s="1"/>
  <c r="F26" i="8"/>
  <c r="F12" i="17" s="1"/>
  <c r="E26" i="8"/>
  <c r="E12" i="17" s="1"/>
  <c r="D26" i="8"/>
  <c r="D12" i="17" s="1"/>
  <c r="C26" i="8"/>
  <c r="C12" i="17" s="1"/>
  <c r="X25" i="8"/>
  <c r="H67" i="15" s="1"/>
  <c r="X24" i="8"/>
  <c r="H66" i="15" s="1"/>
  <c r="X23" i="8"/>
  <c r="W20" i="8"/>
  <c r="W11" i="17" s="1"/>
  <c r="V20" i="8"/>
  <c r="V11" i="17" s="1"/>
  <c r="U20" i="8"/>
  <c r="U11" i="17" s="1"/>
  <c r="T20" i="8"/>
  <c r="T11" i="17" s="1"/>
  <c r="S20" i="8"/>
  <c r="S11" i="17" s="1"/>
  <c r="R20" i="8"/>
  <c r="R11" i="17" s="1"/>
  <c r="Q20" i="8"/>
  <c r="Q11" i="17" s="1"/>
  <c r="P20" i="8"/>
  <c r="P11" i="17" s="1"/>
  <c r="O20" i="8"/>
  <c r="O11" i="17" s="1"/>
  <c r="N20" i="8"/>
  <c r="N11" i="17" s="1"/>
  <c r="M20" i="8"/>
  <c r="M11" i="17" s="1"/>
  <c r="L20" i="8"/>
  <c r="L11" i="17" s="1"/>
  <c r="K20" i="8"/>
  <c r="K11" i="17" s="1"/>
  <c r="J20" i="8"/>
  <c r="J11" i="17" s="1"/>
  <c r="I20" i="8"/>
  <c r="I11" i="17" s="1"/>
  <c r="H20" i="8"/>
  <c r="H11" i="17" s="1"/>
  <c r="G20" i="8"/>
  <c r="G11" i="17" s="1"/>
  <c r="F20" i="8"/>
  <c r="F11" i="17" s="1"/>
  <c r="E20" i="8"/>
  <c r="E11" i="17" s="1"/>
  <c r="D20" i="8"/>
  <c r="D11" i="17" s="1"/>
  <c r="C20" i="8"/>
  <c r="C11" i="17" s="1"/>
  <c r="X19" i="8"/>
  <c r="X18" i="8"/>
  <c r="X17" i="8"/>
  <c r="X16" i="8"/>
  <c r="H55" i="15" s="1"/>
  <c r="X15" i="8"/>
  <c r="H53" i="15" s="1"/>
  <c r="X14" i="8"/>
  <c r="H52" i="15" s="1"/>
  <c r="X13" i="8"/>
  <c r="H50" i="15" s="1"/>
  <c r="X12" i="8"/>
  <c r="H49" i="15" s="1"/>
  <c r="X11" i="8"/>
  <c r="H47" i="15" s="1"/>
  <c r="X10" i="8"/>
  <c r="H46" i="15" s="1"/>
  <c r="X9" i="8"/>
  <c r="H45" i="15" s="1"/>
  <c r="X8" i="8"/>
  <c r="H44" i="15" s="1"/>
  <c r="X7" i="8"/>
  <c r="H43" i="15" s="1"/>
  <c r="W4" i="8"/>
  <c r="V4" i="8"/>
  <c r="X851" i="7"/>
  <c r="W851" i="7"/>
  <c r="T851" i="7"/>
  <c r="C851" i="7"/>
  <c r="X850" i="7"/>
  <c r="T850" i="7"/>
  <c r="W850" i="7" s="1"/>
  <c r="C850" i="7"/>
  <c r="X849" i="7"/>
  <c r="T849" i="7"/>
  <c r="W849" i="7" s="1"/>
  <c r="C849" i="7"/>
  <c r="X848" i="7"/>
  <c r="T848" i="7"/>
  <c r="W848" i="7" s="1"/>
  <c r="C848" i="7"/>
  <c r="X847" i="7"/>
  <c r="T847" i="7"/>
  <c r="W847" i="7" s="1"/>
  <c r="C847" i="7"/>
  <c r="X846" i="7"/>
  <c r="T846" i="7"/>
  <c r="W846" i="7" s="1"/>
  <c r="C846" i="7"/>
  <c r="X845" i="7"/>
  <c r="T845" i="7"/>
  <c r="W845" i="7" s="1"/>
  <c r="C845" i="7"/>
  <c r="X844" i="7"/>
  <c r="T844" i="7"/>
  <c r="W844" i="7" s="1"/>
  <c r="C844" i="7"/>
  <c r="X843" i="7"/>
  <c r="T843" i="7"/>
  <c r="W843" i="7" s="1"/>
  <c r="C843" i="7"/>
  <c r="X842" i="7"/>
  <c r="T842" i="7"/>
  <c r="W842" i="7" s="1"/>
  <c r="C842" i="7"/>
  <c r="X841" i="7"/>
  <c r="T841" i="7"/>
  <c r="W841" i="7" s="1"/>
  <c r="C841" i="7"/>
  <c r="X840" i="7"/>
  <c r="T840" i="7"/>
  <c r="W840" i="7" s="1"/>
  <c r="C840" i="7"/>
  <c r="X839" i="7"/>
  <c r="W839" i="7"/>
  <c r="T839" i="7"/>
  <c r="C839" i="7"/>
  <c r="X838" i="7"/>
  <c r="T838" i="7"/>
  <c r="W838" i="7" s="1"/>
  <c r="C838" i="7"/>
  <c r="X837" i="7"/>
  <c r="T837" i="7"/>
  <c r="W837" i="7" s="1"/>
  <c r="C837" i="7"/>
  <c r="X836" i="7"/>
  <c r="T836" i="7"/>
  <c r="W836" i="7" s="1"/>
  <c r="C836" i="7"/>
  <c r="X835" i="7"/>
  <c r="T835" i="7"/>
  <c r="W835" i="7" s="1"/>
  <c r="C835" i="7"/>
  <c r="X834" i="7"/>
  <c r="T834" i="7"/>
  <c r="W834" i="7" s="1"/>
  <c r="C834" i="7"/>
  <c r="X833" i="7"/>
  <c r="T833" i="7"/>
  <c r="W833" i="7" s="1"/>
  <c r="C833" i="7"/>
  <c r="X832" i="7"/>
  <c r="T832" i="7"/>
  <c r="W832" i="7" s="1"/>
  <c r="C832" i="7"/>
  <c r="X831" i="7"/>
  <c r="T831" i="7"/>
  <c r="W831" i="7" s="1"/>
  <c r="C831" i="7"/>
  <c r="X830" i="7"/>
  <c r="W830" i="7"/>
  <c r="T830" i="7"/>
  <c r="C830" i="7"/>
  <c r="X829" i="7"/>
  <c r="T829" i="7"/>
  <c r="W829" i="7" s="1"/>
  <c r="C829" i="7"/>
  <c r="X828" i="7"/>
  <c r="W828" i="7"/>
  <c r="T828" i="7"/>
  <c r="C828" i="7"/>
  <c r="X827" i="7"/>
  <c r="T827" i="7"/>
  <c r="W827" i="7" s="1"/>
  <c r="C827" i="7"/>
  <c r="X826" i="7"/>
  <c r="W826" i="7"/>
  <c r="T826" i="7"/>
  <c r="C826" i="7"/>
  <c r="X825" i="7"/>
  <c r="T825" i="7"/>
  <c r="W825" i="7" s="1"/>
  <c r="C825" i="7"/>
  <c r="X824" i="7"/>
  <c r="W824" i="7"/>
  <c r="T824" i="7"/>
  <c r="C824" i="7"/>
  <c r="X823" i="7"/>
  <c r="T823" i="7"/>
  <c r="W823" i="7" s="1"/>
  <c r="C823" i="7"/>
  <c r="X822" i="7"/>
  <c r="T822" i="7"/>
  <c r="W822" i="7" s="1"/>
  <c r="C822" i="7"/>
  <c r="X821" i="7"/>
  <c r="W821" i="7"/>
  <c r="T821" i="7"/>
  <c r="C821" i="7"/>
  <c r="X820" i="7"/>
  <c r="T820" i="7"/>
  <c r="W820" i="7" s="1"/>
  <c r="C820" i="7"/>
  <c r="X819" i="7"/>
  <c r="T819" i="7"/>
  <c r="W819" i="7" s="1"/>
  <c r="C819" i="7"/>
  <c r="X818" i="7"/>
  <c r="T818" i="7"/>
  <c r="W818" i="7" s="1"/>
  <c r="C818" i="7"/>
  <c r="X817" i="7"/>
  <c r="T817" i="7"/>
  <c r="W817" i="7" s="1"/>
  <c r="C817" i="7"/>
  <c r="X816" i="7"/>
  <c r="W816" i="7"/>
  <c r="T816" i="7"/>
  <c r="C816" i="7"/>
  <c r="X815" i="7"/>
  <c r="T815" i="7"/>
  <c r="W815" i="7" s="1"/>
  <c r="C815" i="7"/>
  <c r="X814" i="7"/>
  <c r="W814" i="7"/>
  <c r="T814" i="7"/>
  <c r="C814" i="7"/>
  <c r="X813" i="7"/>
  <c r="T813" i="7"/>
  <c r="W813" i="7" s="1"/>
  <c r="C813" i="7"/>
  <c r="X812" i="7"/>
  <c r="W812" i="7"/>
  <c r="T812" i="7"/>
  <c r="C812" i="7"/>
  <c r="X811" i="7"/>
  <c r="W811" i="7"/>
  <c r="T811" i="7"/>
  <c r="C811" i="7"/>
  <c r="X810" i="7"/>
  <c r="T810" i="7"/>
  <c r="W810" i="7" s="1"/>
  <c r="C810" i="7"/>
  <c r="X809" i="7"/>
  <c r="T809" i="7"/>
  <c r="W809" i="7" s="1"/>
  <c r="C809" i="7"/>
  <c r="X808" i="7"/>
  <c r="T808" i="7"/>
  <c r="W808" i="7" s="1"/>
  <c r="C808" i="7"/>
  <c r="X807" i="7"/>
  <c r="T807" i="7"/>
  <c r="W807" i="7" s="1"/>
  <c r="C807" i="7"/>
  <c r="X806" i="7"/>
  <c r="W806" i="7"/>
  <c r="T806" i="7"/>
  <c r="C806" i="7"/>
  <c r="X805" i="7"/>
  <c r="T805" i="7"/>
  <c r="W805" i="7" s="1"/>
  <c r="C805" i="7"/>
  <c r="X804" i="7"/>
  <c r="W804" i="7"/>
  <c r="T804" i="7"/>
  <c r="C804" i="7"/>
  <c r="X803" i="7"/>
  <c r="T803" i="7"/>
  <c r="W803" i="7" s="1"/>
  <c r="C803" i="7"/>
  <c r="X802" i="7"/>
  <c r="W802" i="7"/>
  <c r="T802" i="7"/>
  <c r="C802" i="7"/>
  <c r="X801" i="7"/>
  <c r="T801" i="7"/>
  <c r="W801" i="7" s="1"/>
  <c r="C801" i="7"/>
  <c r="X800" i="7"/>
  <c r="T800" i="7"/>
  <c r="W800" i="7" s="1"/>
  <c r="C800" i="7"/>
  <c r="X799" i="7"/>
  <c r="T799" i="7"/>
  <c r="W799" i="7" s="1"/>
  <c r="C799" i="7"/>
  <c r="X798" i="7"/>
  <c r="T798" i="7"/>
  <c r="W798" i="7" s="1"/>
  <c r="C798" i="7"/>
  <c r="X797" i="7"/>
  <c r="T797" i="7"/>
  <c r="W797" i="7" s="1"/>
  <c r="C797" i="7"/>
  <c r="X796" i="7"/>
  <c r="T796" i="7"/>
  <c r="W796" i="7" s="1"/>
  <c r="C796" i="7"/>
  <c r="X795" i="7"/>
  <c r="T795" i="7"/>
  <c r="W795" i="7" s="1"/>
  <c r="C795" i="7"/>
  <c r="X794" i="7"/>
  <c r="T794" i="7"/>
  <c r="W794" i="7" s="1"/>
  <c r="C794" i="7"/>
  <c r="X793" i="7"/>
  <c r="T793" i="7"/>
  <c r="W793" i="7" s="1"/>
  <c r="C793" i="7"/>
  <c r="X792" i="7"/>
  <c r="T792" i="7"/>
  <c r="C792" i="7"/>
  <c r="X791" i="7"/>
  <c r="T791" i="7"/>
  <c r="C791" i="7"/>
  <c r="X790" i="7"/>
  <c r="T790" i="7"/>
  <c r="W790" i="7" s="1"/>
  <c r="C790" i="7"/>
  <c r="X789" i="7"/>
  <c r="T789" i="7"/>
  <c r="W789" i="7" s="1"/>
  <c r="C789" i="7"/>
  <c r="X788" i="7"/>
  <c r="T788" i="7"/>
  <c r="W788" i="7" s="1"/>
  <c r="C788" i="7"/>
  <c r="X787" i="7"/>
  <c r="T787" i="7"/>
  <c r="W787" i="7" s="1"/>
  <c r="C787" i="7"/>
  <c r="X786" i="7"/>
  <c r="W786" i="7"/>
  <c r="T786" i="7"/>
  <c r="C786" i="7"/>
  <c r="X785" i="7"/>
  <c r="T785" i="7"/>
  <c r="W785" i="7" s="1"/>
  <c r="C785" i="7"/>
  <c r="X784" i="7"/>
  <c r="T784" i="7"/>
  <c r="W784" i="7" s="1"/>
  <c r="C784" i="7"/>
  <c r="X783" i="7"/>
  <c r="T783" i="7"/>
  <c r="W783" i="7" s="1"/>
  <c r="C783" i="7"/>
  <c r="X782" i="7"/>
  <c r="T782" i="7"/>
  <c r="W782" i="7" s="1"/>
  <c r="C782" i="7"/>
  <c r="X781" i="7"/>
  <c r="W781" i="7"/>
  <c r="T781" i="7"/>
  <c r="C781" i="7"/>
  <c r="X780" i="7"/>
  <c r="T780" i="7"/>
  <c r="W780" i="7" s="1"/>
  <c r="C780" i="7"/>
  <c r="X779" i="7"/>
  <c r="T779" i="7"/>
  <c r="W779" i="7" s="1"/>
  <c r="C779" i="7"/>
  <c r="X778" i="7"/>
  <c r="T778" i="7"/>
  <c r="W778" i="7" s="1"/>
  <c r="C778" i="7"/>
  <c r="X777" i="7"/>
  <c r="W777" i="7"/>
  <c r="T777" i="7"/>
  <c r="C777" i="7"/>
  <c r="X776" i="7"/>
  <c r="T776" i="7"/>
  <c r="W776" i="7" s="1"/>
  <c r="C776" i="7"/>
  <c r="X775" i="7"/>
  <c r="T775" i="7"/>
  <c r="W775" i="7" s="1"/>
  <c r="C775" i="7"/>
  <c r="X774" i="7"/>
  <c r="T774" i="7"/>
  <c r="W774" i="7" s="1"/>
  <c r="C774" i="7"/>
  <c r="X773" i="7"/>
  <c r="T773" i="7"/>
  <c r="W773" i="7" s="1"/>
  <c r="C773" i="7"/>
  <c r="X772" i="7"/>
  <c r="W772" i="7"/>
  <c r="T772" i="7"/>
  <c r="C772" i="7"/>
  <c r="X771" i="7"/>
  <c r="T771" i="7"/>
  <c r="W771" i="7" s="1"/>
  <c r="C771" i="7"/>
  <c r="X770" i="7"/>
  <c r="T770" i="7"/>
  <c r="W770" i="7" s="1"/>
  <c r="C770" i="7"/>
  <c r="X769" i="7"/>
  <c r="T769" i="7"/>
  <c r="W769" i="7" s="1"/>
  <c r="C769" i="7"/>
  <c r="X768" i="7"/>
  <c r="T768" i="7"/>
  <c r="W768" i="7" s="1"/>
  <c r="C768" i="7"/>
  <c r="X767" i="7"/>
  <c r="W767" i="7"/>
  <c r="T767" i="7"/>
  <c r="C767" i="7"/>
  <c r="X766" i="7"/>
  <c r="T766" i="7"/>
  <c r="W766" i="7" s="1"/>
  <c r="C766" i="7"/>
  <c r="X765" i="7"/>
  <c r="T765" i="7"/>
  <c r="W765" i="7" s="1"/>
  <c r="C765" i="7"/>
  <c r="X764" i="7"/>
  <c r="T764" i="7"/>
  <c r="W764" i="7" s="1"/>
  <c r="C764" i="7"/>
  <c r="X763" i="7"/>
  <c r="T763" i="7"/>
  <c r="W763" i="7" s="1"/>
  <c r="C763" i="7"/>
  <c r="X762" i="7"/>
  <c r="W762" i="7"/>
  <c r="T762" i="7"/>
  <c r="C762" i="7"/>
  <c r="X761" i="7"/>
  <c r="T761" i="7"/>
  <c r="W761" i="7" s="1"/>
  <c r="C761" i="7"/>
  <c r="X760" i="7"/>
  <c r="T760" i="7"/>
  <c r="W760" i="7" s="1"/>
  <c r="C760" i="7"/>
  <c r="X759" i="7"/>
  <c r="T759" i="7"/>
  <c r="W759" i="7" s="1"/>
  <c r="C759" i="7"/>
  <c r="X758" i="7"/>
  <c r="T758" i="7"/>
  <c r="W758" i="7" s="1"/>
  <c r="C758" i="7"/>
  <c r="X757" i="7"/>
  <c r="T757" i="7"/>
  <c r="W757" i="7" s="1"/>
  <c r="C757" i="7"/>
  <c r="X756" i="7"/>
  <c r="T756" i="7"/>
  <c r="W756" i="7" s="1"/>
  <c r="C756" i="7"/>
  <c r="X755" i="7"/>
  <c r="T755" i="7"/>
  <c r="W755" i="7" s="1"/>
  <c r="C755" i="7"/>
  <c r="X754" i="7"/>
  <c r="T754" i="7"/>
  <c r="W754" i="7" s="1"/>
  <c r="C754" i="7"/>
  <c r="X753" i="7"/>
  <c r="T753" i="7"/>
  <c r="W753" i="7" s="1"/>
  <c r="C753" i="7"/>
  <c r="X752" i="7"/>
  <c r="T752" i="7"/>
  <c r="W752" i="7" s="1"/>
  <c r="C752" i="7"/>
  <c r="X751" i="7"/>
  <c r="T751" i="7"/>
  <c r="W751" i="7" s="1"/>
  <c r="C751" i="7"/>
  <c r="X750" i="7"/>
  <c r="T750" i="7"/>
  <c r="W750" i="7" s="1"/>
  <c r="C750" i="7"/>
  <c r="X749" i="7"/>
  <c r="T749" i="7"/>
  <c r="W749" i="7" s="1"/>
  <c r="C749" i="7"/>
  <c r="X748" i="7"/>
  <c r="T748" i="7"/>
  <c r="W748" i="7" s="1"/>
  <c r="C748" i="7"/>
  <c r="X747" i="7"/>
  <c r="T747" i="7"/>
  <c r="W747" i="7" s="1"/>
  <c r="C747" i="7"/>
  <c r="X746" i="7"/>
  <c r="T746" i="7"/>
  <c r="W746" i="7" s="1"/>
  <c r="C746" i="7"/>
  <c r="X745" i="7"/>
  <c r="W745" i="7"/>
  <c r="T745" i="7"/>
  <c r="C745" i="7"/>
  <c r="X744" i="7"/>
  <c r="T744" i="7"/>
  <c r="W744" i="7" s="1"/>
  <c r="C744" i="7"/>
  <c r="X743" i="7"/>
  <c r="T743" i="7"/>
  <c r="W743" i="7" s="1"/>
  <c r="C743" i="7"/>
  <c r="X742" i="7"/>
  <c r="T742" i="7"/>
  <c r="W742" i="7" s="1"/>
  <c r="C742" i="7"/>
  <c r="X741" i="7"/>
  <c r="T741" i="7"/>
  <c r="W741" i="7" s="1"/>
  <c r="C741" i="7"/>
  <c r="X740" i="7"/>
  <c r="T740" i="7"/>
  <c r="W740" i="7" s="1"/>
  <c r="C740" i="7"/>
  <c r="X739" i="7"/>
  <c r="W739" i="7"/>
  <c r="T739" i="7"/>
  <c r="C739" i="7"/>
  <c r="X738" i="7"/>
  <c r="T738" i="7"/>
  <c r="W738" i="7" s="1"/>
  <c r="C738" i="7"/>
  <c r="X737" i="7"/>
  <c r="T737" i="7"/>
  <c r="W737" i="7" s="1"/>
  <c r="C737" i="7"/>
  <c r="X736" i="7"/>
  <c r="T736" i="7"/>
  <c r="W736" i="7" s="1"/>
  <c r="C736" i="7"/>
  <c r="X735" i="7"/>
  <c r="W735" i="7"/>
  <c r="T735" i="7"/>
  <c r="C735" i="7"/>
  <c r="X734" i="7"/>
  <c r="T734" i="7"/>
  <c r="W734" i="7" s="1"/>
  <c r="C734" i="7"/>
  <c r="X733" i="7"/>
  <c r="T733" i="7"/>
  <c r="W733" i="7" s="1"/>
  <c r="C733" i="7"/>
  <c r="X732" i="7"/>
  <c r="T732" i="7"/>
  <c r="W732" i="7" s="1"/>
  <c r="C732" i="7"/>
  <c r="X731" i="7"/>
  <c r="W731" i="7"/>
  <c r="T731" i="7"/>
  <c r="C731" i="7"/>
  <c r="X730" i="7"/>
  <c r="T730" i="7"/>
  <c r="F18" i="15" s="1"/>
  <c r="M18" i="15" s="1"/>
  <c r="N18" i="15" s="1"/>
  <c r="O18" i="15" s="1"/>
  <c r="C730" i="7"/>
  <c r="X729" i="7"/>
  <c r="T729" i="7"/>
  <c r="W729" i="7" s="1"/>
  <c r="C729" i="7"/>
  <c r="X728" i="7"/>
  <c r="T728" i="7"/>
  <c r="W728" i="7" s="1"/>
  <c r="C728" i="7"/>
  <c r="X727" i="7"/>
  <c r="T727" i="7"/>
  <c r="W727" i="7" s="1"/>
  <c r="C727" i="7"/>
  <c r="X726" i="7"/>
  <c r="T726" i="7"/>
  <c r="W726" i="7" s="1"/>
  <c r="C726" i="7"/>
  <c r="X725" i="7"/>
  <c r="T725" i="7"/>
  <c r="W725" i="7" s="1"/>
  <c r="C725" i="7"/>
  <c r="X724" i="7"/>
  <c r="T724" i="7"/>
  <c r="W724" i="7" s="1"/>
  <c r="C724" i="7"/>
  <c r="X723" i="7"/>
  <c r="T723" i="7"/>
  <c r="W723" i="7" s="1"/>
  <c r="C723" i="7"/>
  <c r="X722" i="7"/>
  <c r="T722" i="7"/>
  <c r="W722" i="7" s="1"/>
  <c r="C722" i="7"/>
  <c r="X721" i="7"/>
  <c r="T721" i="7"/>
  <c r="W721" i="7" s="1"/>
  <c r="C721" i="7"/>
  <c r="X720" i="7"/>
  <c r="T720" i="7"/>
  <c r="W720" i="7" s="1"/>
  <c r="C720" i="7"/>
  <c r="X719" i="7"/>
  <c r="T719" i="7"/>
  <c r="C719" i="7"/>
  <c r="X718" i="7"/>
  <c r="T718" i="7"/>
  <c r="W718" i="7" s="1"/>
  <c r="C718" i="7"/>
  <c r="X717" i="7"/>
  <c r="W717" i="7"/>
  <c r="T717" i="7"/>
  <c r="C717" i="7"/>
  <c r="X716" i="7"/>
  <c r="W716" i="7"/>
  <c r="T716" i="7"/>
  <c r="C716" i="7"/>
  <c r="X715" i="7"/>
  <c r="T715" i="7"/>
  <c r="W715" i="7" s="1"/>
  <c r="C715" i="7"/>
  <c r="X714" i="7"/>
  <c r="T714" i="7"/>
  <c r="W714" i="7" s="1"/>
  <c r="C714" i="7"/>
  <c r="X713" i="7"/>
  <c r="W713" i="7"/>
  <c r="T713" i="7"/>
  <c r="C713" i="7"/>
  <c r="X712" i="7"/>
  <c r="T712" i="7"/>
  <c r="W712" i="7" s="1"/>
  <c r="C712" i="7"/>
  <c r="X711" i="7"/>
  <c r="T711" i="7"/>
  <c r="W711" i="7" s="1"/>
  <c r="C711" i="7"/>
  <c r="X710" i="7"/>
  <c r="T710" i="7"/>
  <c r="W710" i="7" s="1"/>
  <c r="C710" i="7"/>
  <c r="X709" i="7"/>
  <c r="T709" i="7"/>
  <c r="W709" i="7" s="1"/>
  <c r="C709" i="7"/>
  <c r="X708" i="7"/>
  <c r="T708" i="7"/>
  <c r="W708" i="7" s="1"/>
  <c r="C708" i="7"/>
  <c r="X707" i="7"/>
  <c r="T707" i="7"/>
  <c r="W707" i="7" s="1"/>
  <c r="C707" i="7"/>
  <c r="X706" i="7"/>
  <c r="T706" i="7"/>
  <c r="W706" i="7" s="1"/>
  <c r="C706" i="7"/>
  <c r="X705" i="7"/>
  <c r="T705" i="7"/>
  <c r="W705" i="7" s="1"/>
  <c r="C705" i="7"/>
  <c r="X704" i="7"/>
  <c r="T704" i="7"/>
  <c r="W704" i="7" s="1"/>
  <c r="C704" i="7"/>
  <c r="X703" i="7"/>
  <c r="T703" i="7"/>
  <c r="W703" i="7" s="1"/>
  <c r="C703" i="7"/>
  <c r="X702" i="7"/>
  <c r="T702" i="7"/>
  <c r="W702" i="7" s="1"/>
  <c r="C702" i="7"/>
  <c r="X701" i="7"/>
  <c r="T701" i="7"/>
  <c r="W701" i="7" s="1"/>
  <c r="C701" i="7"/>
  <c r="X700" i="7"/>
  <c r="T700" i="7"/>
  <c r="W700" i="7" s="1"/>
  <c r="C700" i="7"/>
  <c r="X699" i="7"/>
  <c r="T699" i="7"/>
  <c r="W699" i="7" s="1"/>
  <c r="C699" i="7"/>
  <c r="X698" i="7"/>
  <c r="W698" i="7"/>
  <c r="T698" i="7"/>
  <c r="C698" i="7"/>
  <c r="X697" i="7"/>
  <c r="T697" i="7"/>
  <c r="C697" i="7"/>
  <c r="X696" i="7"/>
  <c r="W696" i="7"/>
  <c r="T696" i="7"/>
  <c r="C696" i="7"/>
  <c r="X695" i="7"/>
  <c r="T695" i="7"/>
  <c r="W695" i="7" s="1"/>
  <c r="C695" i="7"/>
  <c r="X694" i="7"/>
  <c r="W694" i="7"/>
  <c r="T694" i="7"/>
  <c r="C694" i="7"/>
  <c r="X693" i="7"/>
  <c r="W693" i="7"/>
  <c r="T693" i="7"/>
  <c r="C693" i="7"/>
  <c r="X692" i="7"/>
  <c r="T692" i="7"/>
  <c r="W692" i="7" s="1"/>
  <c r="C692" i="7"/>
  <c r="X691" i="7"/>
  <c r="T691" i="7"/>
  <c r="W691" i="7" s="1"/>
  <c r="C691" i="7"/>
  <c r="X690" i="7"/>
  <c r="T690" i="7"/>
  <c r="W690" i="7" s="1"/>
  <c r="C690" i="7"/>
  <c r="X689" i="7"/>
  <c r="T689" i="7"/>
  <c r="W689" i="7" s="1"/>
  <c r="C689" i="7"/>
  <c r="X688" i="7"/>
  <c r="T688" i="7"/>
  <c r="W688" i="7" s="1"/>
  <c r="C688" i="7"/>
  <c r="X687" i="7"/>
  <c r="W687" i="7"/>
  <c r="T687" i="7"/>
  <c r="C687" i="7"/>
  <c r="X686" i="7"/>
  <c r="T686" i="7"/>
  <c r="W686" i="7" s="1"/>
  <c r="C686" i="7"/>
  <c r="X685" i="7"/>
  <c r="T685" i="7"/>
  <c r="W685" i="7" s="1"/>
  <c r="C685" i="7"/>
  <c r="X684" i="7"/>
  <c r="T684" i="7"/>
  <c r="W684" i="7" s="1"/>
  <c r="C684" i="7"/>
  <c r="X683" i="7"/>
  <c r="T683" i="7"/>
  <c r="W683" i="7" s="1"/>
  <c r="C683" i="7"/>
  <c r="X682" i="7"/>
  <c r="T682" i="7"/>
  <c r="W682" i="7" s="1"/>
  <c r="C682" i="7"/>
  <c r="X681" i="7"/>
  <c r="T681" i="7"/>
  <c r="W681" i="7" s="1"/>
  <c r="C681" i="7"/>
  <c r="X680" i="7"/>
  <c r="T680" i="7"/>
  <c r="W680" i="7" s="1"/>
  <c r="C680" i="7"/>
  <c r="X679" i="7"/>
  <c r="T679" i="7"/>
  <c r="W679" i="7" s="1"/>
  <c r="C679" i="7"/>
  <c r="X678" i="7"/>
  <c r="T678" i="7"/>
  <c r="W678" i="7" s="1"/>
  <c r="C678" i="7"/>
  <c r="X677" i="7"/>
  <c r="T677" i="7"/>
  <c r="W677" i="7" s="1"/>
  <c r="C677" i="7"/>
  <c r="X676" i="7"/>
  <c r="W676" i="7"/>
  <c r="T676" i="7"/>
  <c r="C676" i="7"/>
  <c r="X675" i="7"/>
  <c r="T675" i="7"/>
  <c r="W675" i="7" s="1"/>
  <c r="C675" i="7"/>
  <c r="X674" i="7"/>
  <c r="T674" i="7"/>
  <c r="W674" i="7" s="1"/>
  <c r="C674" i="7"/>
  <c r="X673" i="7"/>
  <c r="T673" i="7"/>
  <c r="W673" i="7" s="1"/>
  <c r="C673" i="7"/>
  <c r="X672" i="7"/>
  <c r="T672" i="7"/>
  <c r="W672" i="7" s="1"/>
  <c r="C672" i="7"/>
  <c r="X671" i="7"/>
  <c r="T671" i="7"/>
  <c r="W671" i="7" s="1"/>
  <c r="C671" i="7"/>
  <c r="X670" i="7"/>
  <c r="T670" i="7"/>
  <c r="W670" i="7" s="1"/>
  <c r="C670" i="7"/>
  <c r="X669" i="7"/>
  <c r="T669" i="7"/>
  <c r="W669" i="7" s="1"/>
  <c r="C669" i="7"/>
  <c r="X668" i="7"/>
  <c r="T668" i="7"/>
  <c r="W668" i="7" s="1"/>
  <c r="C668" i="7"/>
  <c r="X667" i="7"/>
  <c r="T667" i="7"/>
  <c r="W667" i="7" s="1"/>
  <c r="C667" i="7"/>
  <c r="X666" i="7"/>
  <c r="T666" i="7"/>
  <c r="W666" i="7" s="1"/>
  <c r="C666" i="7"/>
  <c r="X665" i="7"/>
  <c r="T665" i="7"/>
  <c r="W665" i="7" s="1"/>
  <c r="C665" i="7"/>
  <c r="X664" i="7"/>
  <c r="T664" i="7"/>
  <c r="W664" i="7" s="1"/>
  <c r="C664" i="7"/>
  <c r="X663" i="7"/>
  <c r="T663" i="7"/>
  <c r="W663" i="7" s="1"/>
  <c r="C663" i="7"/>
  <c r="X662" i="7"/>
  <c r="W662" i="7"/>
  <c r="T662" i="7"/>
  <c r="C662" i="7"/>
  <c r="X661" i="7"/>
  <c r="T661" i="7"/>
  <c r="W661" i="7" s="1"/>
  <c r="C661" i="7"/>
  <c r="X660" i="7"/>
  <c r="T660" i="7"/>
  <c r="W660" i="7" s="1"/>
  <c r="C660" i="7"/>
  <c r="X659" i="7"/>
  <c r="T659" i="7"/>
  <c r="W659" i="7" s="1"/>
  <c r="C659" i="7"/>
  <c r="X658" i="7"/>
  <c r="T658" i="7"/>
  <c r="W658" i="7" s="1"/>
  <c r="C658" i="7"/>
  <c r="X657" i="7"/>
  <c r="T657" i="7"/>
  <c r="W657" i="7" s="1"/>
  <c r="C657" i="7"/>
  <c r="X656" i="7"/>
  <c r="T656" i="7"/>
  <c r="W656" i="7" s="1"/>
  <c r="C656" i="7"/>
  <c r="X655" i="7"/>
  <c r="T655" i="7"/>
  <c r="W655" i="7" s="1"/>
  <c r="C655" i="7"/>
  <c r="X654" i="7"/>
  <c r="T654" i="7"/>
  <c r="W654" i="7" s="1"/>
  <c r="C654" i="7"/>
  <c r="X653" i="7"/>
  <c r="W653" i="7"/>
  <c r="T653" i="7"/>
  <c r="C653" i="7"/>
  <c r="X652" i="7"/>
  <c r="W652" i="7"/>
  <c r="T652" i="7"/>
  <c r="C652" i="7"/>
  <c r="X651" i="7"/>
  <c r="T651" i="7"/>
  <c r="C651" i="7"/>
  <c r="X650" i="7"/>
  <c r="W650" i="7"/>
  <c r="T650" i="7"/>
  <c r="C650" i="7"/>
  <c r="X649" i="7"/>
  <c r="T649" i="7"/>
  <c r="W649" i="7" s="1"/>
  <c r="C649" i="7"/>
  <c r="X648" i="7"/>
  <c r="T648" i="7"/>
  <c r="W648" i="7" s="1"/>
  <c r="C648" i="7"/>
  <c r="X647" i="7"/>
  <c r="T647" i="7"/>
  <c r="W647" i="7" s="1"/>
  <c r="C647" i="7"/>
  <c r="X646" i="7"/>
  <c r="T646" i="7"/>
  <c r="W646" i="7" s="1"/>
  <c r="C646" i="7"/>
  <c r="X645" i="7"/>
  <c r="T645" i="7"/>
  <c r="W645" i="7" s="1"/>
  <c r="C645" i="7"/>
  <c r="X644" i="7"/>
  <c r="T644" i="7"/>
  <c r="W644" i="7" s="1"/>
  <c r="C644" i="7"/>
  <c r="X643" i="7"/>
  <c r="T643" i="7"/>
  <c r="W643" i="7" s="1"/>
  <c r="C643" i="7"/>
  <c r="X642" i="7"/>
  <c r="T642" i="7"/>
  <c r="W642" i="7" s="1"/>
  <c r="C642" i="7"/>
  <c r="X641" i="7"/>
  <c r="T641" i="7"/>
  <c r="W641" i="7" s="1"/>
  <c r="C641" i="7"/>
  <c r="X640" i="7"/>
  <c r="T640" i="7"/>
  <c r="W640" i="7" s="1"/>
  <c r="C640" i="7"/>
  <c r="X639" i="7"/>
  <c r="T639" i="7"/>
  <c r="W639" i="7" s="1"/>
  <c r="C639" i="7"/>
  <c r="X638" i="7"/>
  <c r="T638" i="7"/>
  <c r="W638" i="7" s="1"/>
  <c r="C638" i="7"/>
  <c r="X637" i="7"/>
  <c r="T637" i="7"/>
  <c r="W637" i="7" s="1"/>
  <c r="C637" i="7"/>
  <c r="X636" i="7"/>
  <c r="T636" i="7"/>
  <c r="W636" i="7" s="1"/>
  <c r="C636" i="7"/>
  <c r="X635" i="7"/>
  <c r="T635" i="7"/>
  <c r="W635" i="7" s="1"/>
  <c r="C635" i="7"/>
  <c r="X634" i="7"/>
  <c r="W634" i="7"/>
  <c r="T634" i="7"/>
  <c r="C634" i="7"/>
  <c r="X633" i="7"/>
  <c r="T633" i="7"/>
  <c r="W633" i="7" s="1"/>
  <c r="C633" i="7"/>
  <c r="X632" i="7"/>
  <c r="T632" i="7"/>
  <c r="W632" i="7" s="1"/>
  <c r="C632" i="7"/>
  <c r="X631" i="7"/>
  <c r="T631" i="7"/>
  <c r="W631" i="7" s="1"/>
  <c r="C631" i="7"/>
  <c r="X630" i="7"/>
  <c r="T630" i="7"/>
  <c r="W630" i="7" s="1"/>
  <c r="C630" i="7"/>
  <c r="X629" i="7"/>
  <c r="T629" i="7"/>
  <c r="W629" i="7" s="1"/>
  <c r="C629" i="7"/>
  <c r="X628" i="7"/>
  <c r="T628" i="7"/>
  <c r="W628" i="7" s="1"/>
  <c r="C628" i="7"/>
  <c r="X627" i="7"/>
  <c r="T627" i="7"/>
  <c r="W627" i="7" s="1"/>
  <c r="C627" i="7"/>
  <c r="X626" i="7"/>
  <c r="T626" i="7"/>
  <c r="W626" i="7" s="1"/>
  <c r="C626" i="7"/>
  <c r="X625" i="7"/>
  <c r="T625" i="7"/>
  <c r="W625" i="7" s="1"/>
  <c r="C625" i="7"/>
  <c r="X624" i="7"/>
  <c r="T624" i="7"/>
  <c r="W624" i="7" s="1"/>
  <c r="C624" i="7"/>
  <c r="X623" i="7"/>
  <c r="T623" i="7"/>
  <c r="W623" i="7" s="1"/>
  <c r="C623" i="7"/>
  <c r="X622" i="7"/>
  <c r="T622" i="7"/>
  <c r="W622" i="7" s="1"/>
  <c r="C622" i="7"/>
  <c r="X621" i="7"/>
  <c r="T621" i="7"/>
  <c r="W621" i="7" s="1"/>
  <c r="C621" i="7"/>
  <c r="X620" i="7"/>
  <c r="T620" i="7"/>
  <c r="W620" i="7" s="1"/>
  <c r="C620" i="7"/>
  <c r="X619" i="7"/>
  <c r="T619" i="7"/>
  <c r="W619" i="7" s="1"/>
  <c r="C619" i="7"/>
  <c r="X618" i="7"/>
  <c r="T618" i="7"/>
  <c r="W618" i="7" s="1"/>
  <c r="C618" i="7"/>
  <c r="X617" i="7"/>
  <c r="W617" i="7"/>
  <c r="T617" i="7"/>
  <c r="C617" i="7"/>
  <c r="X616" i="7"/>
  <c r="W616" i="7"/>
  <c r="T616" i="7"/>
  <c r="C616" i="7"/>
  <c r="X615" i="7"/>
  <c r="T615" i="7"/>
  <c r="W615" i="7" s="1"/>
  <c r="C615" i="7"/>
  <c r="X614" i="7"/>
  <c r="T614" i="7"/>
  <c r="W614" i="7" s="1"/>
  <c r="C614" i="7"/>
  <c r="X613" i="7"/>
  <c r="W613" i="7"/>
  <c r="T613" i="7"/>
  <c r="C613" i="7"/>
  <c r="X612" i="7"/>
  <c r="T612" i="7"/>
  <c r="W612" i="7" s="1"/>
  <c r="C612" i="7"/>
  <c r="X611" i="7"/>
  <c r="T611" i="7"/>
  <c r="W611" i="7" s="1"/>
  <c r="C611" i="7"/>
  <c r="X610" i="7"/>
  <c r="T610" i="7"/>
  <c r="W610" i="7" s="1"/>
  <c r="C610" i="7"/>
  <c r="X609" i="7"/>
  <c r="T609" i="7"/>
  <c r="W609" i="7" s="1"/>
  <c r="C609" i="7"/>
  <c r="X608" i="7"/>
  <c r="T608" i="7"/>
  <c r="W608" i="7" s="1"/>
  <c r="C608" i="7"/>
  <c r="X607" i="7"/>
  <c r="T607" i="7"/>
  <c r="W607" i="7" s="1"/>
  <c r="C607" i="7"/>
  <c r="X606" i="7"/>
  <c r="W606" i="7"/>
  <c r="T606" i="7"/>
  <c r="C606" i="7"/>
  <c r="X605" i="7"/>
  <c r="T605" i="7"/>
  <c r="W605" i="7" s="1"/>
  <c r="C605" i="7"/>
  <c r="X604" i="7"/>
  <c r="T604" i="7"/>
  <c r="W604" i="7" s="1"/>
  <c r="C604" i="7"/>
  <c r="X603" i="7"/>
  <c r="T603" i="7"/>
  <c r="W603" i="7" s="1"/>
  <c r="C603" i="7"/>
  <c r="X602" i="7"/>
  <c r="W602" i="7"/>
  <c r="T602" i="7"/>
  <c r="C602" i="7"/>
  <c r="X601" i="7"/>
  <c r="T601" i="7"/>
  <c r="W601" i="7" s="1"/>
  <c r="C601" i="7"/>
  <c r="X600" i="7"/>
  <c r="T600" i="7"/>
  <c r="W600" i="7" s="1"/>
  <c r="C600" i="7"/>
  <c r="X599" i="7"/>
  <c r="T599" i="7"/>
  <c r="W599" i="7" s="1"/>
  <c r="C599" i="7"/>
  <c r="X598" i="7"/>
  <c r="T598" i="7"/>
  <c r="W598" i="7" s="1"/>
  <c r="C598" i="7"/>
  <c r="X597" i="7"/>
  <c r="T597" i="7"/>
  <c r="W597" i="7" s="1"/>
  <c r="C597" i="7"/>
  <c r="X596" i="7"/>
  <c r="T596" i="7"/>
  <c r="W596" i="7" s="1"/>
  <c r="C596" i="7"/>
  <c r="X595" i="7"/>
  <c r="T595" i="7"/>
  <c r="W595" i="7" s="1"/>
  <c r="C595" i="7"/>
  <c r="X594" i="7"/>
  <c r="T594" i="7"/>
  <c r="W594" i="7" s="1"/>
  <c r="C594" i="7"/>
  <c r="X593" i="7"/>
  <c r="W593" i="7"/>
  <c r="T593" i="7"/>
  <c r="C593" i="7"/>
  <c r="X592" i="7"/>
  <c r="W592" i="7"/>
  <c r="T592" i="7"/>
  <c r="C592" i="7"/>
  <c r="X591" i="7"/>
  <c r="T591" i="7"/>
  <c r="W591" i="7" s="1"/>
  <c r="C591" i="7"/>
  <c r="X590" i="7"/>
  <c r="W590" i="7"/>
  <c r="T590" i="7"/>
  <c r="C590" i="7"/>
  <c r="X589" i="7"/>
  <c r="T589" i="7"/>
  <c r="W589" i="7" s="1"/>
  <c r="C589" i="7"/>
  <c r="X588" i="7"/>
  <c r="W588" i="7"/>
  <c r="T588" i="7"/>
  <c r="C588" i="7"/>
  <c r="X587" i="7"/>
  <c r="T587" i="7"/>
  <c r="W587" i="7" s="1"/>
  <c r="C587" i="7"/>
  <c r="X586" i="7"/>
  <c r="T586" i="7"/>
  <c r="W586" i="7" s="1"/>
  <c r="C586" i="7"/>
  <c r="X585" i="7"/>
  <c r="T585" i="7"/>
  <c r="W585" i="7" s="1"/>
  <c r="C585" i="7"/>
  <c r="X584" i="7"/>
  <c r="T584" i="7"/>
  <c r="W584" i="7" s="1"/>
  <c r="C584" i="7"/>
  <c r="X583" i="7"/>
  <c r="T583" i="7"/>
  <c r="W583" i="7" s="1"/>
  <c r="C583" i="7"/>
  <c r="X582" i="7"/>
  <c r="T582" i="7"/>
  <c r="W582" i="7" s="1"/>
  <c r="C582" i="7"/>
  <c r="X581" i="7"/>
  <c r="T581" i="7"/>
  <c r="W581" i="7" s="1"/>
  <c r="C581" i="7"/>
  <c r="X580" i="7"/>
  <c r="T580" i="7"/>
  <c r="W580" i="7" s="1"/>
  <c r="C580" i="7"/>
  <c r="X579" i="7"/>
  <c r="T579" i="7"/>
  <c r="W579" i="7" s="1"/>
  <c r="C579" i="7"/>
  <c r="X578" i="7"/>
  <c r="T578" i="7"/>
  <c r="W578" i="7" s="1"/>
  <c r="C578" i="7"/>
  <c r="X577" i="7"/>
  <c r="T577" i="7"/>
  <c r="W577" i="7" s="1"/>
  <c r="C577" i="7"/>
  <c r="X576" i="7"/>
  <c r="T576" i="7"/>
  <c r="W576" i="7" s="1"/>
  <c r="C576" i="7"/>
  <c r="X575" i="7"/>
  <c r="T575" i="7"/>
  <c r="W575" i="7" s="1"/>
  <c r="C575" i="7"/>
  <c r="X574" i="7"/>
  <c r="T574" i="7"/>
  <c r="W574" i="7" s="1"/>
  <c r="C574" i="7"/>
  <c r="X573" i="7"/>
  <c r="W573" i="7"/>
  <c r="T573" i="7"/>
  <c r="C573" i="7"/>
  <c r="X572" i="7"/>
  <c r="T572" i="7"/>
  <c r="W572" i="7" s="1"/>
  <c r="C572" i="7"/>
  <c r="X571" i="7"/>
  <c r="T571" i="7"/>
  <c r="W571" i="7" s="1"/>
  <c r="C571" i="7"/>
  <c r="X570" i="7"/>
  <c r="W570" i="7"/>
  <c r="T570" i="7"/>
  <c r="C570" i="7"/>
  <c r="X569" i="7"/>
  <c r="T569" i="7"/>
  <c r="W569" i="7" s="1"/>
  <c r="C569" i="7"/>
  <c r="X568" i="7"/>
  <c r="W568" i="7"/>
  <c r="T568" i="7"/>
  <c r="C568" i="7"/>
  <c r="X567" i="7"/>
  <c r="T567" i="7"/>
  <c r="W567" i="7" s="1"/>
  <c r="C567" i="7"/>
  <c r="X566" i="7"/>
  <c r="T566" i="7"/>
  <c r="W566" i="7" s="1"/>
  <c r="C566" i="7"/>
  <c r="X565" i="7"/>
  <c r="T565" i="7"/>
  <c r="W565" i="7" s="1"/>
  <c r="C565" i="7"/>
  <c r="X564" i="7"/>
  <c r="T564" i="7"/>
  <c r="W564" i="7" s="1"/>
  <c r="C564" i="7"/>
  <c r="X563" i="7"/>
  <c r="T563" i="7"/>
  <c r="W563" i="7" s="1"/>
  <c r="C563" i="7"/>
  <c r="X562" i="7"/>
  <c r="T562" i="7"/>
  <c r="W562" i="7" s="1"/>
  <c r="C562" i="7"/>
  <c r="X561" i="7"/>
  <c r="T561" i="7"/>
  <c r="W561" i="7" s="1"/>
  <c r="C561" i="7"/>
  <c r="X560" i="7"/>
  <c r="T560" i="7"/>
  <c r="W560" i="7" s="1"/>
  <c r="C560" i="7"/>
  <c r="X559" i="7"/>
  <c r="T559" i="7"/>
  <c r="W559" i="7" s="1"/>
  <c r="C559" i="7"/>
  <c r="X558" i="7"/>
  <c r="W558" i="7"/>
  <c r="T558" i="7"/>
  <c r="C558" i="7"/>
  <c r="X557" i="7"/>
  <c r="W557" i="7"/>
  <c r="T557" i="7"/>
  <c r="C557" i="7"/>
  <c r="X556" i="7"/>
  <c r="T556" i="7"/>
  <c r="W556" i="7" s="1"/>
  <c r="C556" i="7"/>
  <c r="X555" i="7"/>
  <c r="T555" i="7"/>
  <c r="W555" i="7" s="1"/>
  <c r="C555" i="7"/>
  <c r="X554" i="7"/>
  <c r="T554" i="7"/>
  <c r="W554" i="7" s="1"/>
  <c r="C554" i="7"/>
  <c r="X553" i="7"/>
  <c r="T553" i="7"/>
  <c r="W553" i="7" s="1"/>
  <c r="C553" i="7"/>
  <c r="X552" i="7"/>
  <c r="W552" i="7"/>
  <c r="T552" i="7"/>
  <c r="C552" i="7"/>
  <c r="X551" i="7"/>
  <c r="T551" i="7"/>
  <c r="W551" i="7" s="1"/>
  <c r="C551" i="7"/>
  <c r="X550" i="7"/>
  <c r="W550" i="7"/>
  <c r="T550" i="7"/>
  <c r="C550" i="7"/>
  <c r="X549" i="7"/>
  <c r="T549" i="7"/>
  <c r="W549" i="7" s="1"/>
  <c r="C549" i="7"/>
  <c r="X548" i="7"/>
  <c r="T548" i="7"/>
  <c r="W548" i="7" s="1"/>
  <c r="C548" i="7"/>
  <c r="X547" i="7"/>
  <c r="T547" i="7"/>
  <c r="W547" i="7" s="1"/>
  <c r="C547" i="7"/>
  <c r="X546" i="7"/>
  <c r="T546" i="7"/>
  <c r="W546" i="7" s="1"/>
  <c r="C546" i="7"/>
  <c r="X545" i="7"/>
  <c r="T545" i="7"/>
  <c r="W545" i="7" s="1"/>
  <c r="C545" i="7"/>
  <c r="X544" i="7"/>
  <c r="W544" i="7"/>
  <c r="T544" i="7"/>
  <c r="C544" i="7"/>
  <c r="X543" i="7"/>
  <c r="T543" i="7"/>
  <c r="W543" i="7" s="1"/>
  <c r="C543" i="7"/>
  <c r="X542" i="7"/>
  <c r="W542" i="7"/>
  <c r="T542" i="7"/>
  <c r="C542" i="7"/>
  <c r="X541" i="7"/>
  <c r="T541" i="7"/>
  <c r="W541" i="7" s="1"/>
  <c r="C541" i="7"/>
  <c r="X540" i="7"/>
  <c r="T540" i="7"/>
  <c r="W540" i="7" s="1"/>
  <c r="C540" i="7"/>
  <c r="X539" i="7"/>
  <c r="T539" i="7"/>
  <c r="W539" i="7" s="1"/>
  <c r="C539" i="7"/>
  <c r="X538" i="7"/>
  <c r="T538" i="7"/>
  <c r="W538" i="7" s="1"/>
  <c r="C538" i="7"/>
  <c r="X537" i="7"/>
  <c r="W537" i="7"/>
  <c r="T537" i="7"/>
  <c r="C537" i="7"/>
  <c r="X536" i="7"/>
  <c r="W536" i="7"/>
  <c r="T536" i="7"/>
  <c r="C536" i="7"/>
  <c r="X535" i="7"/>
  <c r="T535" i="7"/>
  <c r="W535" i="7" s="1"/>
  <c r="C535" i="7"/>
  <c r="X534" i="7"/>
  <c r="T534" i="7"/>
  <c r="W534" i="7" s="1"/>
  <c r="C534" i="7"/>
  <c r="X533" i="7"/>
  <c r="T533" i="7"/>
  <c r="W533" i="7" s="1"/>
  <c r="C533" i="7"/>
  <c r="X532" i="7"/>
  <c r="T532" i="7"/>
  <c r="W532" i="7" s="1"/>
  <c r="C532" i="7"/>
  <c r="X531" i="7"/>
  <c r="T531" i="7"/>
  <c r="W531" i="7" s="1"/>
  <c r="C531" i="7"/>
  <c r="X530" i="7"/>
  <c r="T530" i="7"/>
  <c r="W530" i="7" s="1"/>
  <c r="C530" i="7"/>
  <c r="X529" i="7"/>
  <c r="W529" i="7"/>
  <c r="T529" i="7"/>
  <c r="C529" i="7"/>
  <c r="X528" i="7"/>
  <c r="T528" i="7"/>
  <c r="W528" i="7" s="1"/>
  <c r="C528" i="7"/>
  <c r="X527" i="7"/>
  <c r="T527" i="7"/>
  <c r="W527" i="7" s="1"/>
  <c r="C527" i="7"/>
  <c r="X526" i="7"/>
  <c r="T526" i="7"/>
  <c r="W526" i="7" s="1"/>
  <c r="C526" i="7"/>
  <c r="X525" i="7"/>
  <c r="T525" i="7"/>
  <c r="W525" i="7" s="1"/>
  <c r="C525" i="7"/>
  <c r="X524" i="7"/>
  <c r="T524" i="7"/>
  <c r="W524" i="7" s="1"/>
  <c r="C524" i="7"/>
  <c r="X523" i="7"/>
  <c r="T523" i="7"/>
  <c r="W523" i="7" s="1"/>
  <c r="C523" i="7"/>
  <c r="X522" i="7"/>
  <c r="T522" i="7"/>
  <c r="W522" i="7" s="1"/>
  <c r="C522" i="7"/>
  <c r="X521" i="7"/>
  <c r="T521" i="7"/>
  <c r="W521" i="7" s="1"/>
  <c r="C521" i="7"/>
  <c r="X520" i="7"/>
  <c r="T520" i="7"/>
  <c r="W520" i="7" s="1"/>
  <c r="C520" i="7"/>
  <c r="X519" i="7"/>
  <c r="T519" i="7"/>
  <c r="W519" i="7" s="1"/>
  <c r="C519" i="7"/>
  <c r="X518" i="7"/>
  <c r="T518" i="7"/>
  <c r="W518" i="7" s="1"/>
  <c r="C518" i="7"/>
  <c r="X517" i="7"/>
  <c r="W517" i="7"/>
  <c r="T517" i="7"/>
  <c r="C517" i="7"/>
  <c r="X516" i="7"/>
  <c r="T516" i="7"/>
  <c r="W516" i="7" s="1"/>
  <c r="C516" i="7"/>
  <c r="X515" i="7"/>
  <c r="W515" i="7"/>
  <c r="T515" i="7"/>
  <c r="C515" i="7"/>
  <c r="X514" i="7"/>
  <c r="T514" i="7"/>
  <c r="W514" i="7" s="1"/>
  <c r="C514" i="7"/>
  <c r="X513" i="7"/>
  <c r="W513" i="7"/>
  <c r="T513" i="7"/>
  <c r="C513" i="7"/>
  <c r="X512" i="7"/>
  <c r="T512" i="7"/>
  <c r="W512" i="7" s="1"/>
  <c r="C512" i="7"/>
  <c r="X511" i="7"/>
  <c r="T511" i="7"/>
  <c r="W511" i="7" s="1"/>
  <c r="C511" i="7"/>
  <c r="X510" i="7"/>
  <c r="T510" i="7"/>
  <c r="W510" i="7" s="1"/>
  <c r="C510" i="7"/>
  <c r="X509" i="7"/>
  <c r="W509" i="7"/>
  <c r="T509" i="7"/>
  <c r="C509" i="7"/>
  <c r="X508" i="7"/>
  <c r="T508" i="7"/>
  <c r="W508" i="7" s="1"/>
  <c r="C508" i="7"/>
  <c r="X507" i="7"/>
  <c r="W507" i="7"/>
  <c r="T507" i="7"/>
  <c r="C507" i="7"/>
  <c r="X506" i="7"/>
  <c r="T506" i="7"/>
  <c r="W506" i="7" s="1"/>
  <c r="C506" i="7"/>
  <c r="X505" i="7"/>
  <c r="W505" i="7"/>
  <c r="T505" i="7"/>
  <c r="C505" i="7"/>
  <c r="X504" i="7"/>
  <c r="T504" i="7"/>
  <c r="W504" i="7" s="1"/>
  <c r="C504" i="7"/>
  <c r="X503" i="7"/>
  <c r="W503" i="7"/>
  <c r="T503" i="7"/>
  <c r="C503" i="7"/>
  <c r="X502" i="7"/>
  <c r="T502" i="7"/>
  <c r="W502" i="7" s="1"/>
  <c r="C502" i="7"/>
  <c r="X501" i="7"/>
  <c r="W501" i="7"/>
  <c r="T501" i="7"/>
  <c r="C501" i="7"/>
  <c r="X500" i="7"/>
  <c r="W500" i="7"/>
  <c r="T500" i="7"/>
  <c r="C500" i="7"/>
  <c r="X499" i="7"/>
  <c r="T499" i="7"/>
  <c r="W499" i="7" s="1"/>
  <c r="C499" i="7"/>
  <c r="X498" i="7"/>
  <c r="T498" i="7"/>
  <c r="C498" i="7"/>
  <c r="X497" i="7"/>
  <c r="T497" i="7"/>
  <c r="W497" i="7" s="1"/>
  <c r="C497" i="7"/>
  <c r="X496" i="7"/>
  <c r="T496" i="7"/>
  <c r="W496" i="7" s="1"/>
  <c r="C496" i="7"/>
  <c r="X495" i="7"/>
  <c r="W495" i="7"/>
  <c r="T495" i="7"/>
  <c r="C495" i="7"/>
  <c r="X494" i="7"/>
  <c r="T494" i="7"/>
  <c r="W494" i="7" s="1"/>
  <c r="C494" i="7"/>
  <c r="X493" i="7"/>
  <c r="W493" i="7"/>
  <c r="T493" i="7"/>
  <c r="C493" i="7"/>
  <c r="X492" i="7"/>
  <c r="T492" i="7"/>
  <c r="W492" i="7" s="1"/>
  <c r="C492" i="7"/>
  <c r="X491" i="7"/>
  <c r="W491" i="7"/>
  <c r="T491" i="7"/>
  <c r="C491" i="7"/>
  <c r="X490" i="7"/>
  <c r="T490" i="7"/>
  <c r="W490" i="7" s="1"/>
  <c r="C490" i="7"/>
  <c r="X489" i="7"/>
  <c r="W489" i="7"/>
  <c r="T489" i="7"/>
  <c r="C489" i="7"/>
  <c r="X488" i="7"/>
  <c r="T488" i="7"/>
  <c r="W488" i="7" s="1"/>
  <c r="C488" i="7"/>
  <c r="X487" i="7"/>
  <c r="W487" i="7"/>
  <c r="T487" i="7"/>
  <c r="C487" i="7"/>
  <c r="X486" i="7"/>
  <c r="T486" i="7"/>
  <c r="W486" i="7" s="1"/>
  <c r="C486" i="7"/>
  <c r="X485" i="7"/>
  <c r="T485" i="7"/>
  <c r="W485" i="7" s="1"/>
  <c r="C485" i="7"/>
  <c r="X484" i="7"/>
  <c r="T484" i="7"/>
  <c r="W484" i="7" s="1"/>
  <c r="C484" i="7"/>
  <c r="X483" i="7"/>
  <c r="T483" i="7"/>
  <c r="W483" i="7" s="1"/>
  <c r="C483" i="7"/>
  <c r="X482" i="7"/>
  <c r="T482" i="7"/>
  <c r="W482" i="7" s="1"/>
  <c r="C482" i="7"/>
  <c r="X481" i="7"/>
  <c r="W481" i="7"/>
  <c r="T481" i="7"/>
  <c r="C481" i="7"/>
  <c r="X480" i="7"/>
  <c r="W480" i="7"/>
  <c r="T480" i="7"/>
  <c r="C480" i="7"/>
  <c r="X479" i="7"/>
  <c r="T479" i="7"/>
  <c r="W479" i="7" s="1"/>
  <c r="C479" i="7"/>
  <c r="X478" i="7"/>
  <c r="T478" i="7"/>
  <c r="W478" i="7" s="1"/>
  <c r="C478" i="7"/>
  <c r="X477" i="7"/>
  <c r="T477" i="7"/>
  <c r="W477" i="7" s="1"/>
  <c r="C477" i="7"/>
  <c r="X476" i="7"/>
  <c r="T476" i="7"/>
  <c r="W476" i="7" s="1"/>
  <c r="C476" i="7"/>
  <c r="X475" i="7"/>
  <c r="T475" i="7"/>
  <c r="W475" i="7" s="1"/>
  <c r="C475" i="7"/>
  <c r="X474" i="7"/>
  <c r="T474" i="7"/>
  <c r="W474" i="7" s="1"/>
  <c r="C474" i="7"/>
  <c r="X473" i="7"/>
  <c r="T473" i="7"/>
  <c r="W473" i="7" s="1"/>
  <c r="C473" i="7"/>
  <c r="X472" i="7"/>
  <c r="T472" i="7"/>
  <c r="W472" i="7" s="1"/>
  <c r="C472" i="7"/>
  <c r="X471" i="7"/>
  <c r="T471" i="7"/>
  <c r="W471" i="7" s="1"/>
  <c r="C471" i="7"/>
  <c r="X470" i="7"/>
  <c r="W470" i="7"/>
  <c r="T470" i="7"/>
  <c r="C470" i="7"/>
  <c r="X469" i="7"/>
  <c r="T469" i="7"/>
  <c r="W469" i="7" s="1"/>
  <c r="C469" i="7"/>
  <c r="X468" i="7"/>
  <c r="W468" i="7"/>
  <c r="T468" i="7"/>
  <c r="C468" i="7"/>
  <c r="X467" i="7"/>
  <c r="T467" i="7"/>
  <c r="W467" i="7" s="1"/>
  <c r="C467" i="7"/>
  <c r="X466" i="7"/>
  <c r="T466" i="7"/>
  <c r="W466" i="7" s="1"/>
  <c r="C466" i="7"/>
  <c r="X465" i="7"/>
  <c r="T465" i="7"/>
  <c r="W465" i="7" s="1"/>
  <c r="C465" i="7"/>
  <c r="X464" i="7"/>
  <c r="T464" i="7"/>
  <c r="W464" i="7" s="1"/>
  <c r="C464" i="7"/>
  <c r="X463" i="7"/>
  <c r="W463" i="7"/>
  <c r="T463" i="7"/>
  <c r="C463" i="7"/>
  <c r="X462" i="7"/>
  <c r="T462" i="7"/>
  <c r="W462" i="7" s="1"/>
  <c r="C462" i="7"/>
  <c r="X461" i="7"/>
  <c r="W461" i="7"/>
  <c r="T461" i="7"/>
  <c r="C461" i="7"/>
  <c r="X460" i="7"/>
  <c r="T460" i="7"/>
  <c r="W460" i="7" s="1"/>
  <c r="C460" i="7"/>
  <c r="X459" i="7"/>
  <c r="T459" i="7"/>
  <c r="W459" i="7" s="1"/>
  <c r="C459" i="7"/>
  <c r="X458" i="7"/>
  <c r="T458" i="7"/>
  <c r="W458" i="7" s="1"/>
  <c r="C458" i="7"/>
  <c r="X457" i="7"/>
  <c r="T457" i="7"/>
  <c r="W457" i="7" s="1"/>
  <c r="C457" i="7"/>
  <c r="X456" i="7"/>
  <c r="T456" i="7"/>
  <c r="W456" i="7" s="1"/>
  <c r="C456" i="7"/>
  <c r="X455" i="7"/>
  <c r="T455" i="7"/>
  <c r="W455" i="7" s="1"/>
  <c r="C455" i="7"/>
  <c r="X454" i="7"/>
  <c r="T454" i="7"/>
  <c r="W454" i="7" s="1"/>
  <c r="C454" i="7"/>
  <c r="X453" i="7"/>
  <c r="T453" i="7"/>
  <c r="W453" i="7" s="1"/>
  <c r="C453" i="7"/>
  <c r="X452" i="7"/>
  <c r="T452" i="7"/>
  <c r="W452" i="7" s="1"/>
  <c r="C452" i="7"/>
  <c r="X451" i="7"/>
  <c r="W451" i="7"/>
  <c r="T451" i="7"/>
  <c r="C451" i="7"/>
  <c r="X450" i="7"/>
  <c r="T450" i="7"/>
  <c r="W450" i="7" s="1"/>
  <c r="C450" i="7"/>
  <c r="X449" i="7"/>
  <c r="W449" i="7"/>
  <c r="T449" i="7"/>
  <c r="C449" i="7"/>
  <c r="X448" i="7"/>
  <c r="T448" i="7"/>
  <c r="W448" i="7" s="1"/>
  <c r="C448" i="7"/>
  <c r="X447" i="7"/>
  <c r="T447" i="7"/>
  <c r="W447" i="7" s="1"/>
  <c r="C447" i="7"/>
  <c r="X446" i="7"/>
  <c r="T446" i="7"/>
  <c r="W446" i="7" s="1"/>
  <c r="C446" i="7"/>
  <c r="X445" i="7"/>
  <c r="T445" i="7"/>
  <c r="W445" i="7" s="1"/>
  <c r="C445" i="7"/>
  <c r="X444" i="7"/>
  <c r="T444" i="7"/>
  <c r="W444" i="7" s="1"/>
  <c r="C444" i="7"/>
  <c r="X443" i="7"/>
  <c r="T443" i="7"/>
  <c r="W443" i="7" s="1"/>
  <c r="C443" i="7"/>
  <c r="X442" i="7"/>
  <c r="T442" i="7"/>
  <c r="W442" i="7" s="1"/>
  <c r="C442" i="7"/>
  <c r="X441" i="7"/>
  <c r="T441" i="7"/>
  <c r="W441" i="7" s="1"/>
  <c r="C441" i="7"/>
  <c r="X440" i="7"/>
  <c r="T440" i="7"/>
  <c r="W440" i="7" s="1"/>
  <c r="C440" i="7"/>
  <c r="X439" i="7"/>
  <c r="T439" i="7"/>
  <c r="W439" i="7" s="1"/>
  <c r="C439" i="7"/>
  <c r="X438" i="7"/>
  <c r="T438" i="7"/>
  <c r="W438" i="7" s="1"/>
  <c r="C438" i="7"/>
  <c r="X437" i="7"/>
  <c r="T437" i="7"/>
  <c r="W437" i="7" s="1"/>
  <c r="C437" i="7"/>
  <c r="X436" i="7"/>
  <c r="T436" i="7"/>
  <c r="W436" i="7" s="1"/>
  <c r="C436" i="7"/>
  <c r="X435" i="7"/>
  <c r="T435" i="7"/>
  <c r="W435" i="7" s="1"/>
  <c r="C435" i="7"/>
  <c r="X434" i="7"/>
  <c r="T434" i="7"/>
  <c r="W434" i="7" s="1"/>
  <c r="C434" i="7"/>
  <c r="X433" i="7"/>
  <c r="T433" i="7"/>
  <c r="W433" i="7" s="1"/>
  <c r="C433" i="7"/>
  <c r="X432" i="7"/>
  <c r="T432" i="7"/>
  <c r="W432" i="7" s="1"/>
  <c r="C432" i="7"/>
  <c r="X431" i="7"/>
  <c r="T431" i="7"/>
  <c r="W431" i="7" s="1"/>
  <c r="C431" i="7"/>
  <c r="X430" i="7"/>
  <c r="T430" i="7"/>
  <c r="W430" i="7" s="1"/>
  <c r="C430" i="7"/>
  <c r="X429" i="7"/>
  <c r="T429" i="7"/>
  <c r="W429" i="7" s="1"/>
  <c r="C429" i="7"/>
  <c r="X428" i="7"/>
  <c r="T428" i="7"/>
  <c r="W428" i="7" s="1"/>
  <c r="C428" i="7"/>
  <c r="X427" i="7"/>
  <c r="T427" i="7"/>
  <c r="W427" i="7" s="1"/>
  <c r="C427" i="7"/>
  <c r="X426" i="7"/>
  <c r="T426" i="7"/>
  <c r="W426" i="7" s="1"/>
  <c r="C426" i="7"/>
  <c r="X425" i="7"/>
  <c r="T425" i="7"/>
  <c r="W425" i="7" s="1"/>
  <c r="C425" i="7"/>
  <c r="X424" i="7"/>
  <c r="T424" i="7"/>
  <c r="W424" i="7" s="1"/>
  <c r="C424" i="7"/>
  <c r="X423" i="7"/>
  <c r="T423" i="7"/>
  <c r="W423" i="7" s="1"/>
  <c r="C423" i="7"/>
  <c r="X422" i="7"/>
  <c r="T422" i="7"/>
  <c r="W422" i="7" s="1"/>
  <c r="C422" i="7"/>
  <c r="X421" i="7"/>
  <c r="T421" i="7"/>
  <c r="W421" i="7" s="1"/>
  <c r="C421" i="7"/>
  <c r="X420" i="7"/>
  <c r="T420" i="7"/>
  <c r="W420" i="7" s="1"/>
  <c r="C420" i="7"/>
  <c r="X419" i="7"/>
  <c r="T419" i="7"/>
  <c r="W419" i="7" s="1"/>
  <c r="C419" i="7"/>
  <c r="X418" i="7"/>
  <c r="T418" i="7"/>
  <c r="W418" i="7" s="1"/>
  <c r="C418" i="7"/>
  <c r="X417" i="7"/>
  <c r="T417" i="7"/>
  <c r="W417" i="7" s="1"/>
  <c r="C417" i="7"/>
  <c r="X416" i="7"/>
  <c r="T416" i="7"/>
  <c r="W416" i="7" s="1"/>
  <c r="C416" i="7"/>
  <c r="X415" i="7"/>
  <c r="T415" i="7"/>
  <c r="W415" i="7" s="1"/>
  <c r="C415" i="7"/>
  <c r="X414" i="7"/>
  <c r="T414" i="7"/>
  <c r="W414" i="7" s="1"/>
  <c r="C414" i="7"/>
  <c r="X413" i="7"/>
  <c r="T413" i="7"/>
  <c r="W413" i="7" s="1"/>
  <c r="C413" i="7"/>
  <c r="X412" i="7"/>
  <c r="T412" i="7"/>
  <c r="W412" i="7" s="1"/>
  <c r="C412" i="7"/>
  <c r="X411" i="7"/>
  <c r="T411" i="7"/>
  <c r="W411" i="7" s="1"/>
  <c r="C411" i="7"/>
  <c r="X410" i="7"/>
  <c r="T410" i="7"/>
  <c r="W410" i="7" s="1"/>
  <c r="C410" i="7"/>
  <c r="X409" i="7"/>
  <c r="T409" i="7"/>
  <c r="W409" i="7" s="1"/>
  <c r="C409" i="7"/>
  <c r="X408" i="7"/>
  <c r="T408" i="7"/>
  <c r="W408" i="7" s="1"/>
  <c r="C408" i="7"/>
  <c r="X407" i="7"/>
  <c r="T407" i="7"/>
  <c r="W407" i="7" s="1"/>
  <c r="C407" i="7"/>
  <c r="X406" i="7"/>
  <c r="W406" i="7"/>
  <c r="T406" i="7"/>
  <c r="C406" i="7"/>
  <c r="X405" i="7"/>
  <c r="T405" i="7"/>
  <c r="W405" i="7" s="1"/>
  <c r="C405" i="7"/>
  <c r="X404" i="7"/>
  <c r="W404" i="7"/>
  <c r="T404" i="7"/>
  <c r="C404" i="7"/>
  <c r="X403" i="7"/>
  <c r="T403" i="7"/>
  <c r="W403" i="7" s="1"/>
  <c r="C403" i="7"/>
  <c r="X402" i="7"/>
  <c r="T402" i="7"/>
  <c r="W402" i="7" s="1"/>
  <c r="C402" i="7"/>
  <c r="X401" i="7"/>
  <c r="T401" i="7"/>
  <c r="W401" i="7" s="1"/>
  <c r="C401" i="7"/>
  <c r="X400" i="7"/>
  <c r="W400" i="7"/>
  <c r="T400" i="7"/>
  <c r="C400" i="7"/>
  <c r="X399" i="7"/>
  <c r="W399" i="7"/>
  <c r="T399" i="7"/>
  <c r="C399" i="7"/>
  <c r="X398" i="7"/>
  <c r="T398" i="7"/>
  <c r="W398" i="7" s="1"/>
  <c r="C398" i="7"/>
  <c r="X397" i="7"/>
  <c r="W397" i="7"/>
  <c r="T397" i="7"/>
  <c r="C397" i="7"/>
  <c r="X396" i="7"/>
  <c r="T396" i="7"/>
  <c r="W396" i="7" s="1"/>
  <c r="C396" i="7"/>
  <c r="X395" i="7"/>
  <c r="T395" i="7"/>
  <c r="W395" i="7" s="1"/>
  <c r="C395" i="7"/>
  <c r="X394" i="7"/>
  <c r="T394" i="7"/>
  <c r="W394" i="7" s="1"/>
  <c r="C394" i="7"/>
  <c r="X393" i="7"/>
  <c r="T393" i="7"/>
  <c r="W393" i="7" s="1"/>
  <c r="C393" i="7"/>
  <c r="X392" i="7"/>
  <c r="T392" i="7"/>
  <c r="W392" i="7" s="1"/>
  <c r="C392" i="7"/>
  <c r="X391" i="7"/>
  <c r="T391" i="7"/>
  <c r="W391" i="7" s="1"/>
  <c r="C391" i="7"/>
  <c r="X390" i="7"/>
  <c r="W390" i="7"/>
  <c r="T390" i="7"/>
  <c r="C390" i="7"/>
  <c r="X389" i="7"/>
  <c r="T389" i="7"/>
  <c r="W389" i="7" s="1"/>
  <c r="C389" i="7"/>
  <c r="X388" i="7"/>
  <c r="T388" i="7"/>
  <c r="W388" i="7" s="1"/>
  <c r="C388" i="7"/>
  <c r="X387" i="7"/>
  <c r="T387" i="7"/>
  <c r="W387" i="7" s="1"/>
  <c r="C387" i="7"/>
  <c r="X386" i="7"/>
  <c r="T386" i="7"/>
  <c r="W386" i="7" s="1"/>
  <c r="C386" i="7"/>
  <c r="X385" i="7"/>
  <c r="T385" i="7"/>
  <c r="W385" i="7" s="1"/>
  <c r="C385" i="7"/>
  <c r="X384" i="7"/>
  <c r="T384" i="7"/>
  <c r="W384" i="7" s="1"/>
  <c r="C384" i="7"/>
  <c r="X383" i="7"/>
  <c r="T383" i="7"/>
  <c r="W383" i="7" s="1"/>
  <c r="C383" i="7"/>
  <c r="X382" i="7"/>
  <c r="T382" i="7"/>
  <c r="W382" i="7" s="1"/>
  <c r="C382" i="7"/>
  <c r="X381" i="7"/>
  <c r="T381" i="7"/>
  <c r="W381" i="7" s="1"/>
  <c r="C381" i="7"/>
  <c r="X380" i="7"/>
  <c r="T380" i="7"/>
  <c r="W380" i="7" s="1"/>
  <c r="C380" i="7"/>
  <c r="X379" i="7"/>
  <c r="T379" i="7"/>
  <c r="W379" i="7" s="1"/>
  <c r="C379" i="7"/>
  <c r="X378" i="7"/>
  <c r="T378" i="7"/>
  <c r="W378" i="7" s="1"/>
  <c r="C378" i="7"/>
  <c r="X377" i="7"/>
  <c r="T377" i="7"/>
  <c r="W377" i="7" s="1"/>
  <c r="C377" i="7"/>
  <c r="X376" i="7"/>
  <c r="T376" i="7"/>
  <c r="W376" i="7" s="1"/>
  <c r="C376" i="7"/>
  <c r="X375" i="7"/>
  <c r="T375" i="7"/>
  <c r="W375" i="7" s="1"/>
  <c r="C375" i="7"/>
  <c r="X374" i="7"/>
  <c r="T374" i="7"/>
  <c r="W374" i="7" s="1"/>
  <c r="C374" i="7"/>
  <c r="X373" i="7"/>
  <c r="T373" i="7"/>
  <c r="W373" i="7" s="1"/>
  <c r="C373" i="7"/>
  <c r="X372" i="7"/>
  <c r="T372" i="7"/>
  <c r="W372" i="7" s="1"/>
  <c r="C372" i="7"/>
  <c r="X371" i="7"/>
  <c r="T371" i="7"/>
  <c r="W371" i="7" s="1"/>
  <c r="C371" i="7"/>
  <c r="X370" i="7"/>
  <c r="T370" i="7"/>
  <c r="W370" i="7" s="1"/>
  <c r="C370" i="7"/>
  <c r="X369" i="7"/>
  <c r="T369" i="7"/>
  <c r="W369" i="7" s="1"/>
  <c r="C369" i="7"/>
  <c r="X368" i="7"/>
  <c r="T368" i="7"/>
  <c r="W368" i="7" s="1"/>
  <c r="C368" i="7"/>
  <c r="X367" i="7"/>
  <c r="W367" i="7"/>
  <c r="T367" i="7"/>
  <c r="C367" i="7"/>
  <c r="X366" i="7"/>
  <c r="W366" i="7"/>
  <c r="T366" i="7"/>
  <c r="C366" i="7"/>
  <c r="X365" i="7"/>
  <c r="T365" i="7"/>
  <c r="W365" i="7" s="1"/>
  <c r="C365" i="7"/>
  <c r="X364" i="7"/>
  <c r="W364" i="7"/>
  <c r="T364" i="7"/>
  <c r="C364" i="7"/>
  <c r="X363" i="7"/>
  <c r="T363" i="7"/>
  <c r="W363" i="7" s="1"/>
  <c r="C363" i="7"/>
  <c r="X362" i="7"/>
  <c r="T362" i="7"/>
  <c r="W362" i="7" s="1"/>
  <c r="C362" i="7"/>
  <c r="X361" i="7"/>
  <c r="T361" i="7"/>
  <c r="W361" i="7" s="1"/>
  <c r="C361" i="7"/>
  <c r="X360" i="7"/>
  <c r="T360" i="7"/>
  <c r="W360" i="7" s="1"/>
  <c r="C360" i="7"/>
  <c r="X359" i="7"/>
  <c r="T359" i="7"/>
  <c r="W359" i="7" s="1"/>
  <c r="C359" i="7"/>
  <c r="X358" i="7"/>
  <c r="T358" i="7"/>
  <c r="W358" i="7" s="1"/>
  <c r="C358" i="7"/>
  <c r="X357" i="7"/>
  <c r="T357" i="7"/>
  <c r="W357" i="7" s="1"/>
  <c r="C357" i="7"/>
  <c r="X356" i="7"/>
  <c r="T356" i="7"/>
  <c r="W356" i="7" s="1"/>
  <c r="C356" i="7"/>
  <c r="X355" i="7"/>
  <c r="T355" i="7"/>
  <c r="W355" i="7" s="1"/>
  <c r="C355" i="7"/>
  <c r="X354" i="7"/>
  <c r="T354" i="7"/>
  <c r="W354" i="7" s="1"/>
  <c r="C354" i="7"/>
  <c r="X353" i="7"/>
  <c r="T353" i="7"/>
  <c r="W353" i="7" s="1"/>
  <c r="C353" i="7"/>
  <c r="X352" i="7"/>
  <c r="T352" i="7"/>
  <c r="W352" i="7" s="1"/>
  <c r="C352" i="7"/>
  <c r="X351" i="7"/>
  <c r="T351" i="7"/>
  <c r="W351" i="7" s="1"/>
  <c r="C351" i="7"/>
  <c r="X350" i="7"/>
  <c r="W350" i="7"/>
  <c r="T350" i="7"/>
  <c r="C350" i="7"/>
  <c r="X349" i="7"/>
  <c r="T349" i="7"/>
  <c r="W349" i="7" s="1"/>
  <c r="C349" i="7"/>
  <c r="X348" i="7"/>
  <c r="W348" i="7"/>
  <c r="T348" i="7"/>
  <c r="C348" i="7"/>
  <c r="X347" i="7"/>
  <c r="T347" i="7"/>
  <c r="W347" i="7" s="1"/>
  <c r="C347" i="7"/>
  <c r="X346" i="7"/>
  <c r="T346" i="7"/>
  <c r="W346" i="7" s="1"/>
  <c r="C346" i="7"/>
  <c r="X345" i="7"/>
  <c r="T345" i="7"/>
  <c r="W345" i="7" s="1"/>
  <c r="C345" i="7"/>
  <c r="X344" i="7"/>
  <c r="W344" i="7"/>
  <c r="T344" i="7"/>
  <c r="C344" i="7"/>
  <c r="X343" i="7"/>
  <c r="W343" i="7"/>
  <c r="T343" i="7"/>
  <c r="C343" i="7"/>
  <c r="X342" i="7"/>
  <c r="T342" i="7"/>
  <c r="W342" i="7" s="1"/>
  <c r="C342" i="7"/>
  <c r="X341" i="7"/>
  <c r="T341" i="7"/>
  <c r="W341" i="7" s="1"/>
  <c r="C341" i="7"/>
  <c r="X340" i="7"/>
  <c r="T340" i="7"/>
  <c r="W340" i="7" s="1"/>
  <c r="C340" i="7"/>
  <c r="X339" i="7"/>
  <c r="T339" i="7"/>
  <c r="W339" i="7" s="1"/>
  <c r="C339" i="7"/>
  <c r="X338" i="7"/>
  <c r="W338" i="7"/>
  <c r="T338" i="7"/>
  <c r="C338" i="7"/>
  <c r="X337" i="7"/>
  <c r="T337" i="7"/>
  <c r="W337" i="7" s="1"/>
  <c r="C337" i="7"/>
  <c r="X336" i="7"/>
  <c r="W336" i="7"/>
  <c r="T336" i="7"/>
  <c r="C336" i="7"/>
  <c r="X335" i="7"/>
  <c r="T335" i="7"/>
  <c r="W335" i="7" s="1"/>
  <c r="C335" i="7"/>
  <c r="X334" i="7"/>
  <c r="T334" i="7"/>
  <c r="W334" i="7" s="1"/>
  <c r="C334" i="7"/>
  <c r="X333" i="7"/>
  <c r="T333" i="7"/>
  <c r="W333" i="7" s="1"/>
  <c r="C333" i="7"/>
  <c r="X332" i="7"/>
  <c r="T332" i="7"/>
  <c r="W332" i="7" s="1"/>
  <c r="C332" i="7"/>
  <c r="X331" i="7"/>
  <c r="W331" i="7"/>
  <c r="T331" i="7"/>
  <c r="C331" i="7"/>
  <c r="X330" i="7"/>
  <c r="T330" i="7"/>
  <c r="W330" i="7" s="1"/>
  <c r="C330" i="7"/>
  <c r="X329" i="7"/>
  <c r="T329" i="7"/>
  <c r="W329" i="7" s="1"/>
  <c r="C329" i="7"/>
  <c r="X328" i="7"/>
  <c r="T328" i="7"/>
  <c r="W328" i="7" s="1"/>
  <c r="C328" i="7"/>
  <c r="X327" i="7"/>
  <c r="T327" i="7"/>
  <c r="W327" i="7" s="1"/>
  <c r="C327" i="7"/>
  <c r="X326" i="7"/>
  <c r="T326" i="7"/>
  <c r="W326" i="7" s="1"/>
  <c r="C326" i="7"/>
  <c r="X325" i="7"/>
  <c r="T325" i="7"/>
  <c r="W325" i="7" s="1"/>
  <c r="C325" i="7"/>
  <c r="X324" i="7"/>
  <c r="T324" i="7"/>
  <c r="W324" i="7" s="1"/>
  <c r="C324" i="7"/>
  <c r="X323" i="7"/>
  <c r="T323" i="7"/>
  <c r="W323" i="7" s="1"/>
  <c r="C323" i="7"/>
  <c r="X322" i="7"/>
  <c r="T322" i="7"/>
  <c r="W322" i="7" s="1"/>
  <c r="C322" i="7"/>
  <c r="X321" i="7"/>
  <c r="T321" i="7"/>
  <c r="W321" i="7" s="1"/>
  <c r="C321" i="7"/>
  <c r="X320" i="7"/>
  <c r="T320" i="7"/>
  <c r="W320" i="7" s="1"/>
  <c r="C320" i="7"/>
  <c r="X319" i="7"/>
  <c r="T319" i="7"/>
  <c r="W319" i="7" s="1"/>
  <c r="C319" i="7"/>
  <c r="X318" i="7"/>
  <c r="W318" i="7"/>
  <c r="T318" i="7"/>
  <c r="C318" i="7"/>
  <c r="X317" i="7"/>
  <c r="T317" i="7"/>
  <c r="W317" i="7" s="1"/>
  <c r="C317" i="7"/>
  <c r="X316" i="7"/>
  <c r="W316" i="7"/>
  <c r="T316" i="7"/>
  <c r="C316" i="7"/>
  <c r="X315" i="7"/>
  <c r="T315" i="7"/>
  <c r="W315" i="7" s="1"/>
  <c r="C315" i="7"/>
  <c r="X314" i="7"/>
  <c r="T314" i="7"/>
  <c r="W314" i="7" s="1"/>
  <c r="C314" i="7"/>
  <c r="X313" i="7"/>
  <c r="T313" i="7"/>
  <c r="C313" i="7"/>
  <c r="X312" i="7"/>
  <c r="T312" i="7"/>
  <c r="W312" i="7" s="1"/>
  <c r="C312" i="7"/>
  <c r="X311" i="7"/>
  <c r="T311" i="7"/>
  <c r="W311" i="7" s="1"/>
  <c r="C311" i="7"/>
  <c r="X310" i="7"/>
  <c r="T310" i="7"/>
  <c r="W310" i="7" s="1"/>
  <c r="C310" i="7"/>
  <c r="X309" i="7"/>
  <c r="W309" i="7"/>
  <c r="T309" i="7"/>
  <c r="C309" i="7"/>
  <c r="X308" i="7"/>
  <c r="T308" i="7"/>
  <c r="W308" i="7" s="1"/>
  <c r="C308" i="7"/>
  <c r="X307" i="7"/>
  <c r="W307" i="7"/>
  <c r="T307" i="7"/>
  <c r="C307" i="7"/>
  <c r="X306" i="7"/>
  <c r="T306" i="7"/>
  <c r="W306" i="7" s="1"/>
  <c r="C306" i="7"/>
  <c r="X305" i="7"/>
  <c r="T305" i="7"/>
  <c r="C305" i="7"/>
  <c r="X304" i="7"/>
  <c r="T304" i="7"/>
  <c r="W304" i="7" s="1"/>
  <c r="C304" i="7"/>
  <c r="X303" i="7"/>
  <c r="T303" i="7"/>
  <c r="W303" i="7" s="1"/>
  <c r="C303" i="7"/>
  <c r="X302" i="7"/>
  <c r="W302" i="7"/>
  <c r="T302" i="7"/>
  <c r="C302" i="7"/>
  <c r="X301" i="7"/>
  <c r="W301" i="7"/>
  <c r="T301" i="7"/>
  <c r="C301" i="7"/>
  <c r="X300" i="7"/>
  <c r="T300" i="7"/>
  <c r="W300" i="7" s="1"/>
  <c r="C300" i="7"/>
  <c r="X299" i="7"/>
  <c r="W299" i="7"/>
  <c r="T299" i="7"/>
  <c r="C299" i="7"/>
  <c r="X298" i="7"/>
  <c r="T298" i="7"/>
  <c r="W298" i="7" s="1"/>
  <c r="C298" i="7"/>
  <c r="X297" i="7"/>
  <c r="T297" i="7"/>
  <c r="W297" i="7" s="1"/>
  <c r="C297" i="7"/>
  <c r="X296" i="7"/>
  <c r="T296" i="7"/>
  <c r="W296" i="7" s="1"/>
  <c r="C296" i="7"/>
  <c r="X295" i="7"/>
  <c r="T295" i="7"/>
  <c r="W295" i="7" s="1"/>
  <c r="C295" i="7"/>
  <c r="X294" i="7"/>
  <c r="T294" i="7"/>
  <c r="W294" i="7" s="1"/>
  <c r="C294" i="7"/>
  <c r="X293" i="7"/>
  <c r="T293" i="7"/>
  <c r="W293" i="7" s="1"/>
  <c r="C293" i="7"/>
  <c r="X292" i="7"/>
  <c r="T292" i="7"/>
  <c r="W292" i="7" s="1"/>
  <c r="C292" i="7"/>
  <c r="X291" i="7"/>
  <c r="T291" i="7"/>
  <c r="W291" i="7" s="1"/>
  <c r="C291" i="7"/>
  <c r="X290" i="7"/>
  <c r="T290" i="7"/>
  <c r="W290" i="7" s="1"/>
  <c r="C290" i="7"/>
  <c r="X289" i="7"/>
  <c r="T289" i="7"/>
  <c r="W289" i="7" s="1"/>
  <c r="C289" i="7"/>
  <c r="X288" i="7"/>
  <c r="T288" i="7"/>
  <c r="W288" i="7" s="1"/>
  <c r="C288" i="7"/>
  <c r="X287" i="7"/>
  <c r="T287" i="7"/>
  <c r="V287" i="7" s="1"/>
  <c r="K8" i="10" s="1"/>
  <c r="C287" i="7"/>
  <c r="X286" i="7"/>
  <c r="T286" i="7"/>
  <c r="W286" i="7" s="1"/>
  <c r="C286" i="7"/>
  <c r="X285" i="7"/>
  <c r="T285" i="7"/>
  <c r="W285" i="7" s="1"/>
  <c r="C285" i="7"/>
  <c r="X284" i="7"/>
  <c r="T284" i="7"/>
  <c r="W284" i="7" s="1"/>
  <c r="C284" i="7"/>
  <c r="X283" i="7"/>
  <c r="W283" i="7"/>
  <c r="T283" i="7"/>
  <c r="C283" i="7"/>
  <c r="X282" i="7"/>
  <c r="T282" i="7"/>
  <c r="W282" i="7" s="1"/>
  <c r="C282" i="7"/>
  <c r="X281" i="7"/>
  <c r="T281" i="7"/>
  <c r="W281" i="7" s="1"/>
  <c r="C281" i="7"/>
  <c r="X280" i="7"/>
  <c r="T280" i="7"/>
  <c r="W280" i="7" s="1"/>
  <c r="C280" i="7"/>
  <c r="X279" i="7"/>
  <c r="T279" i="7"/>
  <c r="W279" i="7" s="1"/>
  <c r="C279" i="7"/>
  <c r="X278" i="7"/>
  <c r="T278" i="7"/>
  <c r="W278" i="7" s="1"/>
  <c r="C278" i="7"/>
  <c r="X277" i="7"/>
  <c r="T277" i="7"/>
  <c r="W277" i="7" s="1"/>
  <c r="C277" i="7"/>
  <c r="X276" i="7"/>
  <c r="T276" i="7"/>
  <c r="W276" i="7" s="1"/>
  <c r="C276" i="7"/>
  <c r="X275" i="7"/>
  <c r="T275" i="7"/>
  <c r="W275" i="7" s="1"/>
  <c r="C275" i="7"/>
  <c r="X274" i="7"/>
  <c r="W274" i="7"/>
  <c r="T274" i="7"/>
  <c r="C274" i="7"/>
  <c r="X273" i="7"/>
  <c r="T273" i="7"/>
  <c r="W273" i="7" s="1"/>
  <c r="C273" i="7"/>
  <c r="X272" i="7"/>
  <c r="T272" i="7"/>
  <c r="W272" i="7" s="1"/>
  <c r="C272" i="7"/>
  <c r="X271" i="7"/>
  <c r="W271" i="7"/>
  <c r="T271" i="7"/>
  <c r="C271" i="7"/>
  <c r="X270" i="7"/>
  <c r="T270" i="7"/>
  <c r="W270" i="7" s="1"/>
  <c r="C270" i="7"/>
  <c r="X269" i="7"/>
  <c r="W269" i="7"/>
  <c r="T269" i="7"/>
  <c r="C269" i="7"/>
  <c r="X268" i="7"/>
  <c r="T268" i="7"/>
  <c r="W268" i="7" s="1"/>
  <c r="C268" i="7"/>
  <c r="X267" i="7"/>
  <c r="W267" i="7"/>
  <c r="T267" i="7"/>
  <c r="C267" i="7"/>
  <c r="X266" i="7"/>
  <c r="T266" i="7"/>
  <c r="W266" i="7" s="1"/>
  <c r="C266" i="7"/>
  <c r="X265" i="7"/>
  <c r="T265" i="7"/>
  <c r="W265" i="7" s="1"/>
  <c r="C265" i="7"/>
  <c r="X264" i="7"/>
  <c r="T264" i="7"/>
  <c r="W264" i="7" s="1"/>
  <c r="C264" i="7"/>
  <c r="X263" i="7"/>
  <c r="T263" i="7"/>
  <c r="W263" i="7" s="1"/>
  <c r="C263" i="7"/>
  <c r="X262" i="7"/>
  <c r="T262" i="7"/>
  <c r="W262" i="7" s="1"/>
  <c r="C262" i="7"/>
  <c r="X261" i="7"/>
  <c r="T261" i="7"/>
  <c r="W261" i="7" s="1"/>
  <c r="C261" i="7"/>
  <c r="X260" i="7"/>
  <c r="W260" i="7"/>
  <c r="T260" i="7"/>
  <c r="C260" i="7"/>
  <c r="X259" i="7"/>
  <c r="T259" i="7"/>
  <c r="W259" i="7" s="1"/>
  <c r="C259" i="7"/>
  <c r="X258" i="7"/>
  <c r="T258" i="7"/>
  <c r="W258" i="7" s="1"/>
  <c r="C258" i="7"/>
  <c r="X257" i="7"/>
  <c r="T257" i="7"/>
  <c r="W257" i="7" s="1"/>
  <c r="C257" i="7"/>
  <c r="X256" i="7"/>
  <c r="T256" i="7"/>
  <c r="W256" i="7" s="1"/>
  <c r="C256" i="7"/>
  <c r="X255" i="7"/>
  <c r="T255" i="7"/>
  <c r="W255" i="7" s="1"/>
  <c r="C255" i="7"/>
  <c r="X254" i="7"/>
  <c r="T254" i="7"/>
  <c r="W254" i="7" s="1"/>
  <c r="C254" i="7"/>
  <c r="X253" i="7"/>
  <c r="T253" i="7"/>
  <c r="W253" i="7" s="1"/>
  <c r="C253" i="7"/>
  <c r="X252" i="7"/>
  <c r="T252" i="7"/>
  <c r="W252" i="7" s="1"/>
  <c r="C252" i="7"/>
  <c r="X251" i="7"/>
  <c r="T251" i="7"/>
  <c r="W251" i="7" s="1"/>
  <c r="C251" i="7"/>
  <c r="X250" i="7"/>
  <c r="T250" i="7"/>
  <c r="W250" i="7" s="1"/>
  <c r="C250" i="7"/>
  <c r="X249" i="7"/>
  <c r="T249" i="7"/>
  <c r="W249" i="7" s="1"/>
  <c r="C249" i="7"/>
  <c r="X248" i="7"/>
  <c r="W248" i="7"/>
  <c r="T248" i="7"/>
  <c r="C248" i="7"/>
  <c r="X247" i="7"/>
  <c r="T247" i="7"/>
  <c r="W247" i="7" s="1"/>
  <c r="C247" i="7"/>
  <c r="X246" i="7"/>
  <c r="T246" i="7"/>
  <c r="W246" i="7" s="1"/>
  <c r="C246" i="7"/>
  <c r="X245" i="7"/>
  <c r="T245" i="7"/>
  <c r="W245" i="7" s="1"/>
  <c r="C245" i="7"/>
  <c r="X244" i="7"/>
  <c r="T244" i="7"/>
  <c r="W244" i="7" s="1"/>
  <c r="C244" i="7"/>
  <c r="X243" i="7"/>
  <c r="T243" i="7"/>
  <c r="W243" i="7" s="1"/>
  <c r="C243" i="7"/>
  <c r="X242" i="7"/>
  <c r="T242" i="7"/>
  <c r="W242" i="7" s="1"/>
  <c r="C242" i="7"/>
  <c r="X241" i="7"/>
  <c r="T241" i="7"/>
  <c r="W241" i="7" s="1"/>
  <c r="C241" i="7"/>
  <c r="X240" i="7"/>
  <c r="T240" i="7"/>
  <c r="W240" i="7" s="1"/>
  <c r="C240" i="7"/>
  <c r="X239" i="7"/>
  <c r="T239" i="7"/>
  <c r="W239" i="7" s="1"/>
  <c r="C239" i="7"/>
  <c r="X238" i="7"/>
  <c r="T238" i="7"/>
  <c r="W238" i="7" s="1"/>
  <c r="C238" i="7"/>
  <c r="X237" i="7"/>
  <c r="T237" i="7"/>
  <c r="W237" i="7" s="1"/>
  <c r="C237" i="7"/>
  <c r="X236" i="7"/>
  <c r="W236" i="7"/>
  <c r="T236" i="7"/>
  <c r="C236" i="7"/>
  <c r="X235" i="7"/>
  <c r="T235" i="7"/>
  <c r="W235" i="7" s="1"/>
  <c r="C235" i="7"/>
  <c r="X234" i="7"/>
  <c r="T234" i="7"/>
  <c r="W234" i="7" s="1"/>
  <c r="C234" i="7"/>
  <c r="X233" i="7"/>
  <c r="W233" i="7"/>
  <c r="T233" i="7"/>
  <c r="C233" i="7"/>
  <c r="X232" i="7"/>
  <c r="W232" i="7"/>
  <c r="T232" i="7"/>
  <c r="C232" i="7"/>
  <c r="X231" i="7"/>
  <c r="T231" i="7"/>
  <c r="W231" i="7" s="1"/>
  <c r="C231" i="7"/>
  <c r="X230" i="7"/>
  <c r="T230" i="7"/>
  <c r="W230" i="7" s="1"/>
  <c r="C230" i="7"/>
  <c r="X229" i="7"/>
  <c r="T229" i="7"/>
  <c r="W229" i="7" s="1"/>
  <c r="C229" i="7"/>
  <c r="X228" i="7"/>
  <c r="T228" i="7"/>
  <c r="W228" i="7" s="1"/>
  <c r="C228" i="7"/>
  <c r="X227" i="7"/>
  <c r="T227" i="7"/>
  <c r="W227" i="7" s="1"/>
  <c r="C227" i="7"/>
  <c r="X226" i="7"/>
  <c r="T226" i="7"/>
  <c r="W226" i="7" s="1"/>
  <c r="C226" i="7"/>
  <c r="X225" i="7"/>
  <c r="T225" i="7"/>
  <c r="W225" i="7" s="1"/>
  <c r="C225" i="7"/>
  <c r="X224" i="7"/>
  <c r="T224" i="7"/>
  <c r="W224" i="7" s="1"/>
  <c r="C224" i="7"/>
  <c r="X223" i="7"/>
  <c r="W223" i="7"/>
  <c r="T223" i="7"/>
  <c r="C223" i="7"/>
  <c r="X222" i="7"/>
  <c r="T222" i="7"/>
  <c r="W222" i="7" s="1"/>
  <c r="C222" i="7"/>
  <c r="X221" i="7"/>
  <c r="T221" i="7"/>
  <c r="W221" i="7" s="1"/>
  <c r="C221" i="7"/>
  <c r="X220" i="7"/>
  <c r="W220" i="7"/>
  <c r="T220" i="7"/>
  <c r="C220" i="7"/>
  <c r="X219" i="7"/>
  <c r="T219" i="7"/>
  <c r="W219" i="7" s="1"/>
  <c r="C219" i="7"/>
  <c r="X218" i="7"/>
  <c r="T218" i="7"/>
  <c r="W218" i="7" s="1"/>
  <c r="C218" i="7"/>
  <c r="X217" i="7"/>
  <c r="T217" i="7"/>
  <c r="W217" i="7" s="1"/>
  <c r="C217" i="7"/>
  <c r="X216" i="7"/>
  <c r="T216" i="7"/>
  <c r="W216" i="7" s="1"/>
  <c r="C216" i="7"/>
  <c r="X215" i="7"/>
  <c r="T215" i="7"/>
  <c r="W215" i="7" s="1"/>
  <c r="C215" i="7"/>
  <c r="X214" i="7"/>
  <c r="T214" i="7"/>
  <c r="W214" i="7" s="1"/>
  <c r="C214" i="7"/>
  <c r="X213" i="7"/>
  <c r="T213" i="7"/>
  <c r="W213" i="7" s="1"/>
  <c r="C213" i="7"/>
  <c r="X212" i="7"/>
  <c r="T212" i="7"/>
  <c r="W212" i="7" s="1"/>
  <c r="C212" i="7"/>
  <c r="X211" i="7"/>
  <c r="T211" i="7"/>
  <c r="W211" i="7" s="1"/>
  <c r="C211" i="7"/>
  <c r="X210" i="7"/>
  <c r="T210" i="7"/>
  <c r="W210" i="7" s="1"/>
  <c r="C210" i="7"/>
  <c r="X209" i="7"/>
  <c r="T209" i="7"/>
  <c r="W209" i="7" s="1"/>
  <c r="C209" i="7"/>
  <c r="X208" i="7"/>
  <c r="W208" i="7"/>
  <c r="T208" i="7"/>
  <c r="C208" i="7"/>
  <c r="X207" i="7"/>
  <c r="W207" i="7"/>
  <c r="T207" i="7"/>
  <c r="C207" i="7"/>
  <c r="X206" i="7"/>
  <c r="T206" i="7"/>
  <c r="W206" i="7" s="1"/>
  <c r="C206" i="7"/>
  <c r="X205" i="7"/>
  <c r="T205" i="7"/>
  <c r="W205" i="7" s="1"/>
  <c r="C205" i="7"/>
  <c r="X204" i="7"/>
  <c r="W204" i="7"/>
  <c r="T204" i="7"/>
  <c r="C204" i="7"/>
  <c r="X203" i="7"/>
  <c r="T203" i="7"/>
  <c r="W203" i="7" s="1"/>
  <c r="C203" i="7"/>
  <c r="X202" i="7"/>
  <c r="T202" i="7"/>
  <c r="W202" i="7" s="1"/>
  <c r="C202" i="7"/>
  <c r="X201" i="7"/>
  <c r="T201" i="7"/>
  <c r="W201" i="7" s="1"/>
  <c r="C201" i="7"/>
  <c r="X200" i="7"/>
  <c r="W200" i="7"/>
  <c r="T200" i="7"/>
  <c r="C200" i="7"/>
  <c r="X199" i="7"/>
  <c r="W199" i="7"/>
  <c r="T199" i="7"/>
  <c r="C199" i="7"/>
  <c r="X198" i="7"/>
  <c r="T198" i="7"/>
  <c r="W198" i="7" s="1"/>
  <c r="C198" i="7"/>
  <c r="X197" i="7"/>
  <c r="T197" i="7"/>
  <c r="W197" i="7" s="1"/>
  <c r="C197" i="7"/>
  <c r="X196" i="7"/>
  <c r="T196" i="7"/>
  <c r="W196" i="7" s="1"/>
  <c r="C196" i="7"/>
  <c r="X195" i="7"/>
  <c r="T195" i="7"/>
  <c r="W195" i="7" s="1"/>
  <c r="C195" i="7"/>
  <c r="X194" i="7"/>
  <c r="W194" i="7"/>
  <c r="T194" i="7"/>
  <c r="C194" i="7"/>
  <c r="X193" i="7"/>
  <c r="T193" i="7"/>
  <c r="W193" i="7" s="1"/>
  <c r="C193" i="7"/>
  <c r="X192" i="7"/>
  <c r="W192" i="7"/>
  <c r="T192" i="7"/>
  <c r="C192" i="7"/>
  <c r="X191" i="7"/>
  <c r="T191" i="7"/>
  <c r="W191" i="7" s="1"/>
  <c r="C191" i="7"/>
  <c r="X190" i="7"/>
  <c r="T190" i="7"/>
  <c r="W190" i="7" s="1"/>
  <c r="C190" i="7"/>
  <c r="X189" i="7"/>
  <c r="T189" i="7"/>
  <c r="W189" i="7" s="1"/>
  <c r="C189" i="7"/>
  <c r="X188" i="7"/>
  <c r="T188" i="7"/>
  <c r="W188" i="7" s="1"/>
  <c r="C188" i="7"/>
  <c r="X187" i="7"/>
  <c r="W187" i="7"/>
  <c r="T187" i="7"/>
  <c r="C187" i="7"/>
  <c r="X186" i="7"/>
  <c r="T186" i="7"/>
  <c r="W186" i="7" s="1"/>
  <c r="C186" i="7"/>
  <c r="X185" i="7"/>
  <c r="T185" i="7"/>
  <c r="W185" i="7" s="1"/>
  <c r="C185" i="7"/>
  <c r="X184" i="7"/>
  <c r="T184" i="7"/>
  <c r="W184" i="7" s="1"/>
  <c r="C184" i="7"/>
  <c r="X183" i="7"/>
  <c r="T183" i="7"/>
  <c r="W183" i="7" s="1"/>
  <c r="C183" i="7"/>
  <c r="X182" i="7"/>
  <c r="T182" i="7"/>
  <c r="W182" i="7" s="1"/>
  <c r="C182" i="7"/>
  <c r="X181" i="7"/>
  <c r="T181" i="7"/>
  <c r="W181" i="7" s="1"/>
  <c r="C181" i="7"/>
  <c r="X180" i="7"/>
  <c r="W180" i="7"/>
  <c r="T180" i="7"/>
  <c r="C180" i="7"/>
  <c r="X179" i="7"/>
  <c r="T179" i="7"/>
  <c r="W179" i="7" s="1"/>
  <c r="C179" i="7"/>
  <c r="X178" i="7"/>
  <c r="W178" i="7"/>
  <c r="T178" i="7"/>
  <c r="C178" i="7"/>
  <c r="X177" i="7"/>
  <c r="T177" i="7"/>
  <c r="W177" i="7" s="1"/>
  <c r="C177" i="7"/>
  <c r="X176" i="7"/>
  <c r="W176" i="7"/>
  <c r="T176" i="7"/>
  <c r="C176" i="7"/>
  <c r="X175" i="7"/>
  <c r="T175" i="7"/>
  <c r="W175" i="7" s="1"/>
  <c r="C175" i="7"/>
  <c r="X174" i="7"/>
  <c r="T174" i="7"/>
  <c r="W174" i="7" s="1"/>
  <c r="C174" i="7"/>
  <c r="X173" i="7"/>
  <c r="T173" i="7"/>
  <c r="W173" i="7" s="1"/>
  <c r="C173" i="7"/>
  <c r="X172" i="7"/>
  <c r="T172" i="7"/>
  <c r="W172" i="7" s="1"/>
  <c r="C172" i="7"/>
  <c r="X171" i="7"/>
  <c r="T171" i="7"/>
  <c r="W171" i="7" s="1"/>
  <c r="C171" i="7"/>
  <c r="X170" i="7"/>
  <c r="T170" i="7"/>
  <c r="W170" i="7" s="1"/>
  <c r="C170" i="7"/>
  <c r="X169" i="7"/>
  <c r="T169" i="7"/>
  <c r="W169" i="7" s="1"/>
  <c r="C169" i="7"/>
  <c r="X168" i="7"/>
  <c r="T168" i="7"/>
  <c r="W168" i="7" s="1"/>
  <c r="C168" i="7"/>
  <c r="X167" i="7"/>
  <c r="T167" i="7"/>
  <c r="W167" i="7" s="1"/>
  <c r="C167" i="7"/>
  <c r="X166" i="7"/>
  <c r="T166" i="7"/>
  <c r="W166" i="7" s="1"/>
  <c r="C166" i="7"/>
  <c r="X165" i="7"/>
  <c r="T165" i="7"/>
  <c r="W165" i="7" s="1"/>
  <c r="C165" i="7"/>
  <c r="X164" i="7"/>
  <c r="T164" i="7"/>
  <c r="W164" i="7" s="1"/>
  <c r="C164" i="7"/>
  <c r="X163" i="7"/>
  <c r="T163" i="7"/>
  <c r="W163" i="7" s="1"/>
  <c r="C163" i="7"/>
  <c r="X162" i="7"/>
  <c r="W162" i="7"/>
  <c r="T162" i="7"/>
  <c r="C162" i="7"/>
  <c r="X161" i="7"/>
  <c r="T161" i="7"/>
  <c r="W161" i="7" s="1"/>
  <c r="C161" i="7"/>
  <c r="X160" i="7"/>
  <c r="T160" i="7"/>
  <c r="W160" i="7" s="1"/>
  <c r="C160" i="7"/>
  <c r="X159" i="7"/>
  <c r="T159" i="7"/>
  <c r="C159" i="7"/>
  <c r="X158" i="7"/>
  <c r="T158" i="7"/>
  <c r="W158" i="7" s="1"/>
  <c r="C158" i="7"/>
  <c r="X157" i="7"/>
  <c r="T157" i="7"/>
  <c r="W157" i="7" s="1"/>
  <c r="C157" i="7"/>
  <c r="X156" i="7"/>
  <c r="T156" i="7"/>
  <c r="W156" i="7" s="1"/>
  <c r="C156" i="7"/>
  <c r="X155" i="7"/>
  <c r="T155" i="7"/>
  <c r="W155" i="7" s="1"/>
  <c r="C155" i="7"/>
  <c r="X154" i="7"/>
  <c r="T154" i="7"/>
  <c r="W154" i="7" s="1"/>
  <c r="C154" i="7"/>
  <c r="X153" i="7"/>
  <c r="T153" i="7"/>
  <c r="W153" i="7" s="1"/>
  <c r="C153" i="7"/>
  <c r="X152" i="7"/>
  <c r="T152" i="7"/>
  <c r="W152" i="7" s="1"/>
  <c r="C152" i="7"/>
  <c r="X151" i="7"/>
  <c r="T151" i="7"/>
  <c r="W151" i="7" s="1"/>
  <c r="C151" i="7"/>
  <c r="X150" i="7"/>
  <c r="T150" i="7"/>
  <c r="W150" i="7" s="1"/>
  <c r="C150" i="7"/>
  <c r="X149" i="7"/>
  <c r="W149" i="7"/>
  <c r="T149" i="7"/>
  <c r="C149" i="7"/>
  <c r="X148" i="7"/>
  <c r="T148" i="7"/>
  <c r="W148" i="7" s="1"/>
  <c r="C148" i="7"/>
  <c r="X147" i="7"/>
  <c r="W147" i="7"/>
  <c r="T147" i="7"/>
  <c r="C147" i="7"/>
  <c r="X146" i="7"/>
  <c r="T146" i="7"/>
  <c r="W146" i="7" s="1"/>
  <c r="C146" i="7"/>
  <c r="X145" i="7"/>
  <c r="T145" i="7"/>
  <c r="W145" i="7" s="1"/>
  <c r="C145" i="7"/>
  <c r="X144" i="7"/>
  <c r="T144" i="7"/>
  <c r="W144" i="7" s="1"/>
  <c r="C144" i="7"/>
  <c r="X143" i="7"/>
  <c r="T143" i="7"/>
  <c r="W143" i="7" s="1"/>
  <c r="C143" i="7"/>
  <c r="X142" i="7"/>
  <c r="W142" i="7"/>
  <c r="T142" i="7"/>
  <c r="C142" i="7"/>
  <c r="X141" i="7"/>
  <c r="T141" i="7"/>
  <c r="W141" i="7" s="1"/>
  <c r="C141" i="7"/>
  <c r="X140" i="7"/>
  <c r="T140" i="7"/>
  <c r="W140" i="7" s="1"/>
  <c r="C140" i="7"/>
  <c r="X139" i="7"/>
  <c r="T139" i="7"/>
  <c r="W139" i="7" s="1"/>
  <c r="C139" i="7"/>
  <c r="X138" i="7"/>
  <c r="T138" i="7"/>
  <c r="W138" i="7" s="1"/>
  <c r="C138" i="7"/>
  <c r="X137" i="7"/>
  <c r="T137" i="7"/>
  <c r="W137" i="7" s="1"/>
  <c r="C137" i="7"/>
  <c r="X136" i="7"/>
  <c r="T136" i="7"/>
  <c r="W136" i="7" s="1"/>
  <c r="C136" i="7"/>
  <c r="X135" i="7"/>
  <c r="T135" i="7"/>
  <c r="W135" i="7" s="1"/>
  <c r="C135" i="7"/>
  <c r="X134" i="7"/>
  <c r="T134" i="7"/>
  <c r="W134" i="7" s="1"/>
  <c r="C134" i="7"/>
  <c r="X133" i="7"/>
  <c r="T133" i="7"/>
  <c r="W133" i="7" s="1"/>
  <c r="C133" i="7"/>
  <c r="X132" i="7"/>
  <c r="T132" i="7"/>
  <c r="W132" i="7" s="1"/>
  <c r="C132" i="7"/>
  <c r="X131" i="7"/>
  <c r="W131" i="7"/>
  <c r="T131" i="7"/>
  <c r="C131" i="7"/>
  <c r="X130" i="7"/>
  <c r="T130" i="7"/>
  <c r="W130" i="7" s="1"/>
  <c r="C130" i="7"/>
  <c r="X129" i="7"/>
  <c r="T129" i="7"/>
  <c r="W129" i="7" s="1"/>
  <c r="C129" i="7"/>
  <c r="X128" i="7"/>
  <c r="T128" i="7"/>
  <c r="W128" i="7" s="1"/>
  <c r="C128" i="7"/>
  <c r="X127" i="7"/>
  <c r="W127" i="7"/>
  <c r="T127" i="7"/>
  <c r="C127" i="7"/>
  <c r="X126" i="7"/>
  <c r="W126" i="7"/>
  <c r="T126" i="7"/>
  <c r="C126" i="7"/>
  <c r="X125" i="7"/>
  <c r="T125" i="7"/>
  <c r="W125" i="7" s="1"/>
  <c r="C125" i="7"/>
  <c r="X124" i="7"/>
  <c r="T124" i="7"/>
  <c r="W124" i="7" s="1"/>
  <c r="C124" i="7"/>
  <c r="X123" i="7"/>
  <c r="T123" i="7"/>
  <c r="W123" i="7" s="1"/>
  <c r="C123" i="7"/>
  <c r="X122" i="7"/>
  <c r="W122" i="7"/>
  <c r="T122" i="7"/>
  <c r="C122" i="7"/>
  <c r="X121" i="7"/>
  <c r="T121" i="7"/>
  <c r="W121" i="7" s="1"/>
  <c r="C121" i="7"/>
  <c r="X120" i="7"/>
  <c r="T120" i="7"/>
  <c r="W120" i="7" s="1"/>
  <c r="C120" i="7"/>
  <c r="X119" i="7"/>
  <c r="T119" i="7"/>
  <c r="W119" i="7" s="1"/>
  <c r="C119" i="7"/>
  <c r="X118" i="7"/>
  <c r="T118" i="7"/>
  <c r="W118" i="7" s="1"/>
  <c r="C118" i="7"/>
  <c r="X117" i="7"/>
  <c r="W117" i="7"/>
  <c r="T117" i="7"/>
  <c r="C117" i="7"/>
  <c r="X116" i="7"/>
  <c r="T116" i="7"/>
  <c r="W116" i="7" s="1"/>
  <c r="C116" i="7"/>
  <c r="X115" i="7"/>
  <c r="W115" i="7"/>
  <c r="T115" i="7"/>
  <c r="C115" i="7"/>
  <c r="X114" i="7"/>
  <c r="T114" i="7"/>
  <c r="W114" i="7" s="1"/>
  <c r="C114" i="7"/>
  <c r="X113" i="7"/>
  <c r="T113" i="7"/>
  <c r="W113" i="7" s="1"/>
  <c r="C113" i="7"/>
  <c r="X112" i="7"/>
  <c r="T112" i="7"/>
  <c r="W112" i="7" s="1"/>
  <c r="C112" i="7"/>
  <c r="X111" i="7"/>
  <c r="T111" i="7"/>
  <c r="W111" i="7" s="1"/>
  <c r="C111" i="7"/>
  <c r="X110" i="7"/>
  <c r="W110" i="7"/>
  <c r="T110" i="7"/>
  <c r="C110" i="7"/>
  <c r="X109" i="7"/>
  <c r="T109" i="7"/>
  <c r="W109" i="7" s="1"/>
  <c r="C109" i="7"/>
  <c r="X108" i="7"/>
  <c r="T108" i="7"/>
  <c r="C108" i="7"/>
  <c r="X107" i="7"/>
  <c r="T107" i="7"/>
  <c r="W107" i="7" s="1"/>
  <c r="C107" i="7"/>
  <c r="X106" i="7"/>
  <c r="T106" i="7"/>
  <c r="W106" i="7" s="1"/>
  <c r="C106" i="7"/>
  <c r="X105" i="7"/>
  <c r="T105" i="7"/>
  <c r="W105" i="7" s="1"/>
  <c r="C105" i="7"/>
  <c r="X104" i="7"/>
  <c r="T104" i="7"/>
  <c r="W104" i="7" s="1"/>
  <c r="C104" i="7"/>
  <c r="X103" i="7"/>
  <c r="T103" i="7"/>
  <c r="W103" i="7" s="1"/>
  <c r="C103" i="7"/>
  <c r="X102" i="7"/>
  <c r="T102" i="7"/>
  <c r="W102" i="7" s="1"/>
  <c r="C102" i="7"/>
  <c r="X101" i="7"/>
  <c r="W101" i="7"/>
  <c r="T101" i="7"/>
  <c r="C101" i="7"/>
  <c r="X100" i="7"/>
  <c r="T100" i="7"/>
  <c r="W100" i="7" s="1"/>
  <c r="C100" i="7"/>
  <c r="X99" i="7"/>
  <c r="T99" i="7"/>
  <c r="W99" i="7" s="1"/>
  <c r="C99" i="7"/>
  <c r="X98" i="7"/>
  <c r="T98" i="7"/>
  <c r="W98" i="7" s="1"/>
  <c r="C98" i="7"/>
  <c r="X97" i="7"/>
  <c r="T97" i="7"/>
  <c r="W97" i="7" s="1"/>
  <c r="C97" i="7"/>
  <c r="X96" i="7"/>
  <c r="T96" i="7"/>
  <c r="W96" i="7" s="1"/>
  <c r="C96" i="7"/>
  <c r="X95" i="7"/>
  <c r="T95" i="7"/>
  <c r="W95" i="7" s="1"/>
  <c r="C95" i="7"/>
  <c r="X94" i="7"/>
  <c r="T94" i="7"/>
  <c r="W94" i="7" s="1"/>
  <c r="C94" i="7"/>
  <c r="X93" i="7"/>
  <c r="T93" i="7"/>
  <c r="W93" i="7" s="1"/>
  <c r="C93" i="7"/>
  <c r="X92" i="7"/>
  <c r="T92" i="7"/>
  <c r="W92" i="7" s="1"/>
  <c r="C92" i="7"/>
  <c r="X91" i="7"/>
  <c r="T91" i="7"/>
  <c r="W91" i="7" s="1"/>
  <c r="C91" i="7"/>
  <c r="X90" i="7"/>
  <c r="T90" i="7"/>
  <c r="W90" i="7" s="1"/>
  <c r="C90" i="7"/>
  <c r="X89" i="7"/>
  <c r="T89" i="7"/>
  <c r="W89" i="7" s="1"/>
  <c r="C89" i="7"/>
  <c r="X88" i="7"/>
  <c r="T88" i="7"/>
  <c r="W88" i="7" s="1"/>
  <c r="C88" i="7"/>
  <c r="X87" i="7"/>
  <c r="W87" i="7"/>
  <c r="T87" i="7"/>
  <c r="C87" i="7"/>
  <c r="X86" i="7"/>
  <c r="T86" i="7"/>
  <c r="C86" i="7"/>
  <c r="X85" i="7"/>
  <c r="T85" i="7"/>
  <c r="W85" i="7" s="1"/>
  <c r="C85" i="7"/>
  <c r="X84" i="7"/>
  <c r="T84" i="7"/>
  <c r="W84" i="7" s="1"/>
  <c r="C84" i="7"/>
  <c r="X83" i="7"/>
  <c r="W83" i="7"/>
  <c r="T83" i="7"/>
  <c r="C83" i="7"/>
  <c r="X82" i="7"/>
  <c r="T82" i="7"/>
  <c r="W82" i="7" s="1"/>
  <c r="C82" i="7"/>
  <c r="X81" i="7"/>
  <c r="T81" i="7"/>
  <c r="W81" i="7" s="1"/>
  <c r="C81" i="7"/>
  <c r="X80" i="7"/>
  <c r="T80" i="7"/>
  <c r="W80" i="7" s="1"/>
  <c r="C80" i="7"/>
  <c r="X79" i="7"/>
  <c r="T79" i="7"/>
  <c r="W79" i="7" s="1"/>
  <c r="C79" i="7"/>
  <c r="X78" i="7"/>
  <c r="W78" i="7"/>
  <c r="T78" i="7"/>
  <c r="C78" i="7"/>
  <c r="X77" i="7"/>
  <c r="T77" i="7"/>
  <c r="W77" i="7" s="1"/>
  <c r="C77" i="7"/>
  <c r="X76" i="7"/>
  <c r="T76" i="7"/>
  <c r="W76" i="7" s="1"/>
  <c r="C76" i="7"/>
  <c r="X75" i="7"/>
  <c r="T75" i="7"/>
  <c r="W75" i="7" s="1"/>
  <c r="C75" i="7"/>
  <c r="X74" i="7"/>
  <c r="T74" i="7"/>
  <c r="W74" i="7" s="1"/>
  <c r="C74" i="7"/>
  <c r="X73" i="7"/>
  <c r="T73" i="7"/>
  <c r="W73" i="7" s="1"/>
  <c r="C73" i="7"/>
  <c r="X72" i="7"/>
  <c r="T72" i="7"/>
  <c r="W72" i="7" s="1"/>
  <c r="C72" i="7"/>
  <c r="X71" i="7"/>
  <c r="T71" i="7"/>
  <c r="W71" i="7" s="1"/>
  <c r="C71" i="7"/>
  <c r="X70" i="7"/>
  <c r="T70" i="7"/>
  <c r="W70" i="7" s="1"/>
  <c r="C70" i="7"/>
  <c r="X69" i="7"/>
  <c r="T69" i="7"/>
  <c r="W69" i="7" s="1"/>
  <c r="C69" i="7"/>
  <c r="X68" i="7"/>
  <c r="T68" i="7"/>
  <c r="W68" i="7" s="1"/>
  <c r="C68" i="7"/>
  <c r="X67" i="7"/>
  <c r="T67" i="7"/>
  <c r="W67" i="7" s="1"/>
  <c r="C67" i="7"/>
  <c r="X66" i="7"/>
  <c r="W66" i="7"/>
  <c r="T66" i="7"/>
  <c r="C66" i="7"/>
  <c r="X65" i="7"/>
  <c r="T65" i="7"/>
  <c r="W65" i="7" s="1"/>
  <c r="C65" i="7"/>
  <c r="X64" i="7"/>
  <c r="T64" i="7"/>
  <c r="W64" i="7" s="1"/>
  <c r="C64" i="7"/>
  <c r="X63" i="7"/>
  <c r="T63" i="7"/>
  <c r="W63" i="7" s="1"/>
  <c r="C63" i="7"/>
  <c r="X62" i="7"/>
  <c r="T62" i="7"/>
  <c r="W62" i="7" s="1"/>
  <c r="C62" i="7"/>
  <c r="X61" i="7"/>
  <c r="T61" i="7"/>
  <c r="W61" i="7" s="1"/>
  <c r="C61" i="7"/>
  <c r="X60" i="7"/>
  <c r="T60" i="7"/>
  <c r="W60" i="7" s="1"/>
  <c r="C60" i="7"/>
  <c r="X59" i="7"/>
  <c r="T59" i="7"/>
  <c r="W59" i="7" s="1"/>
  <c r="C59" i="7"/>
  <c r="X58" i="7"/>
  <c r="T58" i="7"/>
  <c r="W58" i="7" s="1"/>
  <c r="C58" i="7"/>
  <c r="X57" i="7"/>
  <c r="T57" i="7"/>
  <c r="W57" i="7" s="1"/>
  <c r="C57" i="7"/>
  <c r="X56" i="7"/>
  <c r="T56" i="7"/>
  <c r="C56" i="7"/>
  <c r="X55" i="7"/>
  <c r="W55" i="7"/>
  <c r="T55" i="7"/>
  <c r="C55" i="7"/>
  <c r="X54" i="7"/>
  <c r="T54" i="7"/>
  <c r="W54" i="7" s="1"/>
  <c r="C54" i="7"/>
  <c r="X53" i="7"/>
  <c r="W53" i="7"/>
  <c r="T53" i="7"/>
  <c r="C53" i="7"/>
  <c r="X52" i="7"/>
  <c r="T52" i="7"/>
  <c r="W52" i="7" s="1"/>
  <c r="C52" i="7"/>
  <c r="X51" i="7"/>
  <c r="T51" i="7"/>
  <c r="W51" i="7" s="1"/>
  <c r="C51" i="7"/>
  <c r="X50" i="7"/>
  <c r="T50" i="7"/>
  <c r="W50" i="7" s="1"/>
  <c r="C50" i="7"/>
  <c r="X49" i="7"/>
  <c r="T49" i="7"/>
  <c r="W49" i="7" s="1"/>
  <c r="C49" i="7"/>
  <c r="X48" i="7"/>
  <c r="T48" i="7"/>
  <c r="W48" i="7" s="1"/>
  <c r="C48" i="7"/>
  <c r="X47" i="7"/>
  <c r="T47" i="7"/>
  <c r="W47" i="7" s="1"/>
  <c r="C47" i="7"/>
  <c r="X46" i="7"/>
  <c r="T46" i="7"/>
  <c r="W46" i="7" s="1"/>
  <c r="C46" i="7"/>
  <c r="X45" i="7"/>
  <c r="W45" i="7"/>
  <c r="T45" i="7"/>
  <c r="C45" i="7"/>
  <c r="X44" i="7"/>
  <c r="T44" i="7"/>
  <c r="W44" i="7" s="1"/>
  <c r="C44" i="7"/>
  <c r="X43" i="7"/>
  <c r="T43" i="7"/>
  <c r="W43" i="7" s="1"/>
  <c r="C43" i="7"/>
  <c r="X42" i="7"/>
  <c r="T42" i="7"/>
  <c r="W42" i="7" s="1"/>
  <c r="C42" i="7"/>
  <c r="X41" i="7"/>
  <c r="T41" i="7"/>
  <c r="W41" i="7" s="1"/>
  <c r="C41" i="7"/>
  <c r="X40" i="7"/>
  <c r="T40" i="7"/>
  <c r="W40" i="7" s="1"/>
  <c r="C40" i="7"/>
  <c r="X39" i="7"/>
  <c r="T39" i="7"/>
  <c r="W39" i="7" s="1"/>
  <c r="C39" i="7"/>
  <c r="X38" i="7"/>
  <c r="T38" i="7"/>
  <c r="W38" i="7" s="1"/>
  <c r="C38" i="7"/>
  <c r="X37" i="7"/>
  <c r="T37" i="7"/>
  <c r="W37" i="7" s="1"/>
  <c r="C37" i="7"/>
  <c r="X36" i="7"/>
  <c r="T36" i="7"/>
  <c r="W36" i="7" s="1"/>
  <c r="C36" i="7"/>
  <c r="X35" i="7"/>
  <c r="T35" i="7"/>
  <c r="W35" i="7" s="1"/>
  <c r="C35" i="7"/>
  <c r="X34" i="7"/>
  <c r="T34" i="7"/>
  <c r="W34" i="7" s="1"/>
  <c r="C34" i="7"/>
  <c r="X33" i="7"/>
  <c r="T33" i="7"/>
  <c r="W33" i="7" s="1"/>
  <c r="C33" i="7"/>
  <c r="X32" i="7"/>
  <c r="T32" i="7"/>
  <c r="W32" i="7" s="1"/>
  <c r="C32" i="7"/>
  <c r="X31" i="7"/>
  <c r="W31" i="7"/>
  <c r="T31" i="7"/>
  <c r="C31" i="7"/>
  <c r="X30" i="7"/>
  <c r="W30" i="7"/>
  <c r="T30" i="7"/>
  <c r="C30" i="7"/>
  <c r="X29" i="7"/>
  <c r="T29" i="7"/>
  <c r="C29" i="7"/>
  <c r="X28" i="7"/>
  <c r="W28" i="7"/>
  <c r="T28" i="7"/>
  <c r="C28" i="7"/>
  <c r="X27" i="7"/>
  <c r="T27" i="7"/>
  <c r="W27" i="7" s="1"/>
  <c r="C27" i="7"/>
  <c r="X26" i="7"/>
  <c r="T26" i="7"/>
  <c r="C26" i="7"/>
  <c r="X25" i="7"/>
  <c r="T25" i="7"/>
  <c r="W25" i="7" s="1"/>
  <c r="C25" i="7"/>
  <c r="X24" i="7"/>
  <c r="T24" i="7"/>
  <c r="C24" i="7"/>
  <c r="X23" i="7"/>
  <c r="T23" i="7"/>
  <c r="W23" i="7" s="1"/>
  <c r="C23" i="7"/>
  <c r="X22" i="7"/>
  <c r="T22" i="7"/>
  <c r="W22" i="7" s="1"/>
  <c r="C22" i="7"/>
  <c r="X21" i="7"/>
  <c r="T21" i="7"/>
  <c r="W21" i="7" s="1"/>
  <c r="C21" i="7"/>
  <c r="X20" i="7"/>
  <c r="T20" i="7"/>
  <c r="W20" i="7" s="1"/>
  <c r="C20" i="7"/>
  <c r="X19" i="7"/>
  <c r="T19" i="7"/>
  <c r="W19" i="7" s="1"/>
  <c r="C19" i="7"/>
  <c r="X18" i="7"/>
  <c r="T18" i="7"/>
  <c r="C18" i="7"/>
  <c r="X17" i="7"/>
  <c r="T17" i="7"/>
  <c r="W17" i="7" s="1"/>
  <c r="C17" i="7"/>
  <c r="X16" i="7"/>
  <c r="W16" i="7"/>
  <c r="T16" i="7"/>
  <c r="C16" i="7"/>
  <c r="X15" i="7"/>
  <c r="T15" i="7"/>
  <c r="W15" i="7" s="1"/>
  <c r="C15" i="7"/>
  <c r="X14" i="7"/>
  <c r="W14" i="7"/>
  <c r="T14" i="7"/>
  <c r="C14" i="7"/>
  <c r="X13" i="7"/>
  <c r="T13" i="7"/>
  <c r="C13" i="7"/>
  <c r="X12" i="7"/>
  <c r="W12" i="7"/>
  <c r="T12" i="7"/>
  <c r="C12" i="7"/>
  <c r="X11" i="7"/>
  <c r="T11" i="7"/>
  <c r="W11" i="7" s="1"/>
  <c r="C11" i="7"/>
  <c r="X10" i="7"/>
  <c r="T10" i="7"/>
  <c r="W10" i="7" s="1"/>
  <c r="C10" i="7"/>
  <c r="X9" i="7"/>
  <c r="W9" i="7"/>
  <c r="T9" i="7"/>
  <c r="C9" i="7"/>
  <c r="X8" i="7"/>
  <c r="T8" i="7"/>
  <c r="W8" i="7" s="1"/>
  <c r="C8" i="7"/>
  <c r="X7" i="7"/>
  <c r="W7" i="7"/>
  <c r="T7" i="7"/>
  <c r="C7" i="7"/>
  <c r="X6" i="7"/>
  <c r="T6" i="7"/>
  <c r="W6" i="7" s="1"/>
  <c r="C6" i="7"/>
  <c r="X5" i="7"/>
  <c r="T5" i="7"/>
  <c r="W5" i="7" s="1"/>
  <c r="C5" i="7"/>
  <c r="X4" i="7"/>
  <c r="T4" i="7"/>
  <c r="W4" i="7" s="1"/>
  <c r="C4" i="7"/>
  <c r="X3" i="7"/>
  <c r="T3" i="7"/>
  <c r="W3" i="7" s="1"/>
  <c r="C3" i="7"/>
  <c r="X2" i="7"/>
  <c r="T2" i="7"/>
  <c r="W2" i="7" s="1"/>
  <c r="C2" i="7"/>
  <c r="B50" i="1" s="1"/>
  <c r="B52" i="1" s="1"/>
  <c r="G63" i="5"/>
  <c r="H63" i="5" s="1"/>
  <c r="F63" i="5"/>
  <c r="J60" i="5"/>
  <c r="J62" i="5" s="1"/>
  <c r="F62" i="5" s="1"/>
  <c r="G62" i="5" s="1"/>
  <c r="H62" i="5" s="1"/>
  <c r="G59" i="5"/>
  <c r="G64" i="5" s="1"/>
  <c r="H64" i="5" s="1"/>
  <c r="H57" i="5"/>
  <c r="H56" i="5"/>
  <c r="H55" i="5"/>
  <c r="H54" i="5"/>
  <c r="H53" i="5"/>
  <c r="G47" i="5"/>
  <c r="F46" i="5"/>
  <c r="E46" i="5"/>
  <c r="D46" i="5"/>
  <c r="G45" i="5"/>
  <c r="G37" i="5"/>
  <c r="G36" i="5"/>
  <c r="G35" i="5"/>
  <c r="G34" i="5"/>
  <c r="G33" i="5"/>
  <c r="J28" i="5"/>
  <c r="F27" i="5"/>
  <c r="D27" i="5"/>
  <c r="G27" i="5" s="1"/>
  <c r="D58" i="15" s="1"/>
  <c r="D26" i="5"/>
  <c r="G26" i="5" s="1"/>
  <c r="D57" i="15" s="1"/>
  <c r="F24" i="5"/>
  <c r="N17" i="5"/>
  <c r="O16" i="5"/>
  <c r="O15" i="5"/>
  <c r="D15" i="5"/>
  <c r="G15" i="5" s="1"/>
  <c r="D50" i="15" s="1"/>
  <c r="O14" i="5"/>
  <c r="O13" i="5"/>
  <c r="Q12" i="5"/>
  <c r="R12" i="5" s="1"/>
  <c r="O12" i="5"/>
  <c r="O11" i="5"/>
  <c r="O10" i="5"/>
  <c r="F10" i="5"/>
  <c r="O9" i="5"/>
  <c r="F9" i="5"/>
  <c r="O8" i="5"/>
  <c r="F8" i="5"/>
  <c r="D8" i="5"/>
  <c r="O7" i="5"/>
  <c r="F7" i="5"/>
  <c r="O6" i="5"/>
  <c r="Q5" i="5"/>
  <c r="D12" i="5" s="1"/>
  <c r="K12" i="5" s="1"/>
  <c r="O5" i="5"/>
  <c r="O4" i="5"/>
  <c r="F4" i="5"/>
  <c r="AE227" i="4"/>
  <c r="O227" i="4"/>
  <c r="AR227" i="4" s="1"/>
  <c r="AE226" i="4"/>
  <c r="AF226" i="4" s="1"/>
  <c r="O226" i="4"/>
  <c r="AR226" i="4" s="1"/>
  <c r="AE224" i="4"/>
  <c r="AF224" i="4" s="1"/>
  <c r="O224" i="4"/>
  <c r="AE223" i="4"/>
  <c r="AF223" i="4" s="1"/>
  <c r="O223" i="4"/>
  <c r="AQ223" i="4" s="1"/>
  <c r="AR222" i="4"/>
  <c r="AQ222" i="4"/>
  <c r="AF222" i="4"/>
  <c r="AE222" i="4"/>
  <c r="O222" i="4"/>
  <c r="AR221" i="4"/>
  <c r="AE221" i="4"/>
  <c r="O221" i="4"/>
  <c r="AQ221" i="4" s="1"/>
  <c r="AE220" i="4"/>
  <c r="AF220" i="4" s="1"/>
  <c r="O220" i="4"/>
  <c r="AQ220" i="4" s="1"/>
  <c r="AE219" i="4"/>
  <c r="AF219" i="4" s="1"/>
  <c r="O219" i="4"/>
  <c r="AR219" i="4" s="1"/>
  <c r="AQ218" i="4"/>
  <c r="AE218" i="4"/>
  <c r="O218" i="4"/>
  <c r="AR218" i="4" s="1"/>
  <c r="AE217" i="4"/>
  <c r="AF217" i="4" s="1"/>
  <c r="O217" i="4"/>
  <c r="AR217" i="4" s="1"/>
  <c r="AF216" i="4"/>
  <c r="AE216" i="4"/>
  <c r="O216" i="4"/>
  <c r="AQ216" i="4" s="1"/>
  <c r="AE214" i="4"/>
  <c r="AF214" i="4" s="1"/>
  <c r="O214" i="4"/>
  <c r="AR214" i="4" s="1"/>
  <c r="AE213" i="4"/>
  <c r="O213" i="4"/>
  <c r="AQ213" i="4" s="1"/>
  <c r="AE212" i="4"/>
  <c r="O212" i="4"/>
  <c r="AR212" i="4" s="1"/>
  <c r="AE211" i="4"/>
  <c r="O211" i="4"/>
  <c r="AR209" i="4"/>
  <c r="AE209" i="4"/>
  <c r="AF209" i="4" s="1"/>
  <c r="O209" i="4"/>
  <c r="AQ209" i="4" s="1"/>
  <c r="AE208" i="4"/>
  <c r="AF208" i="4" s="1"/>
  <c r="O208" i="4"/>
  <c r="AE206" i="4"/>
  <c r="O206" i="4"/>
  <c r="AO205" i="4"/>
  <c r="AN205" i="4"/>
  <c r="AM205" i="4"/>
  <c r="AL205" i="4"/>
  <c r="AK205" i="4"/>
  <c r="AI205" i="4"/>
  <c r="AH205" i="4"/>
  <c r="AG205" i="4"/>
  <c r="AE204" i="4"/>
  <c r="O204" i="4"/>
  <c r="AR204" i="4" s="1"/>
  <c r="AE203" i="4"/>
  <c r="O203" i="4"/>
  <c r="AR203" i="4" s="1"/>
  <c r="AN202" i="4"/>
  <c r="AM202" i="4"/>
  <c r="AL202" i="4"/>
  <c r="AK202" i="4"/>
  <c r="AO202" i="4" s="1"/>
  <c r="AI202" i="4"/>
  <c r="AH202" i="4"/>
  <c r="AG202" i="4"/>
  <c r="AE201" i="4"/>
  <c r="O201" i="4"/>
  <c r="AR201" i="4" s="1"/>
  <c r="AE200" i="4"/>
  <c r="O200" i="4"/>
  <c r="AE199" i="4"/>
  <c r="AF199" i="4" s="1"/>
  <c r="O199" i="4"/>
  <c r="AQ198" i="4"/>
  <c r="AE198" i="4"/>
  <c r="AF198" i="4" s="1"/>
  <c r="O198" i="4"/>
  <c r="AR198" i="4" s="1"/>
  <c r="AQ196" i="4"/>
  <c r="AE196" i="4"/>
  <c r="O196" i="4"/>
  <c r="AR196" i="4" s="1"/>
  <c r="AR194" i="4"/>
  <c r="AQ194" i="4"/>
  <c r="AF194" i="4"/>
  <c r="AE194" i="4"/>
  <c r="O194" i="4"/>
  <c r="AE193" i="4"/>
  <c r="O193" i="4"/>
  <c r="AR191" i="4"/>
  <c r="AQ191" i="4"/>
  <c r="AF191" i="4"/>
  <c r="AE191" i="4"/>
  <c r="O191" i="4"/>
  <c r="AE189" i="4"/>
  <c r="AF189" i="4" s="1"/>
  <c r="O189" i="4"/>
  <c r="AR189" i="4" s="1"/>
  <c r="AR188" i="4"/>
  <c r="AQ188" i="4"/>
  <c r="AE188" i="4"/>
  <c r="AF188" i="4" s="1"/>
  <c r="O188" i="4"/>
  <c r="AE187" i="4"/>
  <c r="AF187" i="4" s="1"/>
  <c r="O187" i="4"/>
  <c r="AE186" i="4"/>
  <c r="O186" i="4"/>
  <c r="AR186" i="4" s="1"/>
  <c r="AE185" i="4"/>
  <c r="O185" i="4"/>
  <c r="AR185" i="4" s="1"/>
  <c r="AQ183" i="4"/>
  <c r="AE183" i="4"/>
  <c r="AF183" i="4" s="1"/>
  <c r="O183" i="4"/>
  <c r="AR183" i="4" s="1"/>
  <c r="AF182" i="4"/>
  <c r="AE182" i="4"/>
  <c r="O182" i="4"/>
  <c r="AR182" i="4" s="1"/>
  <c r="AE181" i="4"/>
  <c r="AF181" i="4" s="1"/>
  <c r="O181" i="4"/>
  <c r="AQ181" i="4" s="1"/>
  <c r="AE179" i="4"/>
  <c r="O179" i="4"/>
  <c r="AE178" i="4"/>
  <c r="AF178" i="4" s="1"/>
  <c r="O178" i="4"/>
  <c r="AE177" i="4"/>
  <c r="AF177" i="4" s="1"/>
  <c r="O177" i="4"/>
  <c r="AF175" i="4"/>
  <c r="AE174" i="4"/>
  <c r="O174" i="4"/>
  <c r="AQ174" i="4" s="1"/>
  <c r="AE173" i="4"/>
  <c r="O173" i="4"/>
  <c r="AR173" i="4" s="1"/>
  <c r="AR172" i="4"/>
  <c r="AQ172" i="4"/>
  <c r="AE172" i="4"/>
  <c r="AF172" i="4" s="1"/>
  <c r="O172" i="4"/>
  <c r="AE171" i="4"/>
  <c r="O171" i="4"/>
  <c r="AQ171" i="4" s="1"/>
  <c r="AR170" i="4"/>
  <c r="AE170" i="4"/>
  <c r="AF170" i="4" s="1"/>
  <c r="O170" i="4"/>
  <c r="AQ170" i="4" s="1"/>
  <c r="AF169" i="4"/>
  <c r="AE169" i="4"/>
  <c r="O169" i="4"/>
  <c r="AR169" i="4" s="1"/>
  <c r="AE168" i="4"/>
  <c r="AF168" i="4" s="1"/>
  <c r="O168" i="4"/>
  <c r="AR168" i="4" s="1"/>
  <c r="AR167" i="4"/>
  <c r="AQ167" i="4"/>
  <c r="AE167" i="4"/>
  <c r="O167" i="4"/>
  <c r="AR166" i="4"/>
  <c r="AQ166" i="4"/>
  <c r="AE166" i="4"/>
  <c r="O166" i="4"/>
  <c r="AR165" i="4"/>
  <c r="AF165" i="4"/>
  <c r="AE165" i="4"/>
  <c r="O165" i="4"/>
  <c r="AQ165" i="4" s="1"/>
  <c r="AE164" i="4"/>
  <c r="AF164" i="4" s="1"/>
  <c r="O164" i="4"/>
  <c r="AR164" i="4" s="1"/>
  <c r="AE163" i="4"/>
  <c r="AF163" i="4" s="1"/>
  <c r="O163" i="4"/>
  <c r="AQ163" i="4" s="1"/>
  <c r="AE162" i="4"/>
  <c r="AF162" i="4" s="1"/>
  <c r="O162" i="4"/>
  <c r="AR162" i="4" s="1"/>
  <c r="AE161" i="4"/>
  <c r="O161" i="4"/>
  <c r="AR161" i="4" s="1"/>
  <c r="AE160" i="4"/>
  <c r="AF160" i="4" s="1"/>
  <c r="O160" i="4"/>
  <c r="AR160" i="4" s="1"/>
  <c r="AE159" i="4"/>
  <c r="O159" i="4"/>
  <c r="AR158" i="4"/>
  <c r="AQ158" i="4"/>
  <c r="AE158" i="4"/>
  <c r="O158" i="4"/>
  <c r="AR157" i="4"/>
  <c r="AQ157" i="4"/>
  <c r="AE157" i="4"/>
  <c r="O157" i="4"/>
  <c r="AE156" i="4"/>
  <c r="O156" i="4"/>
  <c r="AR156" i="4" s="1"/>
  <c r="AE155" i="4"/>
  <c r="O155" i="4"/>
  <c r="AR155" i="4" s="1"/>
  <c r="AE154" i="4"/>
  <c r="O154" i="4"/>
  <c r="AE153" i="4"/>
  <c r="AF153" i="4" s="1"/>
  <c r="O153" i="4"/>
  <c r="AR153" i="4" s="1"/>
  <c r="AE152" i="4"/>
  <c r="AF152" i="4" s="1"/>
  <c r="O152" i="4"/>
  <c r="AQ152" i="4" s="1"/>
  <c r="AE151" i="4"/>
  <c r="AF151" i="4" s="1"/>
  <c r="O151" i="4"/>
  <c r="AQ151" i="4" s="1"/>
  <c r="AF150" i="4"/>
  <c r="AE150" i="4"/>
  <c r="O150" i="4"/>
  <c r="AR150" i="4" s="1"/>
  <c r="AE149" i="4"/>
  <c r="AF149" i="4" s="1"/>
  <c r="O149" i="4"/>
  <c r="AE148" i="4"/>
  <c r="AF148" i="4" s="1"/>
  <c r="O148" i="4"/>
  <c r="AR148" i="4" s="1"/>
  <c r="AE147" i="4"/>
  <c r="O147" i="4"/>
  <c r="AR147" i="4" s="1"/>
  <c r="AF146" i="4"/>
  <c r="AE146" i="4"/>
  <c r="O146" i="4"/>
  <c r="AE145" i="4"/>
  <c r="AF145" i="4" s="1"/>
  <c r="O145" i="4"/>
  <c r="AR145" i="4" s="1"/>
  <c r="AR144" i="4"/>
  <c r="AE144" i="4"/>
  <c r="O144" i="4"/>
  <c r="AQ144" i="4" s="1"/>
  <c r="AE143" i="4"/>
  <c r="AF143" i="4" s="1"/>
  <c r="O143" i="4"/>
  <c r="AF142" i="4"/>
  <c r="AE142" i="4"/>
  <c r="O142" i="4"/>
  <c r="AR142" i="4" s="1"/>
  <c r="F142" i="4"/>
  <c r="AE140" i="4"/>
  <c r="O140" i="4"/>
  <c r="AQ140" i="4" s="1"/>
  <c r="AE139" i="4"/>
  <c r="AF139" i="4" s="1"/>
  <c r="O139" i="4"/>
  <c r="AR139" i="4" s="1"/>
  <c r="AR138" i="4"/>
  <c r="AE138" i="4"/>
  <c r="O138" i="4"/>
  <c r="AQ138" i="4" s="1"/>
  <c r="AE137" i="4"/>
  <c r="O137" i="4"/>
  <c r="F137" i="4"/>
  <c r="AE135" i="4"/>
  <c r="O135" i="4"/>
  <c r="AF133" i="4"/>
  <c r="AE133" i="4"/>
  <c r="O133" i="4"/>
  <c r="AQ133" i="4" s="1"/>
  <c r="AR132" i="4"/>
  <c r="AQ132" i="4"/>
  <c r="AE132" i="4"/>
  <c r="AF132" i="4" s="1"/>
  <c r="O132" i="4"/>
  <c r="AE131" i="4"/>
  <c r="O131" i="4"/>
  <c r="AE130" i="4"/>
  <c r="O130" i="4"/>
  <c r="AQ130" i="4" s="1"/>
  <c r="AE129" i="4"/>
  <c r="AF129" i="4" s="1"/>
  <c r="O129" i="4"/>
  <c r="AR129" i="4" s="1"/>
  <c r="AE128" i="4"/>
  <c r="O128" i="4"/>
  <c r="AR128" i="4" s="1"/>
  <c r="AE127" i="4"/>
  <c r="AF127" i="4" s="1"/>
  <c r="O127" i="4"/>
  <c r="AR127" i="4" s="1"/>
  <c r="AE126" i="4"/>
  <c r="O126" i="4"/>
  <c r="AQ125" i="4"/>
  <c r="AE125" i="4"/>
  <c r="O125" i="4"/>
  <c r="AR125" i="4" s="1"/>
  <c r="AE124" i="4"/>
  <c r="AF124" i="4" s="1"/>
  <c r="O124" i="4"/>
  <c r="AR124" i="4" s="1"/>
  <c r="AE123" i="4"/>
  <c r="O123" i="4"/>
  <c r="AE122" i="4"/>
  <c r="AF122" i="4" s="1"/>
  <c r="O122" i="4"/>
  <c r="AR122" i="4" s="1"/>
  <c r="AE120" i="4"/>
  <c r="O120" i="4"/>
  <c r="AQ120" i="4" s="1"/>
  <c r="AE119" i="4"/>
  <c r="AF119" i="4" s="1"/>
  <c r="O119" i="4"/>
  <c r="AQ119" i="4" s="1"/>
  <c r="AE118" i="4"/>
  <c r="AF118" i="4" s="1"/>
  <c r="O118" i="4"/>
  <c r="AR118" i="4" s="1"/>
  <c r="AE117" i="4"/>
  <c r="AF117" i="4" s="1"/>
  <c r="O117" i="4"/>
  <c r="AR117" i="4" s="1"/>
  <c r="AR116" i="4"/>
  <c r="AE116" i="4"/>
  <c r="O116" i="4"/>
  <c r="AQ116" i="4" s="1"/>
  <c r="AE115" i="4"/>
  <c r="O115" i="4"/>
  <c r="AR115" i="4" s="1"/>
  <c r="AF114" i="4"/>
  <c r="AE114" i="4"/>
  <c r="O114" i="4"/>
  <c r="AR114" i="4" s="1"/>
  <c r="F114" i="4"/>
  <c r="AE112" i="4"/>
  <c r="AF112" i="4" s="1"/>
  <c r="O112" i="4"/>
  <c r="AE111" i="4"/>
  <c r="O111" i="4"/>
  <c r="AQ111" i="4" s="1"/>
  <c r="AE110" i="4"/>
  <c r="AF110" i="4" s="1"/>
  <c r="O110" i="4"/>
  <c r="AR110" i="4" s="1"/>
  <c r="AR109" i="4"/>
  <c r="AQ109" i="4"/>
  <c r="AF109" i="4"/>
  <c r="AE109" i="4"/>
  <c r="O109" i="4"/>
  <c r="AE107" i="4"/>
  <c r="O107" i="4"/>
  <c r="AR107" i="4" s="1"/>
  <c r="AR106" i="4"/>
  <c r="AQ106" i="4"/>
  <c r="AE106" i="4"/>
  <c r="AF106" i="4" s="1"/>
  <c r="O106" i="4"/>
  <c r="AE105" i="4"/>
  <c r="AF105" i="4" s="1"/>
  <c r="O105" i="4"/>
  <c r="AQ105" i="4" s="1"/>
  <c r="F105" i="4"/>
  <c r="AE103" i="4"/>
  <c r="AF103" i="4" s="1"/>
  <c r="O103" i="4"/>
  <c r="AE102" i="4"/>
  <c r="O102" i="4"/>
  <c r="AE101" i="4"/>
  <c r="O101" i="4"/>
  <c r="AR101" i="4" s="1"/>
  <c r="AR100" i="4"/>
  <c r="AQ100" i="4"/>
  <c r="AE100" i="4"/>
  <c r="AF100" i="4" s="1"/>
  <c r="O100" i="4"/>
  <c r="AE99" i="4"/>
  <c r="AF99" i="4" s="1"/>
  <c r="O99" i="4"/>
  <c r="AR99" i="4" s="1"/>
  <c r="AE98" i="4"/>
  <c r="O98" i="4"/>
  <c r="AE97" i="4"/>
  <c r="O97" i="4"/>
  <c r="AE96" i="4"/>
  <c r="O96" i="4"/>
  <c r="AF95" i="4"/>
  <c r="AE95" i="4"/>
  <c r="O95" i="4"/>
  <c r="AR95" i="4" s="1"/>
  <c r="AE94" i="4"/>
  <c r="O94" i="4"/>
  <c r="AR94" i="4" s="1"/>
  <c r="AF93" i="4"/>
  <c r="AE93" i="4"/>
  <c r="O93" i="4"/>
  <c r="AE91" i="4"/>
  <c r="O91" i="4"/>
  <c r="AR90" i="4"/>
  <c r="AE90" i="4"/>
  <c r="O90" i="4"/>
  <c r="AQ90" i="4" s="1"/>
  <c r="AE89" i="4"/>
  <c r="AF89" i="4" s="1"/>
  <c r="O89" i="4"/>
  <c r="AQ89" i="4" s="1"/>
  <c r="AR88" i="4"/>
  <c r="AQ88" i="4"/>
  <c r="AE88" i="4"/>
  <c r="AF88" i="4" s="1"/>
  <c r="O88" i="4"/>
  <c r="AE86" i="4"/>
  <c r="O86" i="4"/>
  <c r="AE85" i="4"/>
  <c r="AF85" i="4" s="1"/>
  <c r="O85" i="4"/>
  <c r="AR85" i="4" s="1"/>
  <c r="AR84" i="4"/>
  <c r="AQ84" i="4"/>
  <c r="AE84" i="4"/>
  <c r="AF84" i="4" s="1"/>
  <c r="O84" i="4"/>
  <c r="AE82" i="4"/>
  <c r="AF82" i="4" s="1"/>
  <c r="O82" i="4"/>
  <c r="AR82" i="4" s="1"/>
  <c r="AR81" i="4"/>
  <c r="AF81" i="4"/>
  <c r="AE81" i="4"/>
  <c r="O81" i="4"/>
  <c r="AQ81" i="4" s="1"/>
  <c r="AE80" i="4"/>
  <c r="O80" i="4"/>
  <c r="AE79" i="4"/>
  <c r="AF79" i="4" s="1"/>
  <c r="O79" i="4"/>
  <c r="AR79" i="4" s="1"/>
  <c r="AR78" i="4"/>
  <c r="AE78" i="4"/>
  <c r="AF78" i="4" s="1"/>
  <c r="O78" i="4"/>
  <c r="AQ78" i="4" s="1"/>
  <c r="AE77" i="4"/>
  <c r="AF77" i="4" s="1"/>
  <c r="O77" i="4"/>
  <c r="AR77" i="4" s="1"/>
  <c r="AE76" i="4"/>
  <c r="O76" i="4"/>
  <c r="AR76" i="4" s="1"/>
  <c r="AE75" i="4"/>
  <c r="O75" i="4"/>
  <c r="AR75" i="4" s="1"/>
  <c r="AE73" i="4"/>
  <c r="AF73" i="4" s="1"/>
  <c r="O73" i="4"/>
  <c r="AR73" i="4" s="1"/>
  <c r="AE72" i="4"/>
  <c r="O72" i="4"/>
  <c r="AQ72" i="4" s="1"/>
  <c r="AR71" i="4"/>
  <c r="AF71" i="4"/>
  <c r="AE71" i="4"/>
  <c r="O71" i="4"/>
  <c r="AQ71" i="4" s="1"/>
  <c r="AE70" i="4"/>
  <c r="AF70" i="4" s="1"/>
  <c r="O70" i="4"/>
  <c r="AR70" i="4" s="1"/>
  <c r="AQ69" i="4"/>
  <c r="AE69" i="4"/>
  <c r="O69" i="4"/>
  <c r="AR69" i="4" s="1"/>
  <c r="AE68" i="4"/>
  <c r="O68" i="4"/>
  <c r="AR68" i="4" s="1"/>
  <c r="AE66" i="4"/>
  <c r="AF66" i="4" s="1"/>
  <c r="O66" i="4"/>
  <c r="AE64" i="4"/>
  <c r="AF64" i="4" s="1"/>
  <c r="O64" i="4"/>
  <c r="AQ64" i="4" s="1"/>
  <c r="AF63" i="4"/>
  <c r="AE63" i="4"/>
  <c r="O63" i="4"/>
  <c r="AR63" i="4" s="1"/>
  <c r="AE62" i="4"/>
  <c r="O62" i="4"/>
  <c r="AE61" i="4"/>
  <c r="O61" i="4"/>
  <c r="AR61" i="4" s="1"/>
  <c r="AE60" i="4"/>
  <c r="AF60" i="4" s="1"/>
  <c r="O60" i="4"/>
  <c r="AE59" i="4"/>
  <c r="O59" i="4"/>
  <c r="AR59" i="4" s="1"/>
  <c r="AE58" i="4"/>
  <c r="O58" i="4"/>
  <c r="AR58" i="4" s="1"/>
  <c r="AE56" i="4"/>
  <c r="O56" i="4"/>
  <c r="AR56" i="4" s="1"/>
  <c r="AE55" i="4"/>
  <c r="O55" i="4"/>
  <c r="AR55" i="4" s="1"/>
  <c r="AE54" i="4"/>
  <c r="AF54" i="4" s="1"/>
  <c r="O54" i="4"/>
  <c r="AR53" i="4"/>
  <c r="AF53" i="4"/>
  <c r="AE53" i="4"/>
  <c r="O53" i="4"/>
  <c r="AQ53" i="4" s="1"/>
  <c r="AE52" i="4"/>
  <c r="AF52" i="4" s="1"/>
  <c r="O52" i="4"/>
  <c r="AR52" i="4" s="1"/>
  <c r="AE51" i="4"/>
  <c r="AF51" i="4" s="1"/>
  <c r="O51" i="4"/>
  <c r="AR51" i="4" s="1"/>
  <c r="AE50" i="4"/>
  <c r="O50" i="4"/>
  <c r="AR50" i="4" s="1"/>
  <c r="AE49" i="4"/>
  <c r="O49" i="4"/>
  <c r="AE48" i="4"/>
  <c r="O48" i="4"/>
  <c r="AR48" i="4" s="1"/>
  <c r="AE47" i="4"/>
  <c r="O47" i="4"/>
  <c r="AR47" i="4" s="1"/>
  <c r="AE46" i="4"/>
  <c r="AF46" i="4" s="1"/>
  <c r="O46" i="4"/>
  <c r="AE45" i="4"/>
  <c r="AF45" i="4" s="1"/>
  <c r="O45" i="4"/>
  <c r="AF44" i="4"/>
  <c r="AE44" i="4"/>
  <c r="O44" i="4"/>
  <c r="AR44" i="4" s="1"/>
  <c r="AE43" i="4"/>
  <c r="AF43" i="4" s="1"/>
  <c r="O43" i="4"/>
  <c r="AE41" i="4"/>
  <c r="AF41" i="4" s="1"/>
  <c r="O41" i="4"/>
  <c r="AQ41" i="4" s="1"/>
  <c r="AE40" i="4"/>
  <c r="AF40" i="4" s="1"/>
  <c r="O40" i="4"/>
  <c r="AR40" i="4" s="1"/>
  <c r="AE39" i="4"/>
  <c r="O39" i="4"/>
  <c r="AR39" i="4" s="1"/>
  <c r="AE38" i="4"/>
  <c r="O38" i="4"/>
  <c r="AE37" i="4"/>
  <c r="AF37" i="4" s="1"/>
  <c r="O37" i="4"/>
  <c r="AR37" i="4" s="1"/>
  <c r="AR36" i="4"/>
  <c r="AQ36" i="4"/>
  <c r="AE36" i="4"/>
  <c r="O36" i="4"/>
  <c r="AE35" i="4"/>
  <c r="O35" i="4"/>
  <c r="AE34" i="4"/>
  <c r="O34" i="4"/>
  <c r="AQ34" i="4" s="1"/>
  <c r="AE33" i="4"/>
  <c r="O33" i="4"/>
  <c r="AQ33" i="4" s="1"/>
  <c r="AE32" i="4"/>
  <c r="AF32" i="4" s="1"/>
  <c r="O32" i="4"/>
  <c r="AQ32" i="4" s="1"/>
  <c r="AE31" i="4"/>
  <c r="O31" i="4"/>
  <c r="AQ31" i="4" s="1"/>
  <c r="AE30" i="4"/>
  <c r="O30" i="4"/>
  <c r="AE29" i="4"/>
  <c r="AF29" i="4" s="1"/>
  <c r="O29" i="4"/>
  <c r="AR29" i="4" s="1"/>
  <c r="AR28" i="4"/>
  <c r="AE28" i="4"/>
  <c r="O28" i="4"/>
  <c r="AQ28" i="4" s="1"/>
  <c r="AE27" i="4"/>
  <c r="AF27" i="4" s="1"/>
  <c r="O27" i="4"/>
  <c r="AQ27" i="4" s="1"/>
  <c r="AE26" i="4"/>
  <c r="O26" i="4"/>
  <c r="AR26" i="4" s="1"/>
  <c r="AE25" i="4"/>
  <c r="O25" i="4"/>
  <c r="AR25" i="4" s="1"/>
  <c r="AE24" i="4"/>
  <c r="AF24" i="4" s="1"/>
  <c r="O24" i="4"/>
  <c r="AQ24" i="4" s="1"/>
  <c r="AR23" i="4"/>
  <c r="AQ23" i="4"/>
  <c r="AE23" i="4"/>
  <c r="O23" i="4"/>
  <c r="AE22" i="4"/>
  <c r="O22" i="4"/>
  <c r="AE21" i="4"/>
  <c r="AF21" i="4" s="1"/>
  <c r="O21" i="4"/>
  <c r="AR21" i="4" s="1"/>
  <c r="AE19" i="4"/>
  <c r="O19" i="4"/>
  <c r="AR19" i="4" s="1"/>
  <c r="AE18" i="4"/>
  <c r="O18" i="4"/>
  <c r="AR18" i="4" s="1"/>
  <c r="AE17" i="4"/>
  <c r="O17" i="4"/>
  <c r="AR17" i="4" s="1"/>
  <c r="AE16" i="4"/>
  <c r="O16" i="4"/>
  <c r="AE15" i="4"/>
  <c r="AF15" i="4" s="1"/>
  <c r="O15" i="4"/>
  <c r="AR15" i="4" s="1"/>
  <c r="AR13" i="4"/>
  <c r="AE13" i="4"/>
  <c r="O13" i="4"/>
  <c r="AQ13" i="4" s="1"/>
  <c r="AE12" i="4"/>
  <c r="AF12" i="4" s="1"/>
  <c r="O12" i="4"/>
  <c r="AR12" i="4" s="1"/>
  <c r="AE11" i="4"/>
  <c r="AF11" i="4" s="1"/>
  <c r="O11" i="4"/>
  <c r="AR11" i="4" s="1"/>
  <c r="AE10" i="4"/>
  <c r="O10" i="4"/>
  <c r="AQ10" i="4" s="1"/>
  <c r="AE9" i="4"/>
  <c r="AF9" i="4" s="1"/>
  <c r="O9" i="4"/>
  <c r="AR9" i="4" s="1"/>
  <c r="AE8" i="4"/>
  <c r="AF8" i="4" s="1"/>
  <c r="O8" i="4"/>
  <c r="AR8" i="4" s="1"/>
  <c r="AE7" i="4"/>
  <c r="O7" i="4"/>
  <c r="AR7" i="4" s="1"/>
  <c r="AE6" i="4"/>
  <c r="AF6" i="4" s="1"/>
  <c r="O6" i="4"/>
  <c r="AR6" i="4" s="1"/>
  <c r="AR5" i="4"/>
  <c r="AQ5" i="4"/>
  <c r="AF5" i="4"/>
  <c r="AE5" i="4"/>
  <c r="O5" i="4"/>
  <c r="J21" i="3"/>
  <c r="I21" i="3"/>
  <c r="H21" i="3"/>
  <c r="G21" i="3"/>
  <c r="J20" i="3"/>
  <c r="I20" i="3"/>
  <c r="H20" i="3"/>
  <c r="G20" i="3"/>
  <c r="J19" i="3"/>
  <c r="I19" i="3"/>
  <c r="H19" i="3"/>
  <c r="G19" i="3"/>
  <c r="J18" i="3"/>
  <c r="I18" i="3"/>
  <c r="H18" i="3"/>
  <c r="G18" i="3"/>
  <c r="J17" i="3"/>
  <c r="I17" i="3"/>
  <c r="H17" i="3"/>
  <c r="G17" i="3"/>
  <c r="J16" i="3"/>
  <c r="I16" i="3"/>
  <c r="H16" i="3"/>
  <c r="G16" i="3"/>
  <c r="J15" i="3"/>
  <c r="I15" i="3"/>
  <c r="H15" i="3"/>
  <c r="G15" i="3"/>
  <c r="J14" i="3"/>
  <c r="I14" i="3"/>
  <c r="H14" i="3"/>
  <c r="G14" i="3"/>
  <c r="J13" i="3"/>
  <c r="I13" i="3"/>
  <c r="H13" i="3"/>
  <c r="G13" i="3"/>
  <c r="J12" i="3"/>
  <c r="I12" i="3"/>
  <c r="H12" i="3"/>
  <c r="G12" i="3"/>
  <c r="J11" i="3"/>
  <c r="I11" i="3"/>
  <c r="H11" i="3"/>
  <c r="G11" i="3"/>
  <c r="J10" i="3"/>
  <c r="I10" i="3"/>
  <c r="H10" i="3"/>
  <c r="G10" i="3"/>
  <c r="J9" i="3"/>
  <c r="I9" i="3"/>
  <c r="H9" i="3"/>
  <c r="G9" i="3"/>
  <c r="J8" i="3"/>
  <c r="I8" i="3"/>
  <c r="H8" i="3"/>
  <c r="G8" i="3"/>
  <c r="J7" i="3"/>
  <c r="I7" i="3"/>
  <c r="H7" i="3"/>
  <c r="G7" i="3"/>
  <c r="J6" i="3"/>
  <c r="I6" i="3"/>
  <c r="H6" i="3"/>
  <c r="G6" i="3"/>
  <c r="J5" i="3"/>
  <c r="I5" i="3"/>
  <c r="H5" i="3"/>
  <c r="G5" i="3"/>
  <c r="J4" i="3"/>
  <c r="I4" i="3"/>
  <c r="H4" i="3"/>
  <c r="G4" i="3"/>
  <c r="D22" i="2"/>
  <c r="U4" i="8" s="1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B18" i="1"/>
  <c r="B10" i="1"/>
  <c r="B9" i="1"/>
  <c r="B8" i="1"/>
  <c r="N90" i="9" l="1"/>
  <c r="O90" i="9" s="1"/>
  <c r="AR120" i="4"/>
  <c r="AR31" i="4"/>
  <c r="AQ186" i="4"/>
  <c r="F13" i="15"/>
  <c r="M13" i="15" s="1"/>
  <c r="N13" i="15" s="1"/>
  <c r="O13" i="15" s="1"/>
  <c r="N81" i="9"/>
  <c r="O81" i="9" s="1"/>
  <c r="M7" i="15"/>
  <c r="N7" i="15" s="1"/>
  <c r="O7" i="15" s="1"/>
  <c r="J7" i="15"/>
  <c r="K7" i="15" s="1"/>
  <c r="AR187" i="4"/>
  <c r="AQ187" i="4"/>
  <c r="M26" i="15"/>
  <c r="N26" i="15" s="1"/>
  <c r="O26" i="15" s="1"/>
  <c r="G41" i="16"/>
  <c r="J41" i="16"/>
  <c r="AR64" i="4"/>
  <c r="AQ201" i="4"/>
  <c r="AQ212" i="4"/>
  <c r="AR43" i="4"/>
  <c r="AQ43" i="4"/>
  <c r="AR149" i="4"/>
  <c r="AQ149" i="4"/>
  <c r="AQ143" i="4"/>
  <c r="AR143" i="4"/>
  <c r="AQ137" i="4"/>
  <c r="AR137" i="4"/>
  <c r="AR32" i="4"/>
  <c r="AR105" i="4"/>
  <c r="AQ15" i="4"/>
  <c r="AQ39" i="4"/>
  <c r="AQ94" i="4"/>
  <c r="AR111" i="4"/>
  <c r="AQ117" i="4"/>
  <c r="F8" i="15"/>
  <c r="M8" i="15" s="1"/>
  <c r="N8" i="15" s="1"/>
  <c r="O8" i="15" s="1"/>
  <c r="AR97" i="4"/>
  <c r="AQ97" i="4"/>
  <c r="S2" i="7"/>
  <c r="AR72" i="4"/>
  <c r="AR45" i="4"/>
  <c r="AQ45" i="4"/>
  <c r="AQ59" i="4"/>
  <c r="AQ224" i="4"/>
  <c r="AR224" i="4"/>
  <c r="AQ99" i="4"/>
  <c r="AR163" i="4"/>
  <c r="AR33" i="4"/>
  <c r="AR112" i="4"/>
  <c r="AQ112" i="4"/>
  <c r="AR152" i="4"/>
  <c r="F20" i="15"/>
  <c r="M20" i="15" s="1"/>
  <c r="N20" i="15" s="1"/>
  <c r="O20" i="15" s="1"/>
  <c r="M28" i="15"/>
  <c r="N28" i="15" s="1"/>
  <c r="O28" i="15" s="1"/>
  <c r="AR91" i="4"/>
  <c r="AQ91" i="4"/>
  <c r="M5" i="15"/>
  <c r="N5" i="15" s="1"/>
  <c r="O5" i="15" s="1"/>
  <c r="H32" i="5"/>
  <c r="AQ26" i="4"/>
  <c r="AQ162" i="4"/>
  <c r="AQ227" i="4"/>
  <c r="AQ50" i="4"/>
  <c r="AR171" i="4"/>
  <c r="AQ85" i="4"/>
  <c r="AR159" i="4"/>
  <c r="AQ159" i="4"/>
  <c r="AR62" i="4"/>
  <c r="AQ62" i="4"/>
  <c r="AQ48" i="4"/>
  <c r="AQ154" i="4"/>
  <c r="AR154" i="4"/>
  <c r="AQ77" i="4"/>
  <c r="AR89" i="4"/>
  <c r="AQ17" i="4"/>
  <c r="AR41" i="4"/>
  <c r="AR102" i="4"/>
  <c r="AQ102" i="4"/>
  <c r="AR119" i="4"/>
  <c r="D24" i="5"/>
  <c r="G24" i="5" s="1"/>
  <c r="D22" i="5"/>
  <c r="K22" i="5" s="1"/>
  <c r="G22" i="5" s="1"/>
  <c r="D54" i="15" s="1"/>
  <c r="D9" i="5"/>
  <c r="G9" i="5" s="1"/>
  <c r="D45" i="15" s="1"/>
  <c r="D18" i="5"/>
  <c r="G18" i="5" s="1"/>
  <c r="H30" i="16"/>
  <c r="I30" i="16" s="1"/>
  <c r="H66" i="11"/>
  <c r="H52" i="16"/>
  <c r="I52" i="16" s="1"/>
  <c r="F6" i="15"/>
  <c r="M6" i="15" s="1"/>
  <c r="N6" i="15" s="1"/>
  <c r="O6" i="15" s="1"/>
  <c r="N82" i="9"/>
  <c r="O82" i="9" s="1"/>
  <c r="H14" i="10"/>
  <c r="H42" i="16"/>
  <c r="I42" i="16" s="1"/>
  <c r="F43" i="16"/>
  <c r="G43" i="16" s="1"/>
  <c r="F16" i="15"/>
  <c r="F13" i="16"/>
  <c r="F35" i="16"/>
  <c r="M31" i="15"/>
  <c r="N31" i="15" s="1"/>
  <c r="O31" i="15" s="1"/>
  <c r="M10" i="15"/>
  <c r="N10" i="15" s="1"/>
  <c r="O10" i="15" s="1"/>
  <c r="H36" i="16"/>
  <c r="I36" i="16" s="1"/>
  <c r="H55" i="16"/>
  <c r="I55" i="16" s="1"/>
  <c r="N88" i="9"/>
  <c r="O88" i="9" s="1"/>
  <c r="G46" i="5"/>
  <c r="H5" i="16"/>
  <c r="I5" i="16" s="1"/>
  <c r="X26" i="8"/>
  <c r="AQ19" i="4"/>
  <c r="AQ56" i="4"/>
  <c r="AQ51" i="4"/>
  <c r="AQ76" i="4"/>
  <c r="AQ155" i="4"/>
  <c r="AR174" i="4"/>
  <c r="AQ182" i="4"/>
  <c r="AQ204" i="4"/>
  <c r="AR216" i="4"/>
  <c r="AQ226" i="4"/>
  <c r="H17" i="16"/>
  <c r="I17" i="16" s="1"/>
  <c r="L72" i="9"/>
  <c r="K72" i="9"/>
  <c r="M72" i="9"/>
  <c r="AR34" i="4"/>
  <c r="S798" i="7"/>
  <c r="S784" i="7"/>
  <c r="S774" i="7"/>
  <c r="S751" i="7"/>
  <c r="S738" i="7"/>
  <c r="S764" i="7"/>
  <c r="S741" i="7"/>
  <c r="S728" i="7"/>
  <c r="S801" i="7"/>
  <c r="S787" i="7"/>
  <c r="S777" i="7"/>
  <c r="S767" i="7"/>
  <c r="S754" i="7"/>
  <c r="S731" i="7"/>
  <c r="S780" i="7"/>
  <c r="S734" i="7"/>
  <c r="S804" i="7"/>
  <c r="S790" i="7"/>
  <c r="S770" i="7"/>
  <c r="S747" i="7"/>
  <c r="S750" i="7"/>
  <c r="R4" i="8"/>
  <c r="S766" i="7"/>
  <c r="S789" i="7"/>
  <c r="S779" i="7"/>
  <c r="S803" i="7"/>
  <c r="S782" i="7"/>
  <c r="S759" i="7"/>
  <c r="S746" i="7"/>
  <c r="S736" i="7"/>
  <c r="S765" i="7"/>
  <c r="S742" i="7"/>
  <c r="S729" i="7"/>
  <c r="S756" i="7"/>
  <c r="S733" i="7"/>
  <c r="M14" i="9"/>
  <c r="M7" i="9"/>
  <c r="L14" i="9"/>
  <c r="L7" i="9"/>
  <c r="K14" i="9"/>
  <c r="N14" i="9" s="1"/>
  <c r="O14" i="9" s="1"/>
  <c r="K7" i="9"/>
  <c r="M77" i="9"/>
  <c r="K75" i="9"/>
  <c r="N75" i="9" s="1"/>
  <c r="O75" i="9" s="1"/>
  <c r="M75" i="9"/>
  <c r="L77" i="9"/>
  <c r="L74" i="9"/>
  <c r="K77" i="9"/>
  <c r="K74" i="9"/>
  <c r="L73" i="9"/>
  <c r="K73" i="9"/>
  <c r="M76" i="9"/>
  <c r="L76" i="9"/>
  <c r="K76" i="9"/>
  <c r="L75" i="9"/>
  <c r="M74" i="9"/>
  <c r="M73" i="9"/>
  <c r="AR35" i="4"/>
  <c r="AQ35" i="4"/>
  <c r="C4" i="8"/>
  <c r="S7" i="7"/>
  <c r="S6" i="7"/>
  <c r="S9" i="7"/>
  <c r="S8" i="7"/>
  <c r="S3" i="7"/>
  <c r="S848" i="7"/>
  <c r="T4" i="8"/>
  <c r="S851" i="7"/>
  <c r="M5" i="9"/>
  <c r="K11" i="9"/>
  <c r="K12" i="9"/>
  <c r="M12" i="9"/>
  <c r="L5" i="9"/>
  <c r="L12" i="9"/>
  <c r="K5" i="9"/>
  <c r="M4" i="9"/>
  <c r="M11" i="9"/>
  <c r="L4" i="9"/>
  <c r="L11" i="9"/>
  <c r="K4" i="9"/>
  <c r="M69" i="9"/>
  <c r="M70" i="9"/>
  <c r="L70" i="9"/>
  <c r="K70" i="9"/>
  <c r="L69" i="9"/>
  <c r="K69" i="9"/>
  <c r="AR16" i="4"/>
  <c r="AQ16" i="4"/>
  <c r="AF22" i="4"/>
  <c r="AF28" i="4"/>
  <c r="S838" i="7"/>
  <c r="S822" i="7"/>
  <c r="S808" i="7"/>
  <c r="S835" i="7"/>
  <c r="S845" i="7"/>
  <c r="S828" i="7"/>
  <c r="S818" i="7"/>
  <c r="S824" i="7"/>
  <c r="S814" i="7"/>
  <c r="S4" i="8"/>
  <c r="S847" i="7"/>
  <c r="S830" i="7"/>
  <c r="S820" i="7"/>
  <c r="S840" i="7"/>
  <c r="S823" i="7"/>
  <c r="S813" i="7"/>
  <c r="S806" i="7"/>
  <c r="S836" i="7"/>
  <c r="M13" i="9"/>
  <c r="K6" i="9"/>
  <c r="L13" i="9"/>
  <c r="K13" i="9"/>
  <c r="M6" i="9"/>
  <c r="L6" i="9"/>
  <c r="AQ11" i="4"/>
  <c r="AF26" i="4"/>
  <c r="AR46" i="4"/>
  <c r="AQ46" i="4"/>
  <c r="AF50" i="4"/>
  <c r="AQ8" i="4"/>
  <c r="AF13" i="4"/>
  <c r="AF25" i="4"/>
  <c r="AF36" i="4"/>
  <c r="AF47" i="4"/>
  <c r="AR49" i="4"/>
  <c r="AQ49" i="4"/>
  <c r="D4" i="8"/>
  <c r="S17" i="7"/>
  <c r="S15" i="7"/>
  <c r="S13" i="7"/>
  <c r="S12" i="7"/>
  <c r="F4" i="8"/>
  <c r="S88" i="7"/>
  <c r="S77" i="7"/>
  <c r="S95" i="7"/>
  <c r="S120" i="7"/>
  <c r="S109" i="7"/>
  <c r="S69" i="7"/>
  <c r="S65" i="7"/>
  <c r="S127" i="7"/>
  <c r="S72" i="7"/>
  <c r="S79" i="7"/>
  <c r="S104" i="7"/>
  <c r="S93" i="7"/>
  <c r="S111" i="7"/>
  <c r="S122" i="7"/>
  <c r="S100" i="7"/>
  <c r="S89" i="7"/>
  <c r="S63" i="7"/>
  <c r="S125" i="7"/>
  <c r="S103" i="7"/>
  <c r="S90" i="7"/>
  <c r="S102" i="7"/>
  <c r="S70" i="7"/>
  <c r="S97" i="7"/>
  <c r="S101" i="7"/>
  <c r="S124" i="7"/>
  <c r="S92" i="7"/>
  <c r="S68" i="7"/>
  <c r="M21" i="9"/>
  <c r="K21" i="9"/>
  <c r="N21" i="9" s="1"/>
  <c r="O21" i="9" s="1"/>
  <c r="M28" i="9"/>
  <c r="L21" i="9"/>
  <c r="L28" i="9"/>
  <c r="K28" i="9"/>
  <c r="G4" i="12"/>
  <c r="H4" i="12" s="1"/>
  <c r="G4" i="8"/>
  <c r="G5" i="12"/>
  <c r="H5" i="12" s="1"/>
  <c r="S172" i="7"/>
  <c r="S157" i="7"/>
  <c r="S164" i="7"/>
  <c r="S153" i="7"/>
  <c r="S163" i="7"/>
  <c r="S152" i="7"/>
  <c r="S141" i="7"/>
  <c r="S170" i="7"/>
  <c r="S159" i="7"/>
  <c r="S148" i="7"/>
  <c r="S137" i="7"/>
  <c r="S133" i="7"/>
  <c r="S129" i="7"/>
  <c r="S136" i="7"/>
  <c r="S165" i="7"/>
  <c r="S135" i="7"/>
  <c r="S143" i="7"/>
  <c r="L24" i="9"/>
  <c r="M29" i="9"/>
  <c r="K24" i="9"/>
  <c r="M24" i="9"/>
  <c r="K29" i="9"/>
  <c r="K23" i="9"/>
  <c r="N23" i="9" s="1"/>
  <c r="O23" i="9" s="1"/>
  <c r="M30" i="9"/>
  <c r="L30" i="9"/>
  <c r="K30" i="9"/>
  <c r="M22" i="9"/>
  <c r="L29" i="9"/>
  <c r="L22" i="9"/>
  <c r="K22" i="9"/>
  <c r="M31" i="9"/>
  <c r="L31" i="9"/>
  <c r="M23" i="9"/>
  <c r="K31" i="9"/>
  <c r="L23" i="9"/>
  <c r="AF7" i="4"/>
  <c r="AQ18" i="4"/>
  <c r="AF23" i="4"/>
  <c r="AF35" i="4"/>
  <c r="G7" i="12"/>
  <c r="H7" i="12" s="1"/>
  <c r="G6" i="12"/>
  <c r="H6" i="12" s="1"/>
  <c r="H4" i="8"/>
  <c r="S213" i="7"/>
  <c r="S197" i="7"/>
  <c r="S181" i="7"/>
  <c r="S220" i="7"/>
  <c r="S194" i="7"/>
  <c r="S212" i="7"/>
  <c r="S201" i="7"/>
  <c r="S186" i="7"/>
  <c r="S204" i="7"/>
  <c r="S226" i="7"/>
  <c r="S222" i="7"/>
  <c r="S215" i="7"/>
  <c r="S211" i="7"/>
  <c r="S218" i="7"/>
  <c r="S188" i="7"/>
  <c r="S225" i="7"/>
  <c r="S214" i="7"/>
  <c r="S210" i="7"/>
  <c r="S217" i="7"/>
  <c r="S202" i="7"/>
  <c r="K19" i="9"/>
  <c r="K18" i="9"/>
  <c r="K26" i="9"/>
  <c r="N26" i="9" s="1"/>
  <c r="O26" i="9" s="1"/>
  <c r="M26" i="9"/>
  <c r="L26" i="9"/>
  <c r="M19" i="9"/>
  <c r="L19" i="9"/>
  <c r="M25" i="9"/>
  <c r="L25" i="9"/>
  <c r="M18" i="9"/>
  <c r="K25" i="9"/>
  <c r="L18" i="9"/>
  <c r="AF10" i="4"/>
  <c r="AF49" i="4"/>
  <c r="K16" i="9"/>
  <c r="K8" i="9"/>
  <c r="N8" i="9" s="1"/>
  <c r="O8" i="9" s="1"/>
  <c r="M16" i="9"/>
  <c r="M8" i="9"/>
  <c r="K15" i="9"/>
  <c r="K9" i="9"/>
  <c r="L16" i="9"/>
  <c r="M9" i="9"/>
  <c r="L9" i="9"/>
  <c r="M15" i="9"/>
  <c r="L15" i="9"/>
  <c r="L8" i="9"/>
  <c r="M17" i="9"/>
  <c r="L17" i="9"/>
  <c r="M10" i="9"/>
  <c r="K17" i="9"/>
  <c r="L10" i="9"/>
  <c r="K10" i="9"/>
  <c r="G8" i="12"/>
  <c r="H8" i="12" s="1"/>
  <c r="G9" i="12"/>
  <c r="H9" i="12" s="1"/>
  <c r="I4" i="8"/>
  <c r="S261" i="7"/>
  <c r="S245" i="7"/>
  <c r="S229" i="7"/>
  <c r="S250" i="7"/>
  <c r="S234" i="7"/>
  <c r="S252" i="7"/>
  <c r="S244" i="7"/>
  <c r="S233" i="7"/>
  <c r="S236" i="7"/>
  <c r="S258" i="7"/>
  <c r="S228" i="7"/>
  <c r="S238" i="7"/>
  <c r="S242" i="7"/>
  <c r="S227" i="7"/>
  <c r="S231" i="7"/>
  <c r="K27" i="9"/>
  <c r="N27" i="9" s="1"/>
  <c r="O27" i="9" s="1"/>
  <c r="M27" i="9"/>
  <c r="M20" i="9"/>
  <c r="L27" i="9"/>
  <c r="L20" i="9"/>
  <c r="K20" i="9"/>
  <c r="AQ6" i="4"/>
  <c r="AQ12" i="4"/>
  <c r="AQ29" i="4"/>
  <c r="AQ37" i="4"/>
  <c r="E4" i="8"/>
  <c r="S24" i="7"/>
  <c r="S58" i="7"/>
  <c r="S51" i="7"/>
  <c r="S44" i="7"/>
  <c r="S37" i="7"/>
  <c r="S30" i="7"/>
  <c r="S47" i="7"/>
  <c r="S61" i="7"/>
  <c r="S40" i="7"/>
  <c r="S29" i="7"/>
  <c r="S56" i="7"/>
  <c r="S49" i="7"/>
  <c r="S42" i="7"/>
  <c r="S46" i="7"/>
  <c r="S53" i="7"/>
  <c r="S19" i="7"/>
  <c r="S57" i="7"/>
  <c r="S45" i="7"/>
  <c r="S31" i="7"/>
  <c r="S52" i="7"/>
  <c r="S21" i="7"/>
  <c r="S38" i="7"/>
  <c r="S20" i="7"/>
  <c r="M71" i="9"/>
  <c r="K71" i="9"/>
  <c r="L71" i="9"/>
  <c r="G14" i="12"/>
  <c r="H14" i="12" s="1"/>
  <c r="G13" i="12"/>
  <c r="H13" i="12" s="1"/>
  <c r="G12" i="12"/>
  <c r="H12" i="12" s="1"/>
  <c r="K4" i="8"/>
  <c r="S380" i="7"/>
  <c r="S370" i="7"/>
  <c r="S353" i="7"/>
  <c r="S369" i="7"/>
  <c r="S374" i="7"/>
  <c r="S351" i="7"/>
  <c r="S328" i="7"/>
  <c r="S357" i="7"/>
  <c r="S361" i="7"/>
  <c r="S352" i="7"/>
  <c r="S348" i="7"/>
  <c r="S332" i="7"/>
  <c r="S373" i="7"/>
  <c r="S327" i="7"/>
  <c r="S368" i="7"/>
  <c r="S343" i="7"/>
  <c r="S350" i="7"/>
  <c r="S342" i="7"/>
  <c r="S338" i="7"/>
  <c r="S334" i="7"/>
  <c r="S375" i="7"/>
  <c r="S345" i="7"/>
  <c r="S325" i="7"/>
  <c r="S384" i="7"/>
  <c r="S337" i="7"/>
  <c r="S366" i="7"/>
  <c r="L48" i="9"/>
  <c r="L40" i="9"/>
  <c r="K48" i="9"/>
  <c r="K40" i="9"/>
  <c r="M37" i="9"/>
  <c r="M48" i="9"/>
  <c r="M40" i="9"/>
  <c r="M38" i="9"/>
  <c r="K39" i="9"/>
  <c r="K47" i="9"/>
  <c r="L38" i="9"/>
  <c r="K38" i="9"/>
  <c r="M46" i="9"/>
  <c r="L46" i="9"/>
  <c r="L37" i="9"/>
  <c r="K46" i="9"/>
  <c r="K37" i="9"/>
  <c r="N37" i="9" s="1"/>
  <c r="O37" i="9" s="1"/>
  <c r="M49" i="9"/>
  <c r="L49" i="9"/>
  <c r="K49" i="9"/>
  <c r="M39" i="9"/>
  <c r="L39" i="9"/>
  <c r="M47" i="9"/>
  <c r="L47" i="9"/>
  <c r="AQ21" i="4"/>
  <c r="AR30" i="4"/>
  <c r="AQ30" i="4"/>
  <c r="AR38" i="4"/>
  <c r="AQ38" i="4"/>
  <c r="AR54" i="4"/>
  <c r="AQ54" i="4"/>
  <c r="B11" i="1"/>
  <c r="G16" i="12"/>
  <c r="H16" i="12" s="1"/>
  <c r="G17" i="12"/>
  <c r="H17" i="12" s="1"/>
  <c r="G18" i="12"/>
  <c r="H18" i="12" s="1"/>
  <c r="G15" i="12"/>
  <c r="H15" i="12" s="1"/>
  <c r="L4" i="8"/>
  <c r="S417" i="7"/>
  <c r="S403" i="7"/>
  <c r="S393" i="7"/>
  <c r="S423" i="7"/>
  <c r="S413" i="7"/>
  <c r="S396" i="7"/>
  <c r="S386" i="7"/>
  <c r="S419" i="7"/>
  <c r="S409" i="7"/>
  <c r="S399" i="7"/>
  <c r="S385" i="7"/>
  <c r="S428" i="7"/>
  <c r="S401" i="7"/>
  <c r="S391" i="7"/>
  <c r="S424" i="7"/>
  <c r="S414" i="7"/>
  <c r="S387" i="7"/>
  <c r="S425" i="7"/>
  <c r="S415" i="7"/>
  <c r="S431" i="7"/>
  <c r="S389" i="7"/>
  <c r="L32" i="9"/>
  <c r="K32" i="9"/>
  <c r="M32" i="9"/>
  <c r="L42" i="9"/>
  <c r="K42" i="9"/>
  <c r="M42" i="9"/>
  <c r="M41" i="9"/>
  <c r="L41" i="9"/>
  <c r="K41" i="9"/>
  <c r="M33" i="9"/>
  <c r="L33" i="9"/>
  <c r="K33" i="9"/>
  <c r="AQ9" i="4"/>
  <c r="AF16" i="4"/>
  <c r="AF55" i="4"/>
  <c r="AR66" i="4"/>
  <c r="AQ66" i="4"/>
  <c r="K43" i="9"/>
  <c r="K35" i="9"/>
  <c r="M43" i="9"/>
  <c r="M34" i="9"/>
  <c r="L34" i="9"/>
  <c r="K34" i="9"/>
  <c r="M44" i="9"/>
  <c r="L44" i="9"/>
  <c r="K44" i="9"/>
  <c r="M35" i="9"/>
  <c r="L43" i="9"/>
  <c r="L35" i="9"/>
  <c r="AR22" i="4"/>
  <c r="AQ22" i="4"/>
  <c r="AR27" i="4"/>
  <c r="AF61" i="4"/>
  <c r="N4" i="8"/>
  <c r="G22" i="12"/>
  <c r="H22" i="12" s="1"/>
  <c r="S558" i="7"/>
  <c r="S549" i="7"/>
  <c r="S531" i="7"/>
  <c r="S578" i="7"/>
  <c r="S574" i="7"/>
  <c r="S563" i="7"/>
  <c r="S559" i="7"/>
  <c r="S555" i="7"/>
  <c r="S541" i="7"/>
  <c r="S565" i="7"/>
  <c r="S554" i="7"/>
  <c r="S540" i="7"/>
  <c r="S572" i="7"/>
  <c r="S557" i="7"/>
  <c r="S536" i="7"/>
  <c r="S579" i="7"/>
  <c r="S564" i="7"/>
  <c r="S553" i="7"/>
  <c r="S546" i="7"/>
  <c r="M54" i="9"/>
  <c r="L54" i="9"/>
  <c r="M63" i="9"/>
  <c r="K54" i="9"/>
  <c r="N54" i="9" s="1"/>
  <c r="O54" i="9" s="1"/>
  <c r="L63" i="9"/>
  <c r="K63" i="9"/>
  <c r="N63" i="9" s="1"/>
  <c r="O63" i="9" s="1"/>
  <c r="AF18" i="4"/>
  <c r="AR24" i="4"/>
  <c r="AF33" i="4"/>
  <c r="AF39" i="4"/>
  <c r="G11" i="12"/>
  <c r="H11" i="12" s="1"/>
  <c r="G10" i="12"/>
  <c r="H10" i="12" s="1"/>
  <c r="J4" i="8"/>
  <c r="S312" i="7"/>
  <c r="S296" i="7"/>
  <c r="S277" i="7"/>
  <c r="S309" i="7"/>
  <c r="S305" i="7"/>
  <c r="S298" i="7"/>
  <c r="S294" i="7"/>
  <c r="S268" i="7"/>
  <c r="S301" i="7"/>
  <c r="S286" i="7"/>
  <c r="S279" i="7"/>
  <c r="S275" i="7"/>
  <c r="S319" i="7"/>
  <c r="S282" i="7"/>
  <c r="S293" i="7"/>
  <c r="S278" i="7"/>
  <c r="S274" i="7"/>
  <c r="S303" i="7"/>
  <c r="S266" i="7"/>
  <c r="S284" i="7"/>
  <c r="S317" i="7"/>
  <c r="M45" i="9"/>
  <c r="L45" i="9"/>
  <c r="K45" i="9"/>
  <c r="M36" i="9"/>
  <c r="L36" i="9"/>
  <c r="K36" i="9"/>
  <c r="M4" i="8"/>
  <c r="G20" i="12"/>
  <c r="H20" i="12" s="1"/>
  <c r="G19" i="12"/>
  <c r="H19" i="12" s="1"/>
  <c r="G21" i="12"/>
  <c r="H21" i="12" s="1"/>
  <c r="S481" i="7"/>
  <c r="S467" i="7"/>
  <c r="S514" i="7"/>
  <c r="S504" i="7"/>
  <c r="S494" i="7"/>
  <c r="S497" i="7"/>
  <c r="S487" i="7"/>
  <c r="S477" i="7"/>
  <c r="S460" i="7"/>
  <c r="S433" i="7"/>
  <c r="S527" i="7"/>
  <c r="S483" i="7"/>
  <c r="S473" i="7"/>
  <c r="S463" i="7"/>
  <c r="S513" i="7"/>
  <c r="S449" i="7"/>
  <c r="S499" i="7"/>
  <c r="S489" i="7"/>
  <c r="S479" i="7"/>
  <c r="S529" i="7"/>
  <c r="S519" i="7"/>
  <c r="S509" i="7"/>
  <c r="S492" i="7"/>
  <c r="S465" i="7"/>
  <c r="S455" i="7"/>
  <c r="S445" i="7"/>
  <c r="S515" i="7"/>
  <c r="S505" i="7"/>
  <c r="S498" i="7"/>
  <c r="S488" i="7"/>
  <c r="S478" i="7"/>
  <c r="S434" i="7"/>
  <c r="S451" i="7"/>
  <c r="S441" i="7"/>
  <c r="S495" i="7"/>
  <c r="S435" i="7"/>
  <c r="S626" i="7"/>
  <c r="S603" i="7"/>
  <c r="S606" i="7"/>
  <c r="S622" i="7"/>
  <c r="O4" i="8"/>
  <c r="S601" i="7"/>
  <c r="S590" i="7"/>
  <c r="S608" i="7"/>
  <c r="S623" i="7"/>
  <c r="S615" i="7"/>
  <c r="S589" i="7"/>
  <c r="S600" i="7"/>
  <c r="S611" i="7"/>
  <c r="S618" i="7"/>
  <c r="S614" i="7"/>
  <c r="S610" i="7"/>
  <c r="S595" i="7"/>
  <c r="S580" i="7"/>
  <c r="S591" i="7"/>
  <c r="S613" i="7"/>
  <c r="S602" i="7"/>
  <c r="S620" i="7"/>
  <c r="S628" i="7"/>
  <c r="S624" i="7"/>
  <c r="S605" i="7"/>
  <c r="L64" i="9"/>
  <c r="L56" i="9"/>
  <c r="K64" i="9"/>
  <c r="K56" i="9"/>
  <c r="K67" i="9"/>
  <c r="M64" i="9"/>
  <c r="K59" i="9"/>
  <c r="M56" i="9"/>
  <c r="L67" i="9"/>
  <c r="M59" i="9"/>
  <c r="L68" i="9"/>
  <c r="L65" i="9"/>
  <c r="M55" i="9"/>
  <c r="L58" i="9"/>
  <c r="K55" i="9"/>
  <c r="K58" i="9"/>
  <c r="M68" i="9"/>
  <c r="L59" i="9"/>
  <c r="K68" i="9"/>
  <c r="M58" i="9"/>
  <c r="M67" i="9"/>
  <c r="M57" i="9"/>
  <c r="L57" i="9"/>
  <c r="M66" i="9"/>
  <c r="K57" i="9"/>
  <c r="N57" i="9" s="1"/>
  <c r="O57" i="9" s="1"/>
  <c r="L66" i="9"/>
  <c r="K66" i="9"/>
  <c r="M65" i="9"/>
  <c r="K65" i="9"/>
  <c r="N65" i="9" s="1"/>
  <c r="O65" i="9" s="1"/>
  <c r="L55" i="9"/>
  <c r="AF17" i="4"/>
  <c r="AQ25" i="4"/>
  <c r="S686" i="7"/>
  <c r="S685" i="7"/>
  <c r="S662" i="7"/>
  <c r="S649" i="7"/>
  <c r="S639" i="7"/>
  <c r="S678" i="7"/>
  <c r="S665" i="7"/>
  <c r="S655" i="7"/>
  <c r="S642" i="7"/>
  <c r="P4" i="8"/>
  <c r="S683" i="7"/>
  <c r="S660" i="7"/>
  <c r="S637" i="7"/>
  <c r="S659" i="7"/>
  <c r="S682" i="7"/>
  <c r="S647" i="7"/>
  <c r="S631" i="7"/>
  <c r="S674" i="7"/>
  <c r="S654" i="7"/>
  <c r="S638" i="7"/>
  <c r="S681" i="7"/>
  <c r="S670" i="7"/>
  <c r="S646" i="7"/>
  <c r="S677" i="7"/>
  <c r="S684" i="7"/>
  <c r="S669" i="7"/>
  <c r="S680" i="7"/>
  <c r="S672" i="7"/>
  <c r="S664" i="7"/>
  <c r="S636" i="7"/>
  <c r="S687" i="7"/>
  <c r="S648" i="7"/>
  <c r="M61" i="9"/>
  <c r="K51" i="9"/>
  <c r="N51" i="9" s="1"/>
  <c r="O51" i="9" s="1"/>
  <c r="L51" i="9"/>
  <c r="L61" i="9"/>
  <c r="K61" i="9"/>
  <c r="M50" i="9"/>
  <c r="L50" i="9"/>
  <c r="K50" i="9"/>
  <c r="M60" i="9"/>
  <c r="L60" i="9"/>
  <c r="K60" i="9"/>
  <c r="N60" i="9" s="1"/>
  <c r="O60" i="9" s="1"/>
  <c r="M51" i="9"/>
  <c r="O228" i="4"/>
  <c r="AQ7" i="4"/>
  <c r="AF38" i="4"/>
  <c r="AF58" i="4"/>
  <c r="AR60" i="4"/>
  <c r="AQ60" i="4"/>
  <c r="Q4" i="8"/>
  <c r="S702" i="7"/>
  <c r="S715" i="7"/>
  <c r="S718" i="7"/>
  <c r="S708" i="7"/>
  <c r="S724" i="7"/>
  <c r="S701" i="7"/>
  <c r="S716" i="7"/>
  <c r="S719" i="7"/>
  <c r="S706" i="7"/>
  <c r="S697" i="7"/>
  <c r="S693" i="7"/>
  <c r="S723" i="7"/>
  <c r="S700" i="7"/>
  <c r="S695" i="7"/>
  <c r="M53" i="9"/>
  <c r="K62" i="9"/>
  <c r="L53" i="9"/>
  <c r="K53" i="9"/>
  <c r="M62" i="9"/>
  <c r="L62" i="9"/>
  <c r="M52" i="9"/>
  <c r="L52" i="9"/>
  <c r="K52" i="9"/>
  <c r="AR10" i="4"/>
  <c r="AF19" i="4"/>
  <c r="AF30" i="4"/>
  <c r="AF31" i="4"/>
  <c r="AQ40" i="4"/>
  <c r="AR93" i="4"/>
  <c r="AQ93" i="4"/>
  <c r="AR103" i="4"/>
  <c r="AQ103" i="4"/>
  <c r="AF111" i="4"/>
  <c r="AF80" i="4"/>
  <c r="AR86" i="4"/>
  <c r="AQ86" i="4"/>
  <c r="AF96" i="4"/>
  <c r="AF68" i="4"/>
  <c r="AF123" i="4"/>
  <c r="AF94" i="4"/>
  <c r="AF115" i="4"/>
  <c r="AF147" i="4"/>
  <c r="AF75" i="4"/>
  <c r="AR98" i="4"/>
  <c r="AQ98" i="4"/>
  <c r="AR126" i="4"/>
  <c r="AF59" i="4"/>
  <c r="AQ63" i="4"/>
  <c r="AQ70" i="4"/>
  <c r="AR130" i="4"/>
  <c r="AF62" i="4"/>
  <c r="AF69" i="4"/>
  <c r="AQ73" i="4"/>
  <c r="AQ79" i="4"/>
  <c r="AF86" i="4"/>
  <c r="AF90" i="4"/>
  <c r="AF98" i="4"/>
  <c r="AF128" i="4"/>
  <c r="AQ131" i="4"/>
  <c r="AF48" i="4"/>
  <c r="AF56" i="4"/>
  <c r="AQ58" i="4"/>
  <c r="AF76" i="4"/>
  <c r="AF34" i="4"/>
  <c r="AQ44" i="4"/>
  <c r="AQ52" i="4"/>
  <c r="AF72" i="4"/>
  <c r="AR80" i="4"/>
  <c r="AQ80" i="4"/>
  <c r="AQ95" i="4"/>
  <c r="AQ110" i="4"/>
  <c r="AQ135" i="4"/>
  <c r="AQ61" i="4"/>
  <c r="AQ68" i="4"/>
  <c r="AR96" i="4"/>
  <c r="AQ96" i="4"/>
  <c r="AR131" i="4"/>
  <c r="AR135" i="4"/>
  <c r="AQ47" i="4"/>
  <c r="AQ55" i="4"/>
  <c r="AQ75" i="4"/>
  <c r="AQ82" i="4"/>
  <c r="AQ126" i="4"/>
  <c r="AF101" i="4"/>
  <c r="AF107" i="4"/>
  <c r="AF144" i="4"/>
  <c r="AF193" i="4"/>
  <c r="AR133" i="4"/>
  <c r="AF161" i="4"/>
  <c r="AQ177" i="4"/>
  <c r="AQ139" i="4"/>
  <c r="AQ147" i="4"/>
  <c r="AQ150" i="4"/>
  <c r="AR151" i="4"/>
  <c r="AQ153" i="4"/>
  <c r="AF157" i="4"/>
  <c r="AQ148" i="4"/>
  <c r="AR199" i="4"/>
  <c r="AQ199" i="4"/>
  <c r="AR140" i="4"/>
  <c r="AQ114" i="4"/>
  <c r="AQ122" i="4"/>
  <c r="AQ127" i="4"/>
  <c r="AF130" i="4"/>
  <c r="AQ142" i="4"/>
  <c r="AQ145" i="4"/>
  <c r="AF102" i="4"/>
  <c r="AF116" i="4"/>
  <c r="AF125" i="4"/>
  <c r="AF156" i="4"/>
  <c r="AQ123" i="4"/>
  <c r="AF131" i="4"/>
  <c r="AR146" i="4"/>
  <c r="AQ146" i="4"/>
  <c r="AQ168" i="4"/>
  <c r="AF179" i="4"/>
  <c r="AF185" i="4"/>
  <c r="AF97" i="4"/>
  <c r="AR123" i="4"/>
  <c r="AQ128" i="4"/>
  <c r="AF135" i="4"/>
  <c r="AF155" i="4"/>
  <c r="AQ173" i="4"/>
  <c r="AR177" i="4"/>
  <c r="AF91" i="4"/>
  <c r="AQ101" i="4"/>
  <c r="AQ107" i="4"/>
  <c r="AQ118" i="4"/>
  <c r="AF120" i="4"/>
  <c r="AF137" i="4"/>
  <c r="AF154" i="4"/>
  <c r="AQ156" i="4"/>
  <c r="AR178" i="4"/>
  <c r="AQ178" i="4"/>
  <c r="AQ115" i="4"/>
  <c r="AF126" i="4"/>
  <c r="AF159" i="4"/>
  <c r="AQ164" i="4"/>
  <c r="AQ124" i="4"/>
  <c r="AQ129" i="4"/>
  <c r="AF138" i="4"/>
  <c r="AF140" i="4"/>
  <c r="AQ160" i="4"/>
  <c r="AF186" i="4"/>
  <c r="AR179" i="4"/>
  <c r="AQ179" i="4"/>
  <c r="AQ193" i="4"/>
  <c r="AF196" i="4"/>
  <c r="AR200" i="4"/>
  <c r="AF201" i="4"/>
  <c r="O17" i="5"/>
  <c r="AF206" i="4"/>
  <c r="S4" i="7"/>
  <c r="AF221" i="4"/>
  <c r="G12" i="5"/>
  <c r="S14" i="7"/>
  <c r="S28" i="7"/>
  <c r="AQ208" i="4"/>
  <c r="AR208" i="4"/>
  <c r="S5" i="7"/>
  <c r="AF200" i="4"/>
  <c r="AR211" i="4"/>
  <c r="AF211" i="4"/>
  <c r="AF174" i="4"/>
  <c r="AQ203" i="4"/>
  <c r="AF218" i="4"/>
  <c r="AQ185" i="4"/>
  <c r="AR193" i="4"/>
  <c r="S25" i="7"/>
  <c r="AR181" i="4"/>
  <c r="AQ200" i="4"/>
  <c r="M54" i="15"/>
  <c r="N54" i="15" s="1"/>
  <c r="O54" i="15" s="1"/>
  <c r="J54" i="15"/>
  <c r="K54" i="15" s="1"/>
  <c r="AF158" i="4"/>
  <c r="AF166" i="4"/>
  <c r="AF167" i="4"/>
  <c r="AF171" i="4"/>
  <c r="AF173" i="4"/>
  <c r="AQ211" i="4"/>
  <c r="G8" i="5"/>
  <c r="D44" i="15" s="1"/>
  <c r="F9" i="15"/>
  <c r="M9" i="15" s="1"/>
  <c r="N9" i="15" s="1"/>
  <c r="O9" i="15" s="1"/>
  <c r="W24" i="7"/>
  <c r="S132" i="7"/>
  <c r="S151" i="7"/>
  <c r="S156" i="7"/>
  <c r="S253" i="7"/>
  <c r="S300" i="7"/>
  <c r="S33" i="7"/>
  <c r="S73" i="7"/>
  <c r="S87" i="7"/>
  <c r="S114" i="7"/>
  <c r="S161" i="7"/>
  <c r="S180" i="7"/>
  <c r="S263" i="7"/>
  <c r="S324" i="7"/>
  <c r="S329" i="7"/>
  <c r="S55" i="7"/>
  <c r="S119" i="7"/>
  <c r="S147" i="7"/>
  <c r="S166" i="7"/>
  <c r="S185" i="7"/>
  <c r="S190" i="7"/>
  <c r="S249" i="7"/>
  <c r="S310" i="7"/>
  <c r="AR223" i="4"/>
  <c r="F14" i="15"/>
  <c r="W29" i="7"/>
  <c r="S60" i="7"/>
  <c r="S195" i="7"/>
  <c r="S209" i="7"/>
  <c r="S254" i="7"/>
  <c r="S34" i="7"/>
  <c r="S74" i="7"/>
  <c r="S105" i="7"/>
  <c r="S138" i="7"/>
  <c r="S162" i="7"/>
  <c r="S259" i="7"/>
  <c r="S273" i="7"/>
  <c r="AR213" i="4"/>
  <c r="AQ214" i="4"/>
  <c r="S167" i="7"/>
  <c r="S191" i="7"/>
  <c r="S241" i="7"/>
  <c r="S292" i="7"/>
  <c r="S311" i="7"/>
  <c r="S316" i="7"/>
  <c r="G10" i="5"/>
  <c r="D46" i="15" s="1"/>
  <c r="S39" i="7"/>
  <c r="S196" i="7"/>
  <c r="S297" i="7"/>
  <c r="S321" i="7"/>
  <c r="S18" i="7"/>
  <c r="S26" i="7"/>
  <c r="S35" i="7"/>
  <c r="S84" i="7"/>
  <c r="S106" i="7"/>
  <c r="S134" i="7"/>
  <c r="S177" i="7"/>
  <c r="S246" i="7"/>
  <c r="S260" i="7"/>
  <c r="D25" i="5"/>
  <c r="G25" i="5" s="1"/>
  <c r="D56" i="15" s="1"/>
  <c r="D30" i="5"/>
  <c r="K30" i="5" s="1"/>
  <c r="G30" i="5" s="1"/>
  <c r="D60" i="15" s="1"/>
  <c r="D23" i="5"/>
  <c r="G23" i="5" s="1"/>
  <c r="D55" i="15" s="1"/>
  <c r="D16" i="5"/>
  <c r="G16" i="5" s="1"/>
  <c r="D51" i="15" s="1"/>
  <c r="D7" i="5"/>
  <c r="D43" i="5"/>
  <c r="D14" i="5"/>
  <c r="G14" i="5" s="1"/>
  <c r="D49" i="15" s="1"/>
  <c r="D10" i="5"/>
  <c r="D17" i="5"/>
  <c r="G17" i="5" s="1"/>
  <c r="D28" i="5"/>
  <c r="S10" i="7"/>
  <c r="F27" i="15"/>
  <c r="W18" i="7"/>
  <c r="S22" i="7"/>
  <c r="S116" i="7"/>
  <c r="S121" i="7"/>
  <c r="S168" i="7"/>
  <c r="S182" i="7"/>
  <c r="S206" i="7"/>
  <c r="S265" i="7"/>
  <c r="S355" i="7"/>
  <c r="AQ189" i="4"/>
  <c r="AF203" i="4"/>
  <c r="AQ217" i="4"/>
  <c r="K28" i="5"/>
  <c r="G28" i="5" s="1"/>
  <c r="D59" i="15" s="1"/>
  <c r="S149" i="7"/>
  <c r="S154" i="7"/>
  <c r="S270" i="7"/>
  <c r="AF204" i="4"/>
  <c r="D29" i="5"/>
  <c r="G29" i="5" s="1"/>
  <c r="H59" i="5"/>
  <c r="J56" i="5" s="1"/>
  <c r="S27" i="7"/>
  <c r="S80" i="7"/>
  <c r="S85" i="7"/>
  <c r="S178" i="7"/>
  <c r="S247" i="7"/>
  <c r="S289" i="7"/>
  <c r="S23" i="7"/>
  <c r="S36" i="7"/>
  <c r="S71" i="7"/>
  <c r="S117" i="7"/>
  <c r="S140" i="7"/>
  <c r="S169" i="7"/>
  <c r="S183" i="7"/>
  <c r="S308" i="7"/>
  <c r="S313" i="7"/>
  <c r="AQ206" i="4"/>
  <c r="AQ219" i="4"/>
  <c r="S11" i="7"/>
  <c r="S41" i="7"/>
  <c r="S76" i="7"/>
  <c r="S145" i="7"/>
  <c r="S193" i="7"/>
  <c r="S198" i="7"/>
  <c r="S230" i="7"/>
  <c r="AQ161" i="4"/>
  <c r="AQ169" i="4"/>
  <c r="AR206" i="4"/>
  <c r="AF212" i="4"/>
  <c r="AF213" i="4"/>
  <c r="AF227" i="4"/>
  <c r="G7" i="5"/>
  <c r="D19" i="5"/>
  <c r="G19" i="5" s="1"/>
  <c r="D52" i="15" s="1"/>
  <c r="S81" i="7"/>
  <c r="S150" i="7"/>
  <c r="S174" i="7"/>
  <c r="S243" i="7"/>
  <c r="S257" i="7"/>
  <c r="AR220" i="4"/>
  <c r="D13" i="5"/>
  <c r="K13" i="5" s="1"/>
  <c r="G13" i="5" s="1"/>
  <c r="D48" i="15" s="1"/>
  <c r="D21" i="5"/>
  <c r="G21" i="5" s="1"/>
  <c r="S86" i="7"/>
  <c r="S108" i="7"/>
  <c r="S113" i="7"/>
  <c r="S179" i="7"/>
  <c r="S262" i="7"/>
  <c r="S276" i="7"/>
  <c r="S281" i="7"/>
  <c r="S314" i="7"/>
  <c r="S54" i="7"/>
  <c r="S118" i="7"/>
  <c r="S146" i="7"/>
  <c r="S199" i="7"/>
  <c r="S295" i="7"/>
  <c r="S232" i="7"/>
  <c r="K14" i="10"/>
  <c r="C33" i="14" s="1"/>
  <c r="E63" i="11"/>
  <c r="S306" i="7"/>
  <c r="S341" i="7"/>
  <c r="S379" i="7"/>
  <c r="S411" i="7"/>
  <c r="S416" i="7"/>
  <c r="S443" i="7"/>
  <c r="S448" i="7"/>
  <c r="S457" i="7"/>
  <c r="S466" i="7"/>
  <c r="S485" i="7"/>
  <c r="S508" i="7"/>
  <c r="S550" i="7"/>
  <c r="S651" i="7"/>
  <c r="S107" i="7"/>
  <c r="S158" i="7"/>
  <c r="S184" i="7"/>
  <c r="S269" i="7"/>
  <c r="W287" i="7"/>
  <c r="I8" i="10" s="1"/>
  <c r="S299" i="7"/>
  <c r="S333" i="7"/>
  <c r="S349" i="7"/>
  <c r="S402" i="7"/>
  <c r="S421" i="7"/>
  <c r="S430" i="7"/>
  <c r="S439" i="7"/>
  <c r="S462" i="7"/>
  <c r="S471" i="7"/>
  <c r="S490" i="7"/>
  <c r="S522" i="7"/>
  <c r="S582" i="7"/>
  <c r="I6" i="10"/>
  <c r="S67" i="7"/>
  <c r="S96" i="7"/>
  <c r="S221" i="7"/>
  <c r="S358" i="7"/>
  <c r="S362" i="7"/>
  <c r="S398" i="7"/>
  <c r="S407" i="7"/>
  <c r="S453" i="7"/>
  <c r="S476" i="7"/>
  <c r="S569" i="7"/>
  <c r="S587" i="7"/>
  <c r="S78" i="7"/>
  <c r="S155" i="7"/>
  <c r="S173" i="7"/>
  <c r="S240" i="7"/>
  <c r="S251" i="7"/>
  <c r="S288" i="7"/>
  <c r="S354" i="7"/>
  <c r="S371" i="7"/>
  <c r="S412" i="7"/>
  <c r="S426" i="7"/>
  <c r="S444" i="7"/>
  <c r="S592" i="7"/>
  <c r="S707" i="7"/>
  <c r="S32" i="7"/>
  <c r="F12" i="15"/>
  <c r="W56" i="7"/>
  <c r="S82" i="7"/>
  <c r="S115" i="7"/>
  <c r="S144" i="7"/>
  <c r="S192" i="7"/>
  <c r="S203" i="7"/>
  <c r="S255" i="7"/>
  <c r="S307" i="7"/>
  <c r="S318" i="7"/>
  <c r="S367" i="7"/>
  <c r="S458" i="7"/>
  <c r="S491" i="7"/>
  <c r="S523" i="7"/>
  <c r="S528" i="7"/>
  <c r="S551" i="7"/>
  <c r="S556" i="7"/>
  <c r="S633" i="7"/>
  <c r="S75" i="7"/>
  <c r="S126" i="7"/>
  <c r="S207" i="7"/>
  <c r="S248" i="7"/>
  <c r="S322" i="7"/>
  <c r="S330" i="7"/>
  <c r="S363" i="7"/>
  <c r="S394" i="7"/>
  <c r="S440" i="7"/>
  <c r="S472" i="7"/>
  <c r="S537" i="7"/>
  <c r="S542" i="7"/>
  <c r="S588" i="7"/>
  <c r="S661" i="7"/>
  <c r="I10" i="17"/>
  <c r="I13" i="17" s="1"/>
  <c r="P7" i="17"/>
  <c r="J6" i="17"/>
  <c r="H10" i="17"/>
  <c r="H13" i="17" s="1"/>
  <c r="O7" i="17"/>
  <c r="W10" i="17"/>
  <c r="W13" i="17" s="1"/>
  <c r="G10" i="17"/>
  <c r="G13" i="17" s="1"/>
  <c r="N7" i="17"/>
  <c r="H6" i="17"/>
  <c r="V10" i="17"/>
  <c r="V13" i="17" s="1"/>
  <c r="F10" i="17"/>
  <c r="F13" i="17" s="1"/>
  <c r="M7" i="17"/>
  <c r="W6" i="17"/>
  <c r="W16" i="17" s="1"/>
  <c r="G6" i="17"/>
  <c r="U10" i="17"/>
  <c r="U13" i="17" s="1"/>
  <c r="E10" i="17"/>
  <c r="E13" i="17" s="1"/>
  <c r="L7" i="17"/>
  <c r="V6" i="17"/>
  <c r="F6" i="17"/>
  <c r="T10" i="17"/>
  <c r="T13" i="17" s="1"/>
  <c r="D10" i="17"/>
  <c r="D13" i="17" s="1"/>
  <c r="K7" i="17"/>
  <c r="U6" i="17"/>
  <c r="E6" i="17"/>
  <c r="E16" i="17" s="1"/>
  <c r="C10" i="17"/>
  <c r="C13" i="17" s="1"/>
  <c r="J7" i="17"/>
  <c r="T6" i="17"/>
  <c r="D6" i="17"/>
  <c r="D16" i="17" s="1"/>
  <c r="B10" i="17"/>
  <c r="I7" i="17"/>
  <c r="S6" i="17"/>
  <c r="C6" i="17"/>
  <c r="H7" i="17"/>
  <c r="R6" i="17"/>
  <c r="B6" i="17"/>
  <c r="W7" i="17"/>
  <c r="G7" i="17"/>
  <c r="Q6" i="17"/>
  <c r="V7" i="17"/>
  <c r="F7" i="17"/>
  <c r="P6" i="17"/>
  <c r="N10" i="17"/>
  <c r="N13" i="17" s="1"/>
  <c r="U7" i="17"/>
  <c r="E7" i="17"/>
  <c r="O6" i="17"/>
  <c r="M10" i="17"/>
  <c r="M13" i="17" s="1"/>
  <c r="T7" i="17"/>
  <c r="D7" i="17"/>
  <c r="N6" i="17"/>
  <c r="L10" i="17"/>
  <c r="L13" i="17" s="1"/>
  <c r="S7" i="17"/>
  <c r="C7" i="17"/>
  <c r="M6" i="17"/>
  <c r="M16" i="17" s="1"/>
  <c r="K10" i="17"/>
  <c r="K13" i="17" s="1"/>
  <c r="R7" i="17"/>
  <c r="B7" i="17"/>
  <c r="L6" i="17"/>
  <c r="J10" i="17"/>
  <c r="J13" i="17" s="1"/>
  <c r="S43" i="7"/>
  <c r="S50" i="7"/>
  <c r="S64" i="7"/>
  <c r="S130" i="7"/>
  <c r="S200" i="7"/>
  <c r="S285" i="7"/>
  <c r="S315" i="7"/>
  <c r="S326" i="7"/>
  <c r="S346" i="7"/>
  <c r="S359" i="7"/>
  <c r="S376" i="7"/>
  <c r="S381" i="7"/>
  <c r="S408" i="7"/>
  <c r="S427" i="7"/>
  <c r="S468" i="7"/>
  <c r="S482" i="7"/>
  <c r="S533" i="7"/>
  <c r="S597" i="7"/>
  <c r="S643" i="7"/>
  <c r="S671" i="7"/>
  <c r="S123" i="7"/>
  <c r="S237" i="7"/>
  <c r="S390" i="7"/>
  <c r="S404" i="7"/>
  <c r="S418" i="7"/>
  <c r="S450" i="7"/>
  <c r="S459" i="7"/>
  <c r="S496" i="7"/>
  <c r="S501" i="7"/>
  <c r="S510" i="7"/>
  <c r="S524" i="7"/>
  <c r="S552" i="7"/>
  <c r="S634" i="7"/>
  <c r="S83" i="7"/>
  <c r="W108" i="7"/>
  <c r="S112" i="7"/>
  <c r="S189" i="7"/>
  <c r="S256" i="7"/>
  <c r="S267" i="7"/>
  <c r="S304" i="7"/>
  <c r="S331" i="7"/>
  <c r="S335" i="7"/>
  <c r="S364" i="7"/>
  <c r="S395" i="7"/>
  <c r="S464" i="7"/>
  <c r="S566" i="7"/>
  <c r="S584" i="7"/>
  <c r="F22" i="15"/>
  <c r="S94" i="7"/>
  <c r="S160" i="7"/>
  <c r="S208" i="7"/>
  <c r="S219" i="7"/>
  <c r="S271" i="7"/>
  <c r="S323" i="7"/>
  <c r="S339" i="7"/>
  <c r="S347" i="7"/>
  <c r="S377" i="7"/>
  <c r="S382" i="7"/>
  <c r="S400" i="7"/>
  <c r="S432" i="7"/>
  <c r="S506" i="7"/>
  <c r="S538" i="7"/>
  <c r="S543" i="7"/>
  <c r="S16" i="7"/>
  <c r="W26" i="7"/>
  <c r="S98" i="7"/>
  <c r="S131" i="7"/>
  <c r="S171" i="7"/>
  <c r="S223" i="7"/>
  <c r="S264" i="7"/>
  <c r="S360" i="7"/>
  <c r="S437" i="7"/>
  <c r="S446" i="7"/>
  <c r="S469" i="7"/>
  <c r="S511" i="7"/>
  <c r="S520" i="7"/>
  <c r="S525" i="7"/>
  <c r="S612" i="7"/>
  <c r="S658" i="7"/>
  <c r="S91" i="7"/>
  <c r="S142" i="7"/>
  <c r="S175" i="7"/>
  <c r="S216" i="7"/>
  <c r="S290" i="7"/>
  <c r="S405" i="7"/>
  <c r="S493" i="7"/>
  <c r="S567" i="7"/>
  <c r="S635" i="7"/>
  <c r="S336" i="7"/>
  <c r="S365" i="7"/>
  <c r="S474" i="7"/>
  <c r="S507" i="7"/>
  <c r="S530" i="7"/>
  <c r="S544" i="7"/>
  <c r="S576" i="7"/>
  <c r="F29" i="15"/>
  <c r="S62" i="7"/>
  <c r="S139" i="7"/>
  <c r="S205" i="7"/>
  <c r="S272" i="7"/>
  <c r="S283" i="7"/>
  <c r="S320" i="7"/>
  <c r="S344" i="7"/>
  <c r="S378" i="7"/>
  <c r="S383" i="7"/>
  <c r="S410" i="7"/>
  <c r="S429" i="7"/>
  <c r="S442" i="7"/>
  <c r="S447" i="7"/>
  <c r="S456" i="7"/>
  <c r="S461" i="7"/>
  <c r="S512" i="7"/>
  <c r="S521" i="7"/>
  <c r="S599" i="7"/>
  <c r="W13" i="7"/>
  <c r="S48" i="7"/>
  <c r="S66" i="7"/>
  <c r="S99" i="7"/>
  <c r="S128" i="7"/>
  <c r="S224" i="7"/>
  <c r="S235" i="7"/>
  <c r="S287" i="7"/>
  <c r="S397" i="7"/>
  <c r="S480" i="7"/>
  <c r="S503" i="7"/>
  <c r="S517" i="7"/>
  <c r="S526" i="7"/>
  <c r="S710" i="7"/>
  <c r="S59" i="7"/>
  <c r="M16" i="15"/>
  <c r="N16" i="15" s="1"/>
  <c r="O16" i="15" s="1"/>
  <c r="J16" i="15"/>
  <c r="K16" i="15" s="1"/>
  <c r="S110" i="7"/>
  <c r="S176" i="7"/>
  <c r="Q7" i="17"/>
  <c r="K6" i="17"/>
  <c r="K16" i="17" s="1"/>
  <c r="I6" i="17"/>
  <c r="I16" i="17" s="1"/>
  <c r="S187" i="7"/>
  <c r="S239" i="7"/>
  <c r="S280" i="7"/>
  <c r="S291" i="7"/>
  <c r="S302" i="7"/>
  <c r="W313" i="7"/>
  <c r="S392" i="7"/>
  <c r="S475" i="7"/>
  <c r="S586" i="7"/>
  <c r="S539" i="7"/>
  <c r="S560" i="7"/>
  <c r="S594" i="7"/>
  <c r="S632" i="7"/>
  <c r="S679" i="7"/>
  <c r="S691" i="7"/>
  <c r="S699" i="7"/>
  <c r="S703" i="7"/>
  <c r="S712" i="7"/>
  <c r="S735" i="7"/>
  <c r="S749" i="7"/>
  <c r="S772" i="7"/>
  <c r="S805" i="7"/>
  <c r="S810" i="7"/>
  <c r="S532" i="7"/>
  <c r="S568" i="7"/>
  <c r="S598" i="7"/>
  <c r="S640" i="7"/>
  <c r="S644" i="7"/>
  <c r="S652" i="7"/>
  <c r="S668" i="7"/>
  <c r="S717" i="7"/>
  <c r="S726" i="7"/>
  <c r="S740" i="7"/>
  <c r="S758" i="7"/>
  <c r="S791" i="7"/>
  <c r="S796" i="7"/>
  <c r="S438" i="7"/>
  <c r="W498" i="7"/>
  <c r="S502" i="7"/>
  <c r="S583" i="7"/>
  <c r="S656" i="7"/>
  <c r="S722" i="7"/>
  <c r="S745" i="7"/>
  <c r="S763" i="7"/>
  <c r="S815" i="7"/>
  <c r="S829" i="7"/>
  <c r="S834" i="7"/>
  <c r="S617" i="7"/>
  <c r="S676" i="7"/>
  <c r="S692" i="7"/>
  <c r="S713" i="7"/>
  <c r="S768" i="7"/>
  <c r="S839" i="7"/>
  <c r="S388" i="7"/>
  <c r="S547" i="7"/>
  <c r="S561" i="7"/>
  <c r="S621" i="7"/>
  <c r="S625" i="7"/>
  <c r="S629" i="7"/>
  <c r="S696" i="7"/>
  <c r="S704" i="7"/>
  <c r="S773" i="7"/>
  <c r="S778" i="7"/>
  <c r="S792" i="7"/>
  <c r="S844" i="7"/>
  <c r="S452" i="7"/>
  <c r="S516" i="7"/>
  <c r="S641" i="7"/>
  <c r="S645" i="7"/>
  <c r="S653" i="7"/>
  <c r="S657" i="7"/>
  <c r="S688" i="7"/>
  <c r="S709" i="7"/>
  <c r="S727" i="7"/>
  <c r="S732" i="7"/>
  <c r="S755" i="7"/>
  <c r="S797" i="7"/>
  <c r="S802" i="7"/>
  <c r="S816" i="7"/>
  <c r="S821" i="7"/>
  <c r="S372" i="7"/>
  <c r="S422" i="7"/>
  <c r="S486" i="7"/>
  <c r="S788" i="7"/>
  <c r="S849" i="7"/>
  <c r="F11" i="15"/>
  <c r="M11" i="15" s="1"/>
  <c r="N11" i="15" s="1"/>
  <c r="O11" i="15" s="1"/>
  <c r="S562" i="7"/>
  <c r="S573" i="7"/>
  <c r="S577" i="7"/>
  <c r="S714" i="7"/>
  <c r="S807" i="7"/>
  <c r="S812" i="7"/>
  <c r="S826" i="7"/>
  <c r="W86" i="7"/>
  <c r="I7" i="10" s="1"/>
  <c r="S356" i="7"/>
  <c r="S548" i="7"/>
  <c r="S607" i="7"/>
  <c r="S630" i="7"/>
  <c r="S650" i="7"/>
  <c r="S760" i="7"/>
  <c r="S436" i="7"/>
  <c r="S500" i="7"/>
  <c r="S581" i="7"/>
  <c r="S585" i="7"/>
  <c r="S596" i="7"/>
  <c r="S817" i="7"/>
  <c r="S831" i="7"/>
  <c r="S850" i="7"/>
  <c r="S340" i="7"/>
  <c r="S406" i="7"/>
  <c r="S470" i="7"/>
  <c r="S534" i="7"/>
  <c r="S570" i="7"/>
  <c r="S666" i="7"/>
  <c r="W697" i="7"/>
  <c r="I4" i="10" s="1"/>
  <c r="S752" i="7"/>
  <c r="S775" i="7"/>
  <c r="S794" i="7"/>
  <c r="S604" i="7"/>
  <c r="S627" i="7"/>
  <c r="S720" i="7"/>
  <c r="S743" i="7"/>
  <c r="S761" i="7"/>
  <c r="S846" i="7"/>
  <c r="S619" i="7"/>
  <c r="S690" i="7"/>
  <c r="S694" i="7"/>
  <c r="S698" i="7"/>
  <c r="S799" i="7"/>
  <c r="S832" i="7"/>
  <c r="S837" i="7"/>
  <c r="S420" i="7"/>
  <c r="S484" i="7"/>
  <c r="S667" i="7"/>
  <c r="S711" i="7"/>
  <c r="S739" i="7"/>
  <c r="S748" i="7"/>
  <c r="S757" i="7"/>
  <c r="S771" i="7"/>
  <c r="S776" i="7"/>
  <c r="F24" i="15"/>
  <c r="M24" i="15" s="1"/>
  <c r="N24" i="15" s="1"/>
  <c r="O24" i="15" s="1"/>
  <c r="S454" i="7"/>
  <c r="S518" i="7"/>
  <c r="S535" i="7"/>
  <c r="S571" i="7"/>
  <c r="S663" i="7"/>
  <c r="S725" i="7"/>
  <c r="S730" i="7"/>
  <c r="S744" i="7"/>
  <c r="S762" i="7"/>
  <c r="S781" i="7"/>
  <c r="S786" i="7"/>
  <c r="S842" i="7"/>
  <c r="W305" i="7"/>
  <c r="S575" i="7"/>
  <c r="S616" i="7"/>
  <c r="W651" i="7"/>
  <c r="S675" i="7"/>
  <c r="S800" i="7"/>
  <c r="S819" i="7"/>
  <c r="S833" i="7"/>
  <c r="S785" i="7"/>
  <c r="S809" i="7"/>
  <c r="S843" i="7"/>
  <c r="C39" i="14"/>
  <c r="J18" i="16"/>
  <c r="G18" i="16"/>
  <c r="J40" i="16"/>
  <c r="G40" i="16"/>
  <c r="J49" i="16"/>
  <c r="G49" i="16"/>
  <c r="K4" i="15"/>
  <c r="W719" i="7"/>
  <c r="I5" i="10" s="1"/>
  <c r="Y9" i="13"/>
  <c r="Y12" i="13" s="1"/>
  <c r="Z9" i="13"/>
  <c r="R19" i="13"/>
  <c r="J8" i="15"/>
  <c r="K8" i="15" s="1"/>
  <c r="S769" i="7"/>
  <c r="N92" i="9"/>
  <c r="O92" i="9" s="1"/>
  <c r="V18" i="13"/>
  <c r="V21" i="13" s="1"/>
  <c r="S793" i="7"/>
  <c r="W18" i="13"/>
  <c r="J9" i="15"/>
  <c r="K9" i="15" s="1"/>
  <c r="J13" i="15"/>
  <c r="K13" i="15" s="1"/>
  <c r="S753" i="7"/>
  <c r="S827" i="7"/>
  <c r="X20" i="8"/>
  <c r="N80" i="9"/>
  <c r="O80" i="9" s="1"/>
  <c r="S609" i="7"/>
  <c r="W730" i="7"/>
  <c r="S737" i="7"/>
  <c r="S783" i="7"/>
  <c r="S841" i="7"/>
  <c r="X12" i="13"/>
  <c r="S593" i="7"/>
  <c r="S721" i="7"/>
  <c r="S811" i="7"/>
  <c r="Y10" i="13"/>
  <c r="W20" i="13"/>
  <c r="Y20" i="13" s="1"/>
  <c r="S705" i="7"/>
  <c r="J6" i="15"/>
  <c r="K6" i="15" s="1"/>
  <c r="S825" i="7"/>
  <c r="X12" i="17"/>
  <c r="S689" i="7"/>
  <c r="S795" i="7"/>
  <c r="H64" i="11"/>
  <c r="Z8" i="13"/>
  <c r="N65" i="15"/>
  <c r="O65" i="15" s="1"/>
  <c r="S545" i="7"/>
  <c r="S673" i="7"/>
  <c r="N91" i="9"/>
  <c r="O91" i="9" s="1"/>
  <c r="F64" i="11"/>
  <c r="C7" i="14"/>
  <c r="W17" i="13"/>
  <c r="C8" i="14"/>
  <c r="H61" i="15"/>
  <c r="J18" i="15"/>
  <c r="K18" i="15" s="1"/>
  <c r="F30" i="16"/>
  <c r="J11" i="16"/>
  <c r="G11" i="16"/>
  <c r="H11" i="16"/>
  <c r="I11" i="16" s="1"/>
  <c r="G31" i="16"/>
  <c r="J31" i="16"/>
  <c r="G12" i="16"/>
  <c r="J12" i="16"/>
  <c r="F42" i="16"/>
  <c r="J23" i="16"/>
  <c r="G23" i="16"/>
  <c r="D34" i="15"/>
  <c r="J4" i="16"/>
  <c r="G4" i="16"/>
  <c r="J13" i="16"/>
  <c r="G13" i="16"/>
  <c r="H23" i="16"/>
  <c r="I23" i="16" s="1"/>
  <c r="Z7" i="13"/>
  <c r="H4" i="16"/>
  <c r="I4" i="16" s="1"/>
  <c r="J35" i="16"/>
  <c r="G35" i="16"/>
  <c r="C20" i="16"/>
  <c r="D20" i="16" s="1"/>
  <c r="F20" i="16" s="1"/>
  <c r="J20" i="15"/>
  <c r="K20" i="15" s="1"/>
  <c r="J25" i="16"/>
  <c r="G25" i="16"/>
  <c r="W19" i="13"/>
  <c r="J6" i="16"/>
  <c r="G6" i="16"/>
  <c r="J47" i="16"/>
  <c r="G47" i="16"/>
  <c r="M4" i="15"/>
  <c r="J37" i="16"/>
  <c r="G37" i="16"/>
  <c r="C32" i="16"/>
  <c r="D32" i="16" s="1"/>
  <c r="F32" i="16" s="1"/>
  <c r="M21" i="15"/>
  <c r="N21" i="15" s="1"/>
  <c r="O21" i="15" s="1"/>
  <c r="J21" i="15"/>
  <c r="K21" i="15" s="1"/>
  <c r="J28" i="15"/>
  <c r="K28" i="15" s="1"/>
  <c r="M32" i="15"/>
  <c r="N32" i="15" s="1"/>
  <c r="H68" i="15"/>
  <c r="H65" i="11"/>
  <c r="H67" i="11"/>
  <c r="C8" i="16"/>
  <c r="D8" i="16" s="1"/>
  <c r="F8" i="16" s="1"/>
  <c r="H14" i="16"/>
  <c r="I14" i="16" s="1"/>
  <c r="H34" i="16"/>
  <c r="I34" i="16" s="1"/>
  <c r="H40" i="16"/>
  <c r="I40" i="16" s="1"/>
  <c r="H53" i="16"/>
  <c r="I53" i="16" s="1"/>
  <c r="J33" i="15"/>
  <c r="K33" i="15" s="1"/>
  <c r="D28" i="16"/>
  <c r="F28" i="16" s="1"/>
  <c r="J34" i="16"/>
  <c r="J53" i="16"/>
  <c r="J24" i="15"/>
  <c r="K24" i="15" s="1"/>
  <c r="H22" i="16"/>
  <c r="I22" i="16" s="1"/>
  <c r="H28" i="16"/>
  <c r="I28" i="16" s="1"/>
  <c r="H41" i="16"/>
  <c r="I41" i="16" s="1"/>
  <c r="H47" i="16"/>
  <c r="I47" i="16" s="1"/>
  <c r="J10" i="15"/>
  <c r="K10" i="15" s="1"/>
  <c r="D16" i="16"/>
  <c r="F16" i="16" s="1"/>
  <c r="J22" i="16"/>
  <c r="J54" i="16"/>
  <c r="G54" i="16"/>
  <c r="D68" i="15"/>
  <c r="J65" i="15"/>
  <c r="H10" i="16"/>
  <c r="I10" i="16" s="1"/>
  <c r="H29" i="16"/>
  <c r="I29" i="16" s="1"/>
  <c r="H35" i="16"/>
  <c r="I35" i="16" s="1"/>
  <c r="H48" i="16"/>
  <c r="I48" i="16" s="1"/>
  <c r="H54" i="16"/>
  <c r="I54" i="16" s="1"/>
  <c r="J10" i="16"/>
  <c r="F17" i="16"/>
  <c r="J29" i="16"/>
  <c r="F36" i="16"/>
  <c r="J48" i="16"/>
  <c r="F5" i="16"/>
  <c r="F24" i="16"/>
  <c r="J55" i="16"/>
  <c r="H43" i="16"/>
  <c r="I43" i="16" s="1"/>
  <c r="H49" i="16"/>
  <c r="I49" i="16" s="1"/>
  <c r="J43" i="16"/>
  <c r="C50" i="16"/>
  <c r="D50" i="16" s="1"/>
  <c r="F50" i="16" s="1"/>
  <c r="J30" i="15"/>
  <c r="K30" i="15" s="1"/>
  <c r="H12" i="16"/>
  <c r="I12" i="16" s="1"/>
  <c r="H18" i="16"/>
  <c r="I18" i="16" s="1"/>
  <c r="H31" i="16"/>
  <c r="I31" i="16" s="1"/>
  <c r="H37" i="16"/>
  <c r="I37" i="16" s="1"/>
  <c r="C44" i="16"/>
  <c r="D44" i="16" s="1"/>
  <c r="F44" i="16" s="1"/>
  <c r="C38" i="16"/>
  <c r="D38" i="16" s="1"/>
  <c r="F38" i="16" s="1"/>
  <c r="H6" i="16"/>
  <c r="I6" i="16" s="1"/>
  <c r="H19" i="16"/>
  <c r="I19" i="16" s="1"/>
  <c r="H25" i="16"/>
  <c r="I25" i="16" s="1"/>
  <c r="C56" i="16"/>
  <c r="D56" i="16" s="1"/>
  <c r="F56" i="16" s="1"/>
  <c r="J19" i="16"/>
  <c r="C26" i="16"/>
  <c r="D26" i="16" s="1"/>
  <c r="F26" i="16" s="1"/>
  <c r="J52" i="16"/>
  <c r="G52" i="16"/>
  <c r="H7" i="16"/>
  <c r="I7" i="16" s="1"/>
  <c r="H13" i="16"/>
  <c r="I13" i="16" s="1"/>
  <c r="H32" i="16"/>
  <c r="I32" i="16" s="1"/>
  <c r="H46" i="16"/>
  <c r="I46" i="16" s="1"/>
  <c r="X11" i="17"/>
  <c r="W16" i="13"/>
  <c r="J7" i="16"/>
  <c r="C14" i="16"/>
  <c r="D14" i="16" s="1"/>
  <c r="F14" i="16" s="1"/>
  <c r="J46" i="16"/>
  <c r="N45" i="9" l="1"/>
  <c r="O45" i="9" s="1"/>
  <c r="N41" i="9"/>
  <c r="O41" i="9" s="1"/>
  <c r="N20" i="9"/>
  <c r="O20" i="9" s="1"/>
  <c r="N29" i="9"/>
  <c r="O29" i="9" s="1"/>
  <c r="N34" i="9"/>
  <c r="O34" i="9" s="1"/>
  <c r="U16" i="17"/>
  <c r="C22" i="14" s="1"/>
  <c r="F16" i="17"/>
  <c r="N42" i="9"/>
  <c r="O42" i="9" s="1"/>
  <c r="N7" i="9"/>
  <c r="O7" i="9" s="1"/>
  <c r="N53" i="9"/>
  <c r="O53" i="9" s="1"/>
  <c r="N15" i="9"/>
  <c r="O15" i="9" s="1"/>
  <c r="N16" i="17"/>
  <c r="N35" i="9"/>
  <c r="J11" i="15"/>
  <c r="K11" i="15" s="1"/>
  <c r="N19" i="9"/>
  <c r="O19" i="9" s="1"/>
  <c r="N69" i="9"/>
  <c r="O69" i="9" s="1"/>
  <c r="H56" i="16"/>
  <c r="I56" i="16" s="1"/>
  <c r="N28" i="9"/>
  <c r="O28" i="9" s="1"/>
  <c r="N11" i="9"/>
  <c r="O11" i="9" s="1"/>
  <c r="K49" i="5"/>
  <c r="X7" i="17"/>
  <c r="D43" i="15"/>
  <c r="H6" i="5"/>
  <c r="M51" i="15"/>
  <c r="N51" i="15" s="1"/>
  <c r="O51" i="15" s="1"/>
  <c r="J51" i="15"/>
  <c r="K51" i="15" s="1"/>
  <c r="T16" i="17"/>
  <c r="M14" i="15"/>
  <c r="N14" i="15" s="1"/>
  <c r="O14" i="15" s="1"/>
  <c r="J14" i="15"/>
  <c r="K14" i="15" s="1"/>
  <c r="N32" i="9"/>
  <c r="N47" i="9"/>
  <c r="O47" i="9" s="1"/>
  <c r="N10" i="9"/>
  <c r="H8" i="16"/>
  <c r="I8" i="16" s="1"/>
  <c r="L7" i="10"/>
  <c r="D62" i="11"/>
  <c r="J7" i="10"/>
  <c r="D47" i="15"/>
  <c r="H11" i="5"/>
  <c r="N62" i="9"/>
  <c r="O62" i="9" s="1"/>
  <c r="N58" i="9"/>
  <c r="O58" i="9" s="1"/>
  <c r="N39" i="9"/>
  <c r="O39" i="9" s="1"/>
  <c r="N16" i="9"/>
  <c r="O16" i="9" s="1"/>
  <c r="N55" i="9"/>
  <c r="O55" i="9" s="1"/>
  <c r="N36" i="9"/>
  <c r="O36" i="9" s="1"/>
  <c r="N17" i="9"/>
  <c r="O17" i="9" s="1"/>
  <c r="N13" i="9"/>
  <c r="O13" i="9" s="1"/>
  <c r="N12" i="9"/>
  <c r="O12" i="9" s="1"/>
  <c r="N72" i="9"/>
  <c r="O72" i="9" s="1"/>
  <c r="G26" i="16"/>
  <c r="J26" i="16"/>
  <c r="D63" i="11"/>
  <c r="J8" i="10"/>
  <c r="L8" i="10"/>
  <c r="H16" i="17"/>
  <c r="Y10" i="17"/>
  <c r="D37" i="15"/>
  <c r="E37" i="15" s="1"/>
  <c r="C13" i="14"/>
  <c r="J20" i="16"/>
  <c r="G20" i="16"/>
  <c r="H16" i="16"/>
  <c r="I16" i="16" s="1"/>
  <c r="O35" i="9"/>
  <c r="N24" i="9"/>
  <c r="O24" i="9" s="1"/>
  <c r="N6" i="9"/>
  <c r="O6" i="9" s="1"/>
  <c r="Z18" i="13"/>
  <c r="Y18" i="13"/>
  <c r="D61" i="11"/>
  <c r="L6" i="10"/>
  <c r="J6" i="10"/>
  <c r="D53" i="15"/>
  <c r="H20" i="5"/>
  <c r="N43" i="9"/>
  <c r="O43" i="9" s="1"/>
  <c r="N25" i="9"/>
  <c r="O25" i="9" s="1"/>
  <c r="N70" i="9"/>
  <c r="N76" i="9"/>
  <c r="O76" i="9" s="1"/>
  <c r="G50" i="16"/>
  <c r="J50" i="16"/>
  <c r="H44" i="16"/>
  <c r="I44" i="16" s="1"/>
  <c r="H38" i="16"/>
  <c r="I38" i="16" s="1"/>
  <c r="K65" i="15"/>
  <c r="J28" i="16"/>
  <c r="G28" i="16"/>
  <c r="J32" i="16"/>
  <c r="G32" i="16"/>
  <c r="Z24" i="13"/>
  <c r="Z12" i="13"/>
  <c r="X6" i="17"/>
  <c r="C6" i="14" s="1"/>
  <c r="M48" i="15"/>
  <c r="N48" i="15" s="1"/>
  <c r="O48" i="15" s="1"/>
  <c r="J48" i="15"/>
  <c r="K48" i="15" s="1"/>
  <c r="AQ228" i="4"/>
  <c r="AR228" i="4"/>
  <c r="N66" i="9"/>
  <c r="O66" i="9" s="1"/>
  <c r="N33" i="9"/>
  <c r="O33" i="9" s="1"/>
  <c r="N49" i="9"/>
  <c r="O49" i="9" s="1"/>
  <c r="N40" i="9"/>
  <c r="N31" i="9"/>
  <c r="O31" i="9" s="1"/>
  <c r="Z19" i="13"/>
  <c r="Y19" i="13"/>
  <c r="O32" i="15"/>
  <c r="S32" i="15"/>
  <c r="J42" i="16"/>
  <c r="G42" i="16"/>
  <c r="J56" i="16"/>
  <c r="G56" i="16"/>
  <c r="G14" i="16"/>
  <c r="J14" i="16"/>
  <c r="Y12" i="17"/>
  <c r="AA12" i="17" s="1"/>
  <c r="M27" i="15"/>
  <c r="N27" i="15" s="1"/>
  <c r="O27" i="15" s="1"/>
  <c r="J27" i="15"/>
  <c r="K27" i="15" s="1"/>
  <c r="N48" i="9"/>
  <c r="O48" i="9" s="1"/>
  <c r="N73" i="9"/>
  <c r="O73" i="9" s="1"/>
  <c r="Y16" i="13"/>
  <c r="W21" i="13"/>
  <c r="G24" i="16"/>
  <c r="J24" i="16"/>
  <c r="J16" i="17"/>
  <c r="N71" i="9"/>
  <c r="O71" i="9" s="1"/>
  <c r="N4" i="9"/>
  <c r="G38" i="16"/>
  <c r="J38" i="16"/>
  <c r="G5" i="16"/>
  <c r="J5" i="16"/>
  <c r="N4" i="15"/>
  <c r="O4" i="15" s="1"/>
  <c r="J30" i="16"/>
  <c r="G30" i="16"/>
  <c r="C16" i="17"/>
  <c r="V16" i="17"/>
  <c r="N52" i="9"/>
  <c r="O52" i="9" s="1"/>
  <c r="N59" i="9"/>
  <c r="O59" i="9" s="1"/>
  <c r="N46" i="9"/>
  <c r="O46" i="9" s="1"/>
  <c r="N22" i="9"/>
  <c r="O22" i="9" s="1"/>
  <c r="N74" i="9"/>
  <c r="O74" i="9" s="1"/>
  <c r="M29" i="15"/>
  <c r="N29" i="15" s="1"/>
  <c r="O29" i="15" s="1"/>
  <c r="J29" i="15"/>
  <c r="K29" i="15" s="1"/>
  <c r="M12" i="15"/>
  <c r="N12" i="15" s="1"/>
  <c r="O12" i="15" s="1"/>
  <c r="J12" i="15"/>
  <c r="K12" i="15" s="1"/>
  <c r="J55" i="5"/>
  <c r="J53" i="5"/>
  <c r="N50" i="9"/>
  <c r="N77" i="9"/>
  <c r="O77" i="9" s="1"/>
  <c r="D59" i="11"/>
  <c r="I14" i="10"/>
  <c r="C32" i="14" s="1"/>
  <c r="J4" i="10"/>
  <c r="L4" i="10"/>
  <c r="H50" i="16"/>
  <c r="I50" i="16" s="1"/>
  <c r="G36" i="16"/>
  <c r="J36" i="16"/>
  <c r="H20" i="16"/>
  <c r="I20" i="16" s="1"/>
  <c r="Z16" i="13"/>
  <c r="M22" i="15"/>
  <c r="N22" i="15" s="1"/>
  <c r="O22" i="15" s="1"/>
  <c r="J22" i="15"/>
  <c r="K22" i="15" s="1"/>
  <c r="J54" i="5"/>
  <c r="N67" i="9"/>
  <c r="O67" i="9" s="1"/>
  <c r="N9" i="9"/>
  <c r="O9" i="9" s="1"/>
  <c r="Z20" i="13"/>
  <c r="B13" i="17"/>
  <c r="B16" i="17" s="1"/>
  <c r="D44" i="5"/>
  <c r="G44" i="5" s="1"/>
  <c r="G43" i="5"/>
  <c r="N56" i="9"/>
  <c r="O56" i="9" s="1"/>
  <c r="N44" i="9"/>
  <c r="O44" i="9" s="1"/>
  <c r="Y19" i="8"/>
  <c r="Y11" i="8"/>
  <c r="F47" i="15" s="1"/>
  <c r="Y10" i="8"/>
  <c r="F46" i="15" s="1"/>
  <c r="M46" i="15" s="1"/>
  <c r="N46" i="15" s="1"/>
  <c r="O46" i="15" s="1"/>
  <c r="Y18" i="8"/>
  <c r="Y23" i="8"/>
  <c r="Y15" i="8"/>
  <c r="F53" i="15" s="1"/>
  <c r="Y8" i="8"/>
  <c r="F44" i="15" s="1"/>
  <c r="M44" i="15" s="1"/>
  <c r="N44" i="15" s="1"/>
  <c r="O44" i="15" s="1"/>
  <c r="Y17" i="8"/>
  <c r="Y7" i="8"/>
  <c r="Y25" i="8"/>
  <c r="F67" i="15" s="1"/>
  <c r="Y16" i="8"/>
  <c r="F55" i="15" s="1"/>
  <c r="J55" i="15" s="1"/>
  <c r="K55" i="15" s="1"/>
  <c r="Y24" i="8"/>
  <c r="F66" i="15" s="1"/>
  <c r="Y14" i="8"/>
  <c r="F52" i="15" s="1"/>
  <c r="J52" i="15" s="1"/>
  <c r="K52" i="15" s="1"/>
  <c r="Y13" i="8"/>
  <c r="F50" i="15" s="1"/>
  <c r="Y12" i="8"/>
  <c r="F49" i="15" s="1"/>
  <c r="J49" i="15" s="1"/>
  <c r="K49" i="15" s="1"/>
  <c r="Y9" i="8"/>
  <c r="F45" i="15" s="1"/>
  <c r="J16" i="16"/>
  <c r="G16" i="16"/>
  <c r="H26" i="16"/>
  <c r="I26" i="16" s="1"/>
  <c r="J44" i="16"/>
  <c r="G44" i="16"/>
  <c r="G17" i="16"/>
  <c r="J17" i="16"/>
  <c r="J8" i="16"/>
  <c r="G8" i="16"/>
  <c r="Z17" i="13"/>
  <c r="Y17" i="13"/>
  <c r="J5" i="10"/>
  <c r="L5" i="10"/>
  <c r="D60" i="11"/>
  <c r="L16" i="17"/>
  <c r="G16" i="17"/>
  <c r="M52" i="15"/>
  <c r="N52" i="15" s="1"/>
  <c r="O52" i="15" s="1"/>
  <c r="N61" i="9"/>
  <c r="O61" i="9" s="1"/>
  <c r="N68" i="9"/>
  <c r="O68" i="9" s="1"/>
  <c r="N64" i="9"/>
  <c r="O64" i="9" s="1"/>
  <c r="N38" i="9"/>
  <c r="O38" i="9" s="1"/>
  <c r="N18" i="9"/>
  <c r="N30" i="9"/>
  <c r="O30" i="9" s="1"/>
  <c r="N5" i="9"/>
  <c r="Z12" i="17" l="1"/>
  <c r="Y26" i="8"/>
  <c r="B17" i="17"/>
  <c r="C17" i="17" s="1"/>
  <c r="D17" i="17" s="1"/>
  <c r="E17" i="17" s="1"/>
  <c r="F17" i="17" s="1"/>
  <c r="G17" i="17" s="1"/>
  <c r="H17" i="17" s="1"/>
  <c r="I17" i="17" s="1"/>
  <c r="J17" i="17" s="1"/>
  <c r="K17" i="17" s="1"/>
  <c r="L17" i="17" s="1"/>
  <c r="M17" i="17" s="1"/>
  <c r="N17" i="17" s="1"/>
  <c r="H17" i="15"/>
  <c r="M49" i="15"/>
  <c r="N49" i="15" s="1"/>
  <c r="O49" i="15" s="1"/>
  <c r="H15" i="15"/>
  <c r="O4" i="9"/>
  <c r="O10" i="17"/>
  <c r="O10" i="9"/>
  <c r="F25" i="15" s="1"/>
  <c r="H25" i="15"/>
  <c r="J58" i="5"/>
  <c r="L58" i="5" s="1"/>
  <c r="O70" i="9"/>
  <c r="S10" i="17"/>
  <c r="S13" i="17" s="1"/>
  <c r="S16" i="17" s="1"/>
  <c r="M45" i="15"/>
  <c r="N45" i="15" s="1"/>
  <c r="O45" i="15" s="1"/>
  <c r="J45" i="15"/>
  <c r="K45" i="15" s="1"/>
  <c r="O32" i="9"/>
  <c r="Q10" i="17"/>
  <c r="Q13" i="17" s="1"/>
  <c r="Q16" i="17" s="1"/>
  <c r="O50" i="9"/>
  <c r="R10" i="17"/>
  <c r="R13" i="17" s="1"/>
  <c r="R16" i="17" s="1"/>
  <c r="M50" i="15"/>
  <c r="N50" i="15" s="1"/>
  <c r="O50" i="15" s="1"/>
  <c r="J50" i="15"/>
  <c r="K50" i="15" s="1"/>
  <c r="J44" i="15"/>
  <c r="K44" i="15" s="1"/>
  <c r="Z25" i="13"/>
  <c r="Z21" i="13"/>
  <c r="Z26" i="13"/>
  <c r="M53" i="15"/>
  <c r="N53" i="15" s="1"/>
  <c r="O53" i="15" s="1"/>
  <c r="J53" i="15"/>
  <c r="K53" i="15" s="1"/>
  <c r="M55" i="15"/>
  <c r="N55" i="15" s="1"/>
  <c r="O55" i="15" s="1"/>
  <c r="G60" i="11"/>
  <c r="M5" i="10"/>
  <c r="M66" i="15"/>
  <c r="J66" i="15"/>
  <c r="F68" i="15"/>
  <c r="H42" i="5"/>
  <c r="H49" i="5" s="1"/>
  <c r="Y21" i="13"/>
  <c r="Z27" i="13" s="1"/>
  <c r="G61" i="11"/>
  <c r="M6" i="10"/>
  <c r="J46" i="15"/>
  <c r="K46" i="15" s="1"/>
  <c r="F60" i="11"/>
  <c r="H60" i="11"/>
  <c r="H23" i="15"/>
  <c r="O5" i="9"/>
  <c r="F23" i="15" s="1"/>
  <c r="M67" i="15"/>
  <c r="N67" i="15" s="1"/>
  <c r="O67" i="15" s="1"/>
  <c r="J67" i="15"/>
  <c r="K67" i="15" s="1"/>
  <c r="L14" i="10"/>
  <c r="F61" i="11"/>
  <c r="H61" i="11"/>
  <c r="F43" i="15"/>
  <c r="F61" i="15" s="1"/>
  <c r="Y20" i="8"/>
  <c r="G59" i="11"/>
  <c r="J14" i="10"/>
  <c r="M14" i="10" s="1"/>
  <c r="M4" i="10"/>
  <c r="H19" i="15"/>
  <c r="O40" i="9"/>
  <c r="F19" i="15" s="1"/>
  <c r="O18" i="9"/>
  <c r="P10" i="17"/>
  <c r="P13" i="17" s="1"/>
  <c r="P16" i="17" s="1"/>
  <c r="D32" i="14"/>
  <c r="C34" i="14"/>
  <c r="D34" i="14" s="1"/>
  <c r="G63" i="11"/>
  <c r="M8" i="10"/>
  <c r="F59" i="11"/>
  <c r="H59" i="11"/>
  <c r="F63" i="11"/>
  <c r="H63" i="11"/>
  <c r="M47" i="15"/>
  <c r="N47" i="15" s="1"/>
  <c r="O47" i="15" s="1"/>
  <c r="J47" i="15"/>
  <c r="K47" i="15" s="1"/>
  <c r="G49" i="5"/>
  <c r="D69" i="15"/>
  <c r="E69" i="15" s="1"/>
  <c r="G62" i="11"/>
  <c r="M7" i="10"/>
  <c r="D61" i="15"/>
  <c r="F17" i="15"/>
  <c r="H62" i="11"/>
  <c r="F62" i="11"/>
  <c r="J43" i="15" l="1"/>
  <c r="H51" i="5"/>
  <c r="F61" i="5" s="1"/>
  <c r="L49" i="5"/>
  <c r="M19" i="15"/>
  <c r="N19" i="15" s="1"/>
  <c r="O19" i="15" s="1"/>
  <c r="J19" i="15"/>
  <c r="K19" i="15" s="1"/>
  <c r="M25" i="15"/>
  <c r="N25" i="15" s="1"/>
  <c r="O25" i="15" s="1"/>
  <c r="J25" i="15"/>
  <c r="K25" i="15" s="1"/>
  <c r="M43" i="15"/>
  <c r="K66" i="15"/>
  <c r="J68" i="15"/>
  <c r="O13" i="17"/>
  <c r="X10" i="17"/>
  <c r="K43" i="15"/>
  <c r="J61" i="15"/>
  <c r="N66" i="15"/>
  <c r="O66" i="15" s="1"/>
  <c r="M68" i="15"/>
  <c r="N68" i="15" s="1"/>
  <c r="O68" i="15" s="1"/>
  <c r="F15" i="15"/>
  <c r="H34" i="15"/>
  <c r="C15" i="14" s="1"/>
  <c r="D15" i="14" s="1"/>
  <c r="M23" i="15"/>
  <c r="N23" i="15" s="1"/>
  <c r="O23" i="15" s="1"/>
  <c r="J23" i="15"/>
  <c r="K23" i="15" s="1"/>
  <c r="M17" i="15"/>
  <c r="N17" i="15" s="1"/>
  <c r="O17" i="15" s="1"/>
  <c r="J17" i="15"/>
  <c r="K17" i="15" s="1"/>
  <c r="Y11" i="17"/>
  <c r="D62" i="15"/>
  <c r="E62" i="15" s="1"/>
  <c r="J15" i="15" l="1"/>
  <c r="M15" i="15"/>
  <c r="F34" i="15"/>
  <c r="O16" i="17"/>
  <c r="X13" i="17"/>
  <c r="AA11" i="17"/>
  <c r="Z11" i="17"/>
  <c r="Y13" i="17"/>
  <c r="Z10" i="17"/>
  <c r="AA10" i="17"/>
  <c r="N43" i="15"/>
  <c r="O43" i="15" s="1"/>
  <c r="M61" i="15"/>
  <c r="N61" i="15" s="1"/>
  <c r="O61" i="15" s="1"/>
  <c r="F65" i="5"/>
  <c r="G61" i="5"/>
  <c r="AA13" i="17" l="1"/>
  <c r="F67" i="5"/>
  <c r="B15" i="1"/>
  <c r="G65" i="5"/>
  <c r="H61" i="5"/>
  <c r="Z13" i="17"/>
  <c r="N15" i="15"/>
  <c r="O15" i="15" s="1"/>
  <c r="B28" i="14"/>
  <c r="D26" i="14"/>
  <c r="C27" i="14"/>
  <c r="C28" i="14"/>
  <c r="D27" i="14"/>
  <c r="B26" i="14"/>
  <c r="D28" i="14"/>
  <c r="B27" i="14"/>
  <c r="C26" i="14"/>
  <c r="X16" i="17"/>
  <c r="O17" i="17"/>
  <c r="P17" i="17" s="1"/>
  <c r="Q17" i="17" s="1"/>
  <c r="R17" i="17" s="1"/>
  <c r="S17" i="17" s="1"/>
  <c r="T17" i="17" s="1"/>
  <c r="U17" i="17" s="1"/>
  <c r="V17" i="17" s="1"/>
  <c r="W17" i="17" s="1"/>
  <c r="X17" i="17" s="1"/>
  <c r="C21" i="14" s="1"/>
  <c r="M34" i="15"/>
  <c r="N34" i="15" s="1"/>
  <c r="O34" i="15" s="1"/>
  <c r="C14" i="14"/>
  <c r="K15" i="15"/>
  <c r="J34" i="15"/>
  <c r="K34" i="15" s="1"/>
  <c r="H65" i="5" l="1"/>
  <c r="G69" i="5"/>
  <c r="H69" i="5" s="1"/>
  <c r="D14" i="14"/>
  <c r="C16" i="14"/>
  <c r="D16" i="14" s="1"/>
  <c r="G67" i="5"/>
  <c r="P2" i="4"/>
  <c r="B14" i="1"/>
  <c r="B3" i="14" l="1"/>
  <c r="B19" i="1"/>
  <c r="T224" i="4"/>
  <c r="AM224" i="4" s="1"/>
  <c r="R219" i="4"/>
  <c r="T216" i="4"/>
  <c r="AM216" i="4" s="1"/>
  <c r="T209" i="4"/>
  <c r="AM209" i="4" s="1"/>
  <c r="U203" i="4"/>
  <c r="AN203" i="4" s="1"/>
  <c r="S201" i="4"/>
  <c r="AL201" i="4" s="1"/>
  <c r="U198" i="4"/>
  <c r="AN198" i="4" s="1"/>
  <c r="S194" i="4"/>
  <c r="AL194" i="4" s="1"/>
  <c r="S187" i="4"/>
  <c r="AL187" i="4" s="1"/>
  <c r="S227" i="4"/>
  <c r="AL227" i="4" s="1"/>
  <c r="R221" i="4"/>
  <c r="T218" i="4"/>
  <c r="AM218" i="4" s="1"/>
  <c r="S212" i="4"/>
  <c r="AL212" i="4" s="1"/>
  <c r="T223" i="4"/>
  <c r="AM223" i="4" s="1"/>
  <c r="R218" i="4"/>
  <c r="U214" i="4"/>
  <c r="AN214" i="4" s="1"/>
  <c r="T208" i="4"/>
  <c r="AM208" i="4" s="1"/>
  <c r="S200" i="4"/>
  <c r="AL200" i="4" s="1"/>
  <c r="S193" i="4"/>
  <c r="AL193" i="4" s="1"/>
  <c r="S186" i="4"/>
  <c r="AL186" i="4" s="1"/>
  <c r="S179" i="4"/>
  <c r="AL179" i="4" s="1"/>
  <c r="U226" i="4"/>
  <c r="AN226" i="4" s="1"/>
  <c r="R223" i="4"/>
  <c r="T220" i="4"/>
  <c r="AM220" i="4" s="1"/>
  <c r="S214" i="4"/>
  <c r="AL214" i="4" s="1"/>
  <c r="U211" i="4"/>
  <c r="AN211" i="4" s="1"/>
  <c r="R208" i="4"/>
  <c r="S226" i="4"/>
  <c r="AL226" i="4" s="1"/>
  <c r="Q31" i="15" s="1"/>
  <c r="S31" i="15" s="1"/>
  <c r="S219" i="4"/>
  <c r="AL219" i="4" s="1"/>
  <c r="U218" i="4"/>
  <c r="AN218" i="4" s="1"/>
  <c r="S206" i="4"/>
  <c r="AL206" i="4" s="1"/>
  <c r="P198" i="4"/>
  <c r="U196" i="4"/>
  <c r="AN196" i="4" s="1"/>
  <c r="R191" i="4"/>
  <c r="T185" i="4"/>
  <c r="AM185" i="4" s="1"/>
  <c r="S181" i="4"/>
  <c r="AL181" i="4" s="1"/>
  <c r="R177" i="4"/>
  <c r="S172" i="4"/>
  <c r="AL172" i="4" s="1"/>
  <c r="U169" i="4"/>
  <c r="AN169" i="4" s="1"/>
  <c r="S164" i="4"/>
  <c r="AL164" i="4" s="1"/>
  <c r="U161" i="4"/>
  <c r="AN161" i="4" s="1"/>
  <c r="S156" i="4"/>
  <c r="AL156" i="4" s="1"/>
  <c r="S218" i="4"/>
  <c r="AL218" i="4" s="1"/>
  <c r="U217" i="4"/>
  <c r="AN217" i="4" s="1"/>
  <c r="R206" i="4"/>
  <c r="T196" i="4"/>
  <c r="AM196" i="4" s="1"/>
  <c r="P191" i="4"/>
  <c r="S185" i="4"/>
  <c r="AL185" i="4" s="1"/>
  <c r="R181" i="4"/>
  <c r="R172" i="4"/>
  <c r="T169" i="4"/>
  <c r="AM169" i="4" s="1"/>
  <c r="R164" i="4"/>
  <c r="T161" i="4"/>
  <c r="AM161" i="4" s="1"/>
  <c r="R156" i="4"/>
  <c r="P218" i="4"/>
  <c r="T217" i="4"/>
  <c r="AM217" i="4" s="1"/>
  <c r="R217" i="4"/>
  <c r="S216" i="4"/>
  <c r="AL216" i="4" s="1"/>
  <c r="T226" i="4"/>
  <c r="AM226" i="4" s="1"/>
  <c r="R216" i="4"/>
  <c r="T214" i="4"/>
  <c r="AM214" i="4" s="1"/>
  <c r="U213" i="4"/>
  <c r="AN213" i="4" s="1"/>
  <c r="T201" i="4"/>
  <c r="AM201" i="4" s="1"/>
  <c r="U194" i="4"/>
  <c r="AN194" i="4" s="1"/>
  <c r="R189" i="4"/>
  <c r="U188" i="4"/>
  <c r="AN188" i="4" s="1"/>
  <c r="T183" i="4"/>
  <c r="AM183" i="4" s="1"/>
  <c r="T179" i="4"/>
  <c r="AM179" i="4" s="1"/>
  <c r="S174" i="4"/>
  <c r="AL174" i="4" s="1"/>
  <c r="T171" i="4"/>
  <c r="AM171" i="4" s="1"/>
  <c r="R166" i="4"/>
  <c r="T163" i="4"/>
  <c r="AM163" i="4" s="1"/>
  <c r="R158" i="4"/>
  <c r="U227" i="4"/>
  <c r="AN227" i="4" s="1"/>
  <c r="R226" i="4"/>
  <c r="U224" i="4"/>
  <c r="AN224" i="4" s="1"/>
  <c r="P216" i="4"/>
  <c r="R214" i="4"/>
  <c r="T213" i="4"/>
  <c r="AM213" i="4" s="1"/>
  <c r="U212" i="4"/>
  <c r="AN212" i="4" s="1"/>
  <c r="T211" i="4"/>
  <c r="AM211" i="4" s="1"/>
  <c r="R201" i="4"/>
  <c r="U200" i="4"/>
  <c r="AN200" i="4" s="1"/>
  <c r="T194" i="4"/>
  <c r="AM194" i="4" s="1"/>
  <c r="T188" i="4"/>
  <c r="AM188" i="4" s="1"/>
  <c r="S183" i="4"/>
  <c r="AL183" i="4" s="1"/>
  <c r="R179" i="4"/>
  <c r="R174" i="4"/>
  <c r="S171" i="4"/>
  <c r="AL171" i="4" s="1"/>
  <c r="U168" i="4"/>
  <c r="AN168" i="4" s="1"/>
  <c r="S163" i="4"/>
  <c r="AL163" i="4" s="1"/>
  <c r="U160" i="4"/>
  <c r="AN160" i="4" s="1"/>
  <c r="R227" i="4"/>
  <c r="R224" i="4"/>
  <c r="U223" i="4"/>
  <c r="AN223" i="4" s="1"/>
  <c r="R213" i="4"/>
  <c r="R212" i="4"/>
  <c r="R211" i="4"/>
  <c r="P224" i="4"/>
  <c r="S223" i="4"/>
  <c r="AL223" i="4" s="1"/>
  <c r="Q29" i="15" s="1"/>
  <c r="S29" i="15" s="1"/>
  <c r="U222" i="4"/>
  <c r="AN222" i="4" s="1"/>
  <c r="U209" i="4"/>
  <c r="AN209" i="4" s="1"/>
  <c r="T204" i="4"/>
  <c r="AM204" i="4" s="1"/>
  <c r="U199" i="4"/>
  <c r="AN199" i="4" s="1"/>
  <c r="T193" i="4"/>
  <c r="AM193" i="4" s="1"/>
  <c r="U187" i="4"/>
  <c r="AN187" i="4" s="1"/>
  <c r="U182" i="4"/>
  <c r="AN182" i="4" s="1"/>
  <c r="T178" i="4"/>
  <c r="AM178" i="4" s="1"/>
  <c r="T173" i="4"/>
  <c r="AM173" i="4" s="1"/>
  <c r="R168" i="4"/>
  <c r="T165" i="4"/>
  <c r="AM165" i="4" s="1"/>
  <c r="R160" i="4"/>
  <c r="S222" i="4"/>
  <c r="AL222" i="4" s="1"/>
  <c r="U221" i="4"/>
  <c r="AN221" i="4" s="1"/>
  <c r="R209" i="4"/>
  <c r="R204" i="4"/>
  <c r="T203" i="4"/>
  <c r="AM203" i="4" s="1"/>
  <c r="S199" i="4"/>
  <c r="AL199" i="4" s="1"/>
  <c r="R222" i="4"/>
  <c r="T221" i="4"/>
  <c r="AM221" i="4" s="1"/>
  <c r="P221" i="4"/>
  <c r="R220" i="4"/>
  <c r="U219" i="4"/>
  <c r="AN219" i="4" s="1"/>
  <c r="T212" i="4"/>
  <c r="AM212" i="4" s="1"/>
  <c r="P209" i="4"/>
  <c r="T206" i="4"/>
  <c r="AM206" i="4" s="1"/>
  <c r="U201" i="4"/>
  <c r="AN201" i="4" s="1"/>
  <c r="T186" i="4"/>
  <c r="AM186" i="4" s="1"/>
  <c r="P183" i="4"/>
  <c r="R182" i="4"/>
  <c r="S155" i="4"/>
  <c r="AL155" i="4" s="1"/>
  <c r="S152" i="4"/>
  <c r="AL152" i="4" s="1"/>
  <c r="U149" i="4"/>
  <c r="AN149" i="4" s="1"/>
  <c r="S144" i="4"/>
  <c r="AL144" i="4" s="1"/>
  <c r="S138" i="4"/>
  <c r="AL138" i="4" s="1"/>
  <c r="S131" i="4"/>
  <c r="AL131" i="4" s="1"/>
  <c r="U128" i="4"/>
  <c r="AN128" i="4" s="1"/>
  <c r="S123" i="4"/>
  <c r="AL123" i="4" s="1"/>
  <c r="U204" i="4"/>
  <c r="AN204" i="4" s="1"/>
  <c r="R194" i="4"/>
  <c r="R186" i="4"/>
  <c r="P182" i="4"/>
  <c r="S204" i="4"/>
  <c r="AL204" i="4" s="1"/>
  <c r="S196" i="4"/>
  <c r="AL196" i="4" s="1"/>
  <c r="P194" i="4"/>
  <c r="T187" i="4"/>
  <c r="AM187" i="4" s="1"/>
  <c r="P186" i="4"/>
  <c r="S149" i="4"/>
  <c r="AL149" i="4" s="1"/>
  <c r="U146" i="4"/>
  <c r="AN146" i="4" s="1"/>
  <c r="U140" i="4"/>
  <c r="AN140" i="4" s="1"/>
  <c r="U133" i="4"/>
  <c r="AN133" i="4" s="1"/>
  <c r="S128" i="4"/>
  <c r="AL128" i="4" s="1"/>
  <c r="U125" i="4"/>
  <c r="AN125" i="4" s="1"/>
  <c r="T119" i="4"/>
  <c r="AM119" i="4" s="1"/>
  <c r="R114" i="4"/>
  <c r="R196" i="4"/>
  <c r="R187" i="4"/>
  <c r="U154" i="4"/>
  <c r="AN154" i="4" s="1"/>
  <c r="R149" i="4"/>
  <c r="T146" i="4"/>
  <c r="AM146" i="4" s="1"/>
  <c r="U220" i="4"/>
  <c r="AN220" i="4" s="1"/>
  <c r="T198" i="4"/>
  <c r="AM198" i="4" s="1"/>
  <c r="P196" i="4"/>
  <c r="P187" i="4"/>
  <c r="S224" i="4"/>
  <c r="AL224" i="4" s="1"/>
  <c r="T222" i="4"/>
  <c r="AM222" i="4" s="1"/>
  <c r="S220" i="4"/>
  <c r="AL220" i="4" s="1"/>
  <c r="S198" i="4"/>
  <c r="AL198" i="4" s="1"/>
  <c r="U165" i="4"/>
  <c r="AN165" i="4" s="1"/>
  <c r="U163" i="4"/>
  <c r="AN163" i="4" s="1"/>
  <c r="U162" i="4"/>
  <c r="AN162" i="4" s="1"/>
  <c r="U159" i="4"/>
  <c r="AN159" i="4" s="1"/>
  <c r="S154" i="4"/>
  <c r="AL154" i="4" s="1"/>
  <c r="T151" i="4"/>
  <c r="AM151" i="4" s="1"/>
  <c r="R146" i="4"/>
  <c r="T143" i="4"/>
  <c r="AM143" i="4" s="1"/>
  <c r="R140" i="4"/>
  <c r="T137" i="4"/>
  <c r="AM137" i="4" s="1"/>
  <c r="R133" i="4"/>
  <c r="T130" i="4"/>
  <c r="AM130" i="4" s="1"/>
  <c r="T227" i="4"/>
  <c r="AM227" i="4" s="1"/>
  <c r="P222" i="4"/>
  <c r="P220" i="4"/>
  <c r="R198" i="4"/>
  <c r="S188" i="4"/>
  <c r="AL188" i="4" s="1"/>
  <c r="U173" i="4"/>
  <c r="AN173" i="4" s="1"/>
  <c r="U171" i="4"/>
  <c r="AN171" i="4" s="1"/>
  <c r="U170" i="4"/>
  <c r="AN170" i="4" s="1"/>
  <c r="U167" i="4"/>
  <c r="AN167" i="4" s="1"/>
  <c r="U166" i="4"/>
  <c r="AN166" i="4" s="1"/>
  <c r="S165" i="4"/>
  <c r="AL165" i="4" s="1"/>
  <c r="U164" i="4"/>
  <c r="AN164" i="4" s="1"/>
  <c r="R163" i="4"/>
  <c r="T162" i="4"/>
  <c r="AM162" i="4" s="1"/>
  <c r="S161" i="4"/>
  <c r="AL161" i="4" s="1"/>
  <c r="T160" i="4"/>
  <c r="AM160" i="4" s="1"/>
  <c r="T159" i="4"/>
  <c r="AM159" i="4" s="1"/>
  <c r="U158" i="4"/>
  <c r="AN158" i="4" s="1"/>
  <c r="R154" i="4"/>
  <c r="S151" i="4"/>
  <c r="AL151" i="4" s="1"/>
  <c r="U148" i="4"/>
  <c r="AN148" i="4" s="1"/>
  <c r="S143" i="4"/>
  <c r="AL143" i="4" s="1"/>
  <c r="S137" i="4"/>
  <c r="AL137" i="4" s="1"/>
  <c r="U216" i="4"/>
  <c r="AN216" i="4" s="1"/>
  <c r="S213" i="4"/>
  <c r="AL213" i="4" s="1"/>
  <c r="S211" i="4"/>
  <c r="AL211" i="4" s="1"/>
  <c r="U208" i="4"/>
  <c r="AN208" i="4" s="1"/>
  <c r="S208" i="4"/>
  <c r="AL208" i="4" s="1"/>
  <c r="T199" i="4"/>
  <c r="AM199" i="4" s="1"/>
  <c r="T189" i="4"/>
  <c r="AM189" i="4" s="1"/>
  <c r="U174" i="4"/>
  <c r="AN174" i="4" s="1"/>
  <c r="R173" i="4"/>
  <c r="T172" i="4"/>
  <c r="AM172" i="4" s="1"/>
  <c r="P171" i="4"/>
  <c r="S170" i="4"/>
  <c r="AL170" i="4" s="1"/>
  <c r="R169" i="4"/>
  <c r="S168" i="4"/>
  <c r="AL168" i="4" s="1"/>
  <c r="S167" i="4"/>
  <c r="AL167" i="4" s="1"/>
  <c r="S166" i="4"/>
  <c r="AL166" i="4" s="1"/>
  <c r="R199" i="4"/>
  <c r="S189" i="4"/>
  <c r="AL189" i="4" s="1"/>
  <c r="P223" i="4"/>
  <c r="S203" i="4"/>
  <c r="AL203" i="4" s="1"/>
  <c r="R200" i="4"/>
  <c r="P226" i="4"/>
  <c r="S221" i="4"/>
  <c r="AL221" i="4" s="1"/>
  <c r="R203" i="4"/>
  <c r="U193" i="4"/>
  <c r="AN193" i="4" s="1"/>
  <c r="P203" i="4"/>
  <c r="R193" i="4"/>
  <c r="T219" i="4"/>
  <c r="AM219" i="4" s="1"/>
  <c r="S217" i="4"/>
  <c r="AL217" i="4" s="1"/>
  <c r="Q27" i="15" s="1"/>
  <c r="S27" i="15" s="1"/>
  <c r="P214" i="4"/>
  <c r="S209" i="4"/>
  <c r="AL209" i="4" s="1"/>
  <c r="U206" i="4"/>
  <c r="AN206" i="4" s="1"/>
  <c r="U186" i="4"/>
  <c r="AN186" i="4" s="1"/>
  <c r="R185" i="4"/>
  <c r="R183" i="4"/>
  <c r="S182" i="4"/>
  <c r="AL182" i="4" s="1"/>
  <c r="T181" i="4"/>
  <c r="AM181" i="4" s="1"/>
  <c r="S178" i="4"/>
  <c r="AL178" i="4" s="1"/>
  <c r="T158" i="4"/>
  <c r="AM158" i="4" s="1"/>
  <c r="P157" i="4"/>
  <c r="S129" i="4"/>
  <c r="AL129" i="4" s="1"/>
  <c r="S124" i="4"/>
  <c r="AL124" i="4" s="1"/>
  <c r="P119" i="4"/>
  <c r="U115" i="4"/>
  <c r="AN115" i="4" s="1"/>
  <c r="P112" i="4"/>
  <c r="S105" i="4"/>
  <c r="AL105" i="4" s="1"/>
  <c r="P102" i="4"/>
  <c r="S99" i="4"/>
  <c r="AL99" i="4" s="1"/>
  <c r="U96" i="4"/>
  <c r="AN96" i="4" s="1"/>
  <c r="P94" i="4"/>
  <c r="T90" i="4"/>
  <c r="AM90" i="4" s="1"/>
  <c r="S84" i="4"/>
  <c r="AL84" i="4" s="1"/>
  <c r="R178" i="4"/>
  <c r="T174" i="4"/>
  <c r="AM174" i="4" s="1"/>
  <c r="S158" i="4"/>
  <c r="AL158" i="4" s="1"/>
  <c r="R129" i="4"/>
  <c r="R124" i="4"/>
  <c r="U118" i="4"/>
  <c r="AN118" i="4" s="1"/>
  <c r="T115" i="4"/>
  <c r="AM115" i="4" s="1"/>
  <c r="U111" i="4"/>
  <c r="AN111" i="4" s="1"/>
  <c r="R105" i="4"/>
  <c r="R99" i="4"/>
  <c r="T96" i="4"/>
  <c r="AM96" i="4" s="1"/>
  <c r="S90" i="4"/>
  <c r="AL90" i="4" s="1"/>
  <c r="R84" i="4"/>
  <c r="U80" i="4"/>
  <c r="AN80" i="4" s="1"/>
  <c r="S75" i="4"/>
  <c r="AL75" i="4" s="1"/>
  <c r="U183" i="4"/>
  <c r="AN183" i="4" s="1"/>
  <c r="U181" i="4"/>
  <c r="AN181" i="4" s="1"/>
  <c r="S169" i="4"/>
  <c r="AL169" i="4" s="1"/>
  <c r="S162" i="4"/>
  <c r="AL162" i="4" s="1"/>
  <c r="U145" i="4"/>
  <c r="AN145" i="4" s="1"/>
  <c r="U143" i="4"/>
  <c r="AN143" i="4" s="1"/>
  <c r="U142" i="4"/>
  <c r="AN142" i="4" s="1"/>
  <c r="T128" i="4"/>
  <c r="AM128" i="4" s="1"/>
  <c r="U123" i="4"/>
  <c r="AN123" i="4" s="1"/>
  <c r="T118" i="4"/>
  <c r="AM118" i="4" s="1"/>
  <c r="S115" i="4"/>
  <c r="AL115" i="4" s="1"/>
  <c r="T111" i="4"/>
  <c r="AM111" i="4" s="1"/>
  <c r="U107" i="4"/>
  <c r="AN107" i="4" s="1"/>
  <c r="U101" i="4"/>
  <c r="AN101" i="4" s="1"/>
  <c r="S96" i="4"/>
  <c r="AL96" i="4" s="1"/>
  <c r="Q19" i="15" s="1"/>
  <c r="S19" i="15" s="1"/>
  <c r="U93" i="4"/>
  <c r="AN93" i="4" s="1"/>
  <c r="R90" i="4"/>
  <c r="U86" i="4"/>
  <c r="AN86" i="4" s="1"/>
  <c r="T80" i="4"/>
  <c r="AM80" i="4" s="1"/>
  <c r="R188" i="4"/>
  <c r="U172" i="4"/>
  <c r="AN172" i="4" s="1"/>
  <c r="P169" i="4"/>
  <c r="T166" i="4"/>
  <c r="AM166" i="4" s="1"/>
  <c r="R162" i="4"/>
  <c r="T145" i="4"/>
  <c r="AM145" i="4" s="1"/>
  <c r="U144" i="4"/>
  <c r="AN144" i="4" s="1"/>
  <c r="R143" i="4"/>
  <c r="T142" i="4"/>
  <c r="AM142" i="4" s="1"/>
  <c r="R128" i="4"/>
  <c r="T123" i="4"/>
  <c r="AM123" i="4" s="1"/>
  <c r="S118" i="4"/>
  <c r="AL118" i="4" s="1"/>
  <c r="R115" i="4"/>
  <c r="S111" i="4"/>
  <c r="AL111" i="4" s="1"/>
  <c r="T107" i="4"/>
  <c r="AM107" i="4" s="1"/>
  <c r="T101" i="4"/>
  <c r="AM101" i="4" s="1"/>
  <c r="R96" i="4"/>
  <c r="T93" i="4"/>
  <c r="AM93" i="4" s="1"/>
  <c r="T86" i="4"/>
  <c r="AM86" i="4" s="1"/>
  <c r="S80" i="4"/>
  <c r="AL80" i="4" s="1"/>
  <c r="T200" i="4"/>
  <c r="AM200" i="4" s="1"/>
  <c r="S159" i="4"/>
  <c r="AL159" i="4" s="1"/>
  <c r="T148" i="4"/>
  <c r="AM148" i="4" s="1"/>
  <c r="U147" i="4"/>
  <c r="AN147" i="4" s="1"/>
  <c r="S146" i="4"/>
  <c r="AL146" i="4" s="1"/>
  <c r="S145" i="4"/>
  <c r="AL145" i="4" s="1"/>
  <c r="T144" i="4"/>
  <c r="AM144" i="4" s="1"/>
  <c r="S142" i="4"/>
  <c r="AL142" i="4" s="1"/>
  <c r="Q23" i="15" s="1"/>
  <c r="S23" i="15" s="1"/>
  <c r="U127" i="4"/>
  <c r="AN127" i="4" s="1"/>
  <c r="R123" i="4"/>
  <c r="U122" i="4"/>
  <c r="AN122" i="4" s="1"/>
  <c r="R118" i="4"/>
  <c r="R111" i="4"/>
  <c r="S107" i="4"/>
  <c r="AL107" i="4" s="1"/>
  <c r="S101" i="4"/>
  <c r="AL101" i="4" s="1"/>
  <c r="U98" i="4"/>
  <c r="AN98" i="4" s="1"/>
  <c r="S93" i="4"/>
  <c r="AL93" i="4" s="1"/>
  <c r="U191" i="4"/>
  <c r="AN191" i="4" s="1"/>
  <c r="R159" i="4"/>
  <c r="U153" i="4"/>
  <c r="AN153" i="4" s="1"/>
  <c r="U151" i="4"/>
  <c r="AN151" i="4" s="1"/>
  <c r="U150" i="4"/>
  <c r="AN150" i="4" s="1"/>
  <c r="S148" i="4"/>
  <c r="AL148" i="4" s="1"/>
  <c r="T147" i="4"/>
  <c r="AM147" i="4" s="1"/>
  <c r="R145" i="4"/>
  <c r="R144" i="4"/>
  <c r="R142" i="4"/>
  <c r="U139" i="4"/>
  <c r="AN139" i="4" s="1"/>
  <c r="T127" i="4"/>
  <c r="AM127" i="4" s="1"/>
  <c r="T122" i="4"/>
  <c r="AM122" i="4" s="1"/>
  <c r="P118" i="4"/>
  <c r="U114" i="4"/>
  <c r="AN114" i="4" s="1"/>
  <c r="P111" i="4"/>
  <c r="R107" i="4"/>
  <c r="R101" i="4"/>
  <c r="T98" i="4"/>
  <c r="AM98" i="4" s="1"/>
  <c r="T191" i="4"/>
  <c r="AM191" i="4" s="1"/>
  <c r="P163" i="4"/>
  <c r="T153" i="4"/>
  <c r="AM153" i="4" s="1"/>
  <c r="U152" i="4"/>
  <c r="AN152" i="4" s="1"/>
  <c r="R151" i="4"/>
  <c r="T150" i="4"/>
  <c r="AM150" i="4" s="1"/>
  <c r="T149" i="4"/>
  <c r="AM149" i="4" s="1"/>
  <c r="R148" i="4"/>
  <c r="S147" i="4"/>
  <c r="AL147" i="4" s="1"/>
  <c r="T140" i="4"/>
  <c r="AM140" i="4" s="1"/>
  <c r="T139" i="4"/>
  <c r="AM139" i="4" s="1"/>
  <c r="S127" i="4"/>
  <c r="AL127" i="4" s="1"/>
  <c r="S122" i="4"/>
  <c r="AL122" i="4" s="1"/>
  <c r="U117" i="4"/>
  <c r="AN117" i="4" s="1"/>
  <c r="T114" i="4"/>
  <c r="AM114" i="4" s="1"/>
  <c r="U110" i="4"/>
  <c r="AN110" i="4" s="1"/>
  <c r="U103" i="4"/>
  <c r="AN103" i="4" s="1"/>
  <c r="S98" i="4"/>
  <c r="AL98" i="4" s="1"/>
  <c r="U95" i="4"/>
  <c r="AN95" i="4" s="1"/>
  <c r="T89" i="4"/>
  <c r="AM89" i="4" s="1"/>
  <c r="S191" i="4"/>
  <c r="AL191" i="4" s="1"/>
  <c r="T154" i="4"/>
  <c r="AM154" i="4" s="1"/>
  <c r="S153" i="4"/>
  <c r="AL153" i="4" s="1"/>
  <c r="T152" i="4"/>
  <c r="AM152" i="4" s="1"/>
  <c r="S150" i="4"/>
  <c r="AL150" i="4" s="1"/>
  <c r="P149" i="4"/>
  <c r="R147" i="4"/>
  <c r="S140" i="4"/>
  <c r="AL140" i="4" s="1"/>
  <c r="S139" i="4"/>
  <c r="AL139" i="4" s="1"/>
  <c r="U138" i="4"/>
  <c r="AN138" i="4" s="1"/>
  <c r="U137" i="4"/>
  <c r="AN137" i="4" s="1"/>
  <c r="R127" i="4"/>
  <c r="R122" i="4"/>
  <c r="T117" i="4"/>
  <c r="AM117" i="4" s="1"/>
  <c r="S114" i="4"/>
  <c r="AL114" i="4" s="1"/>
  <c r="T110" i="4"/>
  <c r="AM110" i="4" s="1"/>
  <c r="T103" i="4"/>
  <c r="AM103" i="4" s="1"/>
  <c r="R98" i="4"/>
  <c r="U177" i="4"/>
  <c r="AN177" i="4" s="1"/>
  <c r="T170" i="4"/>
  <c r="AM170" i="4" s="1"/>
  <c r="T167" i="4"/>
  <c r="AM167" i="4" s="1"/>
  <c r="U155" i="4"/>
  <c r="AN155" i="4" s="1"/>
  <c r="P154" i="4"/>
  <c r="R153" i="4"/>
  <c r="R152" i="4"/>
  <c r="R150" i="4"/>
  <c r="R139" i="4"/>
  <c r="T138" i="4"/>
  <c r="AM138" i="4" s="1"/>
  <c r="R137" i="4"/>
  <c r="P127" i="4"/>
  <c r="U126" i="4"/>
  <c r="AN126" i="4" s="1"/>
  <c r="P122" i="4"/>
  <c r="U185" i="4"/>
  <c r="AN185" i="4" s="1"/>
  <c r="U179" i="4"/>
  <c r="AN179" i="4" s="1"/>
  <c r="T177" i="4"/>
  <c r="AM177" i="4" s="1"/>
  <c r="S173" i="4"/>
  <c r="AL173" i="4" s="1"/>
  <c r="R170" i="4"/>
  <c r="R167" i="4"/>
  <c r="S160" i="4"/>
  <c r="AL160" i="4" s="1"/>
  <c r="T155" i="4"/>
  <c r="AM155" i="4" s="1"/>
  <c r="R138" i="4"/>
  <c r="U135" i="4"/>
  <c r="AN135" i="4" s="1"/>
  <c r="U132" i="4"/>
  <c r="AN132" i="4" s="1"/>
  <c r="T126" i="4"/>
  <c r="AM126" i="4" s="1"/>
  <c r="U120" i="4"/>
  <c r="AN120" i="4" s="1"/>
  <c r="R117" i="4"/>
  <c r="R110" i="4"/>
  <c r="T182" i="4"/>
  <c r="AM182" i="4" s="1"/>
  <c r="P179" i="4"/>
  <c r="S177" i="4"/>
  <c r="AL177" i="4" s="1"/>
  <c r="T164" i="4"/>
  <c r="AM164" i="4" s="1"/>
  <c r="R155" i="4"/>
  <c r="T135" i="4"/>
  <c r="AM135" i="4" s="1"/>
  <c r="T133" i="4"/>
  <c r="AM133" i="4" s="1"/>
  <c r="T132" i="4"/>
  <c r="AM132" i="4" s="1"/>
  <c r="S126" i="4"/>
  <c r="AL126" i="4" s="1"/>
  <c r="T120" i="4"/>
  <c r="AM120" i="4" s="1"/>
  <c r="P117" i="4"/>
  <c r="U156" i="4"/>
  <c r="AN156" i="4" s="1"/>
  <c r="S135" i="4"/>
  <c r="AL135" i="4" s="1"/>
  <c r="S133" i="4"/>
  <c r="AL133" i="4" s="1"/>
  <c r="S132" i="4"/>
  <c r="AL132" i="4" s="1"/>
  <c r="U131" i="4"/>
  <c r="AN131" i="4" s="1"/>
  <c r="U130" i="4"/>
  <c r="AN130" i="4" s="1"/>
  <c r="U157" i="4"/>
  <c r="AN157" i="4" s="1"/>
  <c r="T156" i="4"/>
  <c r="AM156" i="4" s="1"/>
  <c r="R135" i="4"/>
  <c r="R132" i="4"/>
  <c r="T131" i="4"/>
  <c r="AM131" i="4" s="1"/>
  <c r="U189" i="4"/>
  <c r="AN189" i="4" s="1"/>
  <c r="R171" i="4"/>
  <c r="T168" i="4"/>
  <c r="AM168" i="4" s="1"/>
  <c r="R161" i="4"/>
  <c r="T157" i="4"/>
  <c r="AM157" i="4" s="1"/>
  <c r="R165" i="4"/>
  <c r="P161" i="4"/>
  <c r="S157" i="4"/>
  <c r="AL157" i="4" s="1"/>
  <c r="U178" i="4"/>
  <c r="AN178" i="4" s="1"/>
  <c r="P165" i="4"/>
  <c r="R157" i="4"/>
  <c r="S106" i="4"/>
  <c r="AL106" i="4" s="1"/>
  <c r="S100" i="4"/>
  <c r="AL100" i="4" s="1"/>
  <c r="S95" i="4"/>
  <c r="AL95" i="4" s="1"/>
  <c r="S94" i="4"/>
  <c r="AL94" i="4" s="1"/>
  <c r="R82" i="4"/>
  <c r="T81" i="4"/>
  <c r="AM81" i="4" s="1"/>
  <c r="R75" i="4"/>
  <c r="T71" i="4"/>
  <c r="AM71" i="4" s="1"/>
  <c r="T64" i="4"/>
  <c r="AM64" i="4" s="1"/>
  <c r="R59" i="4"/>
  <c r="U55" i="4"/>
  <c r="AN55" i="4" s="1"/>
  <c r="S50" i="4"/>
  <c r="AL50" i="4" s="1"/>
  <c r="U47" i="4"/>
  <c r="AN47" i="4" s="1"/>
  <c r="T41" i="4"/>
  <c r="AM41" i="4" s="1"/>
  <c r="R36" i="4"/>
  <c r="T33" i="4"/>
  <c r="AM33" i="4" s="1"/>
  <c r="R28" i="4"/>
  <c r="T25" i="4"/>
  <c r="AM25" i="4" s="1"/>
  <c r="S19" i="4"/>
  <c r="AL19" i="4" s="1"/>
  <c r="U16" i="4"/>
  <c r="AN16" i="4" s="1"/>
  <c r="R13" i="4"/>
  <c r="T10" i="4"/>
  <c r="AM10" i="4" s="1"/>
  <c r="U129" i="4"/>
  <c r="AN129" i="4" s="1"/>
  <c r="R106" i="4"/>
  <c r="R100" i="4"/>
  <c r="R95" i="4"/>
  <c r="R94" i="4"/>
  <c r="S81" i="4"/>
  <c r="AL81" i="4" s="1"/>
  <c r="R80" i="4"/>
  <c r="U79" i="4"/>
  <c r="AN79" i="4" s="1"/>
  <c r="S71" i="4"/>
  <c r="AL71" i="4" s="1"/>
  <c r="U68" i="4"/>
  <c r="AN68" i="4" s="1"/>
  <c r="S64" i="4"/>
  <c r="AL64" i="4" s="1"/>
  <c r="U61" i="4"/>
  <c r="AN61" i="4" s="1"/>
  <c r="T55" i="4"/>
  <c r="AM55" i="4" s="1"/>
  <c r="R50" i="4"/>
  <c r="T47" i="4"/>
  <c r="AM47" i="4" s="1"/>
  <c r="S41" i="4"/>
  <c r="AL41" i="4" s="1"/>
  <c r="U38" i="4"/>
  <c r="AN38" i="4" s="1"/>
  <c r="P36" i="4"/>
  <c r="S33" i="4"/>
  <c r="AL33" i="4" s="1"/>
  <c r="U30" i="4"/>
  <c r="AN30" i="4" s="1"/>
  <c r="P28" i="4"/>
  <c r="S25" i="4"/>
  <c r="AL25" i="4" s="1"/>
  <c r="U22" i="4"/>
  <c r="AN22" i="4" s="1"/>
  <c r="R19" i="4"/>
  <c r="T16" i="4"/>
  <c r="AM16" i="4" s="1"/>
  <c r="T129" i="4"/>
  <c r="AM129" i="4" s="1"/>
  <c r="U116" i="4"/>
  <c r="AN116" i="4" s="1"/>
  <c r="U97" i="4"/>
  <c r="AN97" i="4" s="1"/>
  <c r="R81" i="4"/>
  <c r="T79" i="4"/>
  <c r="AM79" i="4" s="1"/>
  <c r="R71" i="4"/>
  <c r="T68" i="4"/>
  <c r="AM68" i="4" s="1"/>
  <c r="R64" i="4"/>
  <c r="T61" i="4"/>
  <c r="AM61" i="4" s="1"/>
  <c r="S55" i="4"/>
  <c r="AL55" i="4" s="1"/>
  <c r="U52" i="4"/>
  <c r="AN52" i="4" s="1"/>
  <c r="S47" i="4"/>
  <c r="AL47" i="4" s="1"/>
  <c r="U44" i="4"/>
  <c r="AN44" i="4" s="1"/>
  <c r="R41" i="4"/>
  <c r="T38" i="4"/>
  <c r="AM38" i="4" s="1"/>
  <c r="R33" i="4"/>
  <c r="T30" i="4"/>
  <c r="AM30" i="4" s="1"/>
  <c r="R25" i="4"/>
  <c r="T22" i="4"/>
  <c r="AM22" i="4" s="1"/>
  <c r="S16" i="4"/>
  <c r="AL16" i="4" s="1"/>
  <c r="T116" i="4"/>
  <c r="AM116" i="4" s="1"/>
  <c r="T97" i="4"/>
  <c r="AM97" i="4" s="1"/>
  <c r="P81" i="4"/>
  <c r="S79" i="4"/>
  <c r="AL79" i="4" s="1"/>
  <c r="U78" i="4"/>
  <c r="AN78" i="4" s="1"/>
  <c r="S68" i="4"/>
  <c r="AL68" i="4" s="1"/>
  <c r="S61" i="4"/>
  <c r="AL61" i="4" s="1"/>
  <c r="U58" i="4"/>
  <c r="AN58" i="4" s="1"/>
  <c r="R55" i="4"/>
  <c r="T52" i="4"/>
  <c r="AM52" i="4" s="1"/>
  <c r="R47" i="4"/>
  <c r="T44" i="4"/>
  <c r="AM44" i="4" s="1"/>
  <c r="S38" i="4"/>
  <c r="AL38" i="4" s="1"/>
  <c r="U35" i="4"/>
  <c r="AN35" i="4" s="1"/>
  <c r="S30" i="4"/>
  <c r="AL30" i="4" s="1"/>
  <c r="U27" i="4"/>
  <c r="AN27" i="4" s="1"/>
  <c r="S22" i="4"/>
  <c r="AL22" i="4" s="1"/>
  <c r="R131" i="4"/>
  <c r="S116" i="4"/>
  <c r="AL116" i="4" s="1"/>
  <c r="U112" i="4"/>
  <c r="AN112" i="4" s="1"/>
  <c r="S97" i="4"/>
  <c r="AL97" i="4" s="1"/>
  <c r="R79" i="4"/>
  <c r="T78" i="4"/>
  <c r="AM78" i="4" s="1"/>
  <c r="U73" i="4"/>
  <c r="AN73" i="4" s="1"/>
  <c r="R68" i="4"/>
  <c r="R61" i="4"/>
  <c r="T58" i="4"/>
  <c r="AM58" i="4" s="1"/>
  <c r="S52" i="4"/>
  <c r="AL52" i="4" s="1"/>
  <c r="U49" i="4"/>
  <c r="AN49" i="4" s="1"/>
  <c r="S44" i="4"/>
  <c r="AL44" i="4" s="1"/>
  <c r="R38" i="4"/>
  <c r="T35" i="4"/>
  <c r="AM35" i="4" s="1"/>
  <c r="R30" i="4"/>
  <c r="R116" i="4"/>
  <c r="T112" i="4"/>
  <c r="AM112" i="4" s="1"/>
  <c r="R97" i="4"/>
  <c r="S78" i="4"/>
  <c r="AL78" i="4" s="1"/>
  <c r="T73" i="4"/>
  <c r="AM73" i="4" s="1"/>
  <c r="U70" i="4"/>
  <c r="AN70" i="4" s="1"/>
  <c r="U63" i="4"/>
  <c r="AN63" i="4" s="1"/>
  <c r="S58" i="4"/>
  <c r="AL58" i="4" s="1"/>
  <c r="R52" i="4"/>
  <c r="T49" i="4"/>
  <c r="AM49" i="4" s="1"/>
  <c r="R44" i="4"/>
  <c r="U40" i="4"/>
  <c r="AN40" i="4" s="1"/>
  <c r="S35" i="4"/>
  <c r="AL35" i="4" s="1"/>
  <c r="U124" i="4"/>
  <c r="AN124" i="4" s="1"/>
  <c r="U119" i="4"/>
  <c r="AN119" i="4" s="1"/>
  <c r="P116" i="4"/>
  <c r="S112" i="4"/>
  <c r="AL112" i="4" s="1"/>
  <c r="U109" i="4"/>
  <c r="AN109" i="4" s="1"/>
  <c r="P97" i="4"/>
  <c r="R78" i="4"/>
  <c r="U77" i="4"/>
  <c r="AN77" i="4" s="1"/>
  <c r="S73" i="4"/>
  <c r="AL73" i="4" s="1"/>
  <c r="T70" i="4"/>
  <c r="AM70" i="4" s="1"/>
  <c r="T63" i="4"/>
  <c r="AM63" i="4" s="1"/>
  <c r="R58" i="4"/>
  <c r="U54" i="4"/>
  <c r="AN54" i="4" s="1"/>
  <c r="P52" i="4"/>
  <c r="S49" i="4"/>
  <c r="AL49" i="4" s="1"/>
  <c r="U46" i="4"/>
  <c r="AN46" i="4" s="1"/>
  <c r="R126" i="4"/>
  <c r="T124" i="4"/>
  <c r="AM124" i="4" s="1"/>
  <c r="S119" i="4"/>
  <c r="AL119" i="4" s="1"/>
  <c r="P114" i="4"/>
  <c r="R112" i="4"/>
  <c r="T109" i="4"/>
  <c r="AM109" i="4" s="1"/>
  <c r="U102" i="4"/>
  <c r="AN102" i="4" s="1"/>
  <c r="T77" i="4"/>
  <c r="AM77" i="4" s="1"/>
  <c r="R73" i="4"/>
  <c r="S70" i="4"/>
  <c r="AL70" i="4" s="1"/>
  <c r="Q17" i="15" s="1"/>
  <c r="S17" i="15" s="1"/>
  <c r="S63" i="4"/>
  <c r="AL63" i="4" s="1"/>
  <c r="U60" i="4"/>
  <c r="AN60" i="4" s="1"/>
  <c r="T54" i="4"/>
  <c r="AM54" i="4" s="1"/>
  <c r="R49" i="4"/>
  <c r="T46" i="4"/>
  <c r="AM46" i="4" s="1"/>
  <c r="S40" i="4"/>
  <c r="AL40" i="4" s="1"/>
  <c r="U37" i="4"/>
  <c r="AN37" i="4" s="1"/>
  <c r="S32" i="4"/>
  <c r="AL32" i="4" s="1"/>
  <c r="U29" i="4"/>
  <c r="AN29" i="4" s="1"/>
  <c r="S24" i="4"/>
  <c r="AL24" i="4" s="1"/>
  <c r="S130" i="4"/>
  <c r="AL130" i="4" s="1"/>
  <c r="R119" i="4"/>
  <c r="S109" i="4"/>
  <c r="AL109" i="4" s="1"/>
  <c r="T102" i="4"/>
  <c r="AM102" i="4" s="1"/>
  <c r="U89" i="4"/>
  <c r="AN89" i="4" s="1"/>
  <c r="U88" i="4"/>
  <c r="AN88" i="4" s="1"/>
  <c r="S77" i="4"/>
  <c r="AL77" i="4" s="1"/>
  <c r="R70" i="4"/>
  <c r="U66" i="4"/>
  <c r="AN66" i="4" s="1"/>
  <c r="R63" i="4"/>
  <c r="T60" i="4"/>
  <c r="AM60" i="4" s="1"/>
  <c r="S54" i="4"/>
  <c r="AL54" i="4" s="1"/>
  <c r="U51" i="4"/>
  <c r="AN51" i="4" s="1"/>
  <c r="S46" i="4"/>
  <c r="AL46" i="4" s="1"/>
  <c r="R130" i="4"/>
  <c r="R109" i="4"/>
  <c r="S102" i="4"/>
  <c r="AL102" i="4" s="1"/>
  <c r="S89" i="4"/>
  <c r="AL89" i="4" s="1"/>
  <c r="T88" i="4"/>
  <c r="AM88" i="4" s="1"/>
  <c r="S86" i="4"/>
  <c r="AL86" i="4" s="1"/>
  <c r="R77" i="4"/>
  <c r="U72" i="4"/>
  <c r="AN72" i="4" s="1"/>
  <c r="P70" i="4"/>
  <c r="T66" i="4"/>
  <c r="AM66" i="4" s="1"/>
  <c r="S117" i="4"/>
  <c r="AL117" i="4" s="1"/>
  <c r="P109" i="4"/>
  <c r="S103" i="4"/>
  <c r="AL103" i="4" s="1"/>
  <c r="R102" i="4"/>
  <c r="R89" i="4"/>
  <c r="S88" i="4"/>
  <c r="AL88" i="4" s="1"/>
  <c r="R86" i="4"/>
  <c r="U85" i="4"/>
  <c r="AN85" i="4" s="1"/>
  <c r="U76" i="4"/>
  <c r="AN76" i="4" s="1"/>
  <c r="T72" i="4"/>
  <c r="AM72" i="4" s="1"/>
  <c r="S66" i="4"/>
  <c r="AL66" i="4" s="1"/>
  <c r="R60" i="4"/>
  <c r="S110" i="4"/>
  <c r="AL110" i="4" s="1"/>
  <c r="R103" i="4"/>
  <c r="U91" i="4"/>
  <c r="AN91" i="4" s="1"/>
  <c r="U90" i="4"/>
  <c r="AN90" i="4" s="1"/>
  <c r="R88" i="4"/>
  <c r="T85" i="4"/>
  <c r="AM85" i="4" s="1"/>
  <c r="T76" i="4"/>
  <c r="AM76" i="4" s="1"/>
  <c r="S72" i="4"/>
  <c r="AL72" i="4" s="1"/>
  <c r="U69" i="4"/>
  <c r="AN69" i="4" s="1"/>
  <c r="R66" i="4"/>
  <c r="U62" i="4"/>
  <c r="AN62" i="4" s="1"/>
  <c r="U105" i="4"/>
  <c r="AN105" i="4" s="1"/>
  <c r="U99" i="4"/>
  <c r="AN99" i="4" s="1"/>
  <c r="T91" i="4"/>
  <c r="AM91" i="4" s="1"/>
  <c r="P88" i="4"/>
  <c r="S85" i="4"/>
  <c r="AL85" i="4" s="1"/>
  <c r="U84" i="4"/>
  <c r="AN84" i="4" s="1"/>
  <c r="S76" i="4"/>
  <c r="AL76" i="4" s="1"/>
  <c r="R72" i="4"/>
  <c r="T69" i="4"/>
  <c r="AM69" i="4" s="1"/>
  <c r="T125" i="4"/>
  <c r="AM125" i="4" s="1"/>
  <c r="S120" i="4"/>
  <c r="AL120" i="4" s="1"/>
  <c r="T105" i="4"/>
  <c r="AM105" i="4" s="1"/>
  <c r="T99" i="4"/>
  <c r="AM99" i="4" s="1"/>
  <c r="R93" i="4"/>
  <c r="S91" i="4"/>
  <c r="AL91" i="4" s="1"/>
  <c r="R85" i="4"/>
  <c r="T84" i="4"/>
  <c r="AM84" i="4" s="1"/>
  <c r="U82" i="4"/>
  <c r="AN82" i="4" s="1"/>
  <c r="S125" i="4"/>
  <c r="AL125" i="4" s="1"/>
  <c r="R120" i="4"/>
  <c r="U106" i="4"/>
  <c r="AN106" i="4" s="1"/>
  <c r="U100" i="4"/>
  <c r="AN100" i="4" s="1"/>
  <c r="U94" i="4"/>
  <c r="AN94" i="4" s="1"/>
  <c r="R91" i="4"/>
  <c r="P85" i="4"/>
  <c r="R125" i="4"/>
  <c r="P120" i="4"/>
  <c r="T106" i="4"/>
  <c r="AM106" i="4" s="1"/>
  <c r="T100" i="4"/>
  <c r="AM100" i="4" s="1"/>
  <c r="T95" i="4"/>
  <c r="AM95" i="4" s="1"/>
  <c r="T94" i="4"/>
  <c r="AM94" i="4" s="1"/>
  <c r="P91" i="4"/>
  <c r="S82" i="4"/>
  <c r="AL82" i="4" s="1"/>
  <c r="U81" i="4"/>
  <c r="AN81" i="4" s="1"/>
  <c r="T75" i="4"/>
  <c r="AM75" i="4" s="1"/>
  <c r="U71" i="4"/>
  <c r="AN71" i="4" s="1"/>
  <c r="P69" i="4"/>
  <c r="R62" i="4"/>
  <c r="S56" i="4"/>
  <c r="AL56" i="4" s="1"/>
  <c r="U53" i="4"/>
  <c r="AN53" i="4" s="1"/>
  <c r="S43" i="4"/>
  <c r="AL43" i="4" s="1"/>
  <c r="U36" i="4"/>
  <c r="AN36" i="4" s="1"/>
  <c r="U26" i="4"/>
  <c r="AN26" i="4" s="1"/>
  <c r="T24" i="4"/>
  <c r="AM24" i="4" s="1"/>
  <c r="U23" i="4"/>
  <c r="AN23" i="4" s="1"/>
  <c r="S10" i="4"/>
  <c r="AL10" i="4" s="1"/>
  <c r="Q9" i="15" s="1"/>
  <c r="S9" i="15" s="1"/>
  <c r="U7" i="4"/>
  <c r="AN7" i="4" s="1"/>
  <c r="P62" i="4"/>
  <c r="R56" i="4"/>
  <c r="T53" i="4"/>
  <c r="AM53" i="4" s="1"/>
  <c r="U50" i="4"/>
  <c r="AN50" i="4" s="1"/>
  <c r="R43" i="4"/>
  <c r="T36" i="4"/>
  <c r="AM36" i="4" s="1"/>
  <c r="T27" i="4"/>
  <c r="AM27" i="4" s="1"/>
  <c r="T26" i="4"/>
  <c r="AM26" i="4" s="1"/>
  <c r="U25" i="4"/>
  <c r="AN25" i="4" s="1"/>
  <c r="R24" i="4"/>
  <c r="T23" i="4"/>
  <c r="AM23" i="4" s="1"/>
  <c r="U13" i="4"/>
  <c r="AN13" i="4" s="1"/>
  <c r="R10" i="4"/>
  <c r="T7" i="4"/>
  <c r="AM7" i="4" s="1"/>
  <c r="S53" i="4"/>
  <c r="AL53" i="4" s="1"/>
  <c r="T50" i="4"/>
  <c r="AM50" i="4" s="1"/>
  <c r="T37" i="4"/>
  <c r="AM37" i="4" s="1"/>
  <c r="S36" i="4"/>
  <c r="AL36" i="4" s="1"/>
  <c r="U28" i="4"/>
  <c r="AN28" i="4" s="1"/>
  <c r="S27" i="4"/>
  <c r="AL27" i="4" s="1"/>
  <c r="S26" i="4"/>
  <c r="AL26" i="4" s="1"/>
  <c r="S23" i="4"/>
  <c r="AL23" i="4" s="1"/>
  <c r="R22" i="4"/>
  <c r="T13" i="4"/>
  <c r="AM13" i="4" s="1"/>
  <c r="S7" i="4"/>
  <c r="AL7" i="4" s="1"/>
  <c r="R53" i="4"/>
  <c r="P44" i="4"/>
  <c r="S37" i="4"/>
  <c r="AL37" i="4" s="1"/>
  <c r="T29" i="4"/>
  <c r="AM29" i="4" s="1"/>
  <c r="T28" i="4"/>
  <c r="AM28" i="4" s="1"/>
  <c r="R27" i="4"/>
  <c r="R26" i="4"/>
  <c r="R23" i="4"/>
  <c r="U21" i="4"/>
  <c r="AN21" i="4" s="1"/>
  <c r="S13" i="4"/>
  <c r="AL13" i="4" s="1"/>
  <c r="R7" i="4"/>
  <c r="R54" i="4"/>
  <c r="U48" i="4"/>
  <c r="AN48" i="4" s="1"/>
  <c r="R37" i="4"/>
  <c r="S29" i="4"/>
  <c r="AL29" i="4" s="1"/>
  <c r="S28" i="4"/>
  <c r="AL28" i="4" s="1"/>
  <c r="P26" i="4"/>
  <c r="P23" i="4"/>
  <c r="T21" i="4"/>
  <c r="AM21" i="4" s="1"/>
  <c r="P13" i="4"/>
  <c r="U9" i="4"/>
  <c r="AN9" i="4" s="1"/>
  <c r="P7" i="4"/>
  <c r="P63" i="4"/>
  <c r="T51" i="4"/>
  <c r="AM51" i="4" s="1"/>
  <c r="T48" i="4"/>
  <c r="AM48" i="4" s="1"/>
  <c r="U31" i="4"/>
  <c r="AN31" i="4" s="1"/>
  <c r="R29" i="4"/>
  <c r="S21" i="4"/>
  <c r="AL21" i="4" s="1"/>
  <c r="U18" i="4"/>
  <c r="AN18" i="4" s="1"/>
  <c r="U12" i="4"/>
  <c r="AN12" i="4" s="1"/>
  <c r="T9" i="4"/>
  <c r="AM9" i="4" s="1"/>
  <c r="S51" i="4"/>
  <c r="AL51" i="4" s="1"/>
  <c r="S48" i="4"/>
  <c r="AL48" i="4" s="1"/>
  <c r="U45" i="4"/>
  <c r="AN45" i="4" s="1"/>
  <c r="U32" i="4"/>
  <c r="AN32" i="4" s="1"/>
  <c r="T31" i="4"/>
  <c r="AM31" i="4" s="1"/>
  <c r="P29" i="4"/>
  <c r="R21" i="4"/>
  <c r="U19" i="4"/>
  <c r="AN19" i="4" s="1"/>
  <c r="T18" i="4"/>
  <c r="AM18" i="4" s="1"/>
  <c r="T12" i="4"/>
  <c r="AM12" i="4" s="1"/>
  <c r="S9" i="4"/>
  <c r="AL9" i="4" s="1"/>
  <c r="U6" i="4"/>
  <c r="AN6" i="4" s="1"/>
  <c r="R51" i="4"/>
  <c r="R48" i="4"/>
  <c r="T45" i="4"/>
  <c r="AM45" i="4" s="1"/>
  <c r="U39" i="4"/>
  <c r="AN39" i="4" s="1"/>
  <c r="T32" i="4"/>
  <c r="AM32" i="4" s="1"/>
  <c r="S31" i="4"/>
  <c r="AL31" i="4" s="1"/>
  <c r="T19" i="4"/>
  <c r="AM19" i="4" s="1"/>
  <c r="S18" i="4"/>
  <c r="AL18" i="4" s="1"/>
  <c r="S12" i="4"/>
  <c r="AL12" i="4" s="1"/>
  <c r="R9" i="4"/>
  <c r="T6" i="4"/>
  <c r="AM6" i="4" s="1"/>
  <c r="P51" i="4"/>
  <c r="P48" i="4"/>
  <c r="S45" i="4"/>
  <c r="AL45" i="4" s="1"/>
  <c r="T39" i="4"/>
  <c r="AM39" i="4" s="1"/>
  <c r="R32" i="4"/>
  <c r="R31" i="4"/>
  <c r="R18" i="4"/>
  <c r="U17" i="4"/>
  <c r="AN17" i="4" s="1"/>
  <c r="R12" i="4"/>
  <c r="P9" i="4"/>
  <c r="S6" i="4"/>
  <c r="AL6" i="4" s="1"/>
  <c r="Q5" i="15" s="1"/>
  <c r="S5" i="15" s="1"/>
  <c r="S5" i="4"/>
  <c r="R76" i="4"/>
  <c r="P72" i="4"/>
  <c r="U59" i="4"/>
  <c r="AN59" i="4" s="1"/>
  <c r="R45" i="4"/>
  <c r="S39" i="4"/>
  <c r="AL39" i="4" s="1"/>
  <c r="U34" i="4"/>
  <c r="AN34" i="4" s="1"/>
  <c r="U33" i="4"/>
  <c r="AN33" i="4" s="1"/>
  <c r="P31" i="4"/>
  <c r="T17" i="4"/>
  <c r="AM17" i="4" s="1"/>
  <c r="R6" i="4"/>
  <c r="P76" i="4"/>
  <c r="T59" i="4"/>
  <c r="AM59" i="4" s="1"/>
  <c r="R46" i="4"/>
  <c r="T40" i="4"/>
  <c r="AM40" i="4" s="1"/>
  <c r="R39" i="4"/>
  <c r="T34" i="4"/>
  <c r="AM34" i="4" s="1"/>
  <c r="S17" i="4"/>
  <c r="AL17" i="4" s="1"/>
  <c r="U11" i="4"/>
  <c r="AN11" i="4" s="1"/>
  <c r="U8" i="4"/>
  <c r="AN8" i="4" s="1"/>
  <c r="S69" i="4"/>
  <c r="AL69" i="4" s="1"/>
  <c r="S59" i="4"/>
  <c r="AL59" i="4" s="1"/>
  <c r="R40" i="4"/>
  <c r="P39" i="4"/>
  <c r="S34" i="4"/>
  <c r="AL34" i="4" s="1"/>
  <c r="R17" i="4"/>
  <c r="R16" i="4"/>
  <c r="T11" i="4"/>
  <c r="AM11" i="4" s="1"/>
  <c r="T8" i="4"/>
  <c r="AM8" i="4" s="1"/>
  <c r="R69" i="4"/>
  <c r="P40" i="4"/>
  <c r="R34" i="4"/>
  <c r="P17" i="4"/>
  <c r="P16" i="4"/>
  <c r="U15" i="4"/>
  <c r="AN15" i="4" s="1"/>
  <c r="S11" i="4"/>
  <c r="AL11" i="4" s="1"/>
  <c r="S8" i="4"/>
  <c r="AL8" i="4" s="1"/>
  <c r="U5" i="4"/>
  <c r="U64" i="4"/>
  <c r="AN64" i="4" s="1"/>
  <c r="R35" i="4"/>
  <c r="T15" i="4"/>
  <c r="AM15" i="4" s="1"/>
  <c r="R11" i="4"/>
  <c r="R8" i="4"/>
  <c r="T5" i="4"/>
  <c r="AM5" i="4" s="1"/>
  <c r="T82" i="4"/>
  <c r="AM82" i="4" s="1"/>
  <c r="U75" i="4"/>
  <c r="AN75" i="4" s="1"/>
  <c r="T62" i="4"/>
  <c r="AM62" i="4" s="1"/>
  <c r="U56" i="4"/>
  <c r="AN56" i="4" s="1"/>
  <c r="U43" i="4"/>
  <c r="AN43" i="4" s="1"/>
  <c r="U41" i="4"/>
  <c r="AN41" i="4" s="1"/>
  <c r="S15" i="4"/>
  <c r="AL15" i="4" s="1"/>
  <c r="Q11" i="15" s="1"/>
  <c r="S11" i="15" s="1"/>
  <c r="P11" i="4"/>
  <c r="P8" i="4"/>
  <c r="S62" i="4"/>
  <c r="AL62" i="4" s="1"/>
  <c r="S60" i="4"/>
  <c r="AL60" i="4" s="1"/>
  <c r="T56" i="4"/>
  <c r="AM56" i="4" s="1"/>
  <c r="T43" i="4"/>
  <c r="AM43" i="4" s="1"/>
  <c r="U24" i="4"/>
  <c r="AN24" i="4" s="1"/>
  <c r="R15" i="4"/>
  <c r="U10" i="4"/>
  <c r="AN10" i="4" s="1"/>
  <c r="R5" i="4"/>
  <c r="P15" i="4"/>
  <c r="P37" i="4"/>
  <c r="P53" i="4"/>
  <c r="P158" i="4"/>
  <c r="P79" i="4"/>
  <c r="P174" i="4"/>
  <c r="P204" i="4"/>
  <c r="P25" i="4"/>
  <c r="P172" i="4"/>
  <c r="P160" i="4"/>
  <c r="P178" i="4"/>
  <c r="P60" i="4"/>
  <c r="P167" i="4"/>
  <c r="P140" i="4"/>
  <c r="P101" i="4"/>
  <c r="P129" i="4"/>
  <c r="P32" i="4"/>
  <c r="P45" i="4"/>
  <c r="P54" i="4"/>
  <c r="P132" i="4"/>
  <c r="P73" i="4"/>
  <c r="P170" i="4"/>
  <c r="P147" i="4"/>
  <c r="P128" i="4"/>
  <c r="P90" i="4"/>
  <c r="P208" i="4"/>
  <c r="P155" i="4"/>
  <c r="P227" i="4"/>
  <c r="P206" i="4"/>
  <c r="P21" i="4"/>
  <c r="P168" i="4"/>
  <c r="P164" i="4"/>
  <c r="P173" i="4"/>
  <c r="P107" i="4"/>
  <c r="P159" i="4"/>
  <c r="P34" i="4"/>
  <c r="P59" i="4"/>
  <c r="P5" i="4"/>
  <c r="P162" i="4"/>
  <c r="P33" i="4"/>
  <c r="P177" i="4"/>
  <c r="P146" i="4"/>
  <c r="P193" i="4"/>
  <c r="P43" i="4"/>
  <c r="P77" i="4"/>
  <c r="P135" i="4"/>
  <c r="P137" i="4"/>
  <c r="P188" i="4"/>
  <c r="P56" i="4"/>
  <c r="P46" i="4"/>
  <c r="P100" i="4"/>
  <c r="P38" i="4"/>
  <c r="P22" i="4"/>
  <c r="P98" i="4"/>
  <c r="P61" i="4"/>
  <c r="P131" i="4"/>
  <c r="P41" i="4"/>
  <c r="P80" i="4"/>
  <c r="P138" i="4"/>
  <c r="P139" i="4"/>
  <c r="P217" i="4"/>
  <c r="P24" i="4"/>
  <c r="P66" i="4"/>
  <c r="P93" i="4"/>
  <c r="P19" i="4"/>
  <c r="P99" i="4"/>
  <c r="P47" i="4"/>
  <c r="P150" i="4"/>
  <c r="P189" i="4"/>
  <c r="P6" i="4"/>
  <c r="P27" i="4"/>
  <c r="P105" i="4"/>
  <c r="P103" i="4"/>
  <c r="P126" i="4"/>
  <c r="P68" i="4"/>
  <c r="P152" i="4"/>
  <c r="P143" i="4"/>
  <c r="P49" i="4"/>
  <c r="P106" i="4"/>
  <c r="P110" i="4"/>
  <c r="P55" i="4"/>
  <c r="P95" i="4"/>
  <c r="P156" i="4"/>
  <c r="P153" i="4"/>
  <c r="P211" i="4"/>
  <c r="P181" i="4"/>
  <c r="P84" i="4"/>
  <c r="P130" i="4"/>
  <c r="P58" i="4"/>
  <c r="P75" i="4"/>
  <c r="P142" i="4"/>
  <c r="P200" i="4"/>
  <c r="P185" i="4"/>
  <c r="P219" i="4"/>
  <c r="P12" i="4"/>
  <c r="P10" i="4"/>
  <c r="P64" i="4"/>
  <c r="P144" i="4"/>
  <c r="P115" i="4"/>
  <c r="P212" i="4"/>
  <c r="P18" i="4"/>
  <c r="P30" i="4"/>
  <c r="P50" i="4"/>
  <c r="P86" i="4"/>
  <c r="P96" i="4"/>
  <c r="P133" i="4"/>
  <c r="P148" i="4"/>
  <c r="P145" i="4"/>
  <c r="P166" i="4"/>
  <c r="P201" i="4"/>
  <c r="P213" i="4"/>
  <c r="P35" i="4"/>
  <c r="P89" i="4"/>
  <c r="P78" i="4"/>
  <c r="P71" i="4"/>
  <c r="P82" i="4"/>
  <c r="P125" i="4"/>
  <c r="P199" i="4"/>
  <c r="P151" i="4"/>
  <c r="P123" i="4"/>
  <c r="P124" i="4"/>
  <c r="P228" i="4"/>
  <c r="K55" i="5"/>
  <c r="K54" i="5"/>
  <c r="K56" i="5"/>
  <c r="K53" i="5"/>
  <c r="K65" i="5"/>
  <c r="Q25" i="15" l="1"/>
  <c r="S25" i="15" s="1"/>
  <c r="X93" i="4"/>
  <c r="AK93" i="4" s="1"/>
  <c r="AO93" i="4" s="1"/>
  <c r="V93" i="4"/>
  <c r="Z93" i="4" s="1"/>
  <c r="X89" i="4"/>
  <c r="AK89" i="4" s="1"/>
  <c r="AO89" i="4" s="1"/>
  <c r="V89" i="4"/>
  <c r="Z89" i="4" s="1"/>
  <c r="X126" i="4"/>
  <c r="AK126" i="4" s="1"/>
  <c r="AO126" i="4" s="1"/>
  <c r="V126" i="4"/>
  <c r="Z126" i="4" s="1"/>
  <c r="V38" i="4"/>
  <c r="Z38" i="4" s="1"/>
  <c r="X38" i="4"/>
  <c r="AK38" i="4" s="1"/>
  <c r="AO38" i="4" s="1"/>
  <c r="X9" i="4"/>
  <c r="AK9" i="4" s="1"/>
  <c r="AO9" i="4" s="1"/>
  <c r="V9" i="4"/>
  <c r="Z9" i="4" s="1"/>
  <c r="X102" i="4"/>
  <c r="AK102" i="4" s="1"/>
  <c r="AO102" i="4" s="1"/>
  <c r="V102" i="4"/>
  <c r="Z102" i="4" s="1"/>
  <c r="V25" i="4"/>
  <c r="Z25" i="4" s="1"/>
  <c r="X25" i="4"/>
  <c r="AK25" i="4" s="1"/>
  <c r="AO25" i="4" s="1"/>
  <c r="X28" i="4"/>
  <c r="AK28" i="4" s="1"/>
  <c r="AO28" i="4" s="1"/>
  <c r="V28" i="4"/>
  <c r="Z28" i="4" s="1"/>
  <c r="X151" i="4"/>
  <c r="AK151" i="4" s="1"/>
  <c r="AO151" i="4" s="1"/>
  <c r="V151" i="4"/>
  <c r="Z151" i="4" s="1"/>
  <c r="X145" i="4"/>
  <c r="AK145" i="4" s="1"/>
  <c r="AO145" i="4" s="1"/>
  <c r="V145" i="4"/>
  <c r="Z145" i="4" s="1"/>
  <c r="X115" i="4"/>
  <c r="AK115" i="4" s="1"/>
  <c r="AO115" i="4" s="1"/>
  <c r="V115" i="4"/>
  <c r="Z115" i="4" s="1"/>
  <c r="V183" i="4"/>
  <c r="Z183" i="4" s="1"/>
  <c r="X183" i="4"/>
  <c r="AK183" i="4" s="1"/>
  <c r="AO183" i="4" s="1"/>
  <c r="V168" i="4"/>
  <c r="Z168" i="4" s="1"/>
  <c r="X168" i="4"/>
  <c r="AK168" i="4" s="1"/>
  <c r="AO168" i="4" s="1"/>
  <c r="X224" i="4"/>
  <c r="AK224" i="4" s="1"/>
  <c r="AO224" i="4" s="1"/>
  <c r="V224" i="4"/>
  <c r="Z224" i="4" s="1"/>
  <c r="X214" i="4"/>
  <c r="AK214" i="4" s="1"/>
  <c r="AO214" i="4" s="1"/>
  <c r="V214" i="4"/>
  <c r="Z214" i="4" s="1"/>
  <c r="V185" i="4"/>
  <c r="Z185" i="4" s="1"/>
  <c r="X185" i="4"/>
  <c r="AK185" i="4" s="1"/>
  <c r="AO185" i="4" s="1"/>
  <c r="X187" i="4"/>
  <c r="AK187" i="4" s="1"/>
  <c r="AO187" i="4" s="1"/>
  <c r="V187" i="4"/>
  <c r="Z187" i="4" s="1"/>
  <c r="X186" i="4"/>
  <c r="AK186" i="4" s="1"/>
  <c r="AO186" i="4" s="1"/>
  <c r="V186" i="4"/>
  <c r="Z186" i="4" s="1"/>
  <c r="X227" i="4"/>
  <c r="AK227" i="4" s="1"/>
  <c r="AO227" i="4" s="1"/>
  <c r="V227" i="4"/>
  <c r="Z227" i="4" s="1"/>
  <c r="X206" i="4"/>
  <c r="AK206" i="4" s="1"/>
  <c r="AO206" i="4" s="1"/>
  <c r="V206" i="4"/>
  <c r="Z206" i="4" s="1"/>
  <c r="X33" i="4"/>
  <c r="AK33" i="4" s="1"/>
  <c r="AO33" i="4" s="1"/>
  <c r="V33" i="4"/>
  <c r="Z33" i="4" s="1"/>
  <c r="V110" i="4"/>
  <c r="Z110" i="4" s="1"/>
  <c r="X110" i="4"/>
  <c r="AK110" i="4" s="1"/>
  <c r="AO110" i="4" s="1"/>
  <c r="X84" i="4"/>
  <c r="AK84" i="4" s="1"/>
  <c r="AO84" i="4" s="1"/>
  <c r="V84" i="4"/>
  <c r="Z84" i="4" s="1"/>
  <c r="V194" i="4"/>
  <c r="Z194" i="4" s="1"/>
  <c r="X194" i="4"/>
  <c r="AK194" i="4" s="1"/>
  <c r="AO194" i="4" s="1"/>
  <c r="X216" i="4"/>
  <c r="AK216" i="4" s="1"/>
  <c r="AO216" i="4" s="1"/>
  <c r="V216" i="4"/>
  <c r="Z216" i="4" s="1"/>
  <c r="Q33" i="15"/>
  <c r="S33" i="15" s="1"/>
  <c r="AL5" i="4"/>
  <c r="X125" i="4"/>
  <c r="AK125" i="4" s="1"/>
  <c r="AO125" i="4" s="1"/>
  <c r="V125" i="4"/>
  <c r="Z125" i="4" s="1"/>
  <c r="X88" i="4"/>
  <c r="AK88" i="4" s="1"/>
  <c r="AO88" i="4" s="1"/>
  <c r="V88" i="4"/>
  <c r="Z88" i="4" s="1"/>
  <c r="V47" i="4"/>
  <c r="Z47" i="4" s="1"/>
  <c r="X47" i="4"/>
  <c r="AK47" i="4" s="1"/>
  <c r="AO47" i="4" s="1"/>
  <c r="X19" i="4"/>
  <c r="AK19" i="4" s="1"/>
  <c r="AO19" i="4" s="1"/>
  <c r="V19" i="4"/>
  <c r="Z19" i="4" s="1"/>
  <c r="X117" i="4"/>
  <c r="AK117" i="4" s="1"/>
  <c r="AO117" i="4" s="1"/>
  <c r="V117" i="4"/>
  <c r="Z117" i="4" s="1"/>
  <c r="X128" i="4"/>
  <c r="AK128" i="4" s="1"/>
  <c r="AO128" i="4" s="1"/>
  <c r="V128" i="4"/>
  <c r="Z128" i="4" s="1"/>
  <c r="X114" i="4"/>
  <c r="AK114" i="4" s="1"/>
  <c r="AO114" i="4" s="1"/>
  <c r="V114" i="4"/>
  <c r="Z114" i="4" s="1"/>
  <c r="X226" i="4"/>
  <c r="AK226" i="4" s="1"/>
  <c r="V226" i="4"/>
  <c r="Z226" i="4" s="1"/>
  <c r="V208" i="4"/>
  <c r="Z208" i="4" s="1"/>
  <c r="X208" i="4"/>
  <c r="AK208" i="4" s="1"/>
  <c r="AO208" i="4" s="1"/>
  <c r="V221" i="4"/>
  <c r="Z221" i="4" s="1"/>
  <c r="X221" i="4"/>
  <c r="AK221" i="4" s="1"/>
  <c r="AO221" i="4" s="1"/>
  <c r="X53" i="4"/>
  <c r="AK53" i="4" s="1"/>
  <c r="AO53" i="4" s="1"/>
  <c r="V53" i="4"/>
  <c r="Z53" i="4" s="1"/>
  <c r="X24" i="4"/>
  <c r="AK24" i="4" s="1"/>
  <c r="AO24" i="4" s="1"/>
  <c r="V24" i="4"/>
  <c r="Z24" i="4" s="1"/>
  <c r="X70" i="4"/>
  <c r="AK70" i="4" s="1"/>
  <c r="V70" i="4"/>
  <c r="Z70" i="4" s="1"/>
  <c r="X58" i="4"/>
  <c r="AK58" i="4" s="1"/>
  <c r="AO58" i="4" s="1"/>
  <c r="V58" i="4"/>
  <c r="Z58" i="4" s="1"/>
  <c r="X52" i="4"/>
  <c r="AK52" i="4" s="1"/>
  <c r="AO52" i="4" s="1"/>
  <c r="V52" i="4"/>
  <c r="Z52" i="4" s="1"/>
  <c r="V61" i="4"/>
  <c r="Z61" i="4" s="1"/>
  <c r="X61" i="4"/>
  <c r="AK61" i="4" s="1"/>
  <c r="AO61" i="4" s="1"/>
  <c r="X41" i="4"/>
  <c r="AK41" i="4" s="1"/>
  <c r="AO41" i="4" s="1"/>
  <c r="V41" i="4"/>
  <c r="Z41" i="4" s="1"/>
  <c r="V80" i="4"/>
  <c r="Z80" i="4" s="1"/>
  <c r="X80" i="4"/>
  <c r="AK80" i="4" s="1"/>
  <c r="AO80" i="4" s="1"/>
  <c r="X137" i="4"/>
  <c r="AK137" i="4" s="1"/>
  <c r="AO137" i="4" s="1"/>
  <c r="V137" i="4"/>
  <c r="Z137" i="4" s="1"/>
  <c r="X122" i="4"/>
  <c r="AK122" i="4" s="1"/>
  <c r="V122" i="4"/>
  <c r="Z122" i="4" s="1"/>
  <c r="V220" i="4"/>
  <c r="Z220" i="4" s="1"/>
  <c r="X220" i="4"/>
  <c r="AK220" i="4" s="1"/>
  <c r="AO220" i="4" s="1"/>
  <c r="X21" i="4"/>
  <c r="AK21" i="4" s="1"/>
  <c r="V21" i="4"/>
  <c r="Z21" i="4" s="1"/>
  <c r="X63" i="4"/>
  <c r="AK63" i="4" s="1"/>
  <c r="AO63" i="4" s="1"/>
  <c r="V63" i="4"/>
  <c r="Z63" i="4" s="1"/>
  <c r="X36" i="4"/>
  <c r="AK36" i="4" s="1"/>
  <c r="AO36" i="4" s="1"/>
  <c r="V36" i="4"/>
  <c r="Z36" i="4" s="1"/>
  <c r="X199" i="4"/>
  <c r="AK199" i="4" s="1"/>
  <c r="AO199" i="4" s="1"/>
  <c r="V199" i="4"/>
  <c r="Z199" i="4" s="1"/>
  <c r="V196" i="4"/>
  <c r="Z196" i="4" s="1"/>
  <c r="X196" i="4"/>
  <c r="AK196" i="4" s="1"/>
  <c r="AO196" i="4" s="1"/>
  <c r="X34" i="4"/>
  <c r="AK34" i="4" s="1"/>
  <c r="AO34" i="4" s="1"/>
  <c r="V34" i="4"/>
  <c r="Z34" i="4" s="1"/>
  <c r="X39" i="4"/>
  <c r="AK39" i="4" s="1"/>
  <c r="AO39" i="4" s="1"/>
  <c r="V39" i="4"/>
  <c r="Z39" i="4" s="1"/>
  <c r="X91" i="4"/>
  <c r="AK91" i="4" s="1"/>
  <c r="AO91" i="4" s="1"/>
  <c r="V91" i="4"/>
  <c r="Z91" i="4" s="1"/>
  <c r="X72" i="4"/>
  <c r="AK72" i="4" s="1"/>
  <c r="AO72" i="4" s="1"/>
  <c r="V72" i="4"/>
  <c r="Z72" i="4" s="1"/>
  <c r="V68" i="4"/>
  <c r="Z68" i="4" s="1"/>
  <c r="X68" i="4"/>
  <c r="AK68" i="4" s="1"/>
  <c r="AO68" i="4" s="1"/>
  <c r="X55" i="4"/>
  <c r="AK55" i="4" s="1"/>
  <c r="AO55" i="4" s="1"/>
  <c r="V55" i="4"/>
  <c r="Z55" i="4" s="1"/>
  <c r="X127" i="4"/>
  <c r="AK127" i="4" s="1"/>
  <c r="AO127" i="4" s="1"/>
  <c r="V127" i="4"/>
  <c r="Z127" i="4" s="1"/>
  <c r="X143" i="4"/>
  <c r="AK143" i="4" s="1"/>
  <c r="AO143" i="4" s="1"/>
  <c r="V143" i="4"/>
  <c r="Z143" i="4" s="1"/>
  <c r="X99" i="4"/>
  <c r="AK99" i="4" s="1"/>
  <c r="AO99" i="4" s="1"/>
  <c r="V99" i="4"/>
  <c r="Z99" i="4" s="1"/>
  <c r="X158" i="4"/>
  <c r="AK158" i="4" s="1"/>
  <c r="AO158" i="4" s="1"/>
  <c r="V158" i="4"/>
  <c r="Z158" i="4" s="1"/>
  <c r="V217" i="4"/>
  <c r="Z217" i="4" s="1"/>
  <c r="X217" i="4"/>
  <c r="AK217" i="4" s="1"/>
  <c r="X169" i="4"/>
  <c r="AK169" i="4" s="1"/>
  <c r="AO169" i="4" s="1"/>
  <c r="V169" i="4"/>
  <c r="Z169" i="4" s="1"/>
  <c r="X198" i="4"/>
  <c r="AK198" i="4" s="1"/>
  <c r="AO198" i="4" s="1"/>
  <c r="V198" i="4"/>
  <c r="Z198" i="4" s="1"/>
  <c r="X174" i="4"/>
  <c r="AK174" i="4" s="1"/>
  <c r="AO174" i="4" s="1"/>
  <c r="V174" i="4"/>
  <c r="Z174" i="4" s="1"/>
  <c r="X76" i="4"/>
  <c r="AK76" i="4" s="1"/>
  <c r="AO76" i="4" s="1"/>
  <c r="V76" i="4"/>
  <c r="Z76" i="4" s="1"/>
  <c r="X94" i="4"/>
  <c r="AK94" i="4" s="1"/>
  <c r="V94" i="4"/>
  <c r="Z94" i="4" s="1"/>
  <c r="X165" i="4"/>
  <c r="AK165" i="4" s="1"/>
  <c r="AO165" i="4" s="1"/>
  <c r="V165" i="4"/>
  <c r="Z165" i="4" s="1"/>
  <c r="X139" i="4"/>
  <c r="AK139" i="4" s="1"/>
  <c r="AO139" i="4" s="1"/>
  <c r="V139" i="4"/>
  <c r="Z139" i="4" s="1"/>
  <c r="X101" i="4"/>
  <c r="AK101" i="4" s="1"/>
  <c r="AO101" i="4" s="1"/>
  <c r="V101" i="4"/>
  <c r="Z101" i="4" s="1"/>
  <c r="X159" i="4"/>
  <c r="AK159" i="4" s="1"/>
  <c r="AO159" i="4" s="1"/>
  <c r="V159" i="4"/>
  <c r="Z159" i="4" s="1"/>
  <c r="X105" i="4"/>
  <c r="AK105" i="4" s="1"/>
  <c r="AO105" i="4" s="1"/>
  <c r="V105" i="4"/>
  <c r="Z105" i="4" s="1"/>
  <c r="X5" i="4"/>
  <c r="AK5" i="4" s="1"/>
  <c r="V5" i="4"/>
  <c r="Z5" i="4" s="1"/>
  <c r="X37" i="4"/>
  <c r="AK37" i="4" s="1"/>
  <c r="AO37" i="4" s="1"/>
  <c r="V37" i="4"/>
  <c r="Z37" i="4" s="1"/>
  <c r="V22" i="4"/>
  <c r="Z22" i="4" s="1"/>
  <c r="X22" i="4"/>
  <c r="AK22" i="4" s="1"/>
  <c r="AO22" i="4" s="1"/>
  <c r="V62" i="4"/>
  <c r="Z62" i="4" s="1"/>
  <c r="X62" i="4"/>
  <c r="AK62" i="4" s="1"/>
  <c r="AO62" i="4" s="1"/>
  <c r="X77" i="4"/>
  <c r="AK77" i="4" s="1"/>
  <c r="AO77" i="4" s="1"/>
  <c r="V77" i="4"/>
  <c r="Z77" i="4" s="1"/>
  <c r="X73" i="4"/>
  <c r="AK73" i="4" s="1"/>
  <c r="AO73" i="4" s="1"/>
  <c r="V73" i="4"/>
  <c r="Z73" i="4" s="1"/>
  <c r="X95" i="4"/>
  <c r="AK95" i="4" s="1"/>
  <c r="AO95" i="4" s="1"/>
  <c r="V95" i="4"/>
  <c r="Z95" i="4" s="1"/>
  <c r="X59" i="4"/>
  <c r="AK59" i="4" s="1"/>
  <c r="AO59" i="4" s="1"/>
  <c r="V59" i="4"/>
  <c r="Z59" i="4" s="1"/>
  <c r="X150" i="4"/>
  <c r="AK150" i="4" s="1"/>
  <c r="AO150" i="4" s="1"/>
  <c r="V150" i="4"/>
  <c r="Z150" i="4" s="1"/>
  <c r="X107" i="4"/>
  <c r="AK107" i="4" s="1"/>
  <c r="AO107" i="4" s="1"/>
  <c r="V107" i="4"/>
  <c r="Z107" i="4" s="1"/>
  <c r="V154" i="4"/>
  <c r="Z154" i="4" s="1"/>
  <c r="X154" i="4"/>
  <c r="AK154" i="4" s="1"/>
  <c r="AO154" i="4" s="1"/>
  <c r="V222" i="4"/>
  <c r="Z222" i="4" s="1"/>
  <c r="X222" i="4"/>
  <c r="AK222" i="4" s="1"/>
  <c r="AO222" i="4" s="1"/>
  <c r="X179" i="4"/>
  <c r="AK179" i="4" s="1"/>
  <c r="AO179" i="4" s="1"/>
  <c r="V179" i="4"/>
  <c r="Z179" i="4" s="1"/>
  <c r="X166" i="4"/>
  <c r="AK166" i="4" s="1"/>
  <c r="AO166" i="4" s="1"/>
  <c r="V166" i="4"/>
  <c r="Z166" i="4" s="1"/>
  <c r="V223" i="4"/>
  <c r="Z223" i="4" s="1"/>
  <c r="X223" i="4"/>
  <c r="AK223" i="4" s="1"/>
  <c r="X48" i="4"/>
  <c r="AK48" i="4" s="1"/>
  <c r="AO48" i="4" s="1"/>
  <c r="V48" i="4"/>
  <c r="Z48" i="4" s="1"/>
  <c r="X100" i="4"/>
  <c r="AK100" i="4" s="1"/>
  <c r="AO100" i="4" s="1"/>
  <c r="V100" i="4"/>
  <c r="Z100" i="4" s="1"/>
  <c r="V161" i="4"/>
  <c r="Z161" i="4" s="1"/>
  <c r="X161" i="4"/>
  <c r="AK161" i="4" s="1"/>
  <c r="AO161" i="4" s="1"/>
  <c r="X138" i="4"/>
  <c r="AK138" i="4" s="1"/>
  <c r="AO138" i="4" s="1"/>
  <c r="V138" i="4"/>
  <c r="Z138" i="4" s="1"/>
  <c r="X152" i="4"/>
  <c r="AK152" i="4" s="1"/>
  <c r="AO152" i="4" s="1"/>
  <c r="V152" i="4"/>
  <c r="Z152" i="4" s="1"/>
  <c r="Q21" i="15"/>
  <c r="S21" i="15" s="1"/>
  <c r="V162" i="4"/>
  <c r="Z162" i="4" s="1"/>
  <c r="X162" i="4"/>
  <c r="AK162" i="4" s="1"/>
  <c r="AO162" i="4" s="1"/>
  <c r="X193" i="4"/>
  <c r="AK193" i="4" s="1"/>
  <c r="AO193" i="4" s="1"/>
  <c r="V193" i="4"/>
  <c r="Z193" i="4" s="1"/>
  <c r="X156" i="4"/>
  <c r="AK156" i="4" s="1"/>
  <c r="AO156" i="4" s="1"/>
  <c r="V156" i="4"/>
  <c r="Z156" i="4" s="1"/>
  <c r="X10" i="4"/>
  <c r="AK10" i="4" s="1"/>
  <c r="V10" i="4"/>
  <c r="Z10" i="4" s="1"/>
  <c r="X103" i="4"/>
  <c r="AK103" i="4" s="1"/>
  <c r="AO103" i="4" s="1"/>
  <c r="V103" i="4"/>
  <c r="Z103" i="4" s="1"/>
  <c r="X18" i="4"/>
  <c r="AK18" i="4" s="1"/>
  <c r="AO18" i="4" s="1"/>
  <c r="V18" i="4"/>
  <c r="Z18" i="4" s="1"/>
  <c r="X60" i="4"/>
  <c r="AK60" i="4" s="1"/>
  <c r="AO60" i="4" s="1"/>
  <c r="V60" i="4"/>
  <c r="Z60" i="4" s="1"/>
  <c r="V79" i="4"/>
  <c r="Z79" i="4" s="1"/>
  <c r="X79" i="4"/>
  <c r="AK79" i="4" s="1"/>
  <c r="AO79" i="4" s="1"/>
  <c r="K57" i="5"/>
  <c r="K69" i="5" s="1"/>
  <c r="X15" i="4"/>
  <c r="AK15" i="4" s="1"/>
  <c r="V15" i="4"/>
  <c r="Z15" i="4" s="1"/>
  <c r="X8" i="4"/>
  <c r="AK8" i="4" s="1"/>
  <c r="V8" i="4"/>
  <c r="Z8" i="4" s="1"/>
  <c r="X16" i="4"/>
  <c r="AK16" i="4" s="1"/>
  <c r="AO16" i="4" s="1"/>
  <c r="V16" i="4"/>
  <c r="Z16" i="4" s="1"/>
  <c r="X6" i="4"/>
  <c r="AK6" i="4" s="1"/>
  <c r="V6" i="4"/>
  <c r="Z6" i="4" s="1"/>
  <c r="X31" i="4"/>
  <c r="AK31" i="4" s="1"/>
  <c r="AO31" i="4" s="1"/>
  <c r="V31" i="4"/>
  <c r="Z31" i="4" s="1"/>
  <c r="X51" i="4"/>
  <c r="AK51" i="4" s="1"/>
  <c r="AO51" i="4" s="1"/>
  <c r="V51" i="4"/>
  <c r="Z51" i="4" s="1"/>
  <c r="X54" i="4"/>
  <c r="AK54" i="4" s="1"/>
  <c r="AO54" i="4" s="1"/>
  <c r="V54" i="4"/>
  <c r="Z54" i="4" s="1"/>
  <c r="V43" i="4"/>
  <c r="Z43" i="4" s="1"/>
  <c r="X43" i="4"/>
  <c r="AK43" i="4" s="1"/>
  <c r="X120" i="4"/>
  <c r="AK120" i="4" s="1"/>
  <c r="AO120" i="4" s="1"/>
  <c r="V120" i="4"/>
  <c r="Z120" i="4" s="1"/>
  <c r="X78" i="4"/>
  <c r="AK78" i="4" s="1"/>
  <c r="AO78" i="4" s="1"/>
  <c r="V78" i="4"/>
  <c r="Z78" i="4" s="1"/>
  <c r="X106" i="4"/>
  <c r="AK106" i="4" s="1"/>
  <c r="AO106" i="4" s="1"/>
  <c r="V106" i="4"/>
  <c r="Z106" i="4" s="1"/>
  <c r="X153" i="4"/>
  <c r="AK153" i="4" s="1"/>
  <c r="AO153" i="4" s="1"/>
  <c r="V153" i="4"/>
  <c r="Z153" i="4" s="1"/>
  <c r="V177" i="4"/>
  <c r="Z177" i="4" s="1"/>
  <c r="X177" i="4"/>
  <c r="AK177" i="4" s="1"/>
  <c r="V164" i="4"/>
  <c r="Z164" i="4" s="1"/>
  <c r="X164" i="4"/>
  <c r="AK164" i="4" s="1"/>
  <c r="AO164" i="4" s="1"/>
  <c r="X45" i="4"/>
  <c r="AK45" i="4" s="1"/>
  <c r="AO45" i="4" s="1"/>
  <c r="V45" i="4"/>
  <c r="Z45" i="4" s="1"/>
  <c r="Q7" i="15"/>
  <c r="S7" i="15" s="1"/>
  <c r="X112" i="4"/>
  <c r="AK112" i="4" s="1"/>
  <c r="AO112" i="4" s="1"/>
  <c r="V112" i="4"/>
  <c r="Z112" i="4" s="1"/>
  <c r="V167" i="4"/>
  <c r="Z167" i="4" s="1"/>
  <c r="X167" i="4"/>
  <c r="AK167" i="4" s="1"/>
  <c r="AO167" i="4" s="1"/>
  <c r="V129" i="4"/>
  <c r="Z129" i="4" s="1"/>
  <c r="X129" i="4"/>
  <c r="AK129" i="4" s="1"/>
  <c r="AO129" i="4" s="1"/>
  <c r="X203" i="4"/>
  <c r="AK203" i="4" s="1"/>
  <c r="AO203" i="4" s="1"/>
  <c r="V203" i="4"/>
  <c r="Z203" i="4" s="1"/>
  <c r="X133" i="4"/>
  <c r="AK133" i="4" s="1"/>
  <c r="AO133" i="4" s="1"/>
  <c r="V133" i="4"/>
  <c r="Z133" i="4" s="1"/>
  <c r="V209" i="4"/>
  <c r="Z209" i="4" s="1"/>
  <c r="X209" i="4"/>
  <c r="AK209" i="4" s="1"/>
  <c r="AO209" i="4" s="1"/>
  <c r="X44" i="4"/>
  <c r="AK44" i="4" s="1"/>
  <c r="AO44" i="4" s="1"/>
  <c r="V44" i="4"/>
  <c r="Z44" i="4" s="1"/>
  <c r="X46" i="4"/>
  <c r="AK46" i="4" s="1"/>
  <c r="AO46" i="4" s="1"/>
  <c r="V46" i="4"/>
  <c r="Z46" i="4" s="1"/>
  <c r="X11" i="4"/>
  <c r="AK11" i="4" s="1"/>
  <c r="AO11" i="4" s="1"/>
  <c r="V11" i="4"/>
  <c r="Z11" i="4" s="1"/>
  <c r="X7" i="4"/>
  <c r="AK7" i="4" s="1"/>
  <c r="AO7" i="4" s="1"/>
  <c r="V7" i="4"/>
  <c r="Z7" i="4" s="1"/>
  <c r="X97" i="4"/>
  <c r="AK97" i="4" s="1"/>
  <c r="AO97" i="4" s="1"/>
  <c r="V97" i="4"/>
  <c r="Z97" i="4" s="1"/>
  <c r="X64" i="4"/>
  <c r="AK64" i="4" s="1"/>
  <c r="AO64" i="4" s="1"/>
  <c r="V64" i="4"/>
  <c r="Z64" i="4" s="1"/>
  <c r="X171" i="4"/>
  <c r="AK171" i="4" s="1"/>
  <c r="AO171" i="4" s="1"/>
  <c r="V171" i="4"/>
  <c r="Z171" i="4" s="1"/>
  <c r="X147" i="4"/>
  <c r="AK147" i="4" s="1"/>
  <c r="AO147" i="4" s="1"/>
  <c r="V147" i="4"/>
  <c r="Z147" i="4" s="1"/>
  <c r="X124" i="4"/>
  <c r="AK124" i="4" s="1"/>
  <c r="AO124" i="4" s="1"/>
  <c r="V124" i="4"/>
  <c r="Z124" i="4" s="1"/>
  <c r="X173" i="4"/>
  <c r="AK173" i="4" s="1"/>
  <c r="AO173" i="4" s="1"/>
  <c r="V173" i="4"/>
  <c r="Z173" i="4" s="1"/>
  <c r="X204" i="4"/>
  <c r="AK204" i="4" s="1"/>
  <c r="AO204" i="4" s="1"/>
  <c r="V204" i="4"/>
  <c r="Z204" i="4" s="1"/>
  <c r="X35" i="4"/>
  <c r="AK35" i="4" s="1"/>
  <c r="AO35" i="4" s="1"/>
  <c r="V35" i="4"/>
  <c r="Z35" i="4" s="1"/>
  <c r="X56" i="4"/>
  <c r="AK56" i="4" s="1"/>
  <c r="AO56" i="4" s="1"/>
  <c r="V56" i="4"/>
  <c r="Z56" i="4" s="1"/>
  <c r="X109" i="4"/>
  <c r="AK109" i="4" s="1"/>
  <c r="AO109" i="4" s="1"/>
  <c r="V109" i="4"/>
  <c r="Z109" i="4" s="1"/>
  <c r="V116" i="4"/>
  <c r="Z116" i="4" s="1"/>
  <c r="X116" i="4"/>
  <c r="AK116" i="4" s="1"/>
  <c r="AO116" i="4" s="1"/>
  <c r="X131" i="4"/>
  <c r="AK131" i="4" s="1"/>
  <c r="AO131" i="4" s="1"/>
  <c r="V131" i="4"/>
  <c r="Z131" i="4" s="1"/>
  <c r="X71" i="4"/>
  <c r="AK71" i="4" s="1"/>
  <c r="AO71" i="4" s="1"/>
  <c r="V71" i="4"/>
  <c r="Z71" i="4" s="1"/>
  <c r="V13" i="4"/>
  <c r="Z13" i="4" s="1"/>
  <c r="X13" i="4"/>
  <c r="AK13" i="4" s="1"/>
  <c r="AO13" i="4" s="1"/>
  <c r="X82" i="4"/>
  <c r="AK82" i="4" s="1"/>
  <c r="AO82" i="4" s="1"/>
  <c r="V82" i="4"/>
  <c r="Z82" i="4" s="1"/>
  <c r="V170" i="4"/>
  <c r="Z170" i="4" s="1"/>
  <c r="X170" i="4"/>
  <c r="AK170" i="4" s="1"/>
  <c r="AO170" i="4" s="1"/>
  <c r="V111" i="4"/>
  <c r="Z111" i="4" s="1"/>
  <c r="X111" i="4"/>
  <c r="AK111" i="4" s="1"/>
  <c r="AO111" i="4" s="1"/>
  <c r="X96" i="4"/>
  <c r="AK96" i="4" s="1"/>
  <c r="AO96" i="4" s="1"/>
  <c r="V96" i="4"/>
  <c r="Z96" i="4" s="1"/>
  <c r="X188" i="4"/>
  <c r="AK188" i="4" s="1"/>
  <c r="AO188" i="4" s="1"/>
  <c r="V188" i="4"/>
  <c r="Z188" i="4" s="1"/>
  <c r="V182" i="4"/>
  <c r="Z182" i="4" s="1"/>
  <c r="X182" i="4"/>
  <c r="AK182" i="4" s="1"/>
  <c r="AO182" i="4" s="1"/>
  <c r="X211" i="4"/>
  <c r="AK211" i="4" s="1"/>
  <c r="AO211" i="4" s="1"/>
  <c r="V211" i="4"/>
  <c r="Z211" i="4" s="1"/>
  <c r="X201" i="4"/>
  <c r="AK201" i="4" s="1"/>
  <c r="AO201" i="4" s="1"/>
  <c r="V201" i="4"/>
  <c r="Z201" i="4" s="1"/>
  <c r="X172" i="4"/>
  <c r="AK172" i="4" s="1"/>
  <c r="AO172" i="4" s="1"/>
  <c r="V172" i="4"/>
  <c r="Z172" i="4" s="1"/>
  <c r="X191" i="4"/>
  <c r="AK191" i="4" s="1"/>
  <c r="AO191" i="4" s="1"/>
  <c r="V191" i="4"/>
  <c r="Z191" i="4" s="1"/>
  <c r="X219" i="4"/>
  <c r="AK219" i="4" s="1"/>
  <c r="AO219" i="4" s="1"/>
  <c r="V219" i="4"/>
  <c r="Z219" i="4" s="1"/>
  <c r="X157" i="4"/>
  <c r="AK157" i="4" s="1"/>
  <c r="AO157" i="4" s="1"/>
  <c r="V157" i="4"/>
  <c r="Z157" i="4" s="1"/>
  <c r="X69" i="4"/>
  <c r="AK69" i="4" s="1"/>
  <c r="AO69" i="4" s="1"/>
  <c r="V69" i="4"/>
  <c r="Z69" i="4" s="1"/>
  <c r="X12" i="4"/>
  <c r="AK12" i="4" s="1"/>
  <c r="AO12" i="4" s="1"/>
  <c r="V12" i="4"/>
  <c r="Z12" i="4" s="1"/>
  <c r="X17" i="4"/>
  <c r="AK17" i="4" s="1"/>
  <c r="AO17" i="4" s="1"/>
  <c r="V17" i="4"/>
  <c r="Z17" i="4" s="1"/>
  <c r="X32" i="4"/>
  <c r="AK32" i="4" s="1"/>
  <c r="AO32" i="4" s="1"/>
  <c r="V32" i="4"/>
  <c r="Z32" i="4" s="1"/>
  <c r="X29" i="4"/>
  <c r="AK29" i="4" s="1"/>
  <c r="AO29" i="4" s="1"/>
  <c r="V29" i="4"/>
  <c r="Z29" i="4" s="1"/>
  <c r="V119" i="4"/>
  <c r="Z119" i="4" s="1"/>
  <c r="X119" i="4"/>
  <c r="AK119" i="4" s="1"/>
  <c r="AO119" i="4" s="1"/>
  <c r="X75" i="4"/>
  <c r="AK75" i="4" s="1"/>
  <c r="AO75" i="4" s="1"/>
  <c r="V75" i="4"/>
  <c r="Z75" i="4" s="1"/>
  <c r="X40" i="4"/>
  <c r="AK40" i="4" s="1"/>
  <c r="AO40" i="4" s="1"/>
  <c r="V40" i="4"/>
  <c r="Z40" i="4" s="1"/>
  <c r="X23" i="4"/>
  <c r="AK23" i="4" s="1"/>
  <c r="AO23" i="4" s="1"/>
  <c r="V23" i="4"/>
  <c r="Z23" i="4" s="1"/>
  <c r="X85" i="4"/>
  <c r="AK85" i="4" s="1"/>
  <c r="AO85" i="4" s="1"/>
  <c r="V85" i="4"/>
  <c r="Z85" i="4" s="1"/>
  <c r="X86" i="4"/>
  <c r="AK86" i="4" s="1"/>
  <c r="AO86" i="4" s="1"/>
  <c r="V86" i="4"/>
  <c r="Z86" i="4" s="1"/>
  <c r="X130" i="4"/>
  <c r="AK130" i="4" s="1"/>
  <c r="AO130" i="4" s="1"/>
  <c r="V130" i="4"/>
  <c r="Z130" i="4" s="1"/>
  <c r="V30" i="4"/>
  <c r="Z30" i="4" s="1"/>
  <c r="X30" i="4"/>
  <c r="AK30" i="4" s="1"/>
  <c r="AO30" i="4" s="1"/>
  <c r="Q13" i="15"/>
  <c r="S13" i="15" s="1"/>
  <c r="V50" i="4"/>
  <c r="Z50" i="4" s="1"/>
  <c r="X50" i="4"/>
  <c r="AK50" i="4" s="1"/>
  <c r="AO50" i="4" s="1"/>
  <c r="X132" i="4"/>
  <c r="AK132" i="4" s="1"/>
  <c r="AO132" i="4" s="1"/>
  <c r="V132" i="4"/>
  <c r="Z132" i="4" s="1"/>
  <c r="X155" i="4"/>
  <c r="AK155" i="4" s="1"/>
  <c r="AO155" i="4" s="1"/>
  <c r="V155" i="4"/>
  <c r="Z155" i="4" s="1"/>
  <c r="V148" i="4"/>
  <c r="Z148" i="4" s="1"/>
  <c r="X148" i="4"/>
  <c r="AK148" i="4" s="1"/>
  <c r="AO148" i="4" s="1"/>
  <c r="V118" i="4"/>
  <c r="Z118" i="4" s="1"/>
  <c r="X118" i="4"/>
  <c r="AK118" i="4" s="1"/>
  <c r="AO118" i="4" s="1"/>
  <c r="X163" i="4"/>
  <c r="AK163" i="4" s="1"/>
  <c r="AO163" i="4" s="1"/>
  <c r="V163" i="4"/>
  <c r="Z163" i="4" s="1"/>
  <c r="X140" i="4"/>
  <c r="AK140" i="4" s="1"/>
  <c r="AO140" i="4" s="1"/>
  <c r="V140" i="4"/>
  <c r="Z140" i="4" s="1"/>
  <c r="X212" i="4"/>
  <c r="AK212" i="4" s="1"/>
  <c r="AO212" i="4" s="1"/>
  <c r="V212" i="4"/>
  <c r="Z212" i="4" s="1"/>
  <c r="X189" i="4"/>
  <c r="AK189" i="4" s="1"/>
  <c r="AO189" i="4" s="1"/>
  <c r="V189" i="4"/>
  <c r="Z189" i="4" s="1"/>
  <c r="V181" i="4"/>
  <c r="Z181" i="4" s="1"/>
  <c r="X181" i="4"/>
  <c r="AK181" i="4" s="1"/>
  <c r="AO181" i="4" s="1"/>
  <c r="X27" i="4"/>
  <c r="AK27" i="4" s="1"/>
  <c r="AO27" i="4" s="1"/>
  <c r="V27" i="4"/>
  <c r="Z27" i="4" s="1"/>
  <c r="X49" i="4"/>
  <c r="AK49" i="4" s="1"/>
  <c r="AO49" i="4" s="1"/>
  <c r="V49" i="4"/>
  <c r="Z49" i="4" s="1"/>
  <c r="AN5" i="4"/>
  <c r="C18" i="14"/>
  <c r="Q15" i="15"/>
  <c r="S15" i="15" s="1"/>
  <c r="X26" i="4"/>
  <c r="AK26" i="4" s="1"/>
  <c r="AO26" i="4" s="1"/>
  <c r="V26" i="4"/>
  <c r="Z26" i="4" s="1"/>
  <c r="X66" i="4"/>
  <c r="AK66" i="4" s="1"/>
  <c r="AO66" i="4" s="1"/>
  <c r="V66" i="4"/>
  <c r="Z66" i="4" s="1"/>
  <c r="X81" i="4"/>
  <c r="AK81" i="4" s="1"/>
  <c r="AO81" i="4" s="1"/>
  <c r="V81" i="4"/>
  <c r="Z81" i="4" s="1"/>
  <c r="X135" i="4"/>
  <c r="AK135" i="4" s="1"/>
  <c r="AO135" i="4" s="1"/>
  <c r="V135" i="4"/>
  <c r="Z135" i="4" s="1"/>
  <c r="X142" i="4"/>
  <c r="AK142" i="4" s="1"/>
  <c r="V142" i="4"/>
  <c r="Z142" i="4" s="1"/>
  <c r="X178" i="4"/>
  <c r="AK178" i="4" s="1"/>
  <c r="AO178" i="4" s="1"/>
  <c r="V178" i="4"/>
  <c r="Z178" i="4" s="1"/>
  <c r="V200" i="4"/>
  <c r="Z200" i="4" s="1"/>
  <c r="X200" i="4"/>
  <c r="AK200" i="4" s="1"/>
  <c r="AO200" i="4" s="1"/>
  <c r="V160" i="4"/>
  <c r="Z160" i="4" s="1"/>
  <c r="X160" i="4"/>
  <c r="AK160" i="4" s="1"/>
  <c r="AO160" i="4" s="1"/>
  <c r="V213" i="4"/>
  <c r="Z213" i="4" s="1"/>
  <c r="X213" i="4"/>
  <c r="AK213" i="4" s="1"/>
  <c r="AO213" i="4" s="1"/>
  <c r="Y6" i="17"/>
  <c r="C10" i="14"/>
  <c r="D10" i="14" s="1"/>
  <c r="C9" i="14"/>
  <c r="C20" i="14"/>
  <c r="D20" i="14" s="1"/>
  <c r="B20" i="1"/>
  <c r="D8" i="14"/>
  <c r="D7" i="14"/>
  <c r="D6" i="14"/>
  <c r="X98" i="4"/>
  <c r="AK98" i="4" s="1"/>
  <c r="AO98" i="4" s="1"/>
  <c r="V98" i="4"/>
  <c r="Z98" i="4" s="1"/>
  <c r="X144" i="4"/>
  <c r="AK144" i="4" s="1"/>
  <c r="AO144" i="4" s="1"/>
  <c r="V144" i="4"/>
  <c r="Z144" i="4" s="1"/>
  <c r="X123" i="4"/>
  <c r="AK123" i="4" s="1"/>
  <c r="AO123" i="4" s="1"/>
  <c r="V123" i="4"/>
  <c r="Z123" i="4" s="1"/>
  <c r="X90" i="4"/>
  <c r="AK90" i="4" s="1"/>
  <c r="AO90" i="4" s="1"/>
  <c r="V90" i="4"/>
  <c r="Z90" i="4" s="1"/>
  <c r="X146" i="4"/>
  <c r="AK146" i="4" s="1"/>
  <c r="AO146" i="4" s="1"/>
  <c r="V146" i="4"/>
  <c r="Z146" i="4" s="1"/>
  <c r="X149" i="4"/>
  <c r="AK149" i="4" s="1"/>
  <c r="AO149" i="4" s="1"/>
  <c r="V149" i="4"/>
  <c r="Z149" i="4" s="1"/>
  <c r="X218" i="4"/>
  <c r="AK218" i="4" s="1"/>
  <c r="AO218" i="4" s="1"/>
  <c r="V218" i="4"/>
  <c r="Z218" i="4" s="1"/>
  <c r="AH129" i="4" l="1"/>
  <c r="AI129" i="4"/>
  <c r="AG129" i="4"/>
  <c r="Y129" i="4"/>
  <c r="Y78" i="4"/>
  <c r="AH78" i="4"/>
  <c r="AG78" i="4"/>
  <c r="AI78" i="4"/>
  <c r="AH8" i="4"/>
  <c r="AG8" i="4"/>
  <c r="Y8" i="4"/>
  <c r="AI8" i="4"/>
  <c r="Q28" i="15"/>
  <c r="S28" i="15" s="1"/>
  <c r="AO223" i="4"/>
  <c r="Y95" i="4"/>
  <c r="AI95" i="4"/>
  <c r="AH95" i="4"/>
  <c r="AG95" i="4"/>
  <c r="AG159" i="4"/>
  <c r="Y159" i="4"/>
  <c r="AH159" i="4"/>
  <c r="AI159" i="4"/>
  <c r="AG169" i="4"/>
  <c r="AH169" i="4"/>
  <c r="Y169" i="4"/>
  <c r="AI169" i="4"/>
  <c r="AH72" i="4"/>
  <c r="AG72" i="4"/>
  <c r="Y72" i="4"/>
  <c r="AI72" i="4"/>
  <c r="D76" i="15"/>
  <c r="AG21" i="4"/>
  <c r="Y21" i="4"/>
  <c r="AA20" i="4"/>
  <c r="AI21" i="4"/>
  <c r="AH21" i="4"/>
  <c r="D78" i="15"/>
  <c r="Y58" i="4"/>
  <c r="AG58" i="4"/>
  <c r="AA57" i="4"/>
  <c r="AI58" i="4"/>
  <c r="AH58" i="4"/>
  <c r="AH128" i="4"/>
  <c r="AG128" i="4"/>
  <c r="Y128" i="4"/>
  <c r="AI128" i="4"/>
  <c r="AH28" i="4"/>
  <c r="AG28" i="4"/>
  <c r="Y28" i="4"/>
  <c r="AI28" i="4"/>
  <c r="Y35" i="4"/>
  <c r="AH35" i="4"/>
  <c r="AG35" i="4"/>
  <c r="AI35" i="4"/>
  <c r="Q6" i="15"/>
  <c r="S6" i="15" s="1"/>
  <c r="AO8" i="4"/>
  <c r="D97" i="15"/>
  <c r="AH193" i="4"/>
  <c r="Y193" i="4"/>
  <c r="AA192" i="4"/>
  <c r="AG193" i="4"/>
  <c r="AI193" i="4"/>
  <c r="AI223" i="4"/>
  <c r="AH223" i="4"/>
  <c r="AG223" i="4"/>
  <c r="Y223" i="4"/>
  <c r="Q12" i="15"/>
  <c r="S12" i="15" s="1"/>
  <c r="AO21" i="4"/>
  <c r="AH194" i="4"/>
  <c r="Y194" i="4"/>
  <c r="AI194" i="4"/>
  <c r="AG194" i="4"/>
  <c r="D95" i="15"/>
  <c r="AA184" i="4"/>
  <c r="AG185" i="4"/>
  <c r="AH185" i="4"/>
  <c r="Y185" i="4"/>
  <c r="AI185" i="4"/>
  <c r="AG167" i="4"/>
  <c r="Y167" i="4"/>
  <c r="AI167" i="4"/>
  <c r="AH167" i="4"/>
  <c r="AH120" i="4"/>
  <c r="AG120" i="4"/>
  <c r="Y120" i="4"/>
  <c r="AI120" i="4"/>
  <c r="D75" i="15"/>
  <c r="AA14" i="4"/>
  <c r="AI15" i="4"/>
  <c r="AH15" i="4"/>
  <c r="AG15" i="4"/>
  <c r="Y15" i="4"/>
  <c r="AH166" i="4"/>
  <c r="Y166" i="4"/>
  <c r="AG166" i="4"/>
  <c r="AI166" i="4"/>
  <c r="Y73" i="4"/>
  <c r="AI73" i="4"/>
  <c r="AH73" i="4"/>
  <c r="AG73" i="4"/>
  <c r="Y101" i="4"/>
  <c r="AI101" i="4"/>
  <c r="AH101" i="4"/>
  <c r="AG101" i="4"/>
  <c r="Q26" i="15"/>
  <c r="S26" i="15" s="1"/>
  <c r="AO217" i="4"/>
  <c r="AH91" i="4"/>
  <c r="AG91" i="4"/>
  <c r="Y91" i="4"/>
  <c r="AI91" i="4"/>
  <c r="Y70" i="4"/>
  <c r="AI70" i="4"/>
  <c r="AH70" i="4"/>
  <c r="AG70" i="4"/>
  <c r="Y117" i="4"/>
  <c r="AI117" i="4"/>
  <c r="AH117" i="4"/>
  <c r="AG117" i="4"/>
  <c r="D82" i="15"/>
  <c r="AH84" i="4"/>
  <c r="AG84" i="4"/>
  <c r="Y84" i="4"/>
  <c r="AA83" i="4"/>
  <c r="AI84" i="4"/>
  <c r="AG214" i="4"/>
  <c r="AI214" i="4"/>
  <c r="AH214" i="4"/>
  <c r="Y214" i="4"/>
  <c r="AH50" i="4"/>
  <c r="AG50" i="4"/>
  <c r="Y50" i="4"/>
  <c r="AI50" i="4"/>
  <c r="Y82" i="4"/>
  <c r="AI82" i="4"/>
  <c r="AH82" i="4"/>
  <c r="AG82" i="4"/>
  <c r="AH11" i="4"/>
  <c r="AG11" i="4"/>
  <c r="Y11" i="4"/>
  <c r="AI11" i="4"/>
  <c r="AI112" i="4"/>
  <c r="AH112" i="4"/>
  <c r="AG112" i="4"/>
  <c r="Y112" i="4"/>
  <c r="Q10" i="15"/>
  <c r="S10" i="15" s="1"/>
  <c r="AO15" i="4"/>
  <c r="Y217" i="4"/>
  <c r="AH217" i="4"/>
  <c r="AG217" i="4"/>
  <c r="AI217" i="4"/>
  <c r="AG220" i="4"/>
  <c r="Y220" i="4"/>
  <c r="AH220" i="4"/>
  <c r="AI220" i="4"/>
  <c r="Q16" i="15"/>
  <c r="S16" i="15" s="1"/>
  <c r="AO70" i="4"/>
  <c r="AH25" i="4"/>
  <c r="AG25" i="4"/>
  <c r="Y25" i="4"/>
  <c r="AI25" i="4"/>
  <c r="AH111" i="4"/>
  <c r="Y111" i="4"/>
  <c r="AG111" i="4"/>
  <c r="AI111" i="4"/>
  <c r="D96" i="15"/>
  <c r="AH191" i="4"/>
  <c r="AG191" i="4"/>
  <c r="AI191" i="4"/>
  <c r="F96" i="15" s="1"/>
  <c r="Y191" i="4"/>
  <c r="AA190" i="4"/>
  <c r="Z6" i="17"/>
  <c r="Y16" i="17"/>
  <c r="AA16" i="17" s="1"/>
  <c r="AA6" i="17"/>
  <c r="Q14" i="15"/>
  <c r="S14" i="15" s="1"/>
  <c r="AO43" i="4"/>
  <c r="AG162" i="4"/>
  <c r="Y162" i="4"/>
  <c r="AH162" i="4"/>
  <c r="AI162" i="4"/>
  <c r="Y179" i="4"/>
  <c r="AG179" i="4"/>
  <c r="AH179" i="4"/>
  <c r="AI179" i="4"/>
  <c r="AH77" i="4"/>
  <c r="AG77" i="4"/>
  <c r="Y77" i="4"/>
  <c r="AI77" i="4"/>
  <c r="AH139" i="4"/>
  <c r="Y139" i="4"/>
  <c r="AG139" i="4"/>
  <c r="AI139" i="4"/>
  <c r="AH158" i="4"/>
  <c r="Y158" i="4"/>
  <c r="AI158" i="4"/>
  <c r="AG158" i="4"/>
  <c r="AH39" i="4"/>
  <c r="AG39" i="4"/>
  <c r="Y39" i="4"/>
  <c r="AI39" i="4"/>
  <c r="D88" i="15"/>
  <c r="Y122" i="4"/>
  <c r="AA121" i="4"/>
  <c r="AI122" i="4"/>
  <c r="AH122" i="4"/>
  <c r="AG122" i="4"/>
  <c r="Y24" i="4"/>
  <c r="AI24" i="4"/>
  <c r="AH24" i="4"/>
  <c r="AG24" i="4"/>
  <c r="Y19" i="4"/>
  <c r="AI19" i="4"/>
  <c r="AH19" i="4"/>
  <c r="AG19" i="4"/>
  <c r="AG224" i="4"/>
  <c r="AH224" i="4"/>
  <c r="Y224" i="4"/>
  <c r="AI224" i="4"/>
  <c r="AH102" i="4"/>
  <c r="AG102" i="4"/>
  <c r="Y102" i="4"/>
  <c r="AI102" i="4"/>
  <c r="Q20" i="15"/>
  <c r="S20" i="15" s="1"/>
  <c r="AO122" i="4"/>
  <c r="AG110" i="4"/>
  <c r="Y110" i="4"/>
  <c r="AI110" i="4"/>
  <c r="AH110" i="4"/>
  <c r="AH170" i="4"/>
  <c r="Y170" i="4"/>
  <c r="AG170" i="4"/>
  <c r="AI170" i="4"/>
  <c r="AH90" i="4"/>
  <c r="AG90" i="4"/>
  <c r="Y90" i="4"/>
  <c r="AI90" i="4"/>
  <c r="AH201" i="4"/>
  <c r="Y201" i="4"/>
  <c r="AG201" i="4"/>
  <c r="AI201" i="4"/>
  <c r="AH13" i="4"/>
  <c r="AG13" i="4"/>
  <c r="Y13" i="4"/>
  <c r="AI13" i="4"/>
  <c r="AH45" i="4"/>
  <c r="AG45" i="4"/>
  <c r="Y45" i="4"/>
  <c r="AI45" i="4"/>
  <c r="Y54" i="4"/>
  <c r="AI54" i="4"/>
  <c r="AH54" i="4"/>
  <c r="AG54" i="4"/>
  <c r="AG79" i="4"/>
  <c r="AI79" i="4"/>
  <c r="AH79" i="4"/>
  <c r="Y79" i="4"/>
  <c r="AH152" i="4"/>
  <c r="Y152" i="4"/>
  <c r="AG152" i="4"/>
  <c r="AI152" i="4"/>
  <c r="AH165" i="4"/>
  <c r="AG165" i="4"/>
  <c r="Y165" i="4"/>
  <c r="AI165" i="4"/>
  <c r="AH99" i="4"/>
  <c r="AG99" i="4"/>
  <c r="Y99" i="4"/>
  <c r="AI99" i="4"/>
  <c r="AH34" i="4"/>
  <c r="AG34" i="4"/>
  <c r="Y34" i="4"/>
  <c r="AI34" i="4"/>
  <c r="D90" i="15"/>
  <c r="AH137" i="4"/>
  <c r="AG137" i="4"/>
  <c r="Y137" i="4"/>
  <c r="AA136" i="4"/>
  <c r="AI137" i="4"/>
  <c r="AH53" i="4"/>
  <c r="AG53" i="4"/>
  <c r="Y53" i="4"/>
  <c r="AI53" i="4"/>
  <c r="AH33" i="4"/>
  <c r="AG33" i="4"/>
  <c r="Y33" i="4"/>
  <c r="AI33" i="4"/>
  <c r="Y9" i="4"/>
  <c r="AH9" i="4"/>
  <c r="AG9" i="4"/>
  <c r="AI9" i="4"/>
  <c r="AH17" i="4"/>
  <c r="AG17" i="4"/>
  <c r="Y17" i="4"/>
  <c r="AI17" i="4"/>
  <c r="AG60" i="4"/>
  <c r="Y60" i="4"/>
  <c r="AI60" i="4"/>
  <c r="AH60" i="4"/>
  <c r="AG222" i="4"/>
  <c r="Y222" i="4"/>
  <c r="AI222" i="4"/>
  <c r="AH222" i="4"/>
  <c r="AH62" i="4"/>
  <c r="AG62" i="4"/>
  <c r="Y62" i="4"/>
  <c r="AI62" i="4"/>
  <c r="AH47" i="4"/>
  <c r="AG47" i="4"/>
  <c r="Y47" i="4"/>
  <c r="AI47" i="4"/>
  <c r="AI168" i="4"/>
  <c r="AG168" i="4"/>
  <c r="Y168" i="4"/>
  <c r="AH168" i="4"/>
  <c r="Y149" i="4"/>
  <c r="AI149" i="4"/>
  <c r="AH149" i="4"/>
  <c r="AG149" i="4"/>
  <c r="D79" i="15"/>
  <c r="AH66" i="4"/>
  <c r="AG66" i="4"/>
  <c r="Y66" i="4"/>
  <c r="AI66" i="4"/>
  <c r="F79" i="15" s="1"/>
  <c r="AA65" i="4"/>
  <c r="Y30" i="4"/>
  <c r="AI30" i="4"/>
  <c r="AH30" i="4"/>
  <c r="AG30" i="4"/>
  <c r="Y46" i="4"/>
  <c r="AI46" i="4"/>
  <c r="AH46" i="4"/>
  <c r="AG46" i="4"/>
  <c r="AH86" i="4"/>
  <c r="AG86" i="4"/>
  <c r="Y86" i="4"/>
  <c r="AI86" i="4"/>
  <c r="Y44" i="4"/>
  <c r="AI44" i="4"/>
  <c r="AH44" i="4"/>
  <c r="AG44" i="4"/>
  <c r="AH51" i="4"/>
  <c r="AG51" i="4"/>
  <c r="Y51" i="4"/>
  <c r="AI51" i="4"/>
  <c r="AH138" i="4"/>
  <c r="AG138" i="4"/>
  <c r="Y138" i="4"/>
  <c r="AI138" i="4"/>
  <c r="AH94" i="4"/>
  <c r="AG94" i="4"/>
  <c r="Y94" i="4"/>
  <c r="AI94" i="4"/>
  <c r="Y143" i="4"/>
  <c r="AI143" i="4"/>
  <c r="AH143" i="4"/>
  <c r="AG143" i="4"/>
  <c r="D83" i="15"/>
  <c r="AA87" i="4"/>
  <c r="AH88" i="4"/>
  <c r="AG88" i="4"/>
  <c r="Y88" i="4"/>
  <c r="AI88" i="4"/>
  <c r="F83" i="15" s="1"/>
  <c r="H83" i="15" s="1"/>
  <c r="D101" i="15"/>
  <c r="AH206" i="4"/>
  <c r="AG206" i="4"/>
  <c r="Y206" i="4"/>
  <c r="AI206" i="4"/>
  <c r="F101" i="15" s="1"/>
  <c r="H101" i="15" s="1"/>
  <c r="D103" i="15"/>
  <c r="AH211" i="4"/>
  <c r="AG211" i="4"/>
  <c r="Y211" i="4"/>
  <c r="AA210" i="4"/>
  <c r="AI211" i="4"/>
  <c r="AH124" i="4"/>
  <c r="AG124" i="4"/>
  <c r="Y124" i="4"/>
  <c r="AI124" i="4"/>
  <c r="AH160" i="4"/>
  <c r="AI160" i="4"/>
  <c r="AG160" i="4"/>
  <c r="Y160" i="4"/>
  <c r="AG118" i="4"/>
  <c r="AI118" i="4"/>
  <c r="AH118" i="4"/>
  <c r="Y118" i="4"/>
  <c r="AH85" i="4"/>
  <c r="AG85" i="4"/>
  <c r="AI85" i="4"/>
  <c r="Y85" i="4"/>
  <c r="Y12" i="4"/>
  <c r="AI12" i="4"/>
  <c r="AH12" i="4"/>
  <c r="AG12" i="4"/>
  <c r="AH131" i="4"/>
  <c r="AG131" i="4"/>
  <c r="Y131" i="4"/>
  <c r="AI131" i="4"/>
  <c r="AG147" i="4"/>
  <c r="Y147" i="4"/>
  <c r="AH147" i="4"/>
  <c r="AI147" i="4"/>
  <c r="AH164" i="4"/>
  <c r="Y164" i="4"/>
  <c r="AG164" i="4"/>
  <c r="AI164" i="4"/>
  <c r="Y18" i="4"/>
  <c r="AH18" i="4"/>
  <c r="AG18" i="4"/>
  <c r="AI18" i="4"/>
  <c r="Y154" i="4"/>
  <c r="AH154" i="4"/>
  <c r="AG154" i="4"/>
  <c r="AI154" i="4"/>
  <c r="Y22" i="4"/>
  <c r="AH22" i="4"/>
  <c r="AG22" i="4"/>
  <c r="AI22" i="4"/>
  <c r="Q18" i="15"/>
  <c r="S18" i="15" s="1"/>
  <c r="AO94" i="4"/>
  <c r="D98" i="15"/>
  <c r="AG196" i="4"/>
  <c r="AA195" i="4"/>
  <c r="Y196" i="4"/>
  <c r="AH196" i="4"/>
  <c r="AI196" i="4"/>
  <c r="F98" i="15" s="1"/>
  <c r="H98" i="15" s="1"/>
  <c r="AH80" i="4"/>
  <c r="AG80" i="4"/>
  <c r="Y80" i="4"/>
  <c r="AI80" i="4"/>
  <c r="AH221" i="4"/>
  <c r="AG221" i="4"/>
  <c r="Y221" i="4"/>
  <c r="AI221" i="4"/>
  <c r="Y183" i="4"/>
  <c r="AH183" i="4"/>
  <c r="AI183" i="4"/>
  <c r="AG183" i="4"/>
  <c r="AG38" i="4"/>
  <c r="Y38" i="4"/>
  <c r="AI38" i="4"/>
  <c r="AH38" i="4"/>
  <c r="AH119" i="4"/>
  <c r="AG119" i="4"/>
  <c r="Y119" i="4"/>
  <c r="AI119" i="4"/>
  <c r="AH26" i="4"/>
  <c r="AG26" i="4"/>
  <c r="Y26" i="4"/>
  <c r="AI26" i="4"/>
  <c r="Y163" i="4"/>
  <c r="AG163" i="4"/>
  <c r="AI163" i="4"/>
  <c r="AH163" i="4"/>
  <c r="AH123" i="4"/>
  <c r="AG123" i="4"/>
  <c r="Y123" i="4"/>
  <c r="AI123" i="4"/>
  <c r="AH71" i="4"/>
  <c r="AG71" i="4"/>
  <c r="Y71" i="4"/>
  <c r="AI71" i="4"/>
  <c r="Y49" i="4"/>
  <c r="AH49" i="4"/>
  <c r="AG49" i="4"/>
  <c r="AI49" i="4"/>
  <c r="AH182" i="4"/>
  <c r="AG182" i="4"/>
  <c r="Y182" i="4"/>
  <c r="AI182" i="4"/>
  <c r="AG209" i="4"/>
  <c r="AH209" i="4"/>
  <c r="Y209" i="4"/>
  <c r="AI209" i="4"/>
  <c r="Q24" i="15"/>
  <c r="S24" i="15" s="1"/>
  <c r="AO177" i="4"/>
  <c r="AH31" i="4"/>
  <c r="AG31" i="4"/>
  <c r="Y31" i="4"/>
  <c r="AI31" i="4"/>
  <c r="Y107" i="4"/>
  <c r="AI107" i="4"/>
  <c r="AH107" i="4"/>
  <c r="AG107" i="4"/>
  <c r="AG37" i="4"/>
  <c r="Y37" i="4"/>
  <c r="AI37" i="4"/>
  <c r="AH37" i="4"/>
  <c r="AH76" i="4"/>
  <c r="AG76" i="4"/>
  <c r="Y76" i="4"/>
  <c r="AI76" i="4"/>
  <c r="Y127" i="4"/>
  <c r="AI127" i="4"/>
  <c r="AH127" i="4"/>
  <c r="AG127" i="4"/>
  <c r="Y199" i="4"/>
  <c r="AH199" i="4"/>
  <c r="AG199" i="4"/>
  <c r="AI199" i="4"/>
  <c r="AH41" i="4"/>
  <c r="AG41" i="4"/>
  <c r="Y41" i="4"/>
  <c r="AI41" i="4"/>
  <c r="AH125" i="4"/>
  <c r="AG125" i="4"/>
  <c r="Y125" i="4"/>
  <c r="AI125" i="4"/>
  <c r="AH227" i="4"/>
  <c r="AG227" i="4"/>
  <c r="Y227" i="4"/>
  <c r="AI227" i="4"/>
  <c r="AG115" i="4"/>
  <c r="AH115" i="4"/>
  <c r="Y115" i="4"/>
  <c r="AI115" i="4"/>
  <c r="AH126" i="4"/>
  <c r="AG126" i="4"/>
  <c r="Y126" i="4"/>
  <c r="AI126" i="4"/>
  <c r="Y189" i="4"/>
  <c r="AH189" i="4"/>
  <c r="AG189" i="4"/>
  <c r="AI189" i="4"/>
  <c r="AG212" i="4"/>
  <c r="Y212" i="4"/>
  <c r="AI212" i="4"/>
  <c r="AH212" i="4"/>
  <c r="AI204" i="4"/>
  <c r="AH204" i="4"/>
  <c r="Y204" i="4"/>
  <c r="AG204" i="4"/>
  <c r="AG140" i="4"/>
  <c r="Y140" i="4"/>
  <c r="AI140" i="4"/>
  <c r="AH140" i="4"/>
  <c r="Y32" i="4"/>
  <c r="AI32" i="4"/>
  <c r="AH32" i="4"/>
  <c r="AG32" i="4"/>
  <c r="AH173" i="4"/>
  <c r="AG173" i="4"/>
  <c r="Y173" i="4"/>
  <c r="AI173" i="4"/>
  <c r="AH213" i="4"/>
  <c r="AG213" i="4"/>
  <c r="Y213" i="4"/>
  <c r="AI213" i="4"/>
  <c r="AH144" i="4"/>
  <c r="Y144" i="4"/>
  <c r="AG144" i="4"/>
  <c r="AI144" i="4"/>
  <c r="Y98" i="4"/>
  <c r="AH98" i="4"/>
  <c r="AG98" i="4"/>
  <c r="AI98" i="4"/>
  <c r="Y148" i="4"/>
  <c r="AH148" i="4"/>
  <c r="AG148" i="4"/>
  <c r="AI148" i="4"/>
  <c r="AH23" i="4"/>
  <c r="AG23" i="4"/>
  <c r="Y23" i="4"/>
  <c r="AI23" i="4"/>
  <c r="AH69" i="4"/>
  <c r="AG69" i="4"/>
  <c r="Y69" i="4"/>
  <c r="AI69" i="4"/>
  <c r="AH188" i="4"/>
  <c r="AI188" i="4"/>
  <c r="AG188" i="4"/>
  <c r="Y188" i="4"/>
  <c r="Y171" i="4"/>
  <c r="AH171" i="4"/>
  <c r="AI171" i="4"/>
  <c r="AG171" i="4"/>
  <c r="AH133" i="4"/>
  <c r="AG133" i="4"/>
  <c r="Y133" i="4"/>
  <c r="AI133" i="4"/>
  <c r="D93" i="15"/>
  <c r="AA176" i="4"/>
  <c r="AH177" i="4"/>
  <c r="AG177" i="4"/>
  <c r="AI177" i="4"/>
  <c r="Y177" i="4"/>
  <c r="Y103" i="4"/>
  <c r="AI103" i="4"/>
  <c r="AH103" i="4"/>
  <c r="AG103" i="4"/>
  <c r="AG161" i="4"/>
  <c r="Y161" i="4"/>
  <c r="AH161" i="4"/>
  <c r="AI161" i="4"/>
  <c r="D102" i="15"/>
  <c r="AA207" i="4"/>
  <c r="AH208" i="4"/>
  <c r="AG208" i="4"/>
  <c r="Y208" i="4"/>
  <c r="AI208" i="4"/>
  <c r="AG200" i="4"/>
  <c r="Y200" i="4"/>
  <c r="AH200" i="4"/>
  <c r="AI200" i="4"/>
  <c r="AH178" i="4"/>
  <c r="Y178" i="4"/>
  <c r="AG178" i="4"/>
  <c r="AI178" i="4"/>
  <c r="Y27" i="4"/>
  <c r="AH27" i="4"/>
  <c r="AG27" i="4"/>
  <c r="AI27" i="4"/>
  <c r="Y155" i="4"/>
  <c r="AH155" i="4"/>
  <c r="AG155" i="4"/>
  <c r="AI155" i="4"/>
  <c r="AH116" i="4"/>
  <c r="AG116" i="4"/>
  <c r="Y116" i="4"/>
  <c r="AI116" i="4"/>
  <c r="AH153" i="4"/>
  <c r="Y153" i="4"/>
  <c r="AI153" i="4"/>
  <c r="AG153" i="4"/>
  <c r="Y6" i="4"/>
  <c r="AI6" i="4"/>
  <c r="AH6" i="4"/>
  <c r="AG6" i="4"/>
  <c r="AH100" i="4"/>
  <c r="AG100" i="4"/>
  <c r="Y100" i="4"/>
  <c r="AI100" i="4"/>
  <c r="AH150" i="4"/>
  <c r="AG150" i="4"/>
  <c r="Y150" i="4"/>
  <c r="AI150" i="4"/>
  <c r="D74" i="15"/>
  <c r="AA4" i="4"/>
  <c r="AH5" i="4"/>
  <c r="AG5" i="4"/>
  <c r="Y5" i="4"/>
  <c r="AI5" i="4"/>
  <c r="Y174" i="4"/>
  <c r="AH174" i="4"/>
  <c r="AG174" i="4"/>
  <c r="AI174" i="4"/>
  <c r="AH55" i="4"/>
  <c r="AG55" i="4"/>
  <c r="Y55" i="4"/>
  <c r="AI55" i="4"/>
  <c r="AH36" i="4"/>
  <c r="AG36" i="4"/>
  <c r="Y36" i="4"/>
  <c r="AI36" i="4"/>
  <c r="D105" i="15"/>
  <c r="AH226" i="4"/>
  <c r="AG226" i="4"/>
  <c r="AA225" i="4"/>
  <c r="AI226" i="4"/>
  <c r="F105" i="15" s="1"/>
  <c r="H105" i="15" s="1"/>
  <c r="Y226" i="4"/>
  <c r="AH186" i="4"/>
  <c r="AG186" i="4"/>
  <c r="Y186" i="4"/>
  <c r="AI186" i="4"/>
  <c r="AH145" i="4"/>
  <c r="Y145" i="4"/>
  <c r="AI145" i="4"/>
  <c r="AG145" i="4"/>
  <c r="Y89" i="4"/>
  <c r="AI89" i="4"/>
  <c r="AH89" i="4"/>
  <c r="AG89" i="4"/>
  <c r="Y146" i="4"/>
  <c r="AI146" i="4"/>
  <c r="AH146" i="4"/>
  <c r="AG146" i="4"/>
  <c r="AG29" i="4"/>
  <c r="Y29" i="4"/>
  <c r="AI29" i="4"/>
  <c r="AH29" i="4"/>
  <c r="Y40" i="4"/>
  <c r="AI40" i="4"/>
  <c r="AH40" i="4"/>
  <c r="AG40" i="4"/>
  <c r="AH96" i="4"/>
  <c r="AG96" i="4"/>
  <c r="Y96" i="4"/>
  <c r="AI96" i="4"/>
  <c r="AH64" i="4"/>
  <c r="AG64" i="4"/>
  <c r="Y64" i="4"/>
  <c r="AI64" i="4"/>
  <c r="D100" i="15"/>
  <c r="AH203" i="4"/>
  <c r="AG203" i="4"/>
  <c r="Y203" i="4"/>
  <c r="AI203" i="4"/>
  <c r="F100" i="15" s="1"/>
  <c r="Q4" i="15"/>
  <c r="S4" i="15" s="1"/>
  <c r="AO6" i="4"/>
  <c r="Q34" i="15"/>
  <c r="AO5" i="4"/>
  <c r="AG61" i="4"/>
  <c r="AH61" i="4"/>
  <c r="Y61" i="4"/>
  <c r="AI61" i="4"/>
  <c r="Q30" i="15"/>
  <c r="S30" i="15" s="1"/>
  <c r="AO226" i="4"/>
  <c r="Q22" i="15"/>
  <c r="S22" i="15" s="1"/>
  <c r="AO142" i="4"/>
  <c r="AH132" i="4"/>
  <c r="Y132" i="4"/>
  <c r="AG132" i="4"/>
  <c r="AI132" i="4"/>
  <c r="AH106" i="4"/>
  <c r="AG106" i="4"/>
  <c r="Y106" i="4"/>
  <c r="AI106" i="4"/>
  <c r="AH16" i="4"/>
  <c r="AG16" i="4"/>
  <c r="Y16" i="4"/>
  <c r="AI16" i="4"/>
  <c r="Q8" i="15"/>
  <c r="S8" i="15" s="1"/>
  <c r="AO10" i="4"/>
  <c r="AH48" i="4"/>
  <c r="AG48" i="4"/>
  <c r="Y48" i="4"/>
  <c r="AI48" i="4"/>
  <c r="AH59" i="4"/>
  <c r="AG59" i="4"/>
  <c r="Y59" i="4"/>
  <c r="AI59" i="4"/>
  <c r="D85" i="15"/>
  <c r="AA104" i="4"/>
  <c r="AH105" i="4"/>
  <c r="AG105" i="4"/>
  <c r="Y105" i="4"/>
  <c r="AI105" i="4"/>
  <c r="D99" i="15"/>
  <c r="AA197" i="4"/>
  <c r="AH198" i="4"/>
  <c r="AG198" i="4"/>
  <c r="Y198" i="4"/>
  <c r="AI198" i="4"/>
  <c r="F99" i="15" s="1"/>
  <c r="Y63" i="4"/>
  <c r="AI63" i="4"/>
  <c r="AH63" i="4"/>
  <c r="AG63" i="4"/>
  <c r="AH52" i="4"/>
  <c r="AG52" i="4"/>
  <c r="Y52" i="4"/>
  <c r="AI52" i="4"/>
  <c r="D87" i="15"/>
  <c r="Y114" i="4"/>
  <c r="AI114" i="4"/>
  <c r="F87" i="15" s="1"/>
  <c r="AH114" i="4"/>
  <c r="AG114" i="4"/>
  <c r="AA113" i="4"/>
  <c r="D104" i="15"/>
  <c r="AG216" i="4"/>
  <c r="Y216" i="4"/>
  <c r="AA215" i="4"/>
  <c r="AH216" i="4"/>
  <c r="AI216" i="4"/>
  <c r="F104" i="15" s="1"/>
  <c r="H104" i="15" s="1"/>
  <c r="AH187" i="4"/>
  <c r="Y187" i="4"/>
  <c r="AG187" i="4"/>
  <c r="AI187" i="4"/>
  <c r="AH151" i="4"/>
  <c r="AG151" i="4"/>
  <c r="Y151" i="4"/>
  <c r="AI151" i="4"/>
  <c r="D84" i="15"/>
  <c r="AH93" i="4"/>
  <c r="AG93" i="4"/>
  <c r="Y93" i="4"/>
  <c r="AA92" i="4"/>
  <c r="AI93" i="4"/>
  <c r="AH81" i="4"/>
  <c r="AG81" i="4"/>
  <c r="Y81" i="4"/>
  <c r="AI81" i="4"/>
  <c r="AH7" i="4"/>
  <c r="AG7" i="4"/>
  <c r="Y7" i="4"/>
  <c r="AI7" i="4"/>
  <c r="AH172" i="4"/>
  <c r="AG172" i="4"/>
  <c r="Y172" i="4"/>
  <c r="AI172" i="4"/>
  <c r="AH130" i="4"/>
  <c r="AG130" i="4"/>
  <c r="Y130" i="4"/>
  <c r="AI130" i="4"/>
  <c r="D77" i="15"/>
  <c r="AH43" i="4"/>
  <c r="AG43" i="4"/>
  <c r="Y43" i="4"/>
  <c r="AA42" i="4"/>
  <c r="AI43" i="4"/>
  <c r="D91" i="15"/>
  <c r="AH142" i="4"/>
  <c r="AG142" i="4"/>
  <c r="AA141" i="4"/>
  <c r="AI142" i="4"/>
  <c r="F91" i="15" s="1"/>
  <c r="Y142" i="4"/>
  <c r="AH157" i="4"/>
  <c r="AG157" i="4"/>
  <c r="Y157" i="4"/>
  <c r="AI157" i="4"/>
  <c r="D86" i="15"/>
  <c r="AG109" i="4"/>
  <c r="AA108" i="4"/>
  <c r="AH109" i="4"/>
  <c r="Y109" i="4"/>
  <c r="AI109" i="4"/>
  <c r="F86" i="15" s="1"/>
  <c r="AH10" i="4"/>
  <c r="AG10" i="4"/>
  <c r="Y10" i="4"/>
  <c r="AI10" i="4"/>
  <c r="Y218" i="4"/>
  <c r="AH218" i="4"/>
  <c r="AG218" i="4"/>
  <c r="AI218" i="4"/>
  <c r="D89" i="15"/>
  <c r="AG135" i="4"/>
  <c r="AH135" i="4"/>
  <c r="Y135" i="4"/>
  <c r="AI135" i="4"/>
  <c r="F89" i="15" s="1"/>
  <c r="H89" i="15" s="1"/>
  <c r="D94" i="15"/>
  <c r="AG181" i="4"/>
  <c r="AI181" i="4"/>
  <c r="F94" i="15" s="1"/>
  <c r="AA180" i="4"/>
  <c r="Y181" i="4"/>
  <c r="AH181" i="4"/>
  <c r="D81" i="15"/>
  <c r="AA74" i="4"/>
  <c r="AH75" i="4"/>
  <c r="AG75" i="4"/>
  <c r="Y75" i="4"/>
  <c r="AI75" i="4"/>
  <c r="AI219" i="4"/>
  <c r="AG219" i="4"/>
  <c r="Y219" i="4"/>
  <c r="AH219" i="4"/>
  <c r="AH56" i="4"/>
  <c r="AG56" i="4"/>
  <c r="Y56" i="4"/>
  <c r="AI56" i="4"/>
  <c r="AH97" i="4"/>
  <c r="AG97" i="4"/>
  <c r="Y97" i="4"/>
  <c r="AI97" i="4"/>
  <c r="AG156" i="4"/>
  <c r="AH156" i="4"/>
  <c r="Y156" i="4"/>
  <c r="AI156" i="4"/>
  <c r="D80" i="15"/>
  <c r="AA67" i="4"/>
  <c r="AH68" i="4"/>
  <c r="AG68" i="4"/>
  <c r="Y68" i="4"/>
  <c r="AI68" i="4"/>
  <c r="F80" i="15" l="1"/>
  <c r="H80" i="15" s="1"/>
  <c r="F75" i="15"/>
  <c r="H75" i="15" s="1"/>
  <c r="H87" i="15"/>
  <c r="F74" i="15"/>
  <c r="F85" i="15"/>
  <c r="H85" i="15" s="1"/>
  <c r="F95" i="15"/>
  <c r="H95" i="15" s="1"/>
  <c r="F97" i="15"/>
  <c r="H97" i="15" s="1"/>
  <c r="H86" i="15"/>
  <c r="F77" i="15"/>
  <c r="H77" i="15" s="1"/>
  <c r="H94" i="15"/>
  <c r="AA228" i="4"/>
  <c r="F82" i="15"/>
  <c r="H82" i="15" s="1"/>
  <c r="D106" i="15"/>
  <c r="F88" i="15"/>
  <c r="H88" i="15" s="1"/>
  <c r="F78" i="15"/>
  <c r="H78" i="15" s="1"/>
  <c r="H96" i="15"/>
  <c r="F84" i="15"/>
  <c r="H84" i="15" s="1"/>
  <c r="F93" i="15"/>
  <c r="H93" i="15" s="1"/>
  <c r="F81" i="15"/>
  <c r="H81" i="15" s="1"/>
  <c r="F102" i="15"/>
  <c r="H102" i="15" s="1"/>
  <c r="H99" i="15"/>
  <c r="F90" i="15"/>
  <c r="H90" i="15" s="1"/>
  <c r="H100" i="15"/>
  <c r="F103" i="15"/>
  <c r="H103" i="15" s="1"/>
  <c r="F76" i="15"/>
  <c r="H76" i="15" s="1"/>
  <c r="H91" i="15"/>
  <c r="H79" i="15"/>
  <c r="H74" i="15" l="1"/>
  <c r="F106" i="15"/>
  <c r="H106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3" authorId="0" shapeId="0" xr:uid="{00000000-0006-0000-0900-000001000000}">
      <text>
        <r>
          <rPr>
            <sz val="11"/>
            <color theme="1"/>
            <rFont val="Aptos Narrow"/>
            <family val="2"/>
            <charset val="1"/>
          </rPr>
          <t>Pedro Pagliaricci:
Usar formato SC-001, SC-002, etc. Este código debe aparecer al inicio de la columna Observaciones en cada pago cargado en Gastos (ej: SC-001_Cespedes_Certif #2) para que Pagos lo identifique automáticamente.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3" authorId="0" shapeId="0" xr:uid="{00000000-0006-0000-0A00-000001000000}">
      <text>
        <r>
          <rPr>
            <sz val="11"/>
            <color theme="1"/>
            <rFont val="Aptos Narrow"/>
            <family val="2"/>
            <charset val="1"/>
          </rPr>
          <t>Pedro Pagliaricci:
Extraído de los primeros 6 caracteres de Observaciones en Gastos (formato SC-###).</t>
        </r>
      </text>
    </comment>
    <comment ref="D3" authorId="0" shapeId="0" xr:uid="{00000000-0006-0000-0A00-000002000000}">
      <text>
        <r>
          <rPr>
            <sz val="11"/>
            <color theme="1"/>
            <rFont val="Aptos Narrow"/>
            <family val="2"/>
            <charset val="1"/>
          </rPr>
          <t>Pedro Pagliaricci:
Extraído del 3er segmento de Observaciones en Gastos. Ejemplos: 'Certif #2', 'CAC Certif #2', 'Anticipo', 'FR #1', 'Adicional #1'.</t>
        </r>
      </text>
    </comment>
    <comment ref="F3" authorId="0" shapeId="0" xr:uid="{00000000-0006-0000-0A00-000003000000}">
      <text>
        <r>
          <rPr>
            <sz val="11"/>
            <color theme="1"/>
            <rFont val="Aptos Narrow"/>
            <family val="2"/>
            <charset val="1"/>
          </rPr>
          <t>Pedro Pagliaricci:
Campo informativo - no se obtiene automáticamente de Gastos. Puede dejarse vacío o cargarse manual si interesa el dato.</t>
        </r>
      </text>
    </comment>
    <comment ref="H3" authorId="0" shapeId="0" xr:uid="{00000000-0006-0000-0A00-000004000000}">
      <text>
        <r>
          <rPr>
            <sz val="11"/>
            <color theme="1"/>
            <rFont val="Aptos Narrow"/>
            <family val="2"/>
            <charset val="1"/>
          </rPr>
          <t>Pedro Pagliaricci:
Coeficiente CAC del período. Se calcula como Monto Real / Monto Descontado (ambos de Gastos).</t>
        </r>
      </text>
    </comment>
  </commentList>
</comments>
</file>

<file path=xl/sharedStrings.xml><?xml version="1.0" encoding="utf-8"?>
<sst xmlns="http://schemas.openxmlformats.org/spreadsheetml/2006/main" count="29648" uniqueCount="5265">
  <si>
    <t>Partida</t>
  </si>
  <si>
    <t>Tipo</t>
  </si>
  <si>
    <t>Subtipo</t>
  </si>
  <si>
    <t>Cod_Insumo</t>
  </si>
  <si>
    <t>Descripción</t>
  </si>
  <si>
    <t>Unidad de medida</t>
  </si>
  <si>
    <t>Cant</t>
  </si>
  <si>
    <t>%Desp</t>
  </si>
  <si>
    <t>Precio</t>
  </si>
  <si>
    <t>Costo</t>
  </si>
  <si>
    <t>Clave</t>
  </si>
  <si>
    <t>Count</t>
  </si>
  <si>
    <t>Clave2</t>
  </si>
  <si>
    <t>Rend. Part.</t>
  </si>
  <si>
    <t>Cant MO/ALB Unit</t>
  </si>
  <si>
    <t>Cant. Ej. Part.</t>
  </si>
  <si>
    <t>Cant MO/ALB Total</t>
  </si>
  <si>
    <t>Cod_Item_Ppto</t>
  </si>
  <si>
    <t>MO/ALB</t>
  </si>
  <si>
    <t>AIS-114</t>
  </si>
  <si>
    <t>EQ</t>
  </si>
  <si>
    <t>EQ-SOLD00</t>
  </si>
  <si>
    <t>Soldador Soplete A Gas Techista Membrana 10 Kg Boca 50mm</t>
  </si>
  <si>
    <t>AIS-114|EQ</t>
  </si>
  <si>
    <t>AIS-114|EQ|1</t>
  </si>
  <si>
    <t>-</t>
  </si>
  <si>
    <t>MAT</t>
  </si>
  <si>
    <t>OTR</t>
  </si>
  <si>
    <t>OTR-022</t>
  </si>
  <si>
    <t>Aguarras Hydrarras Hydra x 18lts</t>
  </si>
  <si>
    <t>b</t>
  </si>
  <si>
    <t>AIS-114|MAT</t>
  </si>
  <si>
    <t>AIS-114|MAT|1</t>
  </si>
  <si>
    <t>OTR-025</t>
  </si>
  <si>
    <t>Trapo</t>
  </si>
  <si>
    <t>u</t>
  </si>
  <si>
    <t>AIS-114|MAT|2</t>
  </si>
  <si>
    <t>OTR-027</t>
  </si>
  <si>
    <t>Rodillo de lana pelo largo N°22 - El Galgo</t>
  </si>
  <si>
    <t>AIS-114|MAT|3</t>
  </si>
  <si>
    <t>OTR-028</t>
  </si>
  <si>
    <t>Pincel N° 20 - El Galgo</t>
  </si>
  <si>
    <t>AIS-114|MAT|4</t>
  </si>
  <si>
    <t>OTR-047</t>
  </si>
  <si>
    <t>Guante Vaqueta Medio Paseo</t>
  </si>
  <si>
    <t>par</t>
  </si>
  <si>
    <t>AIS-114|MAT|5</t>
  </si>
  <si>
    <t>OTR-048</t>
  </si>
  <si>
    <t>Recarga de garrafa</t>
  </si>
  <si>
    <t>AIS-114|MAT|6</t>
  </si>
  <si>
    <t>PIN-008</t>
  </si>
  <si>
    <t>Pintura Asfaltica Asfasol x18ts</t>
  </si>
  <si>
    <t>AIS-114|MAT|7</t>
  </si>
  <si>
    <t>AIS-002</t>
  </si>
  <si>
    <t>Membrana Geotextil Ormiflex 4mm - (35kg) x10m</t>
  </si>
  <si>
    <t>AIS-114|MAT|8</t>
  </si>
  <si>
    <t>MO</t>
  </si>
  <si>
    <t>ALB</t>
  </si>
  <si>
    <t>MO-EAYUD</t>
  </si>
  <si>
    <t>AYUDANTE</t>
  </si>
  <si>
    <t>j</t>
  </si>
  <si>
    <t>AIS-114|MO</t>
  </si>
  <si>
    <t>AIS-114|MO|1</t>
  </si>
  <si>
    <t>MO-EESPE</t>
  </si>
  <si>
    <t>ESPECIALIZADO</t>
  </si>
  <si>
    <t>AIS-114|MO|2</t>
  </si>
  <si>
    <t>ALB-033</t>
  </si>
  <si>
    <t>EQ-ANDAM0</t>
  </si>
  <si>
    <t>ANDAMIO TUBULAR DE UNO A TRES CUERPOS</t>
  </si>
  <si>
    <t>ALB-033|EQ</t>
  </si>
  <si>
    <t>ALB-033|EQ|1</t>
  </si>
  <si>
    <t>EQ-EQALBA</t>
  </si>
  <si>
    <t>EQUIPO DE ALBAÑILERIA, carpetas, ladrillo</t>
  </si>
  <si>
    <t>ALB-033|EQ|2</t>
  </si>
  <si>
    <t>EQ-TROMPO</t>
  </si>
  <si>
    <t>Hormigonera De 150 Litros 1hp Con Rueda Maciza</t>
  </si>
  <si>
    <t>ALB-033|EQ|3</t>
  </si>
  <si>
    <t>ACE-001</t>
  </si>
  <si>
    <t>Barra de Acero Aleteado - 6mm x 12m</t>
  </si>
  <si>
    <t>ALB-033|MAT</t>
  </si>
  <si>
    <t>ALB-033|MAT|1</t>
  </si>
  <si>
    <t>AGR-001</t>
  </si>
  <si>
    <t>ARENA LAVADA</t>
  </si>
  <si>
    <t>m3</t>
  </si>
  <si>
    <t>ALB-033|MAT|2</t>
  </si>
  <si>
    <t>AGR-004</t>
  </si>
  <si>
    <t>Cemento Portland x 50kg</t>
  </si>
  <si>
    <t>Bol</t>
  </si>
  <si>
    <t>ALB-033|MAT|3</t>
  </si>
  <si>
    <t>AGR-005</t>
  </si>
  <si>
    <t>Cal Comun x 25kg</t>
  </si>
  <si>
    <t>bol</t>
  </si>
  <si>
    <t>ALB-033|MAT|4</t>
  </si>
  <si>
    <t>CER-005</t>
  </si>
  <si>
    <t>Ladrillo Comun 12.5 x 5.5 x 25</t>
  </si>
  <si>
    <t>ALB-033|MAT|5</t>
  </si>
  <si>
    <t>MAT-CONS</t>
  </si>
  <si>
    <t>Consumibles</t>
  </si>
  <si>
    <t>gl</t>
  </si>
  <si>
    <t>ALB-033|MAT|6</t>
  </si>
  <si>
    <t>ALB-033|MO</t>
  </si>
  <si>
    <t>ALB-033|MO|1</t>
  </si>
  <si>
    <t>ALB-033|MO|2</t>
  </si>
  <si>
    <t>ALB-034</t>
  </si>
  <si>
    <t>ALB-034|EQ</t>
  </si>
  <si>
    <t>ALB-034|EQ|1</t>
  </si>
  <si>
    <t>Albañilería</t>
  </si>
  <si>
    <t>ALB-034|EQ|2</t>
  </si>
  <si>
    <t>ALB-034|EQ|3</t>
  </si>
  <si>
    <t>ALB-034|MAT</t>
  </si>
  <si>
    <t>ALB-034|MAT|1</t>
  </si>
  <si>
    <t>ALB-034|MAT|2</t>
  </si>
  <si>
    <t>ALB-034|MAT|3</t>
  </si>
  <si>
    <t>ALB-034|MAT|4</t>
  </si>
  <si>
    <t>CER-002</t>
  </si>
  <si>
    <t>LADRILLO CERAMICO 8 x 18 x 33 cm</t>
  </si>
  <si>
    <t>ALB-034|MAT|5</t>
  </si>
  <si>
    <t>ALB-034|MAT|6</t>
  </si>
  <si>
    <t>ALB-034|MO</t>
  </si>
  <si>
    <t>ALB-034|MO|1</t>
  </si>
  <si>
    <t>ALB-034|MO|2</t>
  </si>
  <si>
    <t>ALB-035</t>
  </si>
  <si>
    <t>ALB-035|EQ</t>
  </si>
  <si>
    <t>ALB-035|EQ|1</t>
  </si>
  <si>
    <t>ALB-035|EQ|2</t>
  </si>
  <si>
    <t>ALB-035|EQ|3</t>
  </si>
  <si>
    <t>ALB-035|MAT</t>
  </si>
  <si>
    <t>ALB-035|MAT|1</t>
  </si>
  <si>
    <t>ALB-035|MAT|2</t>
  </si>
  <si>
    <t>ALB-035|MAT|3</t>
  </si>
  <si>
    <t>ALB-035|MAT|4</t>
  </si>
  <si>
    <t>CER-003</t>
  </si>
  <si>
    <t>LADRILLO CERAMICO 12 x 18 x 33 cm</t>
  </si>
  <si>
    <t>ALB-035|MAT|5</t>
  </si>
  <si>
    <t>ALB-035|MAT|6</t>
  </si>
  <si>
    <t>ALB-035|MO</t>
  </si>
  <si>
    <t>ALB-035|MO|1</t>
  </si>
  <si>
    <t>ALB-035|MO|2</t>
  </si>
  <si>
    <t>ALB-036</t>
  </si>
  <si>
    <t>ALB-036|EQ</t>
  </si>
  <si>
    <t>ALB-036|EQ|1</t>
  </si>
  <si>
    <t>ALB-036|EQ|2</t>
  </si>
  <si>
    <t>ALB-036|EQ|3</t>
  </si>
  <si>
    <t>ALB-036|MAT</t>
  </si>
  <si>
    <t>ALB-036|MAT|1</t>
  </si>
  <si>
    <t>ALB-036|MAT|2</t>
  </si>
  <si>
    <t>ALB-036|MAT|3</t>
  </si>
  <si>
    <t>ALB-036|MAT|4</t>
  </si>
  <si>
    <t>CER-004</t>
  </si>
  <si>
    <t>LADRILLO CERAMICO 18 x 18 x 33 cm</t>
  </si>
  <si>
    <t>ALB-036|MAT|5</t>
  </si>
  <si>
    <t>ALB-036|MAT|6</t>
  </si>
  <si>
    <t>ALB-036|MO</t>
  </si>
  <si>
    <t>ALB-036|MO|1</t>
  </si>
  <si>
    <t>ALB-036|MO|2</t>
  </si>
  <si>
    <t>ALB-037</t>
  </si>
  <si>
    <t>ALB-037|EQ</t>
  </si>
  <si>
    <t>ALB-037|EQ|1</t>
  </si>
  <si>
    <t>ALB-037|EQ|2</t>
  </si>
  <si>
    <t>ALB-037|EQ|3</t>
  </si>
  <si>
    <t>ALB-037|MAT</t>
  </si>
  <si>
    <t>ALB-037|MAT|1</t>
  </si>
  <si>
    <t>ALB-037|MAT|2</t>
  </si>
  <si>
    <t>ALB-037|MAT|3</t>
  </si>
  <si>
    <t>ALB-037|MAT|4</t>
  </si>
  <si>
    <t>AIS-001</t>
  </si>
  <si>
    <t>Aditivo Hidrofugo en pasta - Ceresita x 1kg</t>
  </si>
  <si>
    <t>kg</t>
  </si>
  <si>
    <t>ALB-037|MAT|5</t>
  </si>
  <si>
    <t>ALB-037|MAT|6</t>
  </si>
  <si>
    <t>CER-001</t>
  </si>
  <si>
    <t>ladrillo a la vista 1 cara</t>
  </si>
  <si>
    <t>ALB-037|MAT|7</t>
  </si>
  <si>
    <t>ALB-037|MAT|8</t>
  </si>
  <si>
    <t>ALB-037|MAT|9</t>
  </si>
  <si>
    <t>ALB-037|MAT|10</t>
  </si>
  <si>
    <t>ALB-037|MAT|11</t>
  </si>
  <si>
    <t>ALB-037|MO</t>
  </si>
  <si>
    <t>ALB-037|MO|1</t>
  </si>
  <si>
    <t>ALB-037|MO|2</t>
  </si>
  <si>
    <t>ALB-038</t>
  </si>
  <si>
    <t>ALB-038|EQ</t>
  </si>
  <si>
    <t>ALB-038|EQ|1</t>
  </si>
  <si>
    <t>ALB-038|EQ|2</t>
  </si>
  <si>
    <t>ALB-038|EQ|3</t>
  </si>
  <si>
    <t>ALB-038|MAT</t>
  </si>
  <si>
    <t>ALB-038|MAT|1</t>
  </si>
  <si>
    <t>ALB-038|MAT|2</t>
  </si>
  <si>
    <t>ALB-038|MAT|3</t>
  </si>
  <si>
    <t>ALB-038|MAT|4</t>
  </si>
  <si>
    <t>CER-006</t>
  </si>
  <si>
    <t>Ladrillo hueco ceramico 12x19x33 - Portante</t>
  </si>
  <si>
    <t>ALB-038|MAT|5</t>
  </si>
  <si>
    <t>ALB-038|MAT|6</t>
  </si>
  <si>
    <t>ALB-038|MO</t>
  </si>
  <si>
    <t>ALB-038|MO|1</t>
  </si>
  <si>
    <t>ALB-038|MO|2</t>
  </si>
  <si>
    <t>ALB-039</t>
  </si>
  <si>
    <t>ALB-039|EQ</t>
  </si>
  <si>
    <t>ALB-039|EQ|1</t>
  </si>
  <si>
    <t>ALB-039|EQ|2</t>
  </si>
  <si>
    <t>ALB-039|MAT</t>
  </si>
  <si>
    <t>ALB-039|MAT|1</t>
  </si>
  <si>
    <t>ALB-039|MAT|2</t>
  </si>
  <si>
    <t>ALB-039|MO</t>
  </si>
  <si>
    <t>ALB-039|MO|1</t>
  </si>
  <si>
    <t>ALB-039|MO|2</t>
  </si>
  <si>
    <t>ALB-040</t>
  </si>
  <si>
    <t>ALB-040|EQ</t>
  </si>
  <si>
    <t>ALB-040|EQ|1</t>
  </si>
  <si>
    <t>ALB-040|EQ|2</t>
  </si>
  <si>
    <t>ALB-040|MAT</t>
  </si>
  <si>
    <t>ALB-040|MAT|1</t>
  </si>
  <si>
    <t>ALB-040|MAT|2</t>
  </si>
  <si>
    <t>ALB-040|MO</t>
  </si>
  <si>
    <t>ALB-040|MO|1</t>
  </si>
  <si>
    <t>ALB-040|MO|2</t>
  </si>
  <si>
    <t>ALB-041</t>
  </si>
  <si>
    <t>ALB-041|EQ</t>
  </si>
  <si>
    <t>ALB-041|EQ|1</t>
  </si>
  <si>
    <t>ALB-041|EQ|2</t>
  </si>
  <si>
    <t>ALB-041|MAT</t>
  </si>
  <si>
    <t>ALB-041|MAT|1</t>
  </si>
  <si>
    <t>ALB-041|MAT|2</t>
  </si>
  <si>
    <t>ALB-041|MAT|3</t>
  </si>
  <si>
    <t>ALB-041|MO</t>
  </si>
  <si>
    <t>ALB-041|MO|1</t>
  </si>
  <si>
    <t>ALB-041|MO|2</t>
  </si>
  <si>
    <t>ALB-042</t>
  </si>
  <si>
    <t>ALB-042|EQ</t>
  </si>
  <si>
    <t>ALB-042|EQ|1</t>
  </si>
  <si>
    <t>ALB-042|EQ|2</t>
  </si>
  <si>
    <t>ALB-042|EQ|3</t>
  </si>
  <si>
    <t>ALB-042|MAT</t>
  </si>
  <si>
    <t>ALB-042|MAT|1</t>
  </si>
  <si>
    <t>ALB-042|MAT|2</t>
  </si>
  <si>
    <t>ALB-042|MAT|3</t>
  </si>
  <si>
    <t>ALB-042|MO</t>
  </si>
  <si>
    <t>ALB-042|MO|1</t>
  </si>
  <si>
    <t>ALB-042|MO|2</t>
  </si>
  <si>
    <t>ALB-043</t>
  </si>
  <si>
    <t>ALB-043|EQ</t>
  </si>
  <si>
    <t>ALB-043|EQ|1</t>
  </si>
  <si>
    <t>ALB-043|EQ|2</t>
  </si>
  <si>
    <t>ALB-043|EQ|3</t>
  </si>
  <si>
    <t>ALB-043|MAT</t>
  </si>
  <si>
    <t>ALB-043|MAT|1</t>
  </si>
  <si>
    <t>ALB-043|MAT|2</t>
  </si>
  <si>
    <t>ALB-043|MAT|3</t>
  </si>
  <si>
    <t>AGR-006</t>
  </si>
  <si>
    <t>cal milagro</t>
  </si>
  <si>
    <t>ALB-043|MAT|4</t>
  </si>
  <si>
    <t>ALB-043|MO</t>
  </si>
  <si>
    <t>ALB-043|MO|1</t>
  </si>
  <si>
    <t>ALB-043|MO|2</t>
  </si>
  <si>
    <t>ALB-044</t>
  </si>
  <si>
    <t>ALB-044|EQ</t>
  </si>
  <si>
    <t>ALB-044|EQ|1</t>
  </si>
  <si>
    <t>ALB-044|EQ|2</t>
  </si>
  <si>
    <t>ALB-044|EQ|3</t>
  </si>
  <si>
    <t>ALB-044|MAT</t>
  </si>
  <si>
    <t>ALB-044|MAT|1</t>
  </si>
  <si>
    <t>ALB-044|MAT|2</t>
  </si>
  <si>
    <t>ALB-044|MAT|3</t>
  </si>
  <si>
    <t>ALB-044|MAT|4</t>
  </si>
  <si>
    <t>ALB-044|MO</t>
  </si>
  <si>
    <t>ALB-044|MO|1</t>
  </si>
  <si>
    <t>ALB-044|MO|2</t>
  </si>
  <si>
    <t>ALB-045</t>
  </si>
  <si>
    <t>EQ-BALANC</t>
  </si>
  <si>
    <t>Balancin</t>
  </si>
  <si>
    <t>ALB-045|EQ</t>
  </si>
  <si>
    <t>ALB-045|EQ|1</t>
  </si>
  <si>
    <t>ALB-045|EQ|2</t>
  </si>
  <si>
    <t>ALB-045|EQ|3</t>
  </si>
  <si>
    <t>ALB-045|MAT</t>
  </si>
  <si>
    <t>ALB-045|MAT|1</t>
  </si>
  <si>
    <t>ALB-045|MAT|2</t>
  </si>
  <si>
    <t>ALB-045|MAT|3</t>
  </si>
  <si>
    <t>ALB-045|MAT|4</t>
  </si>
  <si>
    <t>ALB-045|MO</t>
  </si>
  <si>
    <t>ALB-045|MO|1</t>
  </si>
  <si>
    <t>ALB-045|MO|2</t>
  </si>
  <si>
    <t>ALB-046</t>
  </si>
  <si>
    <t>ALB-046|EQ</t>
  </si>
  <si>
    <t>ALB-046|EQ|1</t>
  </si>
  <si>
    <t>ALB-046|EQ|2</t>
  </si>
  <si>
    <t>ALB-046|MAT</t>
  </si>
  <si>
    <t>ALB-046|MAT|1</t>
  </si>
  <si>
    <t>AGR-003</t>
  </si>
  <si>
    <t>Cascote</t>
  </si>
  <si>
    <t>ALB-046|MAT|2</t>
  </si>
  <si>
    <t>ALB-046|MAT|3</t>
  </si>
  <si>
    <t>ALB-046|MAT|4</t>
  </si>
  <si>
    <t>ALB-046|MO</t>
  </si>
  <si>
    <t>ALB-046|MO|1</t>
  </si>
  <si>
    <t>ALB-046|MO|2</t>
  </si>
  <si>
    <t>ALB-047</t>
  </si>
  <si>
    <t>ALB-047|EQ</t>
  </si>
  <si>
    <t>ALB-047|EQ|1</t>
  </si>
  <si>
    <t>ALB-047|EQ|2</t>
  </si>
  <si>
    <t>ALB-047|MAT</t>
  </si>
  <si>
    <t>ALB-047|MAT|1</t>
  </si>
  <si>
    <t>ALB-047|MAT|2</t>
  </si>
  <si>
    <t>ALB-047|MO</t>
  </si>
  <si>
    <t>ALB-047|MO|1</t>
  </si>
  <si>
    <t>ALB-047|MO|2</t>
  </si>
  <si>
    <t>ALB-048</t>
  </si>
  <si>
    <t>ALB-048|EQ</t>
  </si>
  <si>
    <t>ALB-048|EQ|1</t>
  </si>
  <si>
    <t>ALB-048|EQ|2</t>
  </si>
  <si>
    <t>ADT-001</t>
  </si>
  <si>
    <t>Sika Poro Plus x 10 kg</t>
  </si>
  <si>
    <t>ALB-048|MAT</t>
  </si>
  <si>
    <t>ALB-048|MAT|1</t>
  </si>
  <si>
    <t>ALB-048|MAT|2</t>
  </si>
  <si>
    <t>ALB-048|MAT|3</t>
  </si>
  <si>
    <t>ALB-048|MAT|4</t>
  </si>
  <si>
    <t>ALB-048|MO</t>
  </si>
  <si>
    <t>ALB-048|MO|1</t>
  </si>
  <si>
    <t>ALB-048|MO|2</t>
  </si>
  <si>
    <t>ALB-049</t>
  </si>
  <si>
    <t>ALB-049|EQ</t>
  </si>
  <si>
    <t>ALB-049|EQ|1</t>
  </si>
  <si>
    <t>ALB-049|EQ|2</t>
  </si>
  <si>
    <t>ALB-049|MAT</t>
  </si>
  <si>
    <t>ALB-049|MAT|1</t>
  </si>
  <si>
    <t>ALB-049|MAT|2</t>
  </si>
  <si>
    <t>ALB-049|MAT|3</t>
  </si>
  <si>
    <t>ALB-049|MO</t>
  </si>
  <si>
    <t>ALB-049|MO|1</t>
  </si>
  <si>
    <t>ALB-049|MO|2</t>
  </si>
  <si>
    <t>ALB-050</t>
  </si>
  <si>
    <t>ALB-050|EQ</t>
  </si>
  <si>
    <t>ALB-050|EQ|1</t>
  </si>
  <si>
    <t>ALB-050|EQ|2</t>
  </si>
  <si>
    <t>ALB-050|MAT</t>
  </si>
  <si>
    <t>ALB-050|MAT|1</t>
  </si>
  <si>
    <t>ALB-050|MAT|2</t>
  </si>
  <si>
    <t>ALB-050|MO</t>
  </si>
  <si>
    <t>ALB-050|MO|1</t>
  </si>
  <si>
    <t>ALB-050|MO|2</t>
  </si>
  <si>
    <t>ALB-068</t>
  </si>
  <si>
    <t>ALB-068|EQ</t>
  </si>
  <si>
    <t>ALB-068|EQ|1</t>
  </si>
  <si>
    <t>ALB-068|EQ|2</t>
  </si>
  <si>
    <t>ALB-068|EQ|3</t>
  </si>
  <si>
    <t>ALB-068|MAT</t>
  </si>
  <si>
    <t>ALB-068|MAT|1</t>
  </si>
  <si>
    <t>ALB-068|MAT|2</t>
  </si>
  <si>
    <t>ALB-068|MAT|3</t>
  </si>
  <si>
    <t>ALB-068|MAT|4</t>
  </si>
  <si>
    <t>ALB-068|MAT|5</t>
  </si>
  <si>
    <t>ALB-068|MO</t>
  </si>
  <si>
    <t>ALB-068|MO|1</t>
  </si>
  <si>
    <t>ALB-068|MO|2</t>
  </si>
  <si>
    <t>ALB-070</t>
  </si>
  <si>
    <t>ALB-070|EQ</t>
  </si>
  <si>
    <t>ALB-070|EQ|1</t>
  </si>
  <si>
    <t>ALB-070|MAT</t>
  </si>
  <si>
    <t>ALB-070|MAT|1</t>
  </si>
  <si>
    <t>ALB-070|MAT|2</t>
  </si>
  <si>
    <t>ALB-070|MAT|3</t>
  </si>
  <si>
    <t>ALB-070|MAT|4</t>
  </si>
  <si>
    <t>ALB-070|MAT|5</t>
  </si>
  <si>
    <t>ALB-070|MAT|6</t>
  </si>
  <si>
    <t>ALB-070|MAT|7</t>
  </si>
  <si>
    <t>ALB-070|MAT|8</t>
  </si>
  <si>
    <t>ALB-070|MO</t>
  </si>
  <si>
    <t>ALB-070|MO|1</t>
  </si>
  <si>
    <t>ALB-070|MO|2</t>
  </si>
  <si>
    <t>ALB-074</t>
  </si>
  <si>
    <t>EQ-EQUIPI</t>
  </si>
  <si>
    <t>EQUIPO PARA PINTAR</t>
  </si>
  <si>
    <t>ALB-074|EQ</t>
  </si>
  <si>
    <t>ALB-074|EQ|1</t>
  </si>
  <si>
    <t>EQ-PTO026</t>
  </si>
  <si>
    <t>ESCALERA MADERA PINTOR 8 ESCALONES</t>
  </si>
  <si>
    <t>ALB-074|EQ|2</t>
  </si>
  <si>
    <t>OTR-021</t>
  </si>
  <si>
    <t>Fijador al agua x 20 lts</t>
  </si>
  <si>
    <t>ALB-074|MAT</t>
  </si>
  <si>
    <t>ALB-074|MAT|1</t>
  </si>
  <si>
    <t>OTR-023</t>
  </si>
  <si>
    <t>Lija 180 al agua x 10u</t>
  </si>
  <si>
    <t>ALB-074|MAT|2</t>
  </si>
  <si>
    <t>OTR-024</t>
  </si>
  <si>
    <t>Cinta de Papel 36 mm x 40m</t>
  </si>
  <si>
    <t>ALB-074|MAT|3</t>
  </si>
  <si>
    <t>ALB-074|MAT|4</t>
  </si>
  <si>
    <t>ALB-074|MAT|5</t>
  </si>
  <si>
    <t>ALB-074|MAT|6</t>
  </si>
  <si>
    <t>OTR-029</t>
  </si>
  <si>
    <t>Rollo de cartón corrugado 0,90 x 25 mts</t>
  </si>
  <si>
    <t>ALB-074|MAT|7</t>
  </si>
  <si>
    <t>PIN-001</t>
  </si>
  <si>
    <t>Latex Loxon Interior Sherwin Williams Mate Bco x 20lts</t>
  </si>
  <si>
    <t>B</t>
  </si>
  <si>
    <t>ALB-074|MAT|8</t>
  </si>
  <si>
    <t>ALB-074|MO</t>
  </si>
  <si>
    <t>ALB-074|MO|1</t>
  </si>
  <si>
    <t>ALB-075</t>
  </si>
  <si>
    <t>ALB-075|EQ</t>
  </si>
  <si>
    <t>ALB-075|EQ|1</t>
  </si>
  <si>
    <t>ALB-075|EQ|2</t>
  </si>
  <si>
    <t>ALB-075|EQ|3</t>
  </si>
  <si>
    <t>ALB-075|MAT</t>
  </si>
  <si>
    <t>ALB-075|MAT|1</t>
  </si>
  <si>
    <t>ALB-075|MAT|2</t>
  </si>
  <si>
    <t>ALB-075|MAT|3</t>
  </si>
  <si>
    <t>ALB-075|MAT|4</t>
  </si>
  <si>
    <t>ALB-075|MAT|5</t>
  </si>
  <si>
    <t>ALB-075|MAT|6</t>
  </si>
  <si>
    <t>MO-EMEDI</t>
  </si>
  <si>
    <t>MEDIO OFICIAL</t>
  </si>
  <si>
    <t>ALB-075|MO</t>
  </si>
  <si>
    <t>ALB-075|MO|1</t>
  </si>
  <si>
    <t>ALB-075|MO|2</t>
  </si>
  <si>
    <t>ALB-115</t>
  </si>
  <si>
    <t>ALB-115|MAT</t>
  </si>
  <si>
    <t>ALB-115|MAT|1</t>
  </si>
  <si>
    <t>ALB-115|MAT|2</t>
  </si>
  <si>
    <t>ALB-115|MAT|3</t>
  </si>
  <si>
    <t>ALB-115|MO</t>
  </si>
  <si>
    <t>ALB-115|MO|1</t>
  </si>
  <si>
    <t>ALB-115|MO|2</t>
  </si>
  <si>
    <t>ALB-118</t>
  </si>
  <si>
    <t>ALB-118|EQ</t>
  </si>
  <si>
    <t>ALB-118|EQ|1</t>
  </si>
  <si>
    <t>ALB-118|EQ|2</t>
  </si>
  <si>
    <t>ALB-118|EQ|3</t>
  </si>
  <si>
    <t>ALB-118|MAT</t>
  </si>
  <si>
    <t>ALB-118|MAT|1</t>
  </si>
  <si>
    <t>ALB-118|MAT|2</t>
  </si>
  <si>
    <t>ALB-118|MAT|3</t>
  </si>
  <si>
    <t>ALB-118|MAT|4</t>
  </si>
  <si>
    <t>BLO-002</t>
  </si>
  <si>
    <t>Bloque de Hormigon 10 x 19 x 39</t>
  </si>
  <si>
    <t>ALB-118|MAT|5</t>
  </si>
  <si>
    <t>ALB-118|MAT|6</t>
  </si>
  <si>
    <t>ALB-118|MO</t>
  </si>
  <si>
    <t>ALB-118|MO|1</t>
  </si>
  <si>
    <t>ALB-118|MO|2</t>
  </si>
  <si>
    <t>ALB-119</t>
  </si>
  <si>
    <t>ALB-119|EQ</t>
  </si>
  <si>
    <t>ALB-119|EQ|1</t>
  </si>
  <si>
    <t>ALB-119|EQ|2</t>
  </si>
  <si>
    <t>ALB-119|EQ|3</t>
  </si>
  <si>
    <t>ALB-119|MAT</t>
  </si>
  <si>
    <t>ALB-119|MAT|1</t>
  </si>
  <si>
    <t>ALB-119|MAT|2</t>
  </si>
  <si>
    <t>ALB-119|MAT|3</t>
  </si>
  <si>
    <t>ALB-119|MAT|4</t>
  </si>
  <si>
    <t>BLO-001</t>
  </si>
  <si>
    <t>Bloque de Hormigon 19 x 19 x 39</t>
  </si>
  <si>
    <t>ALB-119|MAT|5</t>
  </si>
  <si>
    <t>ALB-119|MAT|6</t>
  </si>
  <si>
    <t>ALB-119|MO</t>
  </si>
  <si>
    <t>ALB-119|MO|1</t>
  </si>
  <si>
    <t>ALB-119|MO|2</t>
  </si>
  <si>
    <t>ALB-136</t>
  </si>
  <si>
    <t>ALB-136|EQ</t>
  </si>
  <si>
    <t>ALB-136|EQ|1</t>
  </si>
  <si>
    <t>ALB-136|EQ|2</t>
  </si>
  <si>
    <t>ALB-136|MAT</t>
  </si>
  <si>
    <t>ALB-136|MAT|1</t>
  </si>
  <si>
    <t>ALB-136|MAT|2</t>
  </si>
  <si>
    <t>ALB-136|MAT|3</t>
  </si>
  <si>
    <t>ALB-136|MO</t>
  </si>
  <si>
    <t>ALB-136|MO|1</t>
  </si>
  <si>
    <t>ALB-136|MO|2</t>
  </si>
  <si>
    <t>COL-056</t>
  </si>
  <si>
    <t>EQ-CORTA</t>
  </si>
  <si>
    <t>CORTADORA CERAMICA PROFESIONAL 1200MM (PORCELANATO HASTA 16MM)</t>
  </si>
  <si>
    <t>COL-056|EQ</t>
  </si>
  <si>
    <t>COL-056|EQ|1</t>
  </si>
  <si>
    <t>Revestimiento</t>
  </si>
  <si>
    <t>EQ-EQCERA</t>
  </si>
  <si>
    <t>EQUIPO PARA COLOCACION DE CERAMICA</t>
  </si>
  <si>
    <t>COL-056|EQ|2</t>
  </si>
  <si>
    <t>COR</t>
  </si>
  <si>
    <t>ADH-001</t>
  </si>
  <si>
    <t>Adhesivo Klaukol Porcellanato Fluido x 30Kg</t>
  </si>
  <si>
    <t>COL-056|MAT</t>
  </si>
  <si>
    <t>COL-056|MAT|1</t>
  </si>
  <si>
    <t>ADH-003</t>
  </si>
  <si>
    <t>Pastina Klaukol x 1kg - Alta performance</t>
  </si>
  <si>
    <t>COL-056|MAT|2</t>
  </si>
  <si>
    <t>COL-056|MAT|3</t>
  </si>
  <si>
    <t>OTR-046</t>
  </si>
  <si>
    <t>Disco Diamantado Aliafor Turbo Fino TRF</t>
  </si>
  <si>
    <t>COL-056|MAT|4</t>
  </si>
  <si>
    <t>REV-012</t>
  </si>
  <si>
    <t>Arco y cuña niveladores porcelanatos x 150 un</t>
  </si>
  <si>
    <t>COL-056|MAT|5</t>
  </si>
  <si>
    <t>COL-056|MO</t>
  </si>
  <si>
    <t>COL-056|MO|1</t>
  </si>
  <si>
    <t>MO-EOFIC</t>
  </si>
  <si>
    <t>OFICIAL</t>
  </si>
  <si>
    <t>COL-056|MO|2</t>
  </si>
  <si>
    <t>COL-057</t>
  </si>
  <si>
    <t>COL-057|EQ</t>
  </si>
  <si>
    <t>COL-057|EQ|1</t>
  </si>
  <si>
    <t>COL-057|EQ|2</t>
  </si>
  <si>
    <t>COL-057|MAT</t>
  </si>
  <si>
    <t>COL-057|MAT|1</t>
  </si>
  <si>
    <t>COL-057|MAT|2</t>
  </si>
  <si>
    <t>COL-057|MAT|3</t>
  </si>
  <si>
    <t>COL-057|MAT|4</t>
  </si>
  <si>
    <t>COL-057|MAT|5</t>
  </si>
  <si>
    <t>COL-057|MO</t>
  </si>
  <si>
    <t>COL-057|MO|1</t>
  </si>
  <si>
    <t>COL-057|MO|2</t>
  </si>
  <si>
    <t>COL-058</t>
  </si>
  <si>
    <t>COL-058|EQ</t>
  </si>
  <si>
    <t>COL-058|EQ|1</t>
  </si>
  <si>
    <t>COL-058|EQ|2</t>
  </si>
  <si>
    <t>COL-058|MAT</t>
  </si>
  <si>
    <t>COL-058|MAT|1</t>
  </si>
  <si>
    <t>COL-058|MAT|2</t>
  </si>
  <si>
    <t>COL-058|MAT|3</t>
  </si>
  <si>
    <t>COL-058|MAT|4</t>
  </si>
  <si>
    <t>COL-058|MO</t>
  </si>
  <si>
    <t>COL-058|MO|1</t>
  </si>
  <si>
    <t>COL-058|MO|2</t>
  </si>
  <si>
    <t>COL-080</t>
  </si>
  <si>
    <t>ACE-010</t>
  </si>
  <si>
    <t>Alambre de Fardo</t>
  </si>
  <si>
    <t>COL-080|MAT</t>
  </si>
  <si>
    <t>COL-080|MAT|1</t>
  </si>
  <si>
    <t>ACE-016</t>
  </si>
  <si>
    <t>ACERO ESTRUCTURAL POR KILO</t>
  </si>
  <si>
    <t>KGF</t>
  </si>
  <si>
    <t>COL-080|MAT|2</t>
  </si>
  <si>
    <t>COL-080|MO</t>
  </si>
  <si>
    <t>COL-080|MO|1</t>
  </si>
  <si>
    <t>COL-080|MO|2</t>
  </si>
  <si>
    <t>COL-080|MO|3</t>
  </si>
  <si>
    <t>COL-081</t>
  </si>
  <si>
    <t>COL-081|MAT</t>
  </si>
  <si>
    <t>COL-081|MAT|1</t>
  </si>
  <si>
    <t>COL-081|MAT|2</t>
  </si>
  <si>
    <t>COL-081|MO</t>
  </si>
  <si>
    <t>COL-081|MO|1</t>
  </si>
  <si>
    <t>COL-081|MO|2</t>
  </si>
  <si>
    <t>COL-081|MO|3</t>
  </si>
  <si>
    <t>COL-082</t>
  </si>
  <si>
    <t>COL-082|MAT</t>
  </si>
  <si>
    <t>COL-082|MAT|1</t>
  </si>
  <si>
    <t>COL-082|MAT|2</t>
  </si>
  <si>
    <t>COL-082|MO</t>
  </si>
  <si>
    <t>COL-082|MO|1</t>
  </si>
  <si>
    <t>COL-082|MO|2</t>
  </si>
  <si>
    <t>COL-082|MO|3</t>
  </si>
  <si>
    <t>COL-083</t>
  </si>
  <si>
    <t>COL-083|MAT</t>
  </si>
  <si>
    <t>COL-083|MAT|1</t>
  </si>
  <si>
    <t>COL-083|MAT|2</t>
  </si>
  <si>
    <t>COL-083|MO</t>
  </si>
  <si>
    <t>COL-083|MO|1</t>
  </si>
  <si>
    <t>COL-083|MO|2</t>
  </si>
  <si>
    <t>COL-083|MO|3</t>
  </si>
  <si>
    <t>COL-084</t>
  </si>
  <si>
    <t>COL-084|MAT</t>
  </si>
  <si>
    <t>COL-084|MAT|1</t>
  </si>
  <si>
    <t>COL-084|MAT|2</t>
  </si>
  <si>
    <t>COL-084|MO</t>
  </si>
  <si>
    <t>COL-084|MO|1</t>
  </si>
  <si>
    <t>COL-084|MO|2</t>
  </si>
  <si>
    <t>COL-086</t>
  </si>
  <si>
    <t>COL-086|MAT</t>
  </si>
  <si>
    <t>COL-086|MAT|1</t>
  </si>
  <si>
    <t>COL-086|MAT|2</t>
  </si>
  <si>
    <t>COL-086|MO</t>
  </si>
  <si>
    <t>COL-086|MO|1</t>
  </si>
  <si>
    <t>COL-086|MO|2</t>
  </si>
  <si>
    <t>COL-086|MO|3</t>
  </si>
  <si>
    <t>DUR-060</t>
  </si>
  <si>
    <t>EQ-ESCALE</t>
  </si>
  <si>
    <t>ESCALERA GLOSS ALUMINIO ARTICULADA 4 X 4 ESCALONES HASTA 150KG</t>
  </si>
  <si>
    <t>DUR-060|EQ</t>
  </si>
  <si>
    <t>DUR-060|EQ|1</t>
  </si>
  <si>
    <t>EQ-PTO024</t>
  </si>
  <si>
    <t>EQUIPO DE CONSTRUCCION EN SECO</t>
  </si>
  <si>
    <t>DUR-060|EQ|2</t>
  </si>
  <si>
    <t>DUR-003</t>
  </si>
  <si>
    <t>Solera 35mm x 2.60m</t>
  </si>
  <si>
    <t>DUR-060|MAT</t>
  </si>
  <si>
    <t>DUR-060|MAT|1</t>
  </si>
  <si>
    <t>DUR-004</t>
  </si>
  <si>
    <t>Montante 34mm x 2.60m</t>
  </si>
  <si>
    <t>DUR-060|MAT|2</t>
  </si>
  <si>
    <t>DUR-005</t>
  </si>
  <si>
    <t>Masilla x 32kg</t>
  </si>
  <si>
    <t>DUR-060|MAT|3</t>
  </si>
  <si>
    <t>OTR-007</t>
  </si>
  <si>
    <t>Tornillo T1 - Aguja</t>
  </si>
  <si>
    <t>DUR-060|MAT|4</t>
  </si>
  <si>
    <t>OTR-008</t>
  </si>
  <si>
    <t>Tornillo T2 - Aguja</t>
  </si>
  <si>
    <t>DUR-060|MAT|5</t>
  </si>
  <si>
    <t>OTR-010</t>
  </si>
  <si>
    <t>Fijacion completa del 8</t>
  </si>
  <si>
    <t>DUR-060|MAT|6</t>
  </si>
  <si>
    <t>OTR-011</t>
  </si>
  <si>
    <t>Cinta Entramada - 90m</t>
  </si>
  <si>
    <t>DUR-060|MAT|7</t>
  </si>
  <si>
    <t>REV-006</t>
  </si>
  <si>
    <t>Placa Roca de Yeso 1220 x 2440 - 12.5mm - STD</t>
  </si>
  <si>
    <t>DUR-060|MAT|8</t>
  </si>
  <si>
    <t>DUR-060|MO</t>
  </si>
  <si>
    <t>DUR-060|MO|1</t>
  </si>
  <si>
    <t>DUR-060|MO|2</t>
  </si>
  <si>
    <t>DUR-061</t>
  </si>
  <si>
    <t>DUR-061|EQ</t>
  </si>
  <si>
    <t>DUR-061|EQ|1</t>
  </si>
  <si>
    <t>DUR-061|EQ|2</t>
  </si>
  <si>
    <t>DUR-001</t>
  </si>
  <si>
    <t>Solera 70mm x 2.60m</t>
  </si>
  <si>
    <t>DUR-061|MAT</t>
  </si>
  <si>
    <t>DUR-061|MAT|1</t>
  </si>
  <si>
    <t>DUR-002</t>
  </si>
  <si>
    <t>Montante 69mm x 2.60m</t>
  </si>
  <si>
    <t>DUR-061|MAT|2</t>
  </si>
  <si>
    <t>DUR-061|MAT|3</t>
  </si>
  <si>
    <t>DUR-061|MAT|4</t>
  </si>
  <si>
    <t>DUR-061|MAT|5</t>
  </si>
  <si>
    <t>DUR-061|MAT|6</t>
  </si>
  <si>
    <t>DUR-061|MAT|7</t>
  </si>
  <si>
    <t>REV-007</t>
  </si>
  <si>
    <t>Placa Roca de Yeso 1220 x 2440 - 12.5mm - RH</t>
  </si>
  <si>
    <t>DUR-061|MAT|8</t>
  </si>
  <si>
    <t>DUR-061|MO</t>
  </si>
  <si>
    <t>DUR-061|MO|1</t>
  </si>
  <si>
    <t>DUR-061|MO|2</t>
  </si>
  <si>
    <t>DUR-062</t>
  </si>
  <si>
    <t>DUR-062|EQ</t>
  </si>
  <si>
    <t>DUR-062|EQ|1</t>
  </si>
  <si>
    <t>DUR-062|EQ|2</t>
  </si>
  <si>
    <t>DUR-062|MAT</t>
  </si>
  <si>
    <t>DUR-062|MAT|1</t>
  </si>
  <si>
    <t>DUR-062|MAT|2</t>
  </si>
  <si>
    <t>DUR-062|MAT|3</t>
  </si>
  <si>
    <t>DUR-062|MAT|4</t>
  </si>
  <si>
    <t>DUR-062|MAT|5</t>
  </si>
  <si>
    <t>DUR-062|MAT|6</t>
  </si>
  <si>
    <t>DUR-062|MAT|7</t>
  </si>
  <si>
    <t>REV-008</t>
  </si>
  <si>
    <t>Placa Roca de Yeso 1220 x 2440 - 12.5mm - RF</t>
  </si>
  <si>
    <t>DUR-062|MAT|8</t>
  </si>
  <si>
    <t>DUR-062|MO</t>
  </si>
  <si>
    <t>DUR-062|MO|1</t>
  </si>
  <si>
    <t>DUR-062|MO|2</t>
  </si>
  <si>
    <t>DUR-063</t>
  </si>
  <si>
    <t>DUR-063|EQ</t>
  </si>
  <si>
    <t>DUR-063|EQ|1</t>
  </si>
  <si>
    <t>DUR-063|EQ|2</t>
  </si>
  <si>
    <t>ACE-014</t>
  </si>
  <si>
    <t>Alambre galvanizado N°14 x kg</t>
  </si>
  <si>
    <t>DUR-063|MAT</t>
  </si>
  <si>
    <t>DUR-063|MAT|1</t>
  </si>
  <si>
    <t>DUR-007</t>
  </si>
  <si>
    <t>Perfil Perimetral x 3.05</t>
  </si>
  <si>
    <t>DUR-063|MAT|2</t>
  </si>
  <si>
    <t>DUR-063|MAT|3</t>
  </si>
  <si>
    <t>OTR-015</t>
  </si>
  <si>
    <t>Larguero x 3.66</t>
  </si>
  <si>
    <t>DUR-063|MAT|4</t>
  </si>
  <si>
    <t>OTR-017</t>
  </si>
  <si>
    <t>Travesaño x 0.60</t>
  </si>
  <si>
    <t>DUR-063|MAT|5</t>
  </si>
  <si>
    <t>DUR-063|MO</t>
  </si>
  <si>
    <t>DUR-063|MO|1</t>
  </si>
  <si>
    <t>DUR-063|MO|2</t>
  </si>
  <si>
    <t>DUR-064</t>
  </si>
  <si>
    <t>DUR-064|EQ</t>
  </si>
  <si>
    <t>DUR-064|EQ|1</t>
  </si>
  <si>
    <t>DUR-064|EQ|2</t>
  </si>
  <si>
    <t>DUR-064|MAT</t>
  </si>
  <si>
    <t>DUR-064|MAT|1</t>
  </si>
  <si>
    <t>DUR-064|MAT|2</t>
  </si>
  <si>
    <t>DUR-064|MAT|3</t>
  </si>
  <si>
    <t>DUR-064|MAT|4</t>
  </si>
  <si>
    <t>DUR-064|MAT|5</t>
  </si>
  <si>
    <t>DUR-064|MAT|6</t>
  </si>
  <si>
    <t>DUR-064|MAT|7</t>
  </si>
  <si>
    <t>DUR-064|MAT|8</t>
  </si>
  <si>
    <t>DUR-064|MO</t>
  </si>
  <si>
    <t>DUR-064|MO|1</t>
  </si>
  <si>
    <t>DUR-064|MO|2</t>
  </si>
  <si>
    <t>DUR-065</t>
  </si>
  <si>
    <t>DUR-065|EQ</t>
  </si>
  <si>
    <t>DUR-065|EQ|1</t>
  </si>
  <si>
    <t>DUR-065|EQ|2</t>
  </si>
  <si>
    <t>DUR-065|MAT</t>
  </si>
  <si>
    <t>DUR-065|MAT|1</t>
  </si>
  <si>
    <t>DUR-065|MAT|2</t>
  </si>
  <si>
    <t>DUR-065|MAT|3</t>
  </si>
  <si>
    <t>DUR-006</t>
  </si>
  <si>
    <t>Lana De Vidrio 40mm X 21,6m2 Alta Densidad</t>
  </si>
  <si>
    <t>DUR-065|MAT|4</t>
  </si>
  <si>
    <t>DUR-065|MAT|5</t>
  </si>
  <si>
    <t>DUR-065|MAT|6</t>
  </si>
  <si>
    <t>OTR-009</t>
  </si>
  <si>
    <t>Tornillo T3 - Aguja</t>
  </si>
  <si>
    <t>DUR-065|MAT|7</t>
  </si>
  <si>
    <t>DUR-065|MAT|8</t>
  </si>
  <si>
    <t>DUR-065|MAT|9</t>
  </si>
  <si>
    <t>DUR-065|MAT|10</t>
  </si>
  <si>
    <t>DUR-065|MO</t>
  </si>
  <si>
    <t>DUR-065|MO|1</t>
  </si>
  <si>
    <t>DUR-065|MO|2</t>
  </si>
  <si>
    <t>DUR-066</t>
  </si>
  <si>
    <t>DUR-066|EQ</t>
  </si>
  <si>
    <t>DUR-066|EQ|1</t>
  </si>
  <si>
    <t>DUR-066|EQ|2</t>
  </si>
  <si>
    <t>DUR-066|MAT</t>
  </si>
  <si>
    <t>DUR-066|MAT|1</t>
  </si>
  <si>
    <t>DUR-066|MAT|2</t>
  </si>
  <si>
    <t>DUR-066|MAT|3</t>
  </si>
  <si>
    <t>DUR-066|MAT|4</t>
  </si>
  <si>
    <t>DUR-066|MAT|5</t>
  </si>
  <si>
    <t>DUR-066|MAT|6</t>
  </si>
  <si>
    <t>DUR-066|MAT|7</t>
  </si>
  <si>
    <t>DUR-066|MAT|8</t>
  </si>
  <si>
    <t>DUR-066|MO</t>
  </si>
  <si>
    <t>DUR-066|MO|1</t>
  </si>
  <si>
    <t>DUR-066|MO|2</t>
  </si>
  <si>
    <t>DUR-091</t>
  </si>
  <si>
    <t>DUR-091|MAT</t>
  </si>
  <si>
    <t>DUR-091|MAT|1</t>
  </si>
  <si>
    <t>ACE-015</t>
  </si>
  <si>
    <t>CLAVOS DE 21/2" X 12</t>
  </si>
  <si>
    <t>KG</t>
  </si>
  <si>
    <t>DUR-091|MAT|2</t>
  </si>
  <si>
    <t>MAD-004</t>
  </si>
  <si>
    <t>Estacas</t>
  </si>
  <si>
    <t>DUR-091|MAT|3</t>
  </si>
  <si>
    <t>OTR-031</t>
  </si>
  <si>
    <t>FENOLICO 18MM. COMUN 1.22 x 2.40</t>
  </si>
  <si>
    <t>UD</t>
  </si>
  <si>
    <t>DUR-091|MAT|4</t>
  </si>
  <si>
    <t>OTR-033</t>
  </si>
  <si>
    <t>tirante 3x3 para puntal 3.66</t>
  </si>
  <si>
    <t>ml</t>
  </si>
  <si>
    <t>DUR-091|MAT|5</t>
  </si>
  <si>
    <t>OTR-034</t>
  </si>
  <si>
    <t>tirante 3x6 3.66</t>
  </si>
  <si>
    <t>un</t>
  </si>
  <si>
    <t>DUR-091|MAT|6</t>
  </si>
  <si>
    <t>DUR-091|MO</t>
  </si>
  <si>
    <t>DUR-091|MO|1</t>
  </si>
  <si>
    <t>DUR-091|MO|2</t>
  </si>
  <si>
    <t>DUR-091|MO|3</t>
  </si>
  <si>
    <t>DUR-116</t>
  </si>
  <si>
    <t>DUR-116|EQ</t>
  </si>
  <si>
    <t>DUR-116|EQ|1</t>
  </si>
  <si>
    <t>DUR-116|EQ|2</t>
  </si>
  <si>
    <t>DUR-116|MAT</t>
  </si>
  <si>
    <t>DUR-116|MAT|1</t>
  </si>
  <si>
    <t>DUR-116|MAT|2</t>
  </si>
  <si>
    <t>DUR-116|MAT|3</t>
  </si>
  <si>
    <t>DUR-116|MAT|4</t>
  </si>
  <si>
    <t>OTR-016</t>
  </si>
  <si>
    <t>Travesaño x 1.22</t>
  </si>
  <si>
    <t>DUR-116|MAT|5</t>
  </si>
  <si>
    <t>OTR-019</t>
  </si>
  <si>
    <t>Placa Decovinyl Liso 120x60</t>
  </si>
  <si>
    <t>DUR-116|MAT|6</t>
  </si>
  <si>
    <t>DUR-116|MO</t>
  </si>
  <si>
    <t>DUR-116|MO|1</t>
  </si>
  <si>
    <t>DUR-116|MO|2</t>
  </si>
  <si>
    <t>ELE-120</t>
  </si>
  <si>
    <t>ELE-120|EQ</t>
  </si>
  <si>
    <t>ELE-120|EQ|1</t>
  </si>
  <si>
    <t>EQ-EQUIP0</t>
  </si>
  <si>
    <t>EQUIPO PARA INSTALACION ELECTRICA</t>
  </si>
  <si>
    <t>ELE-120|EQ|2</t>
  </si>
  <si>
    <t>ELE-120|EQ|3</t>
  </si>
  <si>
    <t>ACE-018</t>
  </si>
  <si>
    <t>Conector hierro 7/8"</t>
  </si>
  <si>
    <t>ELE-120|MAT</t>
  </si>
  <si>
    <t>ELE-120|MAT|1</t>
  </si>
  <si>
    <t>ELE-003</t>
  </si>
  <si>
    <t>Caño rigido 7/8"</t>
  </si>
  <si>
    <t>ELE-120|MAT|2</t>
  </si>
  <si>
    <t>ELE-006</t>
  </si>
  <si>
    <t>Cupla PVC 7/8"</t>
  </si>
  <si>
    <t>ELE-120|MAT|3</t>
  </si>
  <si>
    <t>ELE-008</t>
  </si>
  <si>
    <t>Cable unipolar 1 x 1,50</t>
  </si>
  <si>
    <t>ELE-120|MAT|4</t>
  </si>
  <si>
    <t>ELE-009</t>
  </si>
  <si>
    <t>Cable unipolar 1 x 2,50 VA</t>
  </si>
  <si>
    <t>ELE-120|MAT|5</t>
  </si>
  <si>
    <t>ELE-010</t>
  </si>
  <si>
    <t>Cable unipolar 1 x 2,50 Rojo/Marron/Negro</t>
  </si>
  <si>
    <t>ELE-120|MAT|6</t>
  </si>
  <si>
    <t>ELE-012</t>
  </si>
  <si>
    <t>Caja octogonal chica</t>
  </si>
  <si>
    <t>ELE-120|MAT|7</t>
  </si>
  <si>
    <t>ELE-014</t>
  </si>
  <si>
    <t>Caja rectangular chica</t>
  </si>
  <si>
    <t>ELE-120|MAT|8</t>
  </si>
  <si>
    <t>ELE-120|MAT|9</t>
  </si>
  <si>
    <t>ELE-120|MO</t>
  </si>
  <si>
    <t>ELE-120|MO|1</t>
  </si>
  <si>
    <t>ELE-120|MO|2</t>
  </si>
  <si>
    <t>ELE-121</t>
  </si>
  <si>
    <t>ELE-121|EQ</t>
  </si>
  <si>
    <t>ELE-121|EQ|1</t>
  </si>
  <si>
    <t>ELE-121|EQ|2</t>
  </si>
  <si>
    <t>ELE-121|EQ|3</t>
  </si>
  <si>
    <t>ACE-017</t>
  </si>
  <si>
    <t>Conector hierro 3/4"</t>
  </si>
  <si>
    <t>ELE-121|MAT</t>
  </si>
  <si>
    <t>ELE-121|MAT|1</t>
  </si>
  <si>
    <t>ELE-004</t>
  </si>
  <si>
    <t>Caño rigido 3/4"</t>
  </si>
  <si>
    <t>ELE-121|MAT|2</t>
  </si>
  <si>
    <t>ELE-005</t>
  </si>
  <si>
    <t>Cupla PVC 3/4"</t>
  </si>
  <si>
    <t>ELE-121|MAT|3</t>
  </si>
  <si>
    <t>ELE-121|MAT|4</t>
  </si>
  <si>
    <t>ELE-121|MAT|5</t>
  </si>
  <si>
    <t>ELE-121|MAT|6</t>
  </si>
  <si>
    <t>ELE-121|MAT|7</t>
  </si>
  <si>
    <t>ELE-121|MO</t>
  </si>
  <si>
    <t>ELE-121|MO|1</t>
  </si>
  <si>
    <t>ELE-121|MO|2</t>
  </si>
  <si>
    <t>ELE-122</t>
  </si>
  <si>
    <t>ELE-015</t>
  </si>
  <si>
    <t>SMARTTRAY CUPLA UNION  JBCC-M6-100</t>
  </si>
  <si>
    <t>ELE-122|MAT</t>
  </si>
  <si>
    <t>ELE-122|MAT|1</t>
  </si>
  <si>
    <t>ELE-016</t>
  </si>
  <si>
    <t>GRAMPA FIJACIÓN CABLE</t>
  </si>
  <si>
    <t>ELE-122|MAT|2</t>
  </si>
  <si>
    <t>OTR-038</t>
  </si>
  <si>
    <t>SMARTTRAY TRX3M BJA PERF 200-22</t>
  </si>
  <si>
    <t>ELE-122|MAT|3</t>
  </si>
  <si>
    <t>OTR-039</t>
  </si>
  <si>
    <t>SMARTTRAY TAPA CIEGA P/BJA 200-22</t>
  </si>
  <si>
    <t>ELE-122|MAT|4</t>
  </si>
  <si>
    <t>OTR-040</t>
  </si>
  <si>
    <t>ACOMETIDA PARA TABLERO</t>
  </si>
  <si>
    <t>ELE-122|MAT|5</t>
  </si>
  <si>
    <t>OTR-041</t>
  </si>
  <si>
    <t>EMBUDO</t>
  </si>
  <si>
    <t>ELE-122|MAT|6</t>
  </si>
  <si>
    <t>OTR-042</t>
  </si>
  <si>
    <t>GRAMPA FIJACIÓN 200-22</t>
  </si>
  <si>
    <t>ELE-122|MAT|7</t>
  </si>
  <si>
    <t>OTR-044</t>
  </si>
  <si>
    <t>VARILLA ROSCADA 1/4</t>
  </si>
  <si>
    <t>ELE-122|MAT|8</t>
  </si>
  <si>
    <t>OTR-045</t>
  </si>
  <si>
    <t>TUERCA Y ARANDELA 1/4</t>
  </si>
  <si>
    <t>ELE-122|MAT|9</t>
  </si>
  <si>
    <t>ELE-122|MO</t>
  </si>
  <si>
    <t>ELE-122|MO|1</t>
  </si>
  <si>
    <t>ELE-122|MO|2</t>
  </si>
  <si>
    <t>ELE-147</t>
  </si>
  <si>
    <t>ELE-147|EQ</t>
  </si>
  <si>
    <t>ELE-147|EQ|1</t>
  </si>
  <si>
    <t>ELE-147|EQ|2</t>
  </si>
  <si>
    <t>ELE-147|EQ|3</t>
  </si>
  <si>
    <t>ELE-147|MAT</t>
  </si>
  <si>
    <t>ELE-147|MAT|1</t>
  </si>
  <si>
    <t>ELE-147|MAT|2</t>
  </si>
  <si>
    <t>ELE-147|MAT|3</t>
  </si>
  <si>
    <t>ELE-147|MAT|4</t>
  </si>
  <si>
    <t>ELE-147|MAT|5</t>
  </si>
  <si>
    <t>ELE-147|MAT|6</t>
  </si>
  <si>
    <t>ELE-013</t>
  </si>
  <si>
    <t>Caja octogonal profunda</t>
  </si>
  <si>
    <t>ELE-147|MAT|7</t>
  </si>
  <si>
    <t>ELE-147|MAT|8</t>
  </si>
  <si>
    <t>ELE-147|MAT|9</t>
  </si>
  <si>
    <t>ELE-147|MO</t>
  </si>
  <si>
    <t>ELE-147|MO|1</t>
  </si>
  <si>
    <t>ELE-147|MO|2</t>
  </si>
  <si>
    <t>ELE-148</t>
  </si>
  <si>
    <t>ELE-148|EQ</t>
  </si>
  <si>
    <t>ELE-148|EQ|1</t>
  </si>
  <si>
    <t>ELE-148|EQ|2</t>
  </si>
  <si>
    <t>ELE-148|EQ|3</t>
  </si>
  <si>
    <t>ACE-019</t>
  </si>
  <si>
    <t>Conector hierro 1"</t>
  </si>
  <si>
    <t>ELE-148|MAT</t>
  </si>
  <si>
    <t>ELE-148|MAT|1</t>
  </si>
  <si>
    <t>ELE-002</t>
  </si>
  <si>
    <t>Caño rigido 1"</t>
  </si>
  <si>
    <t>ELE-148|MAT|2</t>
  </si>
  <si>
    <t>ELE-007</t>
  </si>
  <si>
    <t>Cupla PVC 1"</t>
  </si>
  <si>
    <t>ELE-148|MAT|3</t>
  </si>
  <si>
    <t>ELE-011</t>
  </si>
  <si>
    <t>Cable unipolar 1 x 4,00</t>
  </si>
  <si>
    <t>ELE-148|MAT|4</t>
  </si>
  <si>
    <t>ELE-148|MAT|5</t>
  </si>
  <si>
    <t>ELE-148|MAT|6</t>
  </si>
  <si>
    <t>ELE-148|MO</t>
  </si>
  <si>
    <t>ELE-148|MO|1</t>
  </si>
  <si>
    <t>ELE-148|MO|2</t>
  </si>
  <si>
    <t>ELE-149</t>
  </si>
  <si>
    <t>ELE-149|EQ</t>
  </si>
  <si>
    <t>ELE-149|EQ|1</t>
  </si>
  <si>
    <t>ELE-149|EQ|2</t>
  </si>
  <si>
    <t>ELE-149|EQ|3</t>
  </si>
  <si>
    <t>ELE-149|MAT</t>
  </si>
  <si>
    <t>ELE-149|MAT|1</t>
  </si>
  <si>
    <t>ELE-149|MAT|2</t>
  </si>
  <si>
    <t>ELE-149|MAT|3</t>
  </si>
  <si>
    <t>ELE-149|MAT|4</t>
  </si>
  <si>
    <t>ELE-149|MAT|5</t>
  </si>
  <si>
    <t>ELE-149|MAT|6</t>
  </si>
  <si>
    <t>ELE-149|MO</t>
  </si>
  <si>
    <t>ELE-149|MO|1</t>
  </si>
  <si>
    <t>ELE-149|MO|2</t>
  </si>
  <si>
    <t>HOR-087</t>
  </si>
  <si>
    <t>HOR-087|MAT</t>
  </si>
  <si>
    <t>HOR-087|MAT|1</t>
  </si>
  <si>
    <t>HOR-087|MAT|2</t>
  </si>
  <si>
    <t>MAD-002</t>
  </si>
  <si>
    <t>Madera tabla corriente</t>
  </si>
  <si>
    <t>HOR-087|MAT|3</t>
  </si>
  <si>
    <t>MAD-001</t>
  </si>
  <si>
    <t>Madera tirante 5x5cm p/ traviesas</t>
  </si>
  <si>
    <t>HOR-087|MAT|4</t>
  </si>
  <si>
    <t>HOR-087|MO</t>
  </si>
  <si>
    <t>HOR-087|MO|1</t>
  </si>
  <si>
    <t>HOR-087|MO|2</t>
  </si>
  <si>
    <t>HOR-088</t>
  </si>
  <si>
    <t>HOR-088|MAT</t>
  </si>
  <si>
    <t>HOR-088|MAT|1</t>
  </si>
  <si>
    <t>HOR-088|MAT|2</t>
  </si>
  <si>
    <t>HOR-088|MAT|3</t>
  </si>
  <si>
    <t>HOR-088|MAT|4</t>
  </si>
  <si>
    <t>HOR-088|MAT|5</t>
  </si>
  <si>
    <t>HOR-088|MAT|6</t>
  </si>
  <si>
    <t>HOR-088|MO</t>
  </si>
  <si>
    <t>HOR-088|MO|1</t>
  </si>
  <si>
    <t>HOR-088|MO|2</t>
  </si>
  <si>
    <t>HOR-088|MO|3</t>
  </si>
  <si>
    <t>HOR-089</t>
  </si>
  <si>
    <t>HOR-089|MAT</t>
  </si>
  <si>
    <t>HOR-089|MAT|1</t>
  </si>
  <si>
    <t>HOR-089|MAT|2</t>
  </si>
  <si>
    <t>HOR-089|MAT|3</t>
  </si>
  <si>
    <t>HOR-089|MAT|4</t>
  </si>
  <si>
    <t>HOR-089|MAT|5</t>
  </si>
  <si>
    <t>HOR-089|MAT|6</t>
  </si>
  <si>
    <t>HOR-089|MO</t>
  </si>
  <si>
    <t>HOR-089|MO|1</t>
  </si>
  <si>
    <t>HOR-089|MO|2</t>
  </si>
  <si>
    <t>HOR-089|MO|3</t>
  </si>
  <si>
    <t>HOR-090</t>
  </si>
  <si>
    <t>HOR-090|MAT</t>
  </si>
  <si>
    <t>HOR-090|MAT|1</t>
  </si>
  <si>
    <t>HOR-090|MAT|2</t>
  </si>
  <si>
    <t>HOR-090|MAT|3</t>
  </si>
  <si>
    <t>OTR-032</t>
  </si>
  <si>
    <t>FENOLICO 18MM. LAMINADO MELAMINICO</t>
  </si>
  <si>
    <t>M2</t>
  </si>
  <si>
    <t>HOR-090|MAT|4</t>
  </si>
  <si>
    <t>HOR-090|MAT|5</t>
  </si>
  <si>
    <t>HOR-090|MAT|6</t>
  </si>
  <si>
    <t>HOR-090|MO</t>
  </si>
  <si>
    <t>HOR-090|MO|1</t>
  </si>
  <si>
    <t>HOR-090|MO|2</t>
  </si>
  <si>
    <t>HOR-090|MO|3</t>
  </si>
  <si>
    <t>HOR-106</t>
  </si>
  <si>
    <t>HOR-106|MO</t>
  </si>
  <si>
    <t>HOR-106|MO|1</t>
  </si>
  <si>
    <t>HOR-106|MO|2</t>
  </si>
  <si>
    <t>HOR-110</t>
  </si>
  <si>
    <t>HOR-110|MO</t>
  </si>
  <si>
    <t>HOR-110|MO|1</t>
  </si>
  <si>
    <t>HOR-110|MO|2</t>
  </si>
  <si>
    <t>HOR-123</t>
  </si>
  <si>
    <t>MAD-003</t>
  </si>
  <si>
    <t>Barrotes</t>
  </si>
  <si>
    <t>HOR-123|MAT</t>
  </si>
  <si>
    <t>HOR-123|MAT|1</t>
  </si>
  <si>
    <t>HOR-123|MAT|2</t>
  </si>
  <si>
    <t>MAD-005</t>
  </si>
  <si>
    <t>Fenólico común e: 18 mm</t>
  </si>
  <si>
    <t>m2</t>
  </si>
  <si>
    <t>HOR-123|MAT|3</t>
  </si>
  <si>
    <t>MAD-007</t>
  </si>
  <si>
    <t>Pie derecho saligna bruto</t>
  </si>
  <si>
    <t>HOR-123|MAT|4</t>
  </si>
  <si>
    <t>OTR-035</t>
  </si>
  <si>
    <t>Hormigon Elaborado H30</t>
  </si>
  <si>
    <t>HOR-123|MAT|5</t>
  </si>
  <si>
    <t>HOR-123|MO</t>
  </si>
  <si>
    <t>HOR-123|MO|1</t>
  </si>
  <si>
    <t>HOR-123|MO|2</t>
  </si>
  <si>
    <t>HOR-124</t>
  </si>
  <si>
    <t>HOR-124|MAT</t>
  </si>
  <si>
    <t>HOR-124|MAT|1</t>
  </si>
  <si>
    <t>HOR-124|MAT|2</t>
  </si>
  <si>
    <t>MAD-006</t>
  </si>
  <si>
    <t>Fenólico visto e: 18 mm</t>
  </si>
  <si>
    <t>HOR-124|MAT|3</t>
  </si>
  <si>
    <t>HOR-124|MAT|4</t>
  </si>
  <si>
    <t>HOR-124|MAT|5</t>
  </si>
  <si>
    <t>OTR-037</t>
  </si>
  <si>
    <t>Bombeo</t>
  </si>
  <si>
    <t>HOR-124|MAT|6</t>
  </si>
  <si>
    <t>HOR-124|MO</t>
  </si>
  <si>
    <t>HOR-124|MO|1</t>
  </si>
  <si>
    <t>HOR-124|MO|2</t>
  </si>
  <si>
    <t>OBR-138</t>
  </si>
  <si>
    <t>OBR-138|EQ</t>
  </si>
  <si>
    <t>OBR-138|EQ|1</t>
  </si>
  <si>
    <t>OBR-138|EQ|2</t>
  </si>
  <si>
    <t>OBR-138|MAT</t>
  </si>
  <si>
    <t>OBR-138|MAT|1</t>
  </si>
  <si>
    <t>OBR-138|MAT|2</t>
  </si>
  <si>
    <t>OBR-138|MAT|3</t>
  </si>
  <si>
    <t>OBR-138|MAT|4</t>
  </si>
  <si>
    <t>OTR-026</t>
  </si>
  <si>
    <t>Rodillo de lana pelo corto antigota N°22 - El Galgo</t>
  </si>
  <si>
    <t>OBR-138|MAT|5</t>
  </si>
  <si>
    <t>OBR-138|MAT|6</t>
  </si>
  <si>
    <t>OBR-138|MAT|7</t>
  </si>
  <si>
    <t>OBR-138|MAT|8</t>
  </si>
  <si>
    <t>PIN-007</t>
  </si>
  <si>
    <t>Enduido Interior x 20lts</t>
  </si>
  <si>
    <t>OBR-138|MAT|9</t>
  </si>
  <si>
    <t>REV-001</t>
  </si>
  <si>
    <t>Yeso Tuyango x 30kg</t>
  </si>
  <si>
    <t>OBR-138|MAT|10</t>
  </si>
  <si>
    <t>OBR-138|MO</t>
  </si>
  <si>
    <t>OBR-138|MO|1</t>
  </si>
  <si>
    <t>PIN-051</t>
  </si>
  <si>
    <t>PIN-051|EQ</t>
  </si>
  <si>
    <t>PIN-051|EQ|1</t>
  </si>
  <si>
    <t>PIN-051|EQ|2</t>
  </si>
  <si>
    <t>PIN-051|MAT</t>
  </si>
  <si>
    <t>PIN-051|MAT|1</t>
  </si>
  <si>
    <t>PIN-051|MAT|2</t>
  </si>
  <si>
    <t>PIN-051|MAT|3</t>
  </si>
  <si>
    <t>PIN-051|MAT|4</t>
  </si>
  <si>
    <t>PIN-051|MAT|5</t>
  </si>
  <si>
    <t>PIN-051|MAT|6</t>
  </si>
  <si>
    <t>PIN-051|MAT|7</t>
  </si>
  <si>
    <t>PIN-051|MAT|8</t>
  </si>
  <si>
    <t>PIN-051|MAT|9</t>
  </si>
  <si>
    <t>PIN-051|MAT|10</t>
  </si>
  <si>
    <t>PIN-051|MO</t>
  </si>
  <si>
    <t>PIN-051|MO|1</t>
  </si>
  <si>
    <t>PIN-051|MO|2</t>
  </si>
  <si>
    <t>PIN-052</t>
  </si>
  <si>
    <t>PIN-052|EQ</t>
  </si>
  <si>
    <t>PIN-052|EQ|1</t>
  </si>
  <si>
    <t>PIN-052|EQ|2</t>
  </si>
  <si>
    <t>PIN-052|EQ|3</t>
  </si>
  <si>
    <t>PIN-052|MAT</t>
  </si>
  <si>
    <t>PIN-052|MAT|1</t>
  </si>
  <si>
    <t>PIN-052|MAT|2</t>
  </si>
  <si>
    <t>PIN-052|MAT|3</t>
  </si>
  <si>
    <t>PIN-052|MAT|4</t>
  </si>
  <si>
    <t>PIN-052|MAT|5</t>
  </si>
  <si>
    <t>PIN-052|MAT|6</t>
  </si>
  <si>
    <t>PIN-052|MAT|7</t>
  </si>
  <si>
    <t>PIN-052|MAT|8</t>
  </si>
  <si>
    <t>PIN-052|MAT|9</t>
  </si>
  <si>
    <t>PIN-052|MAT|10</t>
  </si>
  <si>
    <t>PIN-052|MO</t>
  </si>
  <si>
    <t>PIN-052|MO|1</t>
  </si>
  <si>
    <t>PIN-052|MO|2</t>
  </si>
  <si>
    <t>PIN-053</t>
  </si>
  <si>
    <t>PIN-053|EQ</t>
  </si>
  <si>
    <t>PIN-053|EQ|1</t>
  </si>
  <si>
    <t>PIN-053|EQ|2</t>
  </si>
  <si>
    <t>PIN-053|MAT</t>
  </si>
  <si>
    <t>PIN-053|MAT|1</t>
  </si>
  <si>
    <t>PIN-053|MAT|2</t>
  </si>
  <si>
    <t>PIN-053|MAT|3</t>
  </si>
  <si>
    <t>PIN-053|MAT|4</t>
  </si>
  <si>
    <t>PIN-053|MAT|5</t>
  </si>
  <si>
    <t>PIN-053|MAT|6</t>
  </si>
  <si>
    <t>PIN-053|MAT|7</t>
  </si>
  <si>
    <t>PIN-053|MAT|8</t>
  </si>
  <si>
    <t>PIN-053|MO</t>
  </si>
  <si>
    <t>PIN-053|MO|1</t>
  </si>
  <si>
    <t>PIN-054</t>
  </si>
  <si>
    <t>PIN-054|EQ</t>
  </si>
  <si>
    <t>PIN-054|EQ|1</t>
  </si>
  <si>
    <t>PIN-054|EQ|2</t>
  </si>
  <si>
    <t>PIN-054|MAT</t>
  </si>
  <si>
    <t>PIN-054|MAT|1</t>
  </si>
  <si>
    <t>PIN-054|MAT|2</t>
  </si>
  <si>
    <t>PIN-054|MAT|3</t>
  </si>
  <si>
    <t>PIN-054|MAT|4</t>
  </si>
  <si>
    <t>PIN-054|MAT|5</t>
  </si>
  <si>
    <t>PIN-054|MAT|6</t>
  </si>
  <si>
    <t>PIN-054|MAT|7</t>
  </si>
  <si>
    <t>PIN-006</t>
  </si>
  <si>
    <t>Esmalte sintetico satinado Satinol Blanco x 4lts</t>
  </si>
  <si>
    <t>PIN-054|MAT|8</t>
  </si>
  <si>
    <t>PIN-054|MO</t>
  </si>
  <si>
    <t>PIN-054|MO|1</t>
  </si>
  <si>
    <t>PIN-055</t>
  </si>
  <si>
    <t>PIN-055|EQ</t>
  </si>
  <si>
    <t>PIN-055|EQ|1</t>
  </si>
  <si>
    <t>PIN-055|EQ|2</t>
  </si>
  <si>
    <t>PIN-055|EQ|3</t>
  </si>
  <si>
    <t>EQ-SILLET</t>
  </si>
  <si>
    <t>Kit Complementario Silleta Descensor Conector Soga X 50 Mts</t>
  </si>
  <si>
    <t>PIN-055|EQ|4</t>
  </si>
  <si>
    <t>PIN-055|MAT</t>
  </si>
  <si>
    <t>PIN-055|MAT|1</t>
  </si>
  <si>
    <t>PIN-055|MAT|2</t>
  </si>
  <si>
    <t>PIN-055|MAT|3</t>
  </si>
  <si>
    <t>OTR-030</t>
  </si>
  <si>
    <t>Llana Plástica 12 x 25 cm</t>
  </si>
  <si>
    <t>PIN-055|MAT|4</t>
  </si>
  <si>
    <t>REV-009</t>
  </si>
  <si>
    <t>Quimtex Romano Fino x 27 kg</t>
  </si>
  <si>
    <t>PIN-055|MAT|5</t>
  </si>
  <si>
    <t>REV-010</t>
  </si>
  <si>
    <t>Quimtex base cuarzo 18 lts</t>
  </si>
  <si>
    <t>PIN-055|MAT|6</t>
  </si>
  <si>
    <t>PIN-055|MO</t>
  </si>
  <si>
    <t>PIN-055|MO|1</t>
  </si>
  <si>
    <t>PIN-055|MO|2</t>
  </si>
  <si>
    <t>PIN-055|MO|3</t>
  </si>
  <si>
    <t>PIN-059</t>
  </si>
  <si>
    <t>PIN-059|EQ</t>
  </si>
  <si>
    <t>PIN-059|EQ|1</t>
  </si>
  <si>
    <t>PIN-059|EQ|2</t>
  </si>
  <si>
    <t>PIN-059|MAT</t>
  </si>
  <si>
    <t>PIN-059|MAT|1</t>
  </si>
  <si>
    <t>PIN-059|MAT|2</t>
  </si>
  <si>
    <t>PIN-059|MAT|3</t>
  </si>
  <si>
    <t>PIN-059|MAT|4</t>
  </si>
  <si>
    <t>PIN-059|MAT|5</t>
  </si>
  <si>
    <t>PIN-059|MAT|6</t>
  </si>
  <si>
    <t>PIN-059|MAT|7</t>
  </si>
  <si>
    <t>PIN-059|MAT|8</t>
  </si>
  <si>
    <t>PIN-059|MAT|9</t>
  </si>
  <si>
    <t>PIN-059|MAT|10</t>
  </si>
  <si>
    <t>PIN-059|MO</t>
  </si>
  <si>
    <t>PIN-059|MO|1</t>
  </si>
  <si>
    <t>PIN-059|MO|2</t>
  </si>
  <si>
    <t>PIN-067</t>
  </si>
  <si>
    <t>PIN-067|EQ</t>
  </si>
  <si>
    <t>PIN-067|EQ|1</t>
  </si>
  <si>
    <t>PIN-067|EQ|2</t>
  </si>
  <si>
    <t>PIN-067|MAT</t>
  </si>
  <si>
    <t>PIN-067|MAT|1</t>
  </si>
  <si>
    <t>PIN-067|MAT|2</t>
  </si>
  <si>
    <t>PIN-067|MAT|3</t>
  </si>
  <si>
    <t>PIN-067|MAT|4</t>
  </si>
  <si>
    <t>PIN-067|MAT|5</t>
  </si>
  <si>
    <t>PIN-067|MAT|6</t>
  </si>
  <si>
    <t>PIN-067|MAT|7</t>
  </si>
  <si>
    <t>PIN-067|MAT|8</t>
  </si>
  <si>
    <t>PIN-067|MAT|9</t>
  </si>
  <si>
    <t>PIN-067|MO</t>
  </si>
  <si>
    <t>PIN-067|MO|1</t>
  </si>
  <si>
    <t>PIN-067|MO|2</t>
  </si>
  <si>
    <t>PIN-071</t>
  </si>
  <si>
    <t>PIN-071|EQ</t>
  </si>
  <si>
    <t>PIN-071|EQ|1</t>
  </si>
  <si>
    <t>PIN-071|EQ|2</t>
  </si>
  <si>
    <t>ADT-002</t>
  </si>
  <si>
    <t>Venda SikaTEX 75 - Rollo</t>
  </si>
  <si>
    <t>PIN-071|MAT</t>
  </si>
  <si>
    <t>PIN-071|MAT|1</t>
  </si>
  <si>
    <t>ELE-001</t>
  </si>
  <si>
    <t>Recuplast Tradicional Blanco x 20 lts</t>
  </si>
  <si>
    <t>PIN-071|MAT|2</t>
  </si>
  <si>
    <t>PIN-071|MAT|3</t>
  </si>
  <si>
    <t>PIN-071|MAT|4</t>
  </si>
  <si>
    <t>PIN-071|MAT|5</t>
  </si>
  <si>
    <t>PIN-071|MO</t>
  </si>
  <si>
    <t>PIN-071|MO|1</t>
  </si>
  <si>
    <t>PIN-071|MO|2</t>
  </si>
  <si>
    <t>PIN-073</t>
  </si>
  <si>
    <t>PIN-073|EQ</t>
  </si>
  <si>
    <t>PIN-073|EQ|1</t>
  </si>
  <si>
    <t>PIN-073|EQ|2</t>
  </si>
  <si>
    <t>PIN-073|MAT</t>
  </si>
  <si>
    <t>PIN-073|MAT|1</t>
  </si>
  <si>
    <t>PIN-073|MAT|2</t>
  </si>
  <si>
    <t>PIN-073|MAT|3</t>
  </si>
  <si>
    <t>PIN-073|MAT|4</t>
  </si>
  <si>
    <t>PIN-073|MAT|5</t>
  </si>
  <si>
    <t>PIN-073|MAT|6</t>
  </si>
  <si>
    <t>PIN-073|MAT|7</t>
  </si>
  <si>
    <t>PIN-073|MO</t>
  </si>
  <si>
    <t>PIN-073|MO|1</t>
  </si>
  <si>
    <t>PIN-113</t>
  </si>
  <si>
    <t>PIN-113|EQ</t>
  </si>
  <si>
    <t>PIN-113|EQ|1</t>
  </si>
  <si>
    <t>PIN-113|MAT</t>
  </si>
  <si>
    <t>PIN-113|MAT|1</t>
  </si>
  <si>
    <t>PIN-113|MAT|2</t>
  </si>
  <si>
    <t>PIN-113|MAT|3</t>
  </si>
  <si>
    <t>PIN-113|MAT|4</t>
  </si>
  <si>
    <t>PIN-113|MAT|5</t>
  </si>
  <si>
    <t>PIN-113|MO</t>
  </si>
  <si>
    <t>PIN-113|MO|1</t>
  </si>
  <si>
    <t>PIN-113|MO|2</t>
  </si>
  <si>
    <t>PIN-137</t>
  </si>
  <si>
    <t>PIN-137|EQ</t>
  </si>
  <si>
    <t>PIN-137|EQ|1</t>
  </si>
  <si>
    <t>PIN-137|EQ|2</t>
  </si>
  <si>
    <t>PIN-137|MAT</t>
  </si>
  <si>
    <t>PIN-137|MAT|1</t>
  </si>
  <si>
    <t>PIN-137|MAT|2</t>
  </si>
  <si>
    <t>PIN-137|MAT|3</t>
  </si>
  <si>
    <t>PIN-137|MAT|4</t>
  </si>
  <si>
    <t>PIN-137|MAT|5</t>
  </si>
  <si>
    <t>PIN-137|MAT|6</t>
  </si>
  <si>
    <t>PIN-137|MAT|7</t>
  </si>
  <si>
    <t>PIN-137|MAT|8</t>
  </si>
  <si>
    <t>PIN-137|MAT|9</t>
  </si>
  <si>
    <t>PIN-137|MAT|10</t>
  </si>
  <si>
    <t>PIN-137|MO</t>
  </si>
  <si>
    <t>PIN-137|MO|1</t>
  </si>
  <si>
    <t>PIN-146</t>
  </si>
  <si>
    <t>PIN-146|EQ</t>
  </si>
  <si>
    <t>PIN-146|EQ|1</t>
  </si>
  <si>
    <t>PIN-146|EQ|2</t>
  </si>
  <si>
    <t>PIN-146|MAT</t>
  </si>
  <si>
    <t>PIN-146|MAT|1</t>
  </si>
  <si>
    <t>PIN-146|MAT|2</t>
  </si>
  <si>
    <t>PIN-146|MAT|3</t>
  </si>
  <si>
    <t>PIN-146|MAT|4</t>
  </si>
  <si>
    <t>PIN-146|MAT|5</t>
  </si>
  <si>
    <t>PIN-146|MAT|6</t>
  </si>
  <si>
    <t>PIN-146|MAT|7</t>
  </si>
  <si>
    <t>PIN-146|MAT|8</t>
  </si>
  <si>
    <t>PIN-146|MO</t>
  </si>
  <si>
    <t>PIN-146|MO|1</t>
  </si>
  <si>
    <t>PIN-53B</t>
  </si>
  <si>
    <t>PIN-53B|EQ</t>
  </si>
  <si>
    <t>PIN-53B|EQ|1</t>
  </si>
  <si>
    <t>PIN-53B|EQ|2</t>
  </si>
  <si>
    <t>PIN-53B|EQ|3</t>
  </si>
  <si>
    <t>PIN-53B|EQ|4</t>
  </si>
  <si>
    <t>PIN-53B|MAT</t>
  </si>
  <si>
    <t>PIN-53B|MAT|1</t>
  </si>
  <si>
    <t>PIN-53B|MAT|2</t>
  </si>
  <si>
    <t>PIN-53B|MAT|3</t>
  </si>
  <si>
    <t>PIN-53B|MAT|4</t>
  </si>
  <si>
    <t>PIN-53B|MAT|5</t>
  </si>
  <si>
    <t>PIN-53B|MAT|6</t>
  </si>
  <si>
    <t>PIN-53B|MAT|7</t>
  </si>
  <si>
    <t>PIN-003</t>
  </si>
  <si>
    <t>Latex Loxon Exterior Sherwin Williams Mate Bco x 20lts</t>
  </si>
  <si>
    <t>PIN-53B|MAT|8</t>
  </si>
  <si>
    <t>PIN-53B|MO</t>
  </si>
  <si>
    <t>PIN-53B|MO|1</t>
  </si>
  <si>
    <t>PIN-53B|MO|2</t>
  </si>
  <si>
    <t>PIN-53B|MO|3</t>
  </si>
  <si>
    <t>PRE-032</t>
  </si>
  <si>
    <t>EQ-COMPCT</t>
  </si>
  <si>
    <t>Compactador pata de cabra 612H - (c/operario y combustible) - Alq. X dia</t>
  </si>
  <si>
    <t>PRE-032|EQ</t>
  </si>
  <si>
    <t>PRE-032|EQ|1</t>
  </si>
  <si>
    <t>EQ-PALA310</t>
  </si>
  <si>
    <t>Pala y retro 310J (c/ operario y combustible)</t>
  </si>
  <si>
    <t>PRE-032|EQ|2</t>
  </si>
  <si>
    <t>EQ-VOLC</t>
  </si>
  <si>
    <t>Camion chasis volcador 170E22 - (c/ operario y combustible) - Alq. X dia</t>
  </si>
  <si>
    <t>PRE-032|EQ|3</t>
  </si>
  <si>
    <t>AGR-008</t>
  </si>
  <si>
    <t>Aporte de Tosca</t>
  </si>
  <si>
    <t>PRE-032|MAT</t>
  </si>
  <si>
    <t>PRE-032|MAT|1</t>
  </si>
  <si>
    <t>PRE-032|MO</t>
  </si>
  <si>
    <t>PRE-032|MO|1</t>
  </si>
  <si>
    <t>PRE-032|MO|2</t>
  </si>
  <si>
    <t>PTO-0102</t>
  </si>
  <si>
    <t>EQ-PTO028</t>
  </si>
  <si>
    <t>Herramientas menores y consumibles - Topógrafo - Visita de obra replanteo</t>
  </si>
  <si>
    <t>PTO-0102|EQ</t>
  </si>
  <si>
    <t>PTO-0102|EQ|1</t>
  </si>
  <si>
    <t>Preliminar</t>
  </si>
  <si>
    <t>OTR-PTO144</t>
  </si>
  <si>
    <t>Consumibles topógrafo y obras preliminares</t>
  </si>
  <si>
    <t>PTO-0102|MAT</t>
  </si>
  <si>
    <t>PTO-0102|MAT|1</t>
  </si>
  <si>
    <t>PTO-0102|MO</t>
  </si>
  <si>
    <t>PTO-0102|MO|1</t>
  </si>
  <si>
    <t>SUB-PTO001</t>
  </si>
  <si>
    <t>M.Obra topografo</t>
  </si>
  <si>
    <t>PTO-0102|MO|2</t>
  </si>
  <si>
    <t>PTO-0104</t>
  </si>
  <si>
    <t>EQ-PTO029</t>
  </si>
  <si>
    <t>Herramientas menores y consumibles - Cerco de obra perimetral - En chapa C25 + Concerti</t>
  </si>
  <si>
    <t>PTO-0104|EQ</t>
  </si>
  <si>
    <t>PTO-0104|EQ|1</t>
  </si>
  <si>
    <t>PTO-0104|MAT</t>
  </si>
  <si>
    <t>PTO-0104|MAT|1</t>
  </si>
  <si>
    <t>OTR-PTO002</t>
  </si>
  <si>
    <t>Chapa acanalada C25</t>
  </si>
  <si>
    <t>PTO-0104|MAT|2</t>
  </si>
  <si>
    <t>OTR-PTO003</t>
  </si>
  <si>
    <t>Perfiles UPN 100</t>
  </si>
  <si>
    <t>PTO-0104|MAT|3</t>
  </si>
  <si>
    <t>OTR-PTO004</t>
  </si>
  <si>
    <t xml:space="preserve">Bastidor para porton corredizo - Perfil 40 x 40 x 2 </t>
  </si>
  <si>
    <t>PTO-0104|MAT|4</t>
  </si>
  <si>
    <t>OTR-PTO005</t>
  </si>
  <si>
    <t>Riel Roma 174 e: 2,1 mm. 53 x 60 x 6000</t>
  </si>
  <si>
    <t>PTO-0104|MAT|5</t>
  </si>
  <si>
    <t>OTR-PTO006</t>
  </si>
  <si>
    <t>Carro acero 174 4 ruedas puertas portones Ø45mm</t>
  </si>
  <si>
    <t>PTO-0104|MAT|6</t>
  </si>
  <si>
    <t>OTR-PTO007</t>
  </si>
  <si>
    <t xml:space="preserve">Autoperforantes punta mecha 14 x 2 </t>
  </si>
  <si>
    <t>PTO-0104|MAT|7</t>
  </si>
  <si>
    <t>OTR-PTO008</t>
  </si>
  <si>
    <t>Rollo Concertina</t>
  </si>
  <si>
    <t>rol</t>
  </si>
  <si>
    <t>PTO-0104|MAT|8</t>
  </si>
  <si>
    <t>PTO-0104|MO</t>
  </si>
  <si>
    <t>PTO-0104|MO|1</t>
  </si>
  <si>
    <t>PTO-0104|MO|2</t>
  </si>
  <si>
    <t>PTO-0104|MO|3</t>
  </si>
  <si>
    <t>PTO-0105</t>
  </si>
  <si>
    <t>EQ-PTO030</t>
  </si>
  <si>
    <t>Herramientas menores y consumibles - Obrador, pañol y ducha.</t>
  </si>
  <si>
    <t>PTO-0105|EQ</t>
  </si>
  <si>
    <t>PTO-0105|EQ|1</t>
  </si>
  <si>
    <t>OTR-PTO015</t>
  </si>
  <si>
    <t xml:space="preserve">Materiales varios </t>
  </si>
  <si>
    <t>PTO-0105|MAT</t>
  </si>
  <si>
    <t>PTO-0105|MAT|1</t>
  </si>
  <si>
    <t>OTR-PTO009</t>
  </si>
  <si>
    <t>Chapa acanalada C25 - Reutilizado (estimado 3 usos)</t>
  </si>
  <si>
    <t>PTO-0105|MAT|2</t>
  </si>
  <si>
    <t>OTR-PTO010</t>
  </si>
  <si>
    <t>Fenolico 1,22 x 2,44 - Reutilizado (estimado 3 usos)</t>
  </si>
  <si>
    <t>PTO-0105|MAT|3</t>
  </si>
  <si>
    <t>OTR-PTO011</t>
  </si>
  <si>
    <t>Puntales 1 x 4 x 3,7 - Reutilizado (estimado 3 usos)</t>
  </si>
  <si>
    <t>PTO-0105|MAT|4</t>
  </si>
  <si>
    <t>OTR-PTO012</t>
  </si>
  <si>
    <t>Puntales 3 x 3 x 3,7 - Reutilizado (estimado 3 usos)</t>
  </si>
  <si>
    <t>PTO-0105|MAT|5</t>
  </si>
  <si>
    <t>OTR-PTO013</t>
  </si>
  <si>
    <t xml:space="preserve">Flechas 3 x 6 x 3,7 - Reutilizado (estimado 3 usos) </t>
  </si>
  <si>
    <t>PTO-0105|MAT|6</t>
  </si>
  <si>
    <t>OTR-PTO014</t>
  </si>
  <si>
    <t xml:space="preserve">Escalera </t>
  </si>
  <si>
    <t>PTO-0105|MAT|7</t>
  </si>
  <si>
    <t>OTR-PTO016</t>
  </si>
  <si>
    <t xml:space="preserve">Rollo de cable TPR 3 x 2,5 </t>
  </si>
  <si>
    <t xml:space="preserve">rol </t>
  </si>
  <si>
    <t>PTO-0105|MAT|8</t>
  </si>
  <si>
    <t>OTR-PTO017</t>
  </si>
  <si>
    <t>Zocalo E27</t>
  </si>
  <si>
    <t>PTO-0105|MAT|9</t>
  </si>
  <si>
    <t>OTR-PTO018</t>
  </si>
  <si>
    <t>Lampara Led 12 w</t>
  </si>
  <si>
    <t>PTO-0105|MAT|10</t>
  </si>
  <si>
    <t>OTR-PTO019</t>
  </si>
  <si>
    <t xml:space="preserve">Mat. Elect. (tomas, enchufes, etc.) </t>
  </si>
  <si>
    <t>PTO-0105|MAT|11</t>
  </si>
  <si>
    <t>OTR-PTO020</t>
  </si>
  <si>
    <t>Materiales Sanit</t>
  </si>
  <si>
    <t>PTO-0105|MAT|12</t>
  </si>
  <si>
    <t>OTR-PTO021</t>
  </si>
  <si>
    <t>Inodoro</t>
  </si>
  <si>
    <t>PTO-0105|MAT|13</t>
  </si>
  <si>
    <t>OTR-PTO022</t>
  </si>
  <si>
    <t xml:space="preserve">Mochila plastico </t>
  </si>
  <si>
    <t>PTO-0105|MAT|14</t>
  </si>
  <si>
    <t>OTR-PTO023</t>
  </si>
  <si>
    <t xml:space="preserve">Bacha </t>
  </si>
  <si>
    <t>PTO-0105|MAT|15</t>
  </si>
  <si>
    <t>OTR-PTO024</t>
  </si>
  <si>
    <t>Termo electrico 40 lts</t>
  </si>
  <si>
    <t>PTO-0105|MAT|16</t>
  </si>
  <si>
    <t>PTO-0105|MO</t>
  </si>
  <si>
    <t>PTO-0105|MO|1</t>
  </si>
  <si>
    <t>PTO-0105|MO|2</t>
  </si>
  <si>
    <t>PTO-0105|MO|3</t>
  </si>
  <si>
    <t>PTO-0105|MO|4</t>
  </si>
  <si>
    <t>SUB-PTO002</t>
  </si>
  <si>
    <t>Flete madera</t>
  </si>
  <si>
    <t>PTO-0105|MO|5</t>
  </si>
  <si>
    <t>SUB-PTO003</t>
  </si>
  <si>
    <t>Flete retiro</t>
  </si>
  <si>
    <t>PTO-0105|MO|6</t>
  </si>
  <si>
    <t>PTO-0106</t>
  </si>
  <si>
    <t>SUB-PTO078</t>
  </si>
  <si>
    <t xml:space="preserve">Baño portatil / Ducha </t>
  </si>
  <si>
    <t>PTO-0106|MO</t>
  </si>
  <si>
    <t>PTO-0106|MO|1</t>
  </si>
  <si>
    <t>SUB-PTO079</t>
  </si>
  <si>
    <t xml:space="preserve">Traslado flete entrega/ retiro </t>
  </si>
  <si>
    <t>PTO-0106|MO|2</t>
  </si>
  <si>
    <t>PTO-0107</t>
  </si>
  <si>
    <t>EQ-PTO031</t>
  </si>
  <si>
    <t>Herramientas menores y consumibles - Conexión pilar y luz de obra + Tablero de obra</t>
  </si>
  <si>
    <t>PTO-0107|EQ</t>
  </si>
  <si>
    <t>PTO-0107|EQ|1</t>
  </si>
  <si>
    <t>OTR-PTO025</t>
  </si>
  <si>
    <t>Pilar de obra, albañileria</t>
  </si>
  <si>
    <t>d</t>
  </si>
  <si>
    <t>PTO-0107|MAT</t>
  </si>
  <si>
    <t>PTO-0107|MAT|1</t>
  </si>
  <si>
    <t>OTR-PTO026</t>
  </si>
  <si>
    <t>Kit medidor pilar Edenor Conextube</t>
  </si>
  <si>
    <t>PTO-0107|MAT|2</t>
  </si>
  <si>
    <t>OTR-PTO027</t>
  </si>
  <si>
    <t>Kit jabalina + caja + toma cable</t>
  </si>
  <si>
    <t>PTO-0107|MAT|3</t>
  </si>
  <si>
    <t>OTR-PTO028</t>
  </si>
  <si>
    <t>Cable subterraneo 5 x 10 mm2</t>
  </si>
  <si>
    <t>mts</t>
  </si>
  <si>
    <t>PTO-0107|MAT|4</t>
  </si>
  <si>
    <t>OTR-PTO029</t>
  </si>
  <si>
    <t>Tablero de obra</t>
  </si>
  <si>
    <t>PTO-0107|MAT|5</t>
  </si>
  <si>
    <t>PTO-0107|MO</t>
  </si>
  <si>
    <t>PTO-0107|MO|1</t>
  </si>
  <si>
    <t>PTO-0107|MO|2</t>
  </si>
  <si>
    <t>PTO-0107|MO|3</t>
  </si>
  <si>
    <t>PTO-0108</t>
  </si>
  <si>
    <t>EQ-PTO032</t>
  </si>
  <si>
    <t>Herramientas menores y consumibles - Conexión agua de obra, tanque + bomba</t>
  </si>
  <si>
    <t>PTO-0108|EQ</t>
  </si>
  <si>
    <t>PTO-0108|EQ|1</t>
  </si>
  <si>
    <t>OTR-PTO030</t>
  </si>
  <si>
    <t>Tanque de Bombeo 500 lts (reutilizado)</t>
  </si>
  <si>
    <t>PTO-0108|MAT</t>
  </si>
  <si>
    <t>PTO-0108|MAT|1</t>
  </si>
  <si>
    <t>OTR-PTO031</t>
  </si>
  <si>
    <t xml:space="preserve">Bomba pres (reutilizada) </t>
  </si>
  <si>
    <t>PTO-0108|MAT|2</t>
  </si>
  <si>
    <t>OTR-PTO032</t>
  </si>
  <si>
    <t xml:space="preserve">Flotante mecanico 1" + boya </t>
  </si>
  <si>
    <t>PTO-0108|MAT|3</t>
  </si>
  <si>
    <t>OTR-PTO033</t>
  </si>
  <si>
    <t>Flotante automatico</t>
  </si>
  <si>
    <t>PTO-0108|MAT|4</t>
  </si>
  <si>
    <t>OTR-PTO034</t>
  </si>
  <si>
    <t>Caño 3/4"</t>
  </si>
  <si>
    <t>PTO-0108|MAT|5</t>
  </si>
  <si>
    <t>OTR-PTO035</t>
  </si>
  <si>
    <t>Val. esf doble media union 1"</t>
  </si>
  <si>
    <t>PTO-0108|MAT|6</t>
  </si>
  <si>
    <t>OTR-PTO036</t>
  </si>
  <si>
    <t xml:space="preserve">Canilla de pvc </t>
  </si>
  <si>
    <t>PTO-0108|MAT|7</t>
  </si>
  <si>
    <t>OTR-PTO037</t>
  </si>
  <si>
    <t>Desperdicio</t>
  </si>
  <si>
    <t>PTO-0108|MAT|8</t>
  </si>
  <si>
    <t>PTO-0108|MO</t>
  </si>
  <si>
    <t>PTO-0108|MO|1</t>
  </si>
  <si>
    <t>PTO-0108|MO|2</t>
  </si>
  <si>
    <t>PTO-0109</t>
  </si>
  <si>
    <t>SUB-CERTLUZ2</t>
  </si>
  <si>
    <t>Luz de Obra</t>
  </si>
  <si>
    <t>PTO-0109|MO</t>
  </si>
  <si>
    <t>PTO-0109|MO|1</t>
  </si>
  <si>
    <t>SUB-MEDPAT</t>
  </si>
  <si>
    <t>Medicion PAT luz de obra</t>
  </si>
  <si>
    <t>PTO-0109|MO|2</t>
  </si>
  <si>
    <t>SUB-PTO004</t>
  </si>
  <si>
    <t>Gestion suministro luz de obra</t>
  </si>
  <si>
    <t>PTO-0109|MO|3</t>
  </si>
  <si>
    <t>PTO-0201</t>
  </si>
  <si>
    <t>EQ-PTO033</t>
  </si>
  <si>
    <t xml:space="preserve">Herramientas menores y consumibles - Excavación a maquina para submuración, subsuelo y </t>
  </si>
  <si>
    <t>PTO-0201|EQ</t>
  </si>
  <si>
    <t>PTO-0201|EQ|1</t>
  </si>
  <si>
    <t>Hormigón</t>
  </si>
  <si>
    <t>PTO-0201|MO</t>
  </si>
  <si>
    <t>PTO-0201|MO|1</t>
  </si>
  <si>
    <t>SUB-PTO005</t>
  </si>
  <si>
    <t>Subcontrato + 50%  - Celsi VIAL</t>
  </si>
  <si>
    <t>PTO-0201|MO|2</t>
  </si>
  <si>
    <t>PTO-0202</t>
  </si>
  <si>
    <t>EQ-PTO034</t>
  </si>
  <si>
    <t xml:space="preserve">Herramientas menores y consumibles - Perfilado manual de bases. Relleno y compactación </t>
  </si>
  <si>
    <t>PTO-0202|EQ</t>
  </si>
  <si>
    <t>PTO-0202|EQ|1</t>
  </si>
  <si>
    <t>OTR-PTO038</t>
  </si>
  <si>
    <t>Alquiler vibropison</t>
  </si>
  <si>
    <t>PTO-0202|MAT</t>
  </si>
  <si>
    <t>PTO-0202|MAT|1</t>
  </si>
  <si>
    <t>PTO-0202|MO</t>
  </si>
  <si>
    <t>PTO-0202|MO|1</t>
  </si>
  <si>
    <t>SUB-VIBRO1</t>
  </si>
  <si>
    <t>Alquiler vibropisson</t>
  </si>
  <si>
    <t>PTO-0202|MO|2</t>
  </si>
  <si>
    <t>PTO-0203</t>
  </si>
  <si>
    <t>EQ-PTO004</t>
  </si>
  <si>
    <t>Herramientas y consumibles Excavación manual para vigas de fundación</t>
  </si>
  <si>
    <t>PTO-0203|EQ</t>
  </si>
  <si>
    <t>PTO-0203|EQ|1</t>
  </si>
  <si>
    <t>OTR-PTO039</t>
  </si>
  <si>
    <t>Excavación manual para vigas de fundación</t>
  </si>
  <si>
    <t>PTO-0203|MAT</t>
  </si>
  <si>
    <t>PTO-0203|MAT|1</t>
  </si>
  <si>
    <t>PTO-0203|MO</t>
  </si>
  <si>
    <t>PTO-0203|MO|1</t>
  </si>
  <si>
    <t>PTO-0301</t>
  </si>
  <si>
    <t>EQ-PTO035</t>
  </si>
  <si>
    <t>Herramientas menores y consumibles - Hormigón de limpieza - e: 10 cm</t>
  </si>
  <si>
    <t>PTO-0301|EQ</t>
  </si>
  <si>
    <t>PTO-0301|EQ|1</t>
  </si>
  <si>
    <t>PTO-0301|MAT</t>
  </si>
  <si>
    <t>PTO-0301|MAT|1</t>
  </si>
  <si>
    <t>OTR-PTO040</t>
  </si>
  <si>
    <t>H8</t>
  </si>
  <si>
    <t>PTO-0301|MAT|2</t>
  </si>
  <si>
    <t>OTR-PTO041</t>
  </si>
  <si>
    <t>Bomba</t>
  </si>
  <si>
    <t>PTO-0301|MAT|3</t>
  </si>
  <si>
    <t>PTO-0301|MO</t>
  </si>
  <si>
    <t>PTO-0301|MO|1</t>
  </si>
  <si>
    <t>PTO-0301|MO|2</t>
  </si>
  <si>
    <t>PTO-0301|MO|3</t>
  </si>
  <si>
    <t>PTO-0302</t>
  </si>
  <si>
    <t>EQ-PTO036</t>
  </si>
  <si>
    <t>Herramientas menores y consumibles - Pilotes de tracción Ø 20 cm - (120 kg/m3 de hierro</t>
  </si>
  <si>
    <t>PTO-0302|EQ</t>
  </si>
  <si>
    <t>PTO-0302|EQ|1</t>
  </si>
  <si>
    <t>PTO-0302|MAT</t>
  </si>
  <si>
    <t>PTO-0302|MAT|1</t>
  </si>
  <si>
    <t>OTR-PTO042</t>
  </si>
  <si>
    <t>Hierro del 6</t>
  </si>
  <si>
    <t>PTO-0302|MAT|2</t>
  </si>
  <si>
    <t>OTR-PTO043</t>
  </si>
  <si>
    <t>CEMENTO AVELLANEDA x 50 KG</t>
  </si>
  <si>
    <t>PTO-0302|MAT|3</t>
  </si>
  <si>
    <t>SUB-PTO007</t>
  </si>
  <si>
    <t>M.O</t>
  </si>
  <si>
    <t>PTO-0302|MO</t>
  </si>
  <si>
    <t>PTO-0302|MO|1</t>
  </si>
  <si>
    <t>PTO-0303</t>
  </si>
  <si>
    <t>EQ-PTO005</t>
  </si>
  <si>
    <t>Herramientas y consumibles Tabique submuración - H35 (95 kg/m3 de hierro)</t>
  </si>
  <si>
    <t>PTO-0303|EQ</t>
  </si>
  <si>
    <t>PTO-0303|EQ|1</t>
  </si>
  <si>
    <t>OTR-PTO044</t>
  </si>
  <si>
    <t>Tabique submuración - H35 (95 kg/m3 de hierro)</t>
  </si>
  <si>
    <t>PTO-0303|MAT</t>
  </si>
  <si>
    <t>PTO-0303|MAT|1</t>
  </si>
  <si>
    <t>SUB-PTO008</t>
  </si>
  <si>
    <t>MO Tabique submuración - H35 (95 kg/m3 de hierro)</t>
  </si>
  <si>
    <t>PTO-0303|MO</t>
  </si>
  <si>
    <t>PTO-0303|MO|1</t>
  </si>
  <si>
    <t>PTO-0304</t>
  </si>
  <si>
    <t>EQ-PTO006</t>
  </si>
  <si>
    <t>Herramientas y consumibles Zapata corrida tabique - H35 (120 kg/m3 de hierro)</t>
  </si>
  <si>
    <t>PTO-0304|EQ</t>
  </si>
  <si>
    <t>PTO-0304|EQ|1</t>
  </si>
  <si>
    <t>OTR-PTO045</t>
  </si>
  <si>
    <t>Zapata corrida tabique - H35 (120 kg/m3 de hierro)</t>
  </si>
  <si>
    <t>PTO-0304|MAT</t>
  </si>
  <si>
    <t>PTO-0304|MAT|1</t>
  </si>
  <si>
    <t>SUB-PTO009</t>
  </si>
  <si>
    <t>MO Zapata corrida tabique - H35 (120 kg/m3 de hierro)</t>
  </si>
  <si>
    <t>PTO-0304|MO</t>
  </si>
  <si>
    <t>PTO-0304|MO|1</t>
  </si>
  <si>
    <t>PTO-0305</t>
  </si>
  <si>
    <t>EQ-PTO007</t>
  </si>
  <si>
    <t>Herramientas y consumibles Platea - H35 (95 kg/m3 de hierro)</t>
  </si>
  <si>
    <t>PTO-0305|EQ</t>
  </si>
  <si>
    <t>PTO-0305|EQ|1</t>
  </si>
  <si>
    <t>OTR-PTO046</t>
  </si>
  <si>
    <t>Platea - H35 (95 kg/m3 de hierro)</t>
  </si>
  <si>
    <t>PTO-0305|MAT</t>
  </si>
  <si>
    <t>PTO-0305|MAT|1</t>
  </si>
  <si>
    <t>SUB-PTO010</t>
  </si>
  <si>
    <t>MO Platea - H35 (95 kg/m3 de hierro)</t>
  </si>
  <si>
    <t>PTO-0305|MO</t>
  </si>
  <si>
    <t>PTO-0305|MO|1</t>
  </si>
  <si>
    <t>PTO-0306</t>
  </si>
  <si>
    <t>EQ-PTO008</t>
  </si>
  <si>
    <t>Herramientas y consumibles Bases aisladas - (60 kg/m3 de hierro)</t>
  </si>
  <si>
    <t>PTO-0306|EQ</t>
  </si>
  <si>
    <t>PTO-0306|EQ|1</t>
  </si>
  <si>
    <t>OTR-PTO047</t>
  </si>
  <si>
    <t>Bases aisladas - (60 kg/m3 de hierro)</t>
  </si>
  <si>
    <t>PTO-0306|MAT</t>
  </si>
  <si>
    <t>PTO-0306|MAT|1</t>
  </si>
  <si>
    <t>SUB-PTO011</t>
  </si>
  <si>
    <t>MO Bases aisladas - (60 kg/m3 de hierro)</t>
  </si>
  <si>
    <t>PTO-0306|MO</t>
  </si>
  <si>
    <t>PTO-0306|MO|1</t>
  </si>
  <si>
    <t>PTO-0307</t>
  </si>
  <si>
    <t>EQ-PTO009</t>
  </si>
  <si>
    <t>Herramientas y consumibles Troncos de columnas - H35 (240 kg/m3 de hierro)</t>
  </si>
  <si>
    <t>PTO-0307|EQ</t>
  </si>
  <si>
    <t>PTO-0307|EQ|1</t>
  </si>
  <si>
    <t>OTR-PTO048</t>
  </si>
  <si>
    <t>Troncos de columnas - H35 (240 kg/m3 de hierro)</t>
  </si>
  <si>
    <t>PTO-0307|MAT</t>
  </si>
  <si>
    <t>PTO-0307|MAT|1</t>
  </si>
  <si>
    <t>SUB-PTO012</t>
  </si>
  <si>
    <t>MO Troncos de columnas - H35 (240 kg/m3 de hierro)</t>
  </si>
  <si>
    <t>PTO-0307|MO</t>
  </si>
  <si>
    <t>PTO-0307|MO|1</t>
  </si>
  <si>
    <t>PTO-0308</t>
  </si>
  <si>
    <t>EQ-PTO010</t>
  </si>
  <si>
    <t>Herramientas y consumibles Viga de encadenado - H35 (180 kg/m3 de hierro)</t>
  </si>
  <si>
    <t>PTO-0308|EQ</t>
  </si>
  <si>
    <t>PTO-0308|EQ|1</t>
  </si>
  <si>
    <t>OTR-PTO049</t>
  </si>
  <si>
    <t>Viga de encadenado - H35 (180 kg/m3 de hierro)</t>
  </si>
  <si>
    <t>PTO-0308|MAT</t>
  </si>
  <si>
    <t>PTO-0308|MAT|1</t>
  </si>
  <si>
    <t>SUB-PTO013</t>
  </si>
  <si>
    <t>MO Viga de encadenado - H35 (180 kg/m3 de hierro)</t>
  </si>
  <si>
    <t>PTO-0308|MO</t>
  </si>
  <si>
    <t>PTO-0308|MO|1</t>
  </si>
  <si>
    <t>PTO-0309</t>
  </si>
  <si>
    <t>EQ-PTO011</t>
  </si>
  <si>
    <t>Herramientas y consumibles Losa maciza - H35 (100 kg/m3 de hierro)</t>
  </si>
  <si>
    <t>PTO-0309|EQ</t>
  </si>
  <si>
    <t>PTO-0309|EQ|1</t>
  </si>
  <si>
    <t>OTR-PTO050</t>
  </si>
  <si>
    <t>Losa maciza - H35 (100 kg/m3 de hierro)</t>
  </si>
  <si>
    <t>PTO-0309|MAT</t>
  </si>
  <si>
    <t>PTO-0309|MAT|1</t>
  </si>
  <si>
    <t>SUB-PTO014</t>
  </si>
  <si>
    <t>MO Losa maciza - H35 (100 kg/m3 de hierro)</t>
  </si>
  <si>
    <t>PTO-0309|MO</t>
  </si>
  <si>
    <t>PTO-0309|MO|1</t>
  </si>
  <si>
    <t>PTO-0310</t>
  </si>
  <si>
    <t>EQ-PTO012</t>
  </si>
  <si>
    <t>Herramientas y consumibles Losa maciza de Hº visto - H35 (100 kg/m3 de hierro</t>
  </si>
  <si>
    <t>PTO-0310|EQ</t>
  </si>
  <si>
    <t>PTO-0310|EQ|1</t>
  </si>
  <si>
    <t>OTR-PTO051</t>
  </si>
  <si>
    <t xml:space="preserve">Losa maciza de Hº visto - H35 (100 kg/m3 de hierro) </t>
  </si>
  <si>
    <t>PTO-0310|MAT</t>
  </si>
  <si>
    <t>PTO-0310|MAT|1</t>
  </si>
  <si>
    <t>SUB-PTO015</t>
  </si>
  <si>
    <t xml:space="preserve">MO Losa maciza de Hº visto - H35 (100 kg/m3 de hierro) </t>
  </si>
  <si>
    <t>PTO-0310|MO</t>
  </si>
  <si>
    <t>PTO-0310|MO|1</t>
  </si>
  <si>
    <t>PTO-0311</t>
  </si>
  <si>
    <t>EQ-PTO013</t>
  </si>
  <si>
    <t>Herramientas y consumibles Vigas - H35 (180 kg/m3 de hierro)</t>
  </si>
  <si>
    <t>PTO-0311|EQ</t>
  </si>
  <si>
    <t>PTO-0311|EQ|1</t>
  </si>
  <si>
    <t>OTR-PTO052</t>
  </si>
  <si>
    <t>Vigas - H35 (180 kg/m3 de hierro)</t>
  </si>
  <si>
    <t>PTO-0311|MAT</t>
  </si>
  <si>
    <t>PTO-0311|MAT|1</t>
  </si>
  <si>
    <t>SUB-PTO016</t>
  </si>
  <si>
    <t>MO Vigas - H35 (180 kg/m3 de hierro)</t>
  </si>
  <si>
    <t>PTO-0311|MO</t>
  </si>
  <si>
    <t>PTO-0311|MO|1</t>
  </si>
  <si>
    <t>PTO-0312</t>
  </si>
  <si>
    <t>EQ-PTO014</t>
  </si>
  <si>
    <t xml:space="preserve">Herramientas y consumibles Vigas de H° visto - H35 (180 kg/m3 de hierro) </t>
  </si>
  <si>
    <t>PTO-0312|EQ</t>
  </si>
  <si>
    <t>PTO-0312|EQ|1</t>
  </si>
  <si>
    <t>OTR-PTO053</t>
  </si>
  <si>
    <t xml:space="preserve">Vigas de H° visto - H35 (180 kg/m3 de hierro) </t>
  </si>
  <si>
    <t>PTO-0312|MAT</t>
  </si>
  <si>
    <t>PTO-0312|MAT|1</t>
  </si>
  <si>
    <t>SUB-PTO017</t>
  </si>
  <si>
    <t xml:space="preserve">MO Vigas de H° visto - H35 (180 kg/m3 de hierro) </t>
  </si>
  <si>
    <t>PTO-0312|MO</t>
  </si>
  <si>
    <t>PTO-0312|MO|1</t>
  </si>
  <si>
    <t>PTO-0313</t>
  </si>
  <si>
    <t>EQ-PTO015</t>
  </si>
  <si>
    <t>Herramientas y consumibles Tabiques - H35 (100 kg/m3 de hierro)</t>
  </si>
  <si>
    <t>PTO-0313|EQ</t>
  </si>
  <si>
    <t>PTO-0313|EQ|1</t>
  </si>
  <si>
    <t>OTR-PTO054</t>
  </si>
  <si>
    <t>Tabiques - H35 (100 kg/m3 de hierro)</t>
  </si>
  <si>
    <t>PTO-0313|MAT</t>
  </si>
  <si>
    <t>PTO-0313|MAT|1</t>
  </si>
  <si>
    <t>SUB-PTO018</t>
  </si>
  <si>
    <t>MO Tabiques - H35 (100 kg/m3 de hierro)</t>
  </si>
  <si>
    <t>PTO-0313|MO</t>
  </si>
  <si>
    <t>PTO-0313|MO|1</t>
  </si>
  <si>
    <t>PTO-0314</t>
  </si>
  <si>
    <t>EQ-PTO016</t>
  </si>
  <si>
    <t>Herramientas y consumibles Columna - H35 (180 Kg/m3 de hierro)</t>
  </si>
  <si>
    <t>PTO-0314|EQ</t>
  </si>
  <si>
    <t>PTO-0314|EQ|1</t>
  </si>
  <si>
    <t>OTR-PTO055</t>
  </si>
  <si>
    <t>Columna - H35 (180 Kg/m3 de hierro)</t>
  </si>
  <si>
    <t>PTO-0314|MAT</t>
  </si>
  <si>
    <t>PTO-0314|MAT|1</t>
  </si>
  <si>
    <t>SUB-PTO019</t>
  </si>
  <si>
    <t>MO Columna - H35 (180 Kg/m3 de hierro)</t>
  </si>
  <si>
    <t>PTO-0314|MO</t>
  </si>
  <si>
    <t>PTO-0314|MO|1</t>
  </si>
  <si>
    <t>PTO-0316</t>
  </si>
  <si>
    <t>OTR-PTO056</t>
  </si>
  <si>
    <t>Columna vista- H35 (180 Kg/m3 de hierro)</t>
  </si>
  <si>
    <t>PTO-0316|MAT</t>
  </si>
  <si>
    <t>PTO-0316|MAT|1</t>
  </si>
  <si>
    <t>SUB-PTO020</t>
  </si>
  <si>
    <t>MO Columna vista- H35 (180 Kg/m3 de hierro)</t>
  </si>
  <si>
    <t>PTO-0316|MO</t>
  </si>
  <si>
    <t>PTO-0316|MO|1</t>
  </si>
  <si>
    <t>PTO-0317</t>
  </si>
  <si>
    <t>EQ-PTO017</t>
  </si>
  <si>
    <t>Herramientas y consumibles Escaleras de Hº visto - H35 (105 kg/m3 de hierro)</t>
  </si>
  <si>
    <t>PTO-0317|EQ</t>
  </si>
  <si>
    <t>PTO-0317|EQ|1</t>
  </si>
  <si>
    <t>OTR-PTO057</t>
  </si>
  <si>
    <t>Escaleras de Hº visto - H35 (105 kg/m3 de hierro)</t>
  </si>
  <si>
    <t>PTO-0317|MAT</t>
  </si>
  <si>
    <t>PTO-0317|MAT|1</t>
  </si>
  <si>
    <t>SUB-PTO021</t>
  </si>
  <si>
    <t>MO Escaleras de Hº visto - H35 (105 kg/m3 de hierro)</t>
  </si>
  <si>
    <t>PTO-0317|MO</t>
  </si>
  <si>
    <t>PTO-0317|MO|1</t>
  </si>
  <si>
    <t>PTO-0318</t>
  </si>
  <si>
    <t>EQ-PTO018</t>
  </si>
  <si>
    <t>Herramientas y consumibles Tanques de HºAº - H35 (100 kg/m3 de hierro) - Tanq</t>
  </si>
  <si>
    <t>PTO-0318|EQ</t>
  </si>
  <si>
    <t>PTO-0318|EQ|1</t>
  </si>
  <si>
    <t>OTR-PTO058</t>
  </si>
  <si>
    <t>Tanques de HºAº - H35 (100 kg/m3 de hierro) - Tanque de reserva</t>
  </si>
  <si>
    <t>PTO-0318|MAT</t>
  </si>
  <si>
    <t>PTO-0318|MAT|1</t>
  </si>
  <si>
    <t>SUB-PTO022</t>
  </si>
  <si>
    <t>MO Tanques de HºAº - H35 (100 kg/m3 de hierro) - Tanque de reserva</t>
  </si>
  <si>
    <t>PTO-0318|MO</t>
  </si>
  <si>
    <t>PTO-0318|MO|1</t>
  </si>
  <si>
    <t>PTO-0319</t>
  </si>
  <si>
    <t>EQ-PTO019</t>
  </si>
  <si>
    <t>EQ Sistema de apuntalamiento y reapuntalamiento [ENCOFRADO]</t>
  </si>
  <si>
    <t>PTO-0319|EQ</t>
  </si>
  <si>
    <t>PTO-0319|EQ|1</t>
  </si>
  <si>
    <t>PTO-0320</t>
  </si>
  <si>
    <t>SUB-PTO023</t>
  </si>
  <si>
    <t xml:space="preserve">MO Ensayos de hormigon por etapas de hormigonado </t>
  </si>
  <si>
    <t>PTO-0320|MO</t>
  </si>
  <si>
    <t>PTO-0320|MO|1</t>
  </si>
  <si>
    <t>PTO-0321</t>
  </si>
  <si>
    <t>OTR-PTO059</t>
  </si>
  <si>
    <t>Permiso de estacionamiento de bomba de hormigón a contramano</t>
  </si>
  <si>
    <t>PTO-0321|MAT</t>
  </si>
  <si>
    <t>PTO-0321|MAT|1</t>
  </si>
  <si>
    <t>PTO-0322</t>
  </si>
  <si>
    <t>EQ-PTO037</t>
  </si>
  <si>
    <t>Herramientas menores y consumibles - Picado de medianeras para columnas y vigas - Cotiz</t>
  </si>
  <si>
    <t>PTO-0322|EQ</t>
  </si>
  <si>
    <t>PTO-0322|EQ|1</t>
  </si>
  <si>
    <t>PTO-0322|MAT</t>
  </si>
  <si>
    <t>PTO-0322|MAT|1</t>
  </si>
  <si>
    <t>OTR-PTO061</t>
  </si>
  <si>
    <t>Volquetes</t>
  </si>
  <si>
    <t>PTO-0322|MAT|2</t>
  </si>
  <si>
    <t>PTO-0322|MO</t>
  </si>
  <si>
    <t>PTO-0322|MO|1</t>
  </si>
  <si>
    <t>PTO-0322|MO|2</t>
  </si>
  <si>
    <t>PTO-0401</t>
  </si>
  <si>
    <t>PTO-0401|EQ</t>
  </si>
  <si>
    <t>PTO-0401|EQ|1</t>
  </si>
  <si>
    <t>PTO-0401|EQ|2</t>
  </si>
  <si>
    <t>PTO-0401|EQ|3</t>
  </si>
  <si>
    <t>PTO-0401|MAT</t>
  </si>
  <si>
    <t>PTO-0401|MAT|1</t>
  </si>
  <si>
    <t>PTO-0401|MAT|2</t>
  </si>
  <si>
    <t>PTO-0401|MAT|3</t>
  </si>
  <si>
    <t>PTO-0401|MAT|4</t>
  </si>
  <si>
    <t>PTO-0401|MAT|5</t>
  </si>
  <si>
    <t>PTO-0401|MO</t>
  </si>
  <si>
    <t>PTO-0401|MO|1</t>
  </si>
  <si>
    <t>PTO-0401|MO|2</t>
  </si>
  <si>
    <t>PTO-0402</t>
  </si>
  <si>
    <t>PTO-0402|EQ</t>
  </si>
  <si>
    <t>PTO-0402|EQ|1</t>
  </si>
  <si>
    <t>PTO-0402|EQ|2</t>
  </si>
  <si>
    <t>PTO-0402|EQ|3</t>
  </si>
  <si>
    <t>PTO-0402|MAT</t>
  </si>
  <si>
    <t>PTO-0402|MAT|1</t>
  </si>
  <si>
    <t>PTO-0402|MAT|2</t>
  </si>
  <si>
    <t>PTO-0402|MAT|3</t>
  </si>
  <si>
    <t>PTO-0402|MAT|4</t>
  </si>
  <si>
    <t>PTO-0402|MAT|5</t>
  </si>
  <si>
    <t>PTO-0402|MO</t>
  </si>
  <si>
    <t>PTO-0402|MO|1</t>
  </si>
  <si>
    <t>PTO-0402|MO|2</t>
  </si>
  <si>
    <t>PTO-0403</t>
  </si>
  <si>
    <t>PTO-0403|EQ</t>
  </si>
  <si>
    <t>PTO-0403|EQ|1</t>
  </si>
  <si>
    <t>PTO-0403|EQ|2</t>
  </si>
  <si>
    <t>PTO-0403|EQ|3</t>
  </si>
  <si>
    <t>PTO-0403|MAT</t>
  </si>
  <si>
    <t>PTO-0403|MAT|1</t>
  </si>
  <si>
    <t>PTO-0403|MAT|2</t>
  </si>
  <si>
    <t>PTO-0403|MAT|3</t>
  </si>
  <si>
    <t>PTO-0403|MAT|4</t>
  </si>
  <si>
    <t>PTO-0403|MAT|5</t>
  </si>
  <si>
    <t>PTO-0403|MAT|6</t>
  </si>
  <si>
    <t>PTO-0403|MO</t>
  </si>
  <si>
    <t>PTO-0403|MO|1</t>
  </si>
  <si>
    <t>PTO-0403|MO|2</t>
  </si>
  <si>
    <t>PTO-0404</t>
  </si>
  <si>
    <t>PTO-0404|EQ</t>
  </si>
  <si>
    <t>PTO-0404|EQ|1</t>
  </si>
  <si>
    <t>PTO-0404|EQ|2</t>
  </si>
  <si>
    <t>PTO-0404|EQ|3</t>
  </si>
  <si>
    <t>PTO-0404|MAT</t>
  </si>
  <si>
    <t>PTO-0404|MAT|1</t>
  </si>
  <si>
    <t>PTO-0404|MAT|2</t>
  </si>
  <si>
    <t>PTO-0404|MAT|3</t>
  </si>
  <si>
    <t>PTO-0404|MAT|4</t>
  </si>
  <si>
    <t>PTO-0404|MAT|5</t>
  </si>
  <si>
    <t>PTO-0404|MO</t>
  </si>
  <si>
    <t>PTO-0404|MO|1</t>
  </si>
  <si>
    <t>PTO-0404|MO|2</t>
  </si>
  <si>
    <t>PTO-0405</t>
  </si>
  <si>
    <t>EQ-PTO038</t>
  </si>
  <si>
    <t>Herramientas menores y consumibles - Muro tipo 5 - Bloque HCCA e: 7,5 cm</t>
  </si>
  <si>
    <t>PTO-0405|EQ</t>
  </si>
  <si>
    <t>PTO-0405|EQ|1</t>
  </si>
  <si>
    <t>BLO-004</t>
  </si>
  <si>
    <t>Bloque HCCA Brimax 7,5 x 20 x 60</t>
  </si>
  <si>
    <t>PTO-0405|MAT</t>
  </si>
  <si>
    <t>PTO-0405|MAT|1</t>
  </si>
  <si>
    <t>PTO-0405|MAT|2</t>
  </si>
  <si>
    <t>PTO-0405|MAT|3</t>
  </si>
  <si>
    <t>OTR-PTO062</t>
  </si>
  <si>
    <t>Weber celublock x 30 kg</t>
  </si>
  <si>
    <t>PTO-0405|MAT|4</t>
  </si>
  <si>
    <t>PTO-0405|MO</t>
  </si>
  <si>
    <t>PTO-0405|MO|1</t>
  </si>
  <si>
    <t>PTO-0405|MO|2</t>
  </si>
  <si>
    <t>PTO-0406</t>
  </si>
  <si>
    <t>PTO-0406|EQ</t>
  </si>
  <si>
    <t>PTO-0406|EQ|1</t>
  </si>
  <si>
    <t>PTO-0406|EQ|2</t>
  </si>
  <si>
    <t>PTO-0406|EQ|3</t>
  </si>
  <si>
    <t>PTO-0406|MAT</t>
  </si>
  <si>
    <t>PTO-0406|MAT|1</t>
  </si>
  <si>
    <t>PTO-0406|MAT|2</t>
  </si>
  <si>
    <t>PTO-0406|MAT|3</t>
  </si>
  <si>
    <t>PTO-0406|MAT|4</t>
  </si>
  <si>
    <t>PTO-0406|MAT|5</t>
  </si>
  <si>
    <t>PTO-0406|MO</t>
  </si>
  <si>
    <t>PTO-0406|MO|1</t>
  </si>
  <si>
    <t>PTO-0406|MO|2</t>
  </si>
  <si>
    <t>PTO-0407</t>
  </si>
  <si>
    <t>PTO-0407|EQ</t>
  </si>
  <si>
    <t>PTO-0407|EQ|1</t>
  </si>
  <si>
    <t>PTO-0407|EQ|2</t>
  </si>
  <si>
    <t>PTO-0407|EQ|3</t>
  </si>
  <si>
    <t>PTO-0407|MAT</t>
  </si>
  <si>
    <t>PTO-0407|MAT|1</t>
  </si>
  <si>
    <t>PTO-0407|MAT|2</t>
  </si>
  <si>
    <t>PTO-0407|MAT|3</t>
  </si>
  <si>
    <t>PTO-0407|MAT|4</t>
  </si>
  <si>
    <t>PTO-0407|MAT|5</t>
  </si>
  <si>
    <t>PTO-0407|MAT|6</t>
  </si>
  <si>
    <t>PTO-0407|MO</t>
  </si>
  <si>
    <t>PTO-0407|MO|1</t>
  </si>
  <si>
    <t>PTO-0407|MO|2</t>
  </si>
  <si>
    <t>PTO-0408</t>
  </si>
  <si>
    <t>EQ-PTO039</t>
  </si>
  <si>
    <t>Herramientas menores y consumibles - Cordón de hormigón en umbrales carpinterías</t>
  </si>
  <si>
    <t>PTO-0408|EQ</t>
  </si>
  <si>
    <t>PTO-0408|EQ|1</t>
  </si>
  <si>
    <t>PTO-0408|MAT</t>
  </si>
  <si>
    <t>PTO-0408|MAT|1</t>
  </si>
  <si>
    <t>PTO-0408|MAT|2</t>
  </si>
  <si>
    <t>OTR-PTO063</t>
  </si>
  <si>
    <t>H30 6.20</t>
  </si>
  <si>
    <t>PTO-0408|MAT|3</t>
  </si>
  <si>
    <t>OTR-PTO064</t>
  </si>
  <si>
    <t>Taco quimico</t>
  </si>
  <si>
    <t>PTO-0408|MAT|4</t>
  </si>
  <si>
    <t>PTO-0408|MO</t>
  </si>
  <si>
    <t>PTO-0408|MO|1</t>
  </si>
  <si>
    <t>PTO-0408|MO|2</t>
  </si>
  <si>
    <t>PTO-0409</t>
  </si>
  <si>
    <t>EQ-PTO040</t>
  </si>
  <si>
    <t xml:space="preserve">Herramientas menores y consumibles - Banquina Sala tanque de bombeo </t>
  </si>
  <si>
    <t>PTO-0409|EQ</t>
  </si>
  <si>
    <t>PTO-0409|EQ|1</t>
  </si>
  <si>
    <t>PTO-0409|MAT</t>
  </si>
  <si>
    <t>PTO-0409|MAT|1</t>
  </si>
  <si>
    <t>OTR-PTO065</t>
  </si>
  <si>
    <t xml:space="preserve">Contrapiso </t>
  </si>
  <si>
    <t>PTO-0409|MAT|2</t>
  </si>
  <si>
    <t>OTR-PTO066</t>
  </si>
  <si>
    <t>Carpeta</t>
  </si>
  <si>
    <t>PTO-0409|MAT|3</t>
  </si>
  <si>
    <t>PTO-0409|MO</t>
  </si>
  <si>
    <t>PTO-0409|MO|1</t>
  </si>
  <si>
    <t>PTO-0409|MO|2</t>
  </si>
  <si>
    <t>PTO-0410</t>
  </si>
  <si>
    <t>EQ-PTO041</t>
  </si>
  <si>
    <t>Herramientas menores y consumibles - Banquina en parrillas</t>
  </si>
  <si>
    <t>PTO-0410|EQ</t>
  </si>
  <si>
    <t>PTO-0410|EQ|1</t>
  </si>
  <si>
    <t>PTO-0410|MAT</t>
  </si>
  <si>
    <t>PTO-0410|MAT|1</t>
  </si>
  <si>
    <t>PTO-0410|MAT|2</t>
  </si>
  <si>
    <t>PTO-0410|MAT|3</t>
  </si>
  <si>
    <t>PTO-0410|MO</t>
  </si>
  <si>
    <t>PTO-0410|MO|1</t>
  </si>
  <si>
    <t>PTO-0410|MO|2</t>
  </si>
  <si>
    <t>PTO-0411</t>
  </si>
  <si>
    <t>EQ-PTO042</t>
  </si>
  <si>
    <t>Herramientas menores y consumibles - Excavación y amurado con Hº tanque de recuperación</t>
  </si>
  <si>
    <t>PTO-0411|EQ</t>
  </si>
  <si>
    <t>PTO-0411|EQ|1</t>
  </si>
  <si>
    <t>OTR-PTO067</t>
  </si>
  <si>
    <t>HªAª</t>
  </si>
  <si>
    <t>PTO-0411|MAT</t>
  </si>
  <si>
    <t>PTO-0411|MAT|1</t>
  </si>
  <si>
    <t>OTR-PTO068</t>
  </si>
  <si>
    <t xml:space="preserve">Malla </t>
  </si>
  <si>
    <t>PTO-0411|MAT|2</t>
  </si>
  <si>
    <t>PTO-0411|MO</t>
  </si>
  <si>
    <t>PTO-0411|MO|1</t>
  </si>
  <si>
    <t>PTO-0411|MO|2</t>
  </si>
  <si>
    <t>PTO-0412</t>
  </si>
  <si>
    <t>EQ-PTO043</t>
  </si>
  <si>
    <t>Herramientas menores y consumibles - Provisión y amurado de tapas de inspección para ta</t>
  </si>
  <si>
    <t>PTO-0412|EQ</t>
  </si>
  <si>
    <t>PTO-0412|EQ|1</t>
  </si>
  <si>
    <t>OTR-PTO069</t>
  </si>
  <si>
    <t>Tapa Y Marco Para Tanque De Hormigón Poliéster 52 X 52 Cm</t>
  </si>
  <si>
    <t>PTO-0412|MAT</t>
  </si>
  <si>
    <t>PTO-0412|MAT|1</t>
  </si>
  <si>
    <t>PTO-0412|MO</t>
  </si>
  <si>
    <t>PTO-0412|MO|1</t>
  </si>
  <si>
    <t>PTO-0412|MO|2</t>
  </si>
  <si>
    <t>PTO-0413</t>
  </si>
  <si>
    <t>EQ-PTO044</t>
  </si>
  <si>
    <t>Herramientas menores y consumibles - Vigas de encadenado - Cuantía aprox. 60 kg/m3</t>
  </si>
  <si>
    <t>PTO-0413|EQ</t>
  </si>
  <si>
    <t>PTO-0413|EQ|1</t>
  </si>
  <si>
    <t>PTO-0413|MAT</t>
  </si>
  <si>
    <t>PTO-0413|MAT|1</t>
  </si>
  <si>
    <t>PTO-0413|MAT|2</t>
  </si>
  <si>
    <t>PTO-0413|MAT|3</t>
  </si>
  <si>
    <t>OTR-PTO070</t>
  </si>
  <si>
    <t>Volquete</t>
  </si>
  <si>
    <t>PTO-0413|MAT|4</t>
  </si>
  <si>
    <t>PTO-0413|MO</t>
  </si>
  <si>
    <t>PTO-0413|MO|1</t>
  </si>
  <si>
    <t>PTO-0413|MO|2</t>
  </si>
  <si>
    <t>PTO-0413|MO|3</t>
  </si>
  <si>
    <t>PTO-0414</t>
  </si>
  <si>
    <t>EQ-PTO045</t>
  </si>
  <si>
    <t xml:space="preserve">Herramientas menores y consumibles - Amurado de bañera </t>
  </si>
  <si>
    <t>PTO-0414|EQ</t>
  </si>
  <si>
    <t>PTO-0414|EQ|1</t>
  </si>
  <si>
    <t>PTO-0414|MAT</t>
  </si>
  <si>
    <t>PTO-0414|MAT|1</t>
  </si>
  <si>
    <t>OTR-PTO071</t>
  </si>
  <si>
    <t>Ladrillo del 8</t>
  </si>
  <si>
    <t>PTO-0414|MAT|2</t>
  </si>
  <si>
    <t>OTR-PTO072</t>
  </si>
  <si>
    <t>Revoque grueso bajo revest.</t>
  </si>
  <si>
    <t>PTO-0414|MAT|3</t>
  </si>
  <si>
    <t>OTR-PTO073</t>
  </si>
  <si>
    <t>Sellador / Silicona (2 bañeras)</t>
  </si>
  <si>
    <t>PTO-0414|MAT|4</t>
  </si>
  <si>
    <t>PTO-0414|MO</t>
  </si>
  <si>
    <t>PTO-0414|MO|1</t>
  </si>
  <si>
    <t>PTO-0414|MO|2</t>
  </si>
  <si>
    <t>PTO-0501</t>
  </si>
  <si>
    <t>PTO-0501|EQ</t>
  </si>
  <si>
    <t>PTO-0501|EQ|1</t>
  </si>
  <si>
    <t>PTO-0501|EQ|2</t>
  </si>
  <si>
    <t>PTO-0501|EQ|3</t>
  </si>
  <si>
    <t>PTO-0501|MAT</t>
  </si>
  <si>
    <t>PTO-0501|MAT|1</t>
  </si>
  <si>
    <t>PTO-0501|MAT|2</t>
  </si>
  <si>
    <t>PTO-0501|MAT|3</t>
  </si>
  <si>
    <t>PTO-0501|MO</t>
  </si>
  <si>
    <t>PTO-0501|MO|1</t>
  </si>
  <si>
    <t>PTO-0501|MO|2</t>
  </si>
  <si>
    <t>PTO-0502</t>
  </si>
  <si>
    <t>PTO-0502|EQ</t>
  </si>
  <si>
    <t>PTO-0502|EQ|1</t>
  </si>
  <si>
    <t>PTO-0502|MAT</t>
  </si>
  <si>
    <t>PTO-0502|MAT|1</t>
  </si>
  <si>
    <t>PTO-0502|MAT|2</t>
  </si>
  <si>
    <t>PTO-0502|MAT|3</t>
  </si>
  <si>
    <t>PTO-0502|MAT|4</t>
  </si>
  <si>
    <t>PTO-0502|MAT|5</t>
  </si>
  <si>
    <t>PTO-0502|MAT|6</t>
  </si>
  <si>
    <t>PTO-0502|MAT|7</t>
  </si>
  <si>
    <t>OTR-PTO145</t>
  </si>
  <si>
    <t>Materiales adicionales s/MAT 35% - PTO-0502</t>
  </si>
  <si>
    <t>PTO-0502|MAT|8</t>
  </si>
  <si>
    <t>PTO-0502|MAT|9</t>
  </si>
  <si>
    <t>PTO-0502|MO</t>
  </si>
  <si>
    <t>PTO-0502|MO|1</t>
  </si>
  <si>
    <t>PTO-0502|MO|2</t>
  </si>
  <si>
    <t>SUB-PTO082</t>
  </si>
  <si>
    <t>MO adicional s/MO 100% - PTO-0502</t>
  </si>
  <si>
    <t>PTO-0502|MO|3</t>
  </si>
  <si>
    <t>PTO-0503</t>
  </si>
  <si>
    <t>PTO-0503|EQ</t>
  </si>
  <si>
    <t>PTO-0503|EQ|1</t>
  </si>
  <si>
    <t>PTO-0503|EQ|2</t>
  </si>
  <si>
    <t>PTO-0503|EQ|3</t>
  </si>
  <si>
    <t>PTO-0503|MAT</t>
  </si>
  <si>
    <t>PTO-0503|MAT|1</t>
  </si>
  <si>
    <t>PTO-0503|MAT|2</t>
  </si>
  <si>
    <t>PTO-0503|MAT|3</t>
  </si>
  <si>
    <t>PTO-0503|MO</t>
  </si>
  <si>
    <t>PTO-0503|MO|1</t>
  </si>
  <si>
    <t>PTO-0503|MO|2</t>
  </si>
  <si>
    <t>PTO-0504</t>
  </si>
  <si>
    <t>OTR-PTO075</t>
  </si>
  <si>
    <t>Telgopor 1 x 1 x 20 mm densidad 20 kg</t>
  </si>
  <si>
    <t>PTO-0504|MAT</t>
  </si>
  <si>
    <t>PTO-0504|MAT|1</t>
  </si>
  <si>
    <t>PTO-0505</t>
  </si>
  <si>
    <t>PTO-0505|EQ</t>
  </si>
  <si>
    <t>PTO-0505|EQ|1</t>
  </si>
  <si>
    <t>PTO-0505|MAT</t>
  </si>
  <si>
    <t>PTO-0505|MAT|1</t>
  </si>
  <si>
    <t>PTO-0505|MAT|2</t>
  </si>
  <si>
    <t>PTO-0505|MAT|3</t>
  </si>
  <si>
    <t>PTO-0505|MAT|4</t>
  </si>
  <si>
    <t>PTO-0505|MAT|5</t>
  </si>
  <si>
    <t>PTO-0505|MO</t>
  </si>
  <si>
    <t>PTO-0505|MO|1</t>
  </si>
  <si>
    <t>PTO-0505|MO|2</t>
  </si>
  <si>
    <t>PTO-0506</t>
  </si>
  <si>
    <t>PTO-0506|EQ</t>
  </si>
  <si>
    <t>PTO-0506|EQ|1</t>
  </si>
  <si>
    <t>PTO-0506|MAT</t>
  </si>
  <si>
    <t>PTO-0506|MAT|1</t>
  </si>
  <si>
    <t>PTO-0506|MAT|2</t>
  </si>
  <si>
    <t>PTO-0506|MAT|3</t>
  </si>
  <si>
    <t>PTO-0506|MAT|4</t>
  </si>
  <si>
    <t>PTO-0506|MAT|5</t>
  </si>
  <si>
    <t>PTO-0506|MAT|6</t>
  </si>
  <si>
    <t>PTO-0506|MAT|7</t>
  </si>
  <si>
    <t>OTR-PTO146</t>
  </si>
  <si>
    <t>Materiales adicionales s/MAT 20% - PTO-0506</t>
  </si>
  <si>
    <t>PTO-0506|MAT|8</t>
  </si>
  <si>
    <t>PTO-0506|MAT|9</t>
  </si>
  <si>
    <t>PTO-0506|MO</t>
  </si>
  <si>
    <t>PTO-0506|MO|1</t>
  </si>
  <si>
    <t>PTO-0506|MO|2</t>
  </si>
  <si>
    <t>SUB-PTO083</t>
  </si>
  <si>
    <t>MO adicional s/MO 60% - PTO-0506</t>
  </si>
  <si>
    <t>PTO-0506|MO|3</t>
  </si>
  <si>
    <t>PTO-0507</t>
  </si>
  <si>
    <t>SUB-PTO024</t>
  </si>
  <si>
    <t>MO Impermeabilización de tanque de reserva de HºAº [SUBCONTRATOS]</t>
  </si>
  <si>
    <t>PTO-0507|MO</t>
  </si>
  <si>
    <t>PTO-0507|MO|1</t>
  </si>
  <si>
    <t>PTO-0602</t>
  </si>
  <si>
    <t>EQ-PTO046</t>
  </si>
  <si>
    <t>Herramientas menores y consumibles - Babeta de chapa galvanizada en medianeras</t>
  </si>
  <si>
    <t>PTO-0602|EQ</t>
  </si>
  <si>
    <t>PTO-0602|EQ|1</t>
  </si>
  <si>
    <t>PTO-0602|MAT</t>
  </si>
  <si>
    <t>PTO-0602|MAT|1</t>
  </si>
  <si>
    <t>OTR-PTO076</t>
  </si>
  <si>
    <t>Babeta de amure C25, des. 200 mm x 2,44 m</t>
  </si>
  <si>
    <t>PTO-0602|MAT|2</t>
  </si>
  <si>
    <t>OTR-PTO077</t>
  </si>
  <si>
    <t xml:space="preserve">Sellador / Silicona (rinde 5 mts) </t>
  </si>
  <si>
    <t>PTO-0602|MAT|3</t>
  </si>
  <si>
    <t>PTO-0602|MO</t>
  </si>
  <si>
    <t>PTO-0602|MO|1</t>
  </si>
  <si>
    <t>PTO-0602|MO|2</t>
  </si>
  <si>
    <t>PTO-0701</t>
  </si>
  <si>
    <t>PTO-0701|EQ</t>
  </si>
  <si>
    <t>PTO-0701|EQ|1</t>
  </si>
  <si>
    <t>PTO-0701|EQ|2</t>
  </si>
  <si>
    <t>PTO-0701|EQ|3</t>
  </si>
  <si>
    <t>PTO-0701|MAT</t>
  </si>
  <si>
    <t>PTO-0701|MAT|1</t>
  </si>
  <si>
    <t>PTO-0701|MAT|2</t>
  </si>
  <si>
    <t>PTO-0701|MAT|3</t>
  </si>
  <si>
    <t>PTO-0701|MAT|4</t>
  </si>
  <si>
    <t>PTO-0701|MO</t>
  </si>
  <si>
    <t>PTO-0701|MO|1</t>
  </si>
  <si>
    <t>PTO-0701|MO|2</t>
  </si>
  <si>
    <t>PTO-0702</t>
  </si>
  <si>
    <t>PTO-0702|EQ</t>
  </si>
  <si>
    <t>PTO-0702|EQ|1</t>
  </si>
  <si>
    <t>PTO-0702|EQ|2</t>
  </si>
  <si>
    <t>PTO-0702|EQ|3</t>
  </si>
  <si>
    <t>PTO-0702|MAT</t>
  </si>
  <si>
    <t>PTO-0702|MAT|1</t>
  </si>
  <si>
    <t>PTO-0702|MAT|2</t>
  </si>
  <si>
    <t>PTO-0702|MAT|3</t>
  </si>
  <si>
    <t>PTO-0702|MAT|4</t>
  </si>
  <si>
    <t>PTO-0702|MO</t>
  </si>
  <si>
    <t>PTO-0702|MO|1</t>
  </si>
  <si>
    <t>PTO-0702|MO|2</t>
  </si>
  <si>
    <t>PTO-0703</t>
  </si>
  <si>
    <t>EQ-PTO047</t>
  </si>
  <si>
    <t>Herramientas menores y consumibles - Yeso interior</t>
  </si>
  <si>
    <t>PTO-0703|EQ</t>
  </si>
  <si>
    <t>PTO-0703|EQ|1</t>
  </si>
  <si>
    <t>OTR-PTO078</t>
  </si>
  <si>
    <t>Yeso Knauf MP 40/75 Proyectable x 25 kg - (17 kg/m2)</t>
  </si>
  <si>
    <t>PTO-0703|MAT</t>
  </si>
  <si>
    <t>PTO-0703|MAT|1</t>
  </si>
  <si>
    <t>OTR-PTO079</t>
  </si>
  <si>
    <t>PA-MAX PUENTE DE ADHERENCIA 20LT (150 m2/tac) - Contemplo el 20% de los m2</t>
  </si>
  <si>
    <t>tac</t>
  </si>
  <si>
    <t>PTO-0703|MAT|2</t>
  </si>
  <si>
    <t>OTR-PTO080</t>
  </si>
  <si>
    <t xml:space="preserve">Malla de fibra 5 x 5 90 gr, rollo 1 x 50 mts - Contemplo el 20% de los m2 </t>
  </si>
  <si>
    <t>PTO-0703|MAT|3</t>
  </si>
  <si>
    <t>SUB-PTO025</t>
  </si>
  <si>
    <t>M.Obra</t>
  </si>
  <si>
    <t>PTO-0703|MO</t>
  </si>
  <si>
    <t>PTO-0703|MO|1</t>
  </si>
  <si>
    <t>PTO-0704</t>
  </si>
  <si>
    <t>EQ-PTO048</t>
  </si>
  <si>
    <t xml:space="preserve">Herramientas menores y consumibles - Arista en yeso </t>
  </si>
  <si>
    <t>PTO-0704|EQ</t>
  </si>
  <si>
    <t>PTO-0704|EQ|1</t>
  </si>
  <si>
    <t>SUB-PTO026</t>
  </si>
  <si>
    <t xml:space="preserve">Arista en yeso </t>
  </si>
  <si>
    <t>PTO-0704|MO</t>
  </si>
  <si>
    <t>PTO-0704|MO|1</t>
  </si>
  <si>
    <t>PTO-0705</t>
  </si>
  <si>
    <t>EQ-PTO049</t>
  </si>
  <si>
    <t xml:space="preserve">Herramientas menores y consumibles - Provisión y colocación de guardacanto yesero </t>
  </si>
  <si>
    <t>PTO-0705|EQ</t>
  </si>
  <si>
    <t>PTO-0705|EQ|1</t>
  </si>
  <si>
    <t>OTR-PTO081</t>
  </si>
  <si>
    <t>Guardacanto yesero 2,00 mts</t>
  </si>
  <si>
    <t>PTO-0705|MAT</t>
  </si>
  <si>
    <t>PTO-0705|MAT|1</t>
  </si>
  <si>
    <t>SUB-PTO027</t>
  </si>
  <si>
    <t>PTO-0705|MO</t>
  </si>
  <si>
    <t>PTO-0705|MO|1</t>
  </si>
  <si>
    <t>PTO-0706</t>
  </si>
  <si>
    <t>PTO-0706|EQ</t>
  </si>
  <si>
    <t>PTO-0706|EQ|1</t>
  </si>
  <si>
    <t>PTO-0706|EQ|2</t>
  </si>
  <si>
    <t>PTO-0706|EQ|3</t>
  </si>
  <si>
    <t>PTO-0706|MAT</t>
  </si>
  <si>
    <t>PTO-0706|MAT|1</t>
  </si>
  <si>
    <t>PTO-0706|MAT|2</t>
  </si>
  <si>
    <t>PTO-0706|MAT|3</t>
  </si>
  <si>
    <t>PTO-0706|MAT|4</t>
  </si>
  <si>
    <t>PTO-0706|MO</t>
  </si>
  <si>
    <t>PTO-0706|MO|1</t>
  </si>
  <si>
    <t>PTO-0706|MO|2</t>
  </si>
  <si>
    <t>PTO-0801</t>
  </si>
  <si>
    <t>EQ-PTO050</t>
  </si>
  <si>
    <t xml:space="preserve">Herramientas menores y consumibles - Contrapiso de Hº armado e: 18 cm, incluye malla Ø </t>
  </si>
  <si>
    <t>PTO-0801|EQ</t>
  </si>
  <si>
    <t>PTO-0801|EQ|1</t>
  </si>
  <si>
    <t>PTO-0801|MAT</t>
  </si>
  <si>
    <t>PTO-0801|MAT|1</t>
  </si>
  <si>
    <t>OTR-PTO082</t>
  </si>
  <si>
    <t>Rollo Polietileno negro 2x50 mt x 200mic</t>
  </si>
  <si>
    <t>PTO-0801|MAT|2</t>
  </si>
  <si>
    <t>OTR-PTO083</t>
  </si>
  <si>
    <t>Malla Q188 15 x 15 6 mm 6x2,40</t>
  </si>
  <si>
    <t>PTO-0801|MAT|3</t>
  </si>
  <si>
    <t>OTR-PTO084</t>
  </si>
  <si>
    <t>H13 6.20</t>
  </si>
  <si>
    <t>PTO-0801|MAT|4</t>
  </si>
  <si>
    <t>PTO-0801|MO</t>
  </si>
  <si>
    <t>PTO-0801|MO|1</t>
  </si>
  <si>
    <t>PTO-0801|MO|2</t>
  </si>
  <si>
    <t>PTO-0801|MO|3</t>
  </si>
  <si>
    <t>PTO-0802</t>
  </si>
  <si>
    <t>EQ-PTO051</t>
  </si>
  <si>
    <t>Herramientas menores y consumibles - Contrapiso de H13 subase bajo intertrabado y garde</t>
  </si>
  <si>
    <t>PTO-0802|EQ</t>
  </si>
  <si>
    <t>PTO-0802|EQ|1</t>
  </si>
  <si>
    <t>PTO-0802|MAT</t>
  </si>
  <si>
    <t>PTO-0802|MAT|1</t>
  </si>
  <si>
    <t>PTO-0802|MAT|2</t>
  </si>
  <si>
    <t>PTO-0802|MAT|3</t>
  </si>
  <si>
    <t>PTO-0802|MAT|4</t>
  </si>
  <si>
    <t>OTR-PTO085</t>
  </si>
  <si>
    <t xml:space="preserve">Acarreo </t>
  </si>
  <si>
    <t>PTO-0802|MAT|5</t>
  </si>
  <si>
    <t>OTR-PTO086</t>
  </si>
  <si>
    <t>sem</t>
  </si>
  <si>
    <t>PTO-0802|MAT|6</t>
  </si>
  <si>
    <t>PTO-0802|MO</t>
  </si>
  <si>
    <t>PTO-0802|MO|1</t>
  </si>
  <si>
    <t>PTO-0802|MO|2</t>
  </si>
  <si>
    <t>PTO-0802|MO|3</t>
  </si>
  <si>
    <t>PTO-0802|MO|4</t>
  </si>
  <si>
    <t>SUB-VIBRO2</t>
  </si>
  <si>
    <t>PTO-0802|MO|5</t>
  </si>
  <si>
    <t>PTO-0803</t>
  </si>
  <si>
    <t>PTO-0803|EQ</t>
  </si>
  <si>
    <t>PTO-0803|EQ|1</t>
  </si>
  <si>
    <t>PTO-0803|EQ|2</t>
  </si>
  <si>
    <t>PTO-0803|MAT</t>
  </si>
  <si>
    <t>PTO-0803|MAT|1</t>
  </si>
  <si>
    <t>PTO-0803|MAT|2</t>
  </si>
  <si>
    <t>PTO-0803|MAT|3</t>
  </si>
  <si>
    <t>PTO-0803|MAT|4</t>
  </si>
  <si>
    <t>PTO-0803|MO</t>
  </si>
  <si>
    <t>PTO-0803|MO|1</t>
  </si>
  <si>
    <t>PTO-0803|MO|2</t>
  </si>
  <si>
    <t>PTO-0804</t>
  </si>
  <si>
    <t>EQ-PTO052</t>
  </si>
  <si>
    <t>Herramientas menores y consumibles - Contrapiso alivianado en azoteas (RDC), e: 15 cm</t>
  </si>
  <si>
    <t>PTO-0804|EQ</t>
  </si>
  <si>
    <t>PTO-0804|EQ|1</t>
  </si>
  <si>
    <t>OTR-PTO087</t>
  </si>
  <si>
    <t>Tomado de puntos y niveles</t>
  </si>
  <si>
    <t>PTO-0804|MAT</t>
  </si>
  <si>
    <t>PTO-0804|MAT|1</t>
  </si>
  <si>
    <t>PTO-0804|MAT|2</t>
  </si>
  <si>
    <t>PTO-0804|MAT|3</t>
  </si>
  <si>
    <t>OTR-PTO088</t>
  </si>
  <si>
    <t xml:space="preserve">RDC 350 </t>
  </si>
  <si>
    <t>PTO-0804|MAT|4</t>
  </si>
  <si>
    <t>PTO-0804|MO</t>
  </si>
  <si>
    <t>PTO-0804|MO|1</t>
  </si>
  <si>
    <t>PTO-0804|MO|2</t>
  </si>
  <si>
    <t>PTO-0804|MO|3</t>
  </si>
  <si>
    <t>PTO-0804|MO|4</t>
  </si>
  <si>
    <t>PTO-0805</t>
  </si>
  <si>
    <t>EQ-PTO053</t>
  </si>
  <si>
    <t>Herramientas menores y consumibles - Contrapiso con piedra binder e: 4/5 cm - En locale</t>
  </si>
  <si>
    <t>PTO-0805|EQ</t>
  </si>
  <si>
    <t>PTO-0805|EQ|1</t>
  </si>
  <si>
    <t>PTO-0805|MAT</t>
  </si>
  <si>
    <t>PTO-0805|MAT|1</t>
  </si>
  <si>
    <t>OTR-PTO089</t>
  </si>
  <si>
    <t>BOLSON DE BINDER 6/12</t>
  </si>
  <si>
    <t>PTO-0805|MAT|2</t>
  </si>
  <si>
    <t>OTR-PTO090</t>
  </si>
  <si>
    <t>BOLSON DE ARENA</t>
  </si>
  <si>
    <t>PTO-0805|MAT|3</t>
  </si>
  <si>
    <t>PTO-0805|MO</t>
  </si>
  <si>
    <t>PTO-0805|MO|1</t>
  </si>
  <si>
    <t>PTO-0805|MO|2</t>
  </si>
  <si>
    <t>PTO-0806</t>
  </si>
  <si>
    <t>EQ-PTO054</t>
  </si>
  <si>
    <t>Herramientas menores y consumibles - Carpeta autonivelante e: 4/10 mm - En locales húme</t>
  </si>
  <si>
    <t>PTO-0806|EQ</t>
  </si>
  <si>
    <t>PTO-0806|EQ|1</t>
  </si>
  <si>
    <t>PTO-0806|MAT</t>
  </si>
  <si>
    <t>PTO-0806|MAT|1</t>
  </si>
  <si>
    <t>OTR-PTO091</t>
  </si>
  <si>
    <t>Sika Floor 200 Level (25 kg) - 1,5 kg/m2/mm</t>
  </si>
  <si>
    <t>PTO-0806|MAT|2</t>
  </si>
  <si>
    <t>OTR-PTO092</t>
  </si>
  <si>
    <t>Sika latex x 5 kg - (200 gr/m2)</t>
  </si>
  <si>
    <t>PTO-0806|MAT|3</t>
  </si>
  <si>
    <t>PTO-0806|MO</t>
  </si>
  <si>
    <t>PTO-0806|MO|1</t>
  </si>
  <si>
    <t>PTO-0806|MO|2</t>
  </si>
  <si>
    <t>PTO-0807</t>
  </si>
  <si>
    <t>PTO-0807|EQ</t>
  </si>
  <si>
    <t>PTO-0807|EQ|1</t>
  </si>
  <si>
    <t>PTO-0807|EQ|2</t>
  </si>
  <si>
    <t>PTO-0807|MAT</t>
  </si>
  <si>
    <t>PTO-0807|MAT|1</t>
  </si>
  <si>
    <t>PTO-0807|MAT|2</t>
  </si>
  <si>
    <t>PTO-0807|MAT|3</t>
  </si>
  <si>
    <t>PTO-0807|MO</t>
  </si>
  <si>
    <t>PTO-0807|MO|1</t>
  </si>
  <si>
    <t>PTO-0807|MO|2</t>
  </si>
  <si>
    <t>PTO-0808</t>
  </si>
  <si>
    <t>PTO-0808|EQ</t>
  </si>
  <si>
    <t>PTO-0808|EQ|1</t>
  </si>
  <si>
    <t>PTO-0808|EQ|2</t>
  </si>
  <si>
    <t>PTO-0808|MAT</t>
  </si>
  <si>
    <t>PTO-0808|MAT|1</t>
  </si>
  <si>
    <t>PTO-0808|MAT|2</t>
  </si>
  <si>
    <t>PTO-0808|MAT|3</t>
  </si>
  <si>
    <t>PTO-0808|MO</t>
  </si>
  <si>
    <t>PTO-0808|MO|1</t>
  </si>
  <si>
    <t>PTO-0808|MO|2</t>
  </si>
  <si>
    <t>PTO-0901</t>
  </si>
  <si>
    <t>EQ-PTO055</t>
  </si>
  <si>
    <t>Herramientas menores y consumibles - Provisión y ejecución de cemento alisado arrodilla</t>
  </si>
  <si>
    <t>PTO-0901|EQ</t>
  </si>
  <si>
    <t>PTO-0901|EQ|1</t>
  </si>
  <si>
    <t>OTR-PTO093</t>
  </si>
  <si>
    <t>Carpeta cilindrada</t>
  </si>
  <si>
    <t>PTO-0901|MAT</t>
  </si>
  <si>
    <t>PTO-0901|MAT|1</t>
  </si>
  <si>
    <t>PTO-0901|MO</t>
  </si>
  <si>
    <t>PTO-0901|MO|1</t>
  </si>
  <si>
    <t>PTO-0901|MO|2</t>
  </si>
  <si>
    <t>PTO-0902</t>
  </si>
  <si>
    <t>EQ-PTO056</t>
  </si>
  <si>
    <t>Herramientas menores y consumibles - Provisión nariz escalera, hierro angulo 5/8 x 1/8"</t>
  </si>
  <si>
    <t>PTO-0902|EQ</t>
  </si>
  <si>
    <t>PTO-0902|EQ|1</t>
  </si>
  <si>
    <t>OTR-PTO094</t>
  </si>
  <si>
    <t>PERFIL ANGULO ALAS IGUALES ESTRUCTURAL ACERO 6M X 5/8" X 1/8</t>
  </si>
  <si>
    <t>PTO-0902|MAT</t>
  </si>
  <si>
    <t>PTO-0902|MAT|1</t>
  </si>
  <si>
    <t>OTR-PTO095</t>
  </si>
  <si>
    <t>Esmalte sintetico</t>
  </si>
  <si>
    <t xml:space="preserve">lts </t>
  </si>
  <si>
    <t>PTO-0902|MAT|2</t>
  </si>
  <si>
    <t>OTR-PTO096</t>
  </si>
  <si>
    <t>Electrodos</t>
  </si>
  <si>
    <t>PTO-0902|MAT|3</t>
  </si>
  <si>
    <t>PTO-0902|MO</t>
  </si>
  <si>
    <t>PTO-0902|MO|1</t>
  </si>
  <si>
    <t>PTO-0902|MO|2</t>
  </si>
  <si>
    <t>PTO-0903</t>
  </si>
  <si>
    <t>EQ-PTO057</t>
  </si>
  <si>
    <t>Herramientas menores y consumibles - Ejecución de zócalo rampante de concreto h: 10 cm</t>
  </si>
  <si>
    <t>PTO-0903|EQ</t>
  </si>
  <si>
    <t>PTO-0903|EQ|1</t>
  </si>
  <si>
    <t>PTO-0903|MAT</t>
  </si>
  <si>
    <t>PTO-0903|MAT|1</t>
  </si>
  <si>
    <t>PTO-0903|MO</t>
  </si>
  <si>
    <t>PTO-0903|MO|1</t>
  </si>
  <si>
    <t>PTO-0903|MO|2</t>
  </si>
  <si>
    <t>PTO-1001</t>
  </si>
  <si>
    <t>EQ-PTO058</t>
  </si>
  <si>
    <t>Herramientas menores y consumibles - Montaje de conductos de ventilación de baños C27 -</t>
  </si>
  <si>
    <t>PTO-1001|EQ</t>
  </si>
  <si>
    <t>PTO-1001|EQ|1</t>
  </si>
  <si>
    <t>PTO-1001|MAT</t>
  </si>
  <si>
    <t>PTO-1001|MAT|1</t>
  </si>
  <si>
    <t>PTO-1001|MO</t>
  </si>
  <si>
    <t>PTO-1001|MO|1</t>
  </si>
  <si>
    <t>PTO-1001|MO|2</t>
  </si>
  <si>
    <t>PTO-1002</t>
  </si>
  <si>
    <t>EQ-PTO059</t>
  </si>
  <si>
    <t>Herramientas menores y consumibles - Montaje de conductos de ventilación de parrillas C</t>
  </si>
  <si>
    <t>PTO-1002|EQ</t>
  </si>
  <si>
    <t>PTO-1002|EQ|1</t>
  </si>
  <si>
    <t>PTO-1002|MAT</t>
  </si>
  <si>
    <t>PTO-1002|MAT|1</t>
  </si>
  <si>
    <t>PTO-1002|MO</t>
  </si>
  <si>
    <t>PTO-1002|MO|1</t>
  </si>
  <si>
    <t>PTO-1002|MO|2</t>
  </si>
  <si>
    <t>PTO-1003</t>
  </si>
  <si>
    <t>EQ-PTO060</t>
  </si>
  <si>
    <t>Herramientas menores y consumibles - Montaje de campanas de parrillas C22 - Provisión a</t>
  </si>
  <si>
    <t>PTO-1003|EQ</t>
  </si>
  <si>
    <t>PTO-1003|EQ|1</t>
  </si>
  <si>
    <t>PTO-1003|MAT</t>
  </si>
  <si>
    <t>PTO-1003|MAT|1</t>
  </si>
  <si>
    <t>PTO-1003|MO</t>
  </si>
  <si>
    <t>PTO-1003|MO|1</t>
  </si>
  <si>
    <t>PTO-1003|MO|2</t>
  </si>
  <si>
    <t>PTO-1004</t>
  </si>
  <si>
    <t>EQ-PTO061</t>
  </si>
  <si>
    <t>Herramientas menores y consumibles - Montaje de sombreretes en chapa prepintada C25 - P</t>
  </si>
  <si>
    <t>PTO-1004|EQ</t>
  </si>
  <si>
    <t>PTO-1004|EQ|1</t>
  </si>
  <si>
    <t>PTO-1004|MAT</t>
  </si>
  <si>
    <t>PTO-1004|MAT|1</t>
  </si>
  <si>
    <t>PTO-1004|MO</t>
  </si>
  <si>
    <t>PTO-1004|MO|1</t>
  </si>
  <si>
    <t>PTO-1004|MO|2</t>
  </si>
  <si>
    <t>PTO-1102</t>
  </si>
  <si>
    <t>PTO-1102|EQ</t>
  </si>
  <si>
    <t>PTO-1102|EQ|1</t>
  </si>
  <si>
    <t>PTO-1102|EQ|2</t>
  </si>
  <si>
    <t>PTO-1102|MAT</t>
  </si>
  <si>
    <t>PTO-1102|MAT|1</t>
  </si>
  <si>
    <t>PTO-1102|MAT|2</t>
  </si>
  <si>
    <t>PTO-1102|MO</t>
  </si>
  <si>
    <t>PTO-1102|MO|1</t>
  </si>
  <si>
    <t>PTO-1102|MO|2</t>
  </si>
  <si>
    <t>PTO-1103</t>
  </si>
  <si>
    <t>PTO-1103|EQ</t>
  </si>
  <si>
    <t>PTO-1103|EQ|1</t>
  </si>
  <si>
    <t>PTO-1103|EQ|2</t>
  </si>
  <si>
    <t>PTO-1103|MAT</t>
  </si>
  <si>
    <t>PTO-1103|MAT|1</t>
  </si>
  <si>
    <t>PTO-1103|MAT|2</t>
  </si>
  <si>
    <t>PTO-1103|MAT|3</t>
  </si>
  <si>
    <t>PTO-1103|MAT|4</t>
  </si>
  <si>
    <t>PTO-1103|MO</t>
  </si>
  <si>
    <t>PTO-1103|MO|1</t>
  </si>
  <si>
    <t>PTO-1103|MO|2</t>
  </si>
  <si>
    <t>PTO-1104</t>
  </si>
  <si>
    <t>EQ-PTO062</t>
  </si>
  <si>
    <t>Herramientas menores y consumibles - Colocación de pavimento intertrabado de H°, incluy</t>
  </si>
  <si>
    <t>PTO-1104|EQ</t>
  </si>
  <si>
    <t>PTO-1104|EQ|1</t>
  </si>
  <si>
    <t>PTO-1104|MAT</t>
  </si>
  <si>
    <t>PTO-1104|MAT|1</t>
  </si>
  <si>
    <t>PTO-1104|MO</t>
  </si>
  <si>
    <t>PTO-1104|MO|1</t>
  </si>
  <si>
    <t>PTO-1104|MO|2</t>
  </si>
  <si>
    <t>PTO-1104|MO|3</t>
  </si>
  <si>
    <t>SUB-VIBRO3</t>
  </si>
  <si>
    <t>PTO-1104|MO|4</t>
  </si>
  <si>
    <t>SUB-PTO028</t>
  </si>
  <si>
    <t>Combustible</t>
  </si>
  <si>
    <t>PTO-1104|MO|5</t>
  </si>
  <si>
    <t>PTO-1105</t>
  </si>
  <si>
    <t>EQ-PTO023</t>
  </si>
  <si>
    <t>Herramientas y consumibles Colocación de garden block, incluye provisión y co</t>
  </si>
  <si>
    <t>PTO-1105|EQ</t>
  </si>
  <si>
    <t>PTO-1105|EQ|1</t>
  </si>
  <si>
    <t>PTO-1105|MAT</t>
  </si>
  <si>
    <t>PTO-1105|MAT|1</t>
  </si>
  <si>
    <t>PTO-1105|MO</t>
  </si>
  <si>
    <t>PTO-1105|MO|1</t>
  </si>
  <si>
    <t>PTO-1105|MO|2</t>
  </si>
  <si>
    <t>PTO-1105|MO|3</t>
  </si>
  <si>
    <t>PTO-1105|MO|4</t>
  </si>
  <si>
    <t>PTO-1105|MO|5</t>
  </si>
  <si>
    <t>PTO-1106</t>
  </si>
  <si>
    <t>EQ-PTO063</t>
  </si>
  <si>
    <t>Herramientas menores y consumibles - Provisión y colocación de relleno de piedra binder</t>
  </si>
  <si>
    <t>PTO-1106|EQ</t>
  </si>
  <si>
    <t>PTO-1106|EQ|1</t>
  </si>
  <si>
    <t>PTO-1106|MAT</t>
  </si>
  <si>
    <t>PTO-1106|MAT|1</t>
  </si>
  <si>
    <t>PTO-1106|MO</t>
  </si>
  <si>
    <t>PTO-1106|MO|1</t>
  </si>
  <si>
    <t>PTO-1107</t>
  </si>
  <si>
    <t>EQ-PTO064</t>
  </si>
  <si>
    <t xml:space="preserve">Herramientas menores y consumibles - Colocación de baldoson granítico vereda 40 x 40 - </t>
  </si>
  <si>
    <t>PTO-1107|EQ</t>
  </si>
  <si>
    <t>PTO-1107|EQ|1</t>
  </si>
  <si>
    <t>PTO-1107|MAT</t>
  </si>
  <si>
    <t>PTO-1107|MAT|1</t>
  </si>
  <si>
    <t>PTO-1107|MAT|2</t>
  </si>
  <si>
    <t>PTO-1107|MAT|3</t>
  </si>
  <si>
    <t>OTR-PTO098</t>
  </si>
  <si>
    <t>CAL MILAGRO x 25 KG</t>
  </si>
  <si>
    <t>PTO-1107|MAT|4</t>
  </si>
  <si>
    <t>OTR-PTO099</t>
  </si>
  <si>
    <t>PASTINA PRESTIGE NIEVE X 2KG</t>
  </si>
  <si>
    <t>PTO-1107|MAT|5</t>
  </si>
  <si>
    <t>PTO-1107|MO</t>
  </si>
  <si>
    <t>PTO-1107|MO|1</t>
  </si>
  <si>
    <t>PTO-1107|MO|2</t>
  </si>
  <si>
    <t>PTO-1108</t>
  </si>
  <si>
    <t>PTO-1108|EQ</t>
  </si>
  <si>
    <t>PTO-1108|EQ|1</t>
  </si>
  <si>
    <t>PTO-1108|EQ|2</t>
  </si>
  <si>
    <t>PTO-1108|MAT</t>
  </si>
  <si>
    <t>PTO-1108|MAT|1</t>
  </si>
  <si>
    <t>PTO-1108|MAT|2</t>
  </si>
  <si>
    <t>PTO-1108|MAT|3</t>
  </si>
  <si>
    <t>PTO-1108|MAT|4</t>
  </si>
  <si>
    <t>PTO-1108|MO</t>
  </si>
  <si>
    <t>PTO-1108|MO|1</t>
  </si>
  <si>
    <t>PTO-1108|MO|2</t>
  </si>
  <si>
    <t>PTO-1109</t>
  </si>
  <si>
    <t>PTO-1109|EQ</t>
  </si>
  <si>
    <t>PTO-1109|EQ|1</t>
  </si>
  <si>
    <t>PTO-1109|EQ|2</t>
  </si>
  <si>
    <t>PTO-1109|MAT</t>
  </si>
  <si>
    <t>PTO-1109|MAT|1</t>
  </si>
  <si>
    <t>PTO-1109|MAT|2</t>
  </si>
  <si>
    <t>PTO-1109|MAT|3</t>
  </si>
  <si>
    <t>PTO-1109|MAT|4</t>
  </si>
  <si>
    <t>PTO-1109|MO</t>
  </si>
  <si>
    <t>PTO-1109|MO|1</t>
  </si>
  <si>
    <t>PTO-1109|MO|2</t>
  </si>
  <si>
    <t>PTO-1110</t>
  </si>
  <si>
    <t>PTO-1110|EQ</t>
  </si>
  <si>
    <t>PTO-1110|EQ|1</t>
  </si>
  <si>
    <t>PTO-1110|EQ|2</t>
  </si>
  <si>
    <t>PTO-1110|MAT</t>
  </si>
  <si>
    <t>PTO-1110|MAT|1</t>
  </si>
  <si>
    <t>PTO-1110|MAT|2</t>
  </si>
  <si>
    <t>PTO-1110|MAT|3</t>
  </si>
  <si>
    <t>PTO-1110|MAT|4</t>
  </si>
  <si>
    <t>PTO-1110|MO</t>
  </si>
  <si>
    <t>PTO-1110|MO|1</t>
  </si>
  <si>
    <t>PTO-1110|MO|2</t>
  </si>
  <si>
    <t>PTO-1111</t>
  </si>
  <si>
    <t>PTO-1111|EQ</t>
  </si>
  <si>
    <t>PTO-1111|EQ|1</t>
  </si>
  <si>
    <t>PTO-1111|EQ|2</t>
  </si>
  <si>
    <t>PTO-1111|MAT</t>
  </si>
  <si>
    <t>PTO-1111|MAT|1</t>
  </si>
  <si>
    <t>PTO-1111|MAT|2</t>
  </si>
  <si>
    <t>PTO-1111|MAT|3</t>
  </si>
  <si>
    <t>PTO-1111|MAT|4</t>
  </si>
  <si>
    <t>PTO-1111|MO</t>
  </si>
  <si>
    <t>PTO-1111|MO|1</t>
  </si>
  <si>
    <t>PTO-1111|MO|2</t>
  </si>
  <si>
    <t>PTO-1201</t>
  </si>
  <si>
    <t>PTO-1201|EQ</t>
  </si>
  <si>
    <t>PTO-1201|EQ|1</t>
  </si>
  <si>
    <t>PTO-1201|EQ|2</t>
  </si>
  <si>
    <t>PTO-1201|EQ|3</t>
  </si>
  <si>
    <t>PTO-1201|MAT</t>
  </si>
  <si>
    <t>PTO-1201|MAT|1</t>
  </si>
  <si>
    <t>PTO-1201|MAT|2</t>
  </si>
  <si>
    <t>PTO-1201|MAT|3</t>
  </si>
  <si>
    <t>PTO-1201|MO</t>
  </si>
  <si>
    <t>PTO-1201|MO|1</t>
  </si>
  <si>
    <t>PTO-1201|MO|2</t>
  </si>
  <si>
    <t>PTO-1202</t>
  </si>
  <si>
    <t>EQ-PTO065</t>
  </si>
  <si>
    <t>Herramientas menores y consumibles - Provisión y colocación de zócalo de MDF prepintado</t>
  </si>
  <si>
    <t>PTO-1202|EQ</t>
  </si>
  <si>
    <t>PTO-1202|EQ|1</t>
  </si>
  <si>
    <t>PTO-1202|MAT</t>
  </si>
  <si>
    <t>PTO-1202|MAT|1</t>
  </si>
  <si>
    <t>OTR-PTO100</t>
  </si>
  <si>
    <t>Zocalo 5,6cm Madera Mdf Redondeado Prepintado Blanco Pz-56l</t>
  </si>
  <si>
    <t>PTO-1202|MAT|2</t>
  </si>
  <si>
    <t>PTO-1202|MO</t>
  </si>
  <si>
    <t>PTO-1202|MO|1</t>
  </si>
  <si>
    <t>PTO-1203</t>
  </si>
  <si>
    <t>PTO-1203|EQ</t>
  </si>
  <si>
    <t>PTO-1203|EQ|1</t>
  </si>
  <si>
    <t>PTO-1203|EQ|2</t>
  </si>
  <si>
    <t>PTO-1203|MAT</t>
  </si>
  <si>
    <t>PTO-1203|MAT|1</t>
  </si>
  <si>
    <t>PTO-1203|MAT|2</t>
  </si>
  <si>
    <t>PTO-1203|MAT|3</t>
  </si>
  <si>
    <t>PTO-1203|MO</t>
  </si>
  <si>
    <t>PTO-1203|MO|1</t>
  </si>
  <si>
    <t>PTO-1203|MO|2</t>
  </si>
  <si>
    <t>PTO-1301</t>
  </si>
  <si>
    <t>PTO-1301|EQ</t>
  </si>
  <si>
    <t>PTO-1301|EQ|1</t>
  </si>
  <si>
    <t>PTO-1301|EQ|2</t>
  </si>
  <si>
    <t>PTO-1301|MAT</t>
  </si>
  <si>
    <t>PTO-1301|MAT|1</t>
  </si>
  <si>
    <t>PTO-1301|MAT|2</t>
  </si>
  <si>
    <t>PTO-1301|MAT|3</t>
  </si>
  <si>
    <t>PTO-1301|MAT|4</t>
  </si>
  <si>
    <t>PTO-1301|MO</t>
  </si>
  <si>
    <t>PTO-1301|MO|1</t>
  </si>
  <si>
    <t>PTO-1301|MO|2</t>
  </si>
  <si>
    <t>PTO-1302</t>
  </si>
  <si>
    <t>PTO-1302|EQ</t>
  </si>
  <si>
    <t>PTO-1302|EQ|1</t>
  </si>
  <si>
    <t>PTO-1302|EQ|2</t>
  </si>
  <si>
    <t>PTO-1302|MAT</t>
  </si>
  <si>
    <t>PTO-1302|MAT|1</t>
  </si>
  <si>
    <t>PTO-1302|MAT|2</t>
  </si>
  <si>
    <t>PTO-1302|MAT|3</t>
  </si>
  <si>
    <t>PTO-1302|MAT|4</t>
  </si>
  <si>
    <t>PTO-1302|MO</t>
  </si>
  <si>
    <t>PTO-1302|MO|1</t>
  </si>
  <si>
    <t>PTO-1302|MO|2</t>
  </si>
  <si>
    <t>PTO-1303</t>
  </si>
  <si>
    <t>EQ-PTO066</t>
  </si>
  <si>
    <t>Herramientas menores y consumibles - Colocación de listones refractarios en parrillas -</t>
  </si>
  <si>
    <t>PTO-1303|EQ</t>
  </si>
  <si>
    <t>PTO-1303|EQ|1</t>
  </si>
  <si>
    <t>OTR-PTO101</t>
  </si>
  <si>
    <t>WEBER REFRACTARIO X 10KG (rend. 0,5 m2)</t>
  </si>
  <si>
    <t>PTO-1303|MAT</t>
  </si>
  <si>
    <t>PTO-1303|MAT|1</t>
  </si>
  <si>
    <t>PTO-1303|MAT|2</t>
  </si>
  <si>
    <t>PTO-1303|MO</t>
  </si>
  <si>
    <t>PTO-1303|MO|1</t>
  </si>
  <si>
    <t>PTO-1303|MO|2</t>
  </si>
  <si>
    <t>PTO-1401</t>
  </si>
  <si>
    <t>EQ-PTO067</t>
  </si>
  <si>
    <t>Herramientas menores y consumibles - Aplicado de yeso</t>
  </si>
  <si>
    <t>PTO-1401|EQ</t>
  </si>
  <si>
    <t>PTO-1401|EQ|1</t>
  </si>
  <si>
    <t>PTO-1401|MAT</t>
  </si>
  <si>
    <t>PTO-1401|MAT|1</t>
  </si>
  <si>
    <t>OTR-PTO102</t>
  </si>
  <si>
    <t>PA-MAX PUENTE DE ADHERENCIA 20LT (150 m2/tac) - Contemplo el 100% de los m2</t>
  </si>
  <si>
    <t>PTO-1401|MAT|2</t>
  </si>
  <si>
    <t>PTO-1401|MO</t>
  </si>
  <si>
    <t>PTO-1401|MO|1</t>
  </si>
  <si>
    <t>PTO-1402</t>
  </si>
  <si>
    <t>SUB-PTO030</t>
  </si>
  <si>
    <t>MO Buña en yeso aplicado [SUBCONTRATOS]</t>
  </si>
  <si>
    <t>PTO-1402|MO</t>
  </si>
  <si>
    <t>PTO-1402|MO|1</t>
  </si>
  <si>
    <t>PTO-1403</t>
  </si>
  <si>
    <t>PTO-1403|EQ</t>
  </si>
  <si>
    <t>PTO-1403|EQ|1</t>
  </si>
  <si>
    <t>PTO-1403|EQ|2</t>
  </si>
  <si>
    <t>PTO-1403|MAT</t>
  </si>
  <si>
    <t>PTO-1403|MAT|1</t>
  </si>
  <si>
    <t>PTO-1403|MAT|2</t>
  </si>
  <si>
    <t>PTO-1403|MAT|3</t>
  </si>
  <si>
    <t>PTO-1403|MAT|4</t>
  </si>
  <si>
    <t>PTO-1403|MAT|5</t>
  </si>
  <si>
    <t>PTO-1403|MAT|6</t>
  </si>
  <si>
    <t>PTO-1403|MAT|7</t>
  </si>
  <si>
    <t>PTO-1403|MAT|8</t>
  </si>
  <si>
    <t>PTO-1403|MO</t>
  </si>
  <si>
    <t>PTO-1403|MO|1</t>
  </si>
  <si>
    <t>PTO-1403|MO|2</t>
  </si>
  <si>
    <t>PTO-1404</t>
  </si>
  <si>
    <t>PTO-1404|EQ</t>
  </si>
  <si>
    <t>PTO-1404|EQ|1</t>
  </si>
  <si>
    <t>PTO-1404|EQ|2</t>
  </si>
  <si>
    <t>PTO-1404|MAT</t>
  </si>
  <si>
    <t>PTO-1404|MAT|1</t>
  </si>
  <si>
    <t>PTO-1404|MAT|2</t>
  </si>
  <si>
    <t>PTO-1404|MAT|3</t>
  </si>
  <si>
    <t>PTO-1404|MAT|4</t>
  </si>
  <si>
    <t>PTO-1404|MAT|5</t>
  </si>
  <si>
    <t>PTO-1404|MAT|6</t>
  </si>
  <si>
    <t>PTO-1404|MAT|7</t>
  </si>
  <si>
    <t>PTO-1404|MAT|8</t>
  </si>
  <si>
    <t>PTO-1404|MO</t>
  </si>
  <si>
    <t>PTO-1404|MO|1</t>
  </si>
  <si>
    <t>PTO-1404|MO|2</t>
  </si>
  <si>
    <t>PTO-1405</t>
  </si>
  <si>
    <t>PTO-1405|EQ</t>
  </si>
  <si>
    <t>PTO-1405|EQ|1</t>
  </si>
  <si>
    <t>PTO-1405|EQ|2</t>
  </si>
  <si>
    <t>PTO-1405|MAT</t>
  </si>
  <si>
    <t>PTO-1405|MAT|1</t>
  </si>
  <si>
    <t>OTR-014</t>
  </si>
  <si>
    <t>Buña Z x 2.60m</t>
  </si>
  <si>
    <t>PTO-1405|MAT|2</t>
  </si>
  <si>
    <t>PTO-1405|MO</t>
  </si>
  <si>
    <t>PTO-1405|MO|1</t>
  </si>
  <si>
    <t>PTO-1406</t>
  </si>
  <si>
    <t>EQ-PTO069</t>
  </si>
  <si>
    <t xml:space="preserve">Herramientas menores y consumibles - Cantonera / Cajón </t>
  </si>
  <si>
    <t>PTO-1406|EQ</t>
  </si>
  <si>
    <t>PTO-1406|EQ|1</t>
  </si>
  <si>
    <t>PTO-1407</t>
  </si>
  <si>
    <t>EQ-PTO070</t>
  </si>
  <si>
    <t>Herramientas menores y consumibles - Hormigon visto, maquillaje</t>
  </si>
  <si>
    <t>PTO-1407|EQ</t>
  </si>
  <si>
    <t>PTO-1407|EQ|1</t>
  </si>
  <si>
    <t>PTO-1407|MAT</t>
  </si>
  <si>
    <t>PTO-1407|MAT|1</t>
  </si>
  <si>
    <t>PTO-1407|MAT|2</t>
  </si>
  <si>
    <t>PTO-1407|MO</t>
  </si>
  <si>
    <t>PTO-1407|MO|1</t>
  </si>
  <si>
    <t>PTO-1407|MO|2</t>
  </si>
  <si>
    <t>PTO-1501</t>
  </si>
  <si>
    <t>EQ-PTO025</t>
  </si>
  <si>
    <t>[EQ] Latex exterior mate en paredes, color bco., sin enduido, a mas de 3 m de altura - Medianeras</t>
  </si>
  <si>
    <t>PTO-1501|EQ</t>
  </si>
  <si>
    <t>PTO-1501|EQ|1</t>
  </si>
  <si>
    <t>OTR-PTO103</t>
  </si>
  <si>
    <t>[Materiales] Latex exterior mate en paredes, color bco., sin enduido, a mas de 3 m de altura - Medianeras</t>
  </si>
  <si>
    <t>PTO-1501|MAT</t>
  </si>
  <si>
    <t>PTO-1501|MAT|1</t>
  </si>
  <si>
    <t>SUB-PTO031</t>
  </si>
  <si>
    <t>[MO] Latex exterior mate en paredes, color bco., sin enduido, a mas de 3 m de altura - Medianeras</t>
  </si>
  <si>
    <t>PTO-1501|MO</t>
  </si>
  <si>
    <t>PTO-1501|MO|1</t>
  </si>
  <si>
    <t>PTO-1502</t>
  </si>
  <si>
    <t>PTO-1502|EQ</t>
  </si>
  <si>
    <t>PTO-1502|EQ|1</t>
  </si>
  <si>
    <t>PTO-1502|EQ|2</t>
  </si>
  <si>
    <t>PTO-1502|MAT</t>
  </si>
  <si>
    <t>PTO-1502|MAT|1</t>
  </si>
  <si>
    <t>PTO-1502|MAT|2</t>
  </si>
  <si>
    <t>PTO-1502|MAT|3</t>
  </si>
  <si>
    <t>PTO-1502|MAT|4</t>
  </si>
  <si>
    <t>PTO-1502|MAT|5</t>
  </si>
  <si>
    <t>PTO-1502|MAT|6</t>
  </si>
  <si>
    <t>PTO-1502|MAT|7</t>
  </si>
  <si>
    <t>PTO-1502|MAT|8</t>
  </si>
  <si>
    <t>PTO-1502|MAT|9</t>
  </si>
  <si>
    <t>PTO-1502|MAT|10</t>
  </si>
  <si>
    <t>PTO-1502|MO</t>
  </si>
  <si>
    <t>PTO-1502|MO|1</t>
  </si>
  <si>
    <t>PTO-1503</t>
  </si>
  <si>
    <t>PTO-1503|EQ</t>
  </si>
  <si>
    <t>PTO-1503|EQ|1</t>
  </si>
  <si>
    <t>PTO-1503|EQ|2</t>
  </si>
  <si>
    <t>PTO-1503|MAT</t>
  </si>
  <si>
    <t>PTO-1503|MAT|1</t>
  </si>
  <si>
    <t>PTO-1503|MAT|2</t>
  </si>
  <si>
    <t>PTO-1503|MAT|3</t>
  </si>
  <si>
    <t>PTO-1503|MAT|4</t>
  </si>
  <si>
    <t>PTO-1503|MAT|5</t>
  </si>
  <si>
    <t>PTO-1503|MAT|6</t>
  </si>
  <si>
    <t>PTO-1503|MAT|7</t>
  </si>
  <si>
    <t>PTO-1503|MAT|8</t>
  </si>
  <si>
    <t>PTO-1503|MAT|9</t>
  </si>
  <si>
    <t>PTO-1503|MAT|10</t>
  </si>
  <si>
    <t>PTO-1503|MO</t>
  </si>
  <si>
    <t>PTO-1503|MO|1</t>
  </si>
  <si>
    <t>PTO-1503|MO|2</t>
  </si>
  <si>
    <t>PTO-1504</t>
  </si>
  <si>
    <t>PTO-1504|EQ</t>
  </si>
  <si>
    <t>PTO-1504|EQ|1</t>
  </si>
  <si>
    <t>PTO-1504|EQ|2</t>
  </si>
  <si>
    <t>PTO-1504|MAT</t>
  </si>
  <si>
    <t>PTO-1504|MAT|1</t>
  </si>
  <si>
    <t>PTO-1504|MAT|2</t>
  </si>
  <si>
    <t>PTO-1504|MAT|3</t>
  </si>
  <si>
    <t>PTO-1504|MAT|4</t>
  </si>
  <si>
    <t>PTO-1504|MAT|5</t>
  </si>
  <si>
    <t>PTO-1504|MAT|6</t>
  </si>
  <si>
    <t>PTO-1504|MAT|7</t>
  </si>
  <si>
    <t>PTO-1504|MAT|8</t>
  </si>
  <si>
    <t>PTO-1504|MO</t>
  </si>
  <si>
    <t>PTO-1504|MO|1</t>
  </si>
  <si>
    <t>PTO-1505</t>
  </si>
  <si>
    <t>PTO-1505|EQ</t>
  </si>
  <si>
    <t>PTO-1505|EQ|1</t>
  </si>
  <si>
    <t>PTO-1505|EQ|2</t>
  </si>
  <si>
    <t>PTO-1505|MAT</t>
  </si>
  <si>
    <t>PTO-1505|MAT|1</t>
  </si>
  <si>
    <t>PTO-1505|MAT|2</t>
  </si>
  <si>
    <t>PTO-1505|MAT|3</t>
  </si>
  <si>
    <t>PTO-1505|MAT|4</t>
  </si>
  <si>
    <t>PTO-1505|MAT|5</t>
  </si>
  <si>
    <t>PTO-1505|MAT|6</t>
  </si>
  <si>
    <t>PTO-1505|MAT|7</t>
  </si>
  <si>
    <t>PTO-1505|MAT|8</t>
  </si>
  <si>
    <t>PTO-1505|MAT|9</t>
  </si>
  <si>
    <t>PTO-1505|MAT|10</t>
  </si>
  <si>
    <t>PTO-1505|MO</t>
  </si>
  <si>
    <t>PTO-1505|MO|1</t>
  </si>
  <si>
    <t>PTO-1506</t>
  </si>
  <si>
    <t>PTO-1506|EQ</t>
  </si>
  <si>
    <t>PTO-1506|EQ|1</t>
  </si>
  <si>
    <t>PTO-1506|EQ|2</t>
  </si>
  <si>
    <t>PTO-1506|EQ|3</t>
  </si>
  <si>
    <t>PTO-1506|MAT</t>
  </si>
  <si>
    <t>PTO-1506|MAT|1</t>
  </si>
  <si>
    <t>PTO-1506|MAT|2</t>
  </si>
  <si>
    <t>PTO-1506|MAT|3</t>
  </si>
  <si>
    <t>PTO-1506|MAT|4</t>
  </si>
  <si>
    <t>PTO-1506|MAT|5</t>
  </si>
  <si>
    <t>PTO-1506|MAT|6</t>
  </si>
  <si>
    <t>PTO-1506|MAT|7</t>
  </si>
  <si>
    <t>PTO-1506|MAT|8</t>
  </si>
  <si>
    <t>PTO-1506|MAT|9</t>
  </si>
  <si>
    <t>PTO-1506|MAT|10</t>
  </si>
  <si>
    <t>PTO-1506|MO</t>
  </si>
  <si>
    <t>PTO-1506|MO|1</t>
  </si>
  <si>
    <t>PTO-1506|MO|2</t>
  </si>
  <si>
    <t>PTO-1507</t>
  </si>
  <si>
    <t>EQ-PTO071</t>
  </si>
  <si>
    <t xml:space="preserve">Herramientas menores y consumibles - Impermeabilizane de Hº, silicona transparente </t>
  </si>
  <si>
    <t>PTO-1507|EQ</t>
  </si>
  <si>
    <t>PTO-1507|EQ|1</t>
  </si>
  <si>
    <t>OTR-PTO104</t>
  </si>
  <si>
    <t>Sikaguard 0,350 lts/m2</t>
  </si>
  <si>
    <t>PTO-1507|MAT</t>
  </si>
  <si>
    <t>PTO-1507|MAT|1</t>
  </si>
  <si>
    <t>PTO-1507|MO</t>
  </si>
  <si>
    <t>PTO-1507|MO|1</t>
  </si>
  <si>
    <t>PTO-1507|MO|2</t>
  </si>
  <si>
    <t>PTO-1508</t>
  </si>
  <si>
    <t>EQ-PTO072</t>
  </si>
  <si>
    <t>Herramientas menores y consumibles - Revestimiento tipo Tarquini hasta 3 m de altura</t>
  </si>
  <si>
    <t>PTO-1508|EQ</t>
  </si>
  <si>
    <t>PTO-1508|EQ|1</t>
  </si>
  <si>
    <t>OTR-PTO141</t>
  </si>
  <si>
    <t>MT para Revestimiento tipo Tarquini hasta 3 m de altura</t>
  </si>
  <si>
    <t>PTO-1508|MAT</t>
  </si>
  <si>
    <t>PTO-1508|MAT|1</t>
  </si>
  <si>
    <t>SUB-PTO032</t>
  </si>
  <si>
    <t>MO Revestimiento tipo Tarquini hasta 3 m de altura [SUBCONTRATOS]</t>
  </si>
  <si>
    <t>PTO-1508|MO</t>
  </si>
  <si>
    <t>PTO-1508|MO|1</t>
  </si>
  <si>
    <t>PTO-1509</t>
  </si>
  <si>
    <t>EQ-PTO073</t>
  </si>
  <si>
    <t>Herramientas menores y consumibles - Revestimiento tipo Tarquini a mas de 3 m de altura</t>
  </si>
  <si>
    <t>PTO-1509|EQ</t>
  </si>
  <si>
    <t>PTO-1509|EQ|1</t>
  </si>
  <si>
    <t>PTO-1509|MAT</t>
  </si>
  <si>
    <t>PTO-1509|MAT|1</t>
  </si>
  <si>
    <t>SUB-PTO033</t>
  </si>
  <si>
    <t>MO Revestimiento tipo Tarquini a mas de 3 m de altura [SUBCONTRATOS]</t>
  </si>
  <si>
    <t>PTO-1509|MO</t>
  </si>
  <si>
    <t>PTO-1509|MO|1</t>
  </si>
  <si>
    <t>PTO-1510</t>
  </si>
  <si>
    <t>EQ-PTO074</t>
  </si>
  <si>
    <t>Herramientas menores y consumibles - Franjas división cocheras</t>
  </si>
  <si>
    <t>PTO-1510|EQ</t>
  </si>
  <si>
    <t>PTO-1510|EQ|1</t>
  </si>
  <si>
    <t>Pintura</t>
  </si>
  <si>
    <t>PTO-1510|MAT</t>
  </si>
  <si>
    <t>PTO-1510|MAT|1</t>
  </si>
  <si>
    <t>OTR-PTO105</t>
  </si>
  <si>
    <t>Pintura acrílica Sintevial para demarcación vial brillante amarillo</t>
  </si>
  <si>
    <t>PTO-1510|MAT|2</t>
  </si>
  <si>
    <t>PTO-1510|MO</t>
  </si>
  <si>
    <t>PTO-1510|MO|1</t>
  </si>
  <si>
    <t>PTO-1510|MO|2</t>
  </si>
  <si>
    <t>PTO-1511</t>
  </si>
  <si>
    <t>PTO-1511|MAT</t>
  </si>
  <si>
    <t>PTO-1511|MAT|1</t>
  </si>
  <si>
    <t>PTO-1511|MAT|2</t>
  </si>
  <si>
    <t>PTO-1511|MAT|3</t>
  </si>
  <si>
    <t>PTO-1511|MAT|4</t>
  </si>
  <si>
    <t>PTO-1511|MAT|5</t>
  </si>
  <si>
    <t>PTO-1511|MAT|6</t>
  </si>
  <si>
    <t>PTO-1511|MAT|7</t>
  </si>
  <si>
    <t>PTO-1511|MAT|8</t>
  </si>
  <si>
    <t>EQ-PTO075</t>
  </si>
  <si>
    <t xml:space="preserve">Herramientas menores y consumibles - Esmalte sintetico en puertas color bco. - Puertas </t>
  </si>
  <si>
    <t>PTO-1511|EQ</t>
  </si>
  <si>
    <t>PTO-1511|EQ|1</t>
  </si>
  <si>
    <t>SUB-PTO034</t>
  </si>
  <si>
    <t>PTO-1511|MO</t>
  </si>
  <si>
    <t>PTO-1511|MO|1</t>
  </si>
  <si>
    <t>PTO-1512</t>
  </si>
  <si>
    <t>EQ-PTO076</t>
  </si>
  <si>
    <t>Herramientas menores y consumibles - Esmalte sintético convertidor antioxido color negr</t>
  </si>
  <si>
    <t>PTO-1512|EQ</t>
  </si>
  <si>
    <t>PTO-1512|EQ|1</t>
  </si>
  <si>
    <t>PTO-1512|MAT</t>
  </si>
  <si>
    <t>PTO-1512|MAT|1</t>
  </si>
  <si>
    <t>PTO-1512|MAT|2</t>
  </si>
  <si>
    <t>PTO-1512|MAT|3</t>
  </si>
  <si>
    <t>PTO-1512|MAT|4</t>
  </si>
  <si>
    <t>PTO-1512|MAT|5</t>
  </si>
  <si>
    <t>PTO-1512|MAT|6</t>
  </si>
  <si>
    <t>PTO-1512|MAT|7</t>
  </si>
  <si>
    <t>PTO-1512|MAT|8</t>
  </si>
  <si>
    <t>SUB-PTO035</t>
  </si>
  <si>
    <t>MO Esmalte sintético sobre carpintería metálica</t>
  </si>
  <si>
    <t>PTO-1512|MO</t>
  </si>
  <si>
    <t>PTO-1512|MO|1</t>
  </si>
  <si>
    <t>PTO-1701</t>
  </si>
  <si>
    <t>PTO-1701|EQ</t>
  </si>
  <si>
    <t>PTO-1701|EQ|1</t>
  </si>
  <si>
    <t>PTO-1701|EQ|2</t>
  </si>
  <si>
    <t>PTO-1701|MAT</t>
  </si>
  <si>
    <t>PTO-1701|MAT|1</t>
  </si>
  <si>
    <t>PTO-1701|MAT|2</t>
  </si>
  <si>
    <t>PTO-1701|MO</t>
  </si>
  <si>
    <t>PTO-1701|MO|1</t>
  </si>
  <si>
    <t>PTO-1701|MO|2</t>
  </si>
  <si>
    <t>PTO-1702</t>
  </si>
  <si>
    <t>PTO-1702|EQ</t>
  </si>
  <si>
    <t>PTO-1702|EQ|1</t>
  </si>
  <si>
    <t>PTO-1702|EQ|2</t>
  </si>
  <si>
    <t>PTO-1702|MAT</t>
  </si>
  <si>
    <t>PTO-1702|MAT|1</t>
  </si>
  <si>
    <t>PTO-1702|MAT|2</t>
  </si>
  <si>
    <t>PTO-1702|MO</t>
  </si>
  <si>
    <t>PTO-1702|MO|1</t>
  </si>
  <si>
    <t>PTO-1702|MO|2</t>
  </si>
  <si>
    <t>PTO-1703</t>
  </si>
  <si>
    <t>PTO-1703|EQ</t>
  </si>
  <si>
    <t>PTO-1703|EQ|1</t>
  </si>
  <si>
    <t>PTO-1703|EQ|2</t>
  </si>
  <si>
    <t>PTO-1703|MAT</t>
  </si>
  <si>
    <t>PTO-1703|MAT|1</t>
  </si>
  <si>
    <t>PTO-1703|MAT|2</t>
  </si>
  <si>
    <t>PTO-1703|MO</t>
  </si>
  <si>
    <t>PTO-1703|MO|1</t>
  </si>
  <si>
    <t>PTO-1703|MO|2</t>
  </si>
  <si>
    <t>PTO-1704</t>
  </si>
  <si>
    <t>PTO-1704|EQ</t>
  </si>
  <si>
    <t>PTO-1704|EQ|1</t>
  </si>
  <si>
    <t>PTO-1704|EQ|2</t>
  </si>
  <si>
    <t>PTO-1704|MAT</t>
  </si>
  <si>
    <t>PTO-1704|MAT|1</t>
  </si>
  <si>
    <t>PTO-1704|MAT|2</t>
  </si>
  <si>
    <t>SUB-PTO085</t>
  </si>
  <si>
    <t xml:space="preserve">MO Amure Puertas de Ascensor </t>
  </si>
  <si>
    <t>PTO-1704|MO</t>
  </si>
  <si>
    <t>PTO-1704|MO|1</t>
  </si>
  <si>
    <t>PTO-1704|MO|2</t>
  </si>
  <si>
    <t>PTO-1704|MO|3</t>
  </si>
  <si>
    <t>PTO-1801</t>
  </si>
  <si>
    <t>PTO-1801|EQ</t>
  </si>
  <si>
    <t>PTO-1801|EQ|1</t>
  </si>
  <si>
    <t>PTO-1801|EQ|2</t>
  </si>
  <si>
    <t>PTO-1801|EQ|3</t>
  </si>
  <si>
    <t>PTO-1801|MAT</t>
  </si>
  <si>
    <t>PTO-1801|MAT|1</t>
  </si>
  <si>
    <t>PTO-1801|MAT|2</t>
  </si>
  <si>
    <t>PTO-1801|MAT|3</t>
  </si>
  <si>
    <t>PTO-1801|MAT|4</t>
  </si>
  <si>
    <t>PTO-1801|MAT|5</t>
  </si>
  <si>
    <t>PTO-1801|MAT|6</t>
  </si>
  <si>
    <t>PTO-1801|MAT|7</t>
  </si>
  <si>
    <t>PTO-1801|MAT|8</t>
  </si>
  <si>
    <t>PTO-1801|MAT|9</t>
  </si>
  <si>
    <t>SUB-BOCACOMP</t>
  </si>
  <si>
    <t>Boca completa</t>
  </si>
  <si>
    <t>PTO-1801|MO</t>
  </si>
  <si>
    <t>PTO-1801|MO|1</t>
  </si>
  <si>
    <t>PTO-1802</t>
  </si>
  <si>
    <t>PTO-1802|MO</t>
  </si>
  <si>
    <t>PTO-1802|MO|1</t>
  </si>
  <si>
    <t>PTO-1802|EQ</t>
  </si>
  <si>
    <t>PTO-1802|EQ|1</t>
  </si>
  <si>
    <t>PTO-1802|EQ|2</t>
  </si>
  <si>
    <t>PTO-1802|EQ|3</t>
  </si>
  <si>
    <t>PTO-1802|MAT</t>
  </si>
  <si>
    <t>PTO-1802|MAT|1</t>
  </si>
  <si>
    <t>PTO-1802|MAT|2</t>
  </si>
  <si>
    <t>PTO-1802|MAT|3</t>
  </si>
  <si>
    <t>PTO-1802|MAT|4</t>
  </si>
  <si>
    <t>PTO-1802|MAT|5</t>
  </si>
  <si>
    <t>PTO-1802|MAT|6</t>
  </si>
  <si>
    <t>PTO-1802|MAT|7</t>
  </si>
  <si>
    <t>PTO-1802|MAT|8</t>
  </si>
  <si>
    <t>PTO-1802|MAT|9</t>
  </si>
  <si>
    <t>PTO-1803</t>
  </si>
  <si>
    <t>PTO-1803|MO</t>
  </si>
  <si>
    <t>PTO-1803|MO|1</t>
  </si>
  <si>
    <t>PTO-1804</t>
  </si>
  <si>
    <t>PTO-1804|MO</t>
  </si>
  <si>
    <t>PTO-1804|MO|1</t>
  </si>
  <si>
    <t>PTO-1803|EQ</t>
  </si>
  <si>
    <t>PTO-1803|EQ|1</t>
  </si>
  <si>
    <t>PTO-1803|EQ|2</t>
  </si>
  <si>
    <t>PTO-1803|EQ|3</t>
  </si>
  <si>
    <t>PTO-1803|MAT</t>
  </si>
  <si>
    <t>PTO-1803|MAT|1</t>
  </si>
  <si>
    <t>PTO-1803|MAT|2</t>
  </si>
  <si>
    <t>PTO-1803|MAT|3</t>
  </si>
  <si>
    <t>PTO-1803|MAT|4</t>
  </si>
  <si>
    <t>PTO-1803|MAT|5</t>
  </si>
  <si>
    <t>PTO-1803|MAT|6</t>
  </si>
  <si>
    <t>PTO-1803|MAT|7</t>
  </si>
  <si>
    <t>PTO-1803|MAT|8</t>
  </si>
  <si>
    <t>PTO-1805</t>
  </si>
  <si>
    <t>PTO-1805|MO</t>
  </si>
  <si>
    <t>PTO-1805|MO|1</t>
  </si>
  <si>
    <t>PTO-1806</t>
  </si>
  <si>
    <t>PTO-1806|MO</t>
  </si>
  <si>
    <t>PTO-1806|MO|1</t>
  </si>
  <si>
    <t>PTO-1804|EQ</t>
  </si>
  <si>
    <t>PTO-1804|EQ|1</t>
  </si>
  <si>
    <t>PTO-1804|EQ|2</t>
  </si>
  <si>
    <t>PTO-1804|EQ|3</t>
  </si>
  <si>
    <t>PTO-1804|MAT</t>
  </si>
  <si>
    <t>PTO-1804|MAT|1</t>
  </si>
  <si>
    <t>PTO-1804|MAT|2</t>
  </si>
  <si>
    <t>PTO-1804|MAT|3</t>
  </si>
  <si>
    <t>PTO-1804|MAT|4</t>
  </si>
  <si>
    <t>PTO-1804|MAT|5</t>
  </si>
  <si>
    <t>PTO-1804|MAT|6</t>
  </si>
  <si>
    <t>PTO-1804|MAT|7</t>
  </si>
  <si>
    <t>PTO-1804|MAT|8</t>
  </si>
  <si>
    <t>PTO-1807</t>
  </si>
  <si>
    <t>PTO-1807|MO</t>
  </si>
  <si>
    <t>PTO-1807|MO|1</t>
  </si>
  <si>
    <t>PTO-1808</t>
  </si>
  <si>
    <t>PTO-1808|MO</t>
  </si>
  <si>
    <t>PTO-1808|MO|1</t>
  </si>
  <si>
    <t>PTO-1805|EQ</t>
  </si>
  <si>
    <t>PTO-1805|EQ|1</t>
  </si>
  <si>
    <t>PTO-1805|EQ|2</t>
  </si>
  <si>
    <t>PTO-1805|EQ|3</t>
  </si>
  <si>
    <t>PTO-1805|MAT</t>
  </si>
  <si>
    <t>PTO-1805|MAT|1</t>
  </si>
  <si>
    <t>PTO-1805|MAT|2</t>
  </si>
  <si>
    <t>PTO-1805|MAT|3</t>
  </si>
  <si>
    <t>PTO-1805|MAT|4</t>
  </si>
  <si>
    <t>PTO-1805|MAT|5</t>
  </si>
  <si>
    <t>PTO-1805|MAT|6</t>
  </si>
  <si>
    <t>PTO-1805|MAT|7</t>
  </si>
  <si>
    <t>PTO-1805|MAT|8</t>
  </si>
  <si>
    <t>PTO-1809</t>
  </si>
  <si>
    <t>PTO-1809|MO</t>
  </si>
  <si>
    <t>PTO-1809|MO|1</t>
  </si>
  <si>
    <t>PTO-1810</t>
  </si>
  <si>
    <t>PTO-1810|MO</t>
  </si>
  <si>
    <t>PTO-1810|MO|1</t>
  </si>
  <si>
    <t>PTO-1806|EQ</t>
  </si>
  <si>
    <t>PTO-1806|EQ|1</t>
  </si>
  <si>
    <t>PTO-1806|EQ|2</t>
  </si>
  <si>
    <t>PTO-1806|EQ|3</t>
  </si>
  <si>
    <t>PTO-1806|MAT</t>
  </si>
  <si>
    <t>PTO-1806|MAT|1</t>
  </si>
  <si>
    <t>PTO-1806|MAT|2</t>
  </si>
  <si>
    <t>PTO-1806|MAT|3</t>
  </si>
  <si>
    <t>PTO-1806|MAT|4</t>
  </si>
  <si>
    <t>PTO-1806|MAT|5</t>
  </si>
  <si>
    <t>PTO-1806|MAT|6</t>
  </si>
  <si>
    <t>PTO-1806|MAT|7</t>
  </si>
  <si>
    <t>PTO-1806|MAT|8</t>
  </si>
  <si>
    <t>PTO-1811</t>
  </si>
  <si>
    <t>SUB-CANAL</t>
  </si>
  <si>
    <t>Canalización</t>
  </si>
  <si>
    <t>PTO-1811|MO</t>
  </si>
  <si>
    <t>PTO-1811|MO|1</t>
  </si>
  <si>
    <t>PTO-1812</t>
  </si>
  <si>
    <t>PTO-1812|MO</t>
  </si>
  <si>
    <t>PTO-1812|MO|1</t>
  </si>
  <si>
    <t>PTO-1807|EQ</t>
  </si>
  <si>
    <t>PTO-1807|EQ|1</t>
  </si>
  <si>
    <t>PTO-1807|EQ|2</t>
  </si>
  <si>
    <t>PTO-1807|EQ|3</t>
  </si>
  <si>
    <t>PTO-1807|MAT</t>
  </si>
  <si>
    <t>PTO-1807|MAT|1</t>
  </si>
  <si>
    <t>PTO-1807|MAT|2</t>
  </si>
  <si>
    <t>PTO-1807|MAT|3</t>
  </si>
  <si>
    <t>PTO-1807|MAT|4</t>
  </si>
  <si>
    <t>PTO-1807|MAT|5</t>
  </si>
  <si>
    <t>PTO-1807|MAT|6</t>
  </si>
  <si>
    <t>PTO-1807|MAT|7</t>
  </si>
  <si>
    <t>PTO-1813</t>
  </si>
  <si>
    <t>PTO-1813|MO</t>
  </si>
  <si>
    <t>PTO-1813|MO|1</t>
  </si>
  <si>
    <t>PTO-1814</t>
  </si>
  <si>
    <t>PTO-1814|MO</t>
  </si>
  <si>
    <t>PTO-1814|MO|1</t>
  </si>
  <si>
    <t>PTO-1808|EQ</t>
  </si>
  <si>
    <t>PTO-1808|EQ|1</t>
  </si>
  <si>
    <t>PTO-1808|EQ|2</t>
  </si>
  <si>
    <t>PTO-1808|EQ|3</t>
  </si>
  <si>
    <t>PTO-1808|MAT</t>
  </si>
  <si>
    <t>PTO-1808|MAT|1</t>
  </si>
  <si>
    <t>PTO-1808|MAT|2</t>
  </si>
  <si>
    <t>PTO-1808|MAT|3</t>
  </si>
  <si>
    <t>PTO-1808|MAT|4</t>
  </si>
  <si>
    <t>PTO-1808|MAT|5</t>
  </si>
  <si>
    <t>PTO-1808|MAT|6</t>
  </si>
  <si>
    <t>PTO-1815</t>
  </si>
  <si>
    <t>PTO-1815|MO</t>
  </si>
  <si>
    <t>PTO-1815|MO|1</t>
  </si>
  <si>
    <t>PTO-1809|EQ</t>
  </si>
  <si>
    <t>PTO-1809|EQ|1</t>
  </si>
  <si>
    <t>PTO-1809|EQ|2</t>
  </si>
  <si>
    <t>PTO-1809|EQ|3</t>
  </si>
  <si>
    <t>PTO-1809|MAT</t>
  </si>
  <si>
    <t>PTO-1809|MAT|1</t>
  </si>
  <si>
    <t>PTO-1809|MAT|2</t>
  </si>
  <si>
    <t>PTO-1809|MAT|3</t>
  </si>
  <si>
    <t>PTO-1809|MAT|4</t>
  </si>
  <si>
    <t>PTO-1809|MAT|5</t>
  </si>
  <si>
    <t>PTO-1809|MAT|6</t>
  </si>
  <si>
    <t>PTO-1810|EQ</t>
  </si>
  <si>
    <t>PTO-1810|EQ|1</t>
  </si>
  <si>
    <t>PTO-1810|EQ|2</t>
  </si>
  <si>
    <t>PTO-1810|EQ|3</t>
  </si>
  <si>
    <t>PTO-1810|MAT</t>
  </si>
  <si>
    <t>PTO-1810|MAT|1</t>
  </si>
  <si>
    <t>PTO-1810|MAT|2</t>
  </si>
  <si>
    <t>PTO-1810|MAT|3</t>
  </si>
  <si>
    <t>PTO-1810|MAT|4</t>
  </si>
  <si>
    <t>PTO-1810|MAT|5</t>
  </si>
  <si>
    <t>PTO-1810|MAT|6</t>
  </si>
  <si>
    <t>PTO-1811|EQ</t>
  </si>
  <si>
    <t>PTO-1811|EQ|1</t>
  </si>
  <si>
    <t>PTO-1811|EQ|2</t>
  </si>
  <si>
    <t>PTO-1811|EQ|3</t>
  </si>
  <si>
    <t>PTO-1811|MAT</t>
  </si>
  <si>
    <t>PTO-1811|MAT|1</t>
  </si>
  <si>
    <t>PTO-1811|MAT|2</t>
  </si>
  <si>
    <t>PTO-1811|MAT|3</t>
  </si>
  <si>
    <t>PTO-1811|MAT|4</t>
  </si>
  <si>
    <t>PTO-1811|MAT|5</t>
  </si>
  <si>
    <t>PTO-1811|MAT|6</t>
  </si>
  <si>
    <t>PTO-1812|EQ</t>
  </si>
  <si>
    <t>PTO-1812|EQ|1</t>
  </si>
  <si>
    <t>PTO-1812|EQ|2</t>
  </si>
  <si>
    <t>PTO-1812|EQ|3</t>
  </si>
  <si>
    <t>PTO-1812|MAT</t>
  </si>
  <si>
    <t>PTO-1812|MAT|1</t>
  </si>
  <si>
    <t>PTO-1812|MAT|2</t>
  </si>
  <si>
    <t>PTO-1812|MAT|3</t>
  </si>
  <si>
    <t>PTO-1812|MAT|4</t>
  </si>
  <si>
    <t>PTO-1812|MAT|5</t>
  </si>
  <si>
    <t>PTO-1813|EQ</t>
  </si>
  <si>
    <t>PTO-1813|EQ|1</t>
  </si>
  <si>
    <t>PTO-1813|EQ|2</t>
  </si>
  <si>
    <t>PTO-1813|EQ|3</t>
  </si>
  <si>
    <t>PTO-1813|MAT</t>
  </si>
  <si>
    <t>PTO-1813|MAT|1</t>
  </si>
  <si>
    <t>PTO-1813|MAT|2</t>
  </si>
  <si>
    <t>PTO-1813|MAT|3</t>
  </si>
  <si>
    <t>PTO-1813|MAT|4</t>
  </si>
  <si>
    <t>PTO-1813|MAT|5</t>
  </si>
  <si>
    <t>PTO-1814|EQ</t>
  </si>
  <si>
    <t>PTO-1814|EQ|1</t>
  </si>
  <si>
    <t>PTO-1814|EQ|2</t>
  </si>
  <si>
    <t>PTO-1814|EQ|3</t>
  </si>
  <si>
    <t>PTO-1814|MAT</t>
  </si>
  <si>
    <t>PTO-1814|MAT|1</t>
  </si>
  <si>
    <t>PTO-1814|MAT|2</t>
  </si>
  <si>
    <t>PTO-1814|MAT|3</t>
  </si>
  <si>
    <t>PTO-1814|MAT|4</t>
  </si>
  <si>
    <t>PTO-1814|MAT|5</t>
  </si>
  <si>
    <t>PTO-1815|EQ</t>
  </si>
  <si>
    <t>PTO-1815|EQ|1</t>
  </si>
  <si>
    <t>PTO-1815|EQ|2</t>
  </si>
  <si>
    <t>PTO-1815|EQ|3</t>
  </si>
  <si>
    <t>PTO-1815|MAT</t>
  </si>
  <si>
    <t>PTO-1815|MAT|1</t>
  </si>
  <si>
    <t>PTO-1815|MAT|2</t>
  </si>
  <si>
    <t>PTO-1815|MAT|3</t>
  </si>
  <si>
    <t>PTO-1815|MAT|4</t>
  </si>
  <si>
    <t>PTO-1815|MAT|5</t>
  </si>
  <si>
    <t>PTO-1816</t>
  </si>
  <si>
    <t>EQ-PTO115</t>
  </si>
  <si>
    <t>Herramientas y consumibles - PTO-1816 TSG</t>
  </si>
  <si>
    <t>PTO-1816|EQ</t>
  </si>
  <si>
    <t>PTO-1816|EQ|1</t>
  </si>
  <si>
    <t>PTO-1816|MAT</t>
  </si>
  <si>
    <t>PTO-1816|MAT|1</t>
  </si>
  <si>
    <t>OTR-PTO147</t>
  </si>
  <si>
    <t>Voltimetro Display Ojo de Buey 22 mm (220vca ø22mm / IP44)</t>
  </si>
  <si>
    <t>PTO-1816|MAT|2</t>
  </si>
  <si>
    <t>OTR-PTO148</t>
  </si>
  <si>
    <t>STECK DIFERENCIAL 4X40A 30MA (4x40A)</t>
  </si>
  <si>
    <t>PTO-1816|MAT|3</t>
  </si>
  <si>
    <t>OTR-PTO149</t>
  </si>
  <si>
    <t>STECK DIFERENCIAL 2X25A 30MA (2X40A)</t>
  </si>
  <si>
    <t>PTO-1816|MAT|4</t>
  </si>
  <si>
    <t>OTR-PTO150</t>
  </si>
  <si>
    <t>STECK TM TETRAPOLAR 50A 6KA (4 x 50 A)</t>
  </si>
  <si>
    <t>PTO-1816|MAT|5</t>
  </si>
  <si>
    <t>OTR-PTO151</t>
  </si>
  <si>
    <t>STECK TM TETRAPOLAR 32A 6KA (4 X 25A)</t>
  </si>
  <si>
    <t>PTO-1816|MAT|6</t>
  </si>
  <si>
    <t>OTR-PTO152</t>
  </si>
  <si>
    <t>STECK TM BIPOLAR 16A 6KA (2 X 16A)</t>
  </si>
  <si>
    <t>PTO-1816|MAT|7</t>
  </si>
  <si>
    <t>OTR-PTO153</t>
  </si>
  <si>
    <t>STECK TM BIPOLAR 10A 6KA (2 X 10A)</t>
  </si>
  <si>
    <t>PTO-1816|MAT|8</t>
  </si>
  <si>
    <t>OTR-PTO154</t>
  </si>
  <si>
    <t>GAB. IP65 SERIE 9000 600X900X225</t>
  </si>
  <si>
    <t>PTO-1816|MAT|9</t>
  </si>
  <si>
    <t>OTR-PTO155</t>
  </si>
  <si>
    <t>CONTRAF ABISAG CALADO 60BIP S9000 600X900</t>
  </si>
  <si>
    <t>PTO-1816|MAT|10</t>
  </si>
  <si>
    <t>OTR-PTO156</t>
  </si>
  <si>
    <t>SOP REG P/CONTRAFRENTE PROF 225 X1</t>
  </si>
  <si>
    <t>PTO-1816|MAT|11</t>
  </si>
  <si>
    <t>OTR-PTO157</t>
  </si>
  <si>
    <t>RIEL PORTA ELEMENTOS X 1 METRO</t>
  </si>
  <si>
    <t>PTO-1816|MAT|12</t>
  </si>
  <si>
    <t>OTR-PTO158</t>
  </si>
  <si>
    <t>DISTRIBUIDOR TETRAP.160A 15 STD</t>
  </si>
  <si>
    <t>PTO-1816|MAT|13</t>
  </si>
  <si>
    <t>OTR-PTO159</t>
  </si>
  <si>
    <t>RLLOX100M 1X 6,0MM NEGRO N.IRAM (1 x 6 mm)</t>
  </si>
  <si>
    <t>PTO-1816|MAT|14</t>
  </si>
  <si>
    <t>SUB-TS36</t>
  </si>
  <si>
    <t>Tablero seccional de 36 a 54 polos</t>
  </si>
  <si>
    <t>PTO-1816|MO</t>
  </si>
  <si>
    <t>PTO-1816|MO|1</t>
  </si>
  <si>
    <t>PTO-1817</t>
  </si>
  <si>
    <t>EQ-PTO116</t>
  </si>
  <si>
    <t>Herramientas y consumibles - PTO-1817 TSBI</t>
  </si>
  <si>
    <t>PTO-1817|EQ</t>
  </si>
  <si>
    <t>PTO-1817|EQ|1</t>
  </si>
  <si>
    <t>PTO-1817|MAT</t>
  </si>
  <si>
    <t>PTO-1817|MAT|1</t>
  </si>
  <si>
    <t>PTO-1817|MAT|2</t>
  </si>
  <si>
    <t>PTO-1817|MAT|3</t>
  </si>
  <si>
    <t>PTO-1817|MAT|4</t>
  </si>
  <si>
    <t>PTO-1817|MAT|5</t>
  </si>
  <si>
    <t>OTR-PTO160</t>
  </si>
  <si>
    <t>GAB. IP65 SERIE 9000 300X300X150 (300 X 300 X 150)</t>
  </si>
  <si>
    <t>PTO-1817|MAT|6</t>
  </si>
  <si>
    <t>OTR-PTO161</t>
  </si>
  <si>
    <t>CONTRAF ABISAG.CALADO 10BIP S9000 300X300</t>
  </si>
  <si>
    <t>PTO-1817|MAT|7</t>
  </si>
  <si>
    <t>OTR-PTO162</t>
  </si>
  <si>
    <t>ALTERNADOR 2 BOMBA DIGITAL 24/110/220VCA (220/24v)</t>
  </si>
  <si>
    <t>PTO-1817|MAT|8</t>
  </si>
  <si>
    <t>OTR-PTO163</t>
  </si>
  <si>
    <t>Transformador 220/24 V 50 VA</t>
  </si>
  <si>
    <t>PTO-1817|MAT|9</t>
  </si>
  <si>
    <t>OTR-PTO164</t>
  </si>
  <si>
    <t>LC1D18M7 18A 7,5KW 1+1 220V</t>
  </si>
  <si>
    <t>PTO-1817|MAT|10</t>
  </si>
  <si>
    <t>SUB-TS8</t>
  </si>
  <si>
    <t>Tablero seccional de 8 a 36 polos</t>
  </si>
  <si>
    <t>PTO-1817|MO</t>
  </si>
  <si>
    <t>PTO-1817|MO|1</t>
  </si>
  <si>
    <t>PTO-1818</t>
  </si>
  <si>
    <t>EQ-PTO117</t>
  </si>
  <si>
    <t>Herramientas y consumibles - PTO-1818 TS.ASC</t>
  </si>
  <si>
    <t>PTO-1818|EQ</t>
  </si>
  <si>
    <t>PTO-1818|EQ|1</t>
  </si>
  <si>
    <t>PTO-1818|MAT</t>
  </si>
  <si>
    <t>PTO-1818|MAT|1</t>
  </si>
  <si>
    <t>PTO-1818|MAT|2</t>
  </si>
  <si>
    <t>PTO-1818|MAT|3</t>
  </si>
  <si>
    <t>PTO-1818|MAT|4</t>
  </si>
  <si>
    <t>PTO-1818|MAT|5</t>
  </si>
  <si>
    <t>PTO-1818|MAT|6</t>
  </si>
  <si>
    <t>OTR-PTO165</t>
  </si>
  <si>
    <t>STECK TM TETRAPOLAR 32A 6KA (4 X 32A)</t>
  </si>
  <si>
    <t>PTO-1818|MAT|7</t>
  </si>
  <si>
    <t>PTO-1818|MO</t>
  </si>
  <si>
    <t>PTO-1818|MO|1</t>
  </si>
  <si>
    <t>PTO-1819</t>
  </si>
  <si>
    <t>EQ-PTO118</t>
  </si>
  <si>
    <t>Herramientas y consumibles - PTO-1819 TUF</t>
  </si>
  <si>
    <t>PTO-1819|EQ</t>
  </si>
  <si>
    <t>PTO-1819|EQ|1</t>
  </si>
  <si>
    <t>PTO-1819|MAT</t>
  </si>
  <si>
    <t>PTO-1819|MAT|1</t>
  </si>
  <si>
    <t>PTO-1819|MAT|2</t>
  </si>
  <si>
    <t>PTO-1819|MAT|3</t>
  </si>
  <si>
    <t>OTR-PTO166</t>
  </si>
  <si>
    <t>STECK DIFERENCIAL 2X25A 30MA (2 x 25A)</t>
  </si>
  <si>
    <t>PTO-1819|MAT|4</t>
  </si>
  <si>
    <t>OTR-PTO167</t>
  </si>
  <si>
    <t>STECK TM BIPOLAR 10A 6KA (10A)</t>
  </si>
  <si>
    <t>PTO-1819|MAT|5</t>
  </si>
  <si>
    <t>OTR-PTO168</t>
  </si>
  <si>
    <t>STECK TM BIPOLAR 16A 6KA (16A)</t>
  </si>
  <si>
    <t>PTO-1819|MAT|6</t>
  </si>
  <si>
    <t>OTR-PTO169</t>
  </si>
  <si>
    <t>CAJA EMB P/ TM 36 POLOS BC T/FUME</t>
  </si>
  <si>
    <t>PTO-1819|MAT|7</t>
  </si>
  <si>
    <t>OTR-PTO170</t>
  </si>
  <si>
    <t>RIEL DIN 35MM 1 METRO PERFOR.</t>
  </si>
  <si>
    <t>PTO-1819|MAT|8</t>
  </si>
  <si>
    <t>PTO-1819|MO</t>
  </si>
  <si>
    <t>PTO-1819|MO|1</t>
  </si>
  <si>
    <t>PTO-1820</t>
  </si>
  <si>
    <t>EQ-PTO119</t>
  </si>
  <si>
    <t>Herramientas y consumibles - PTO-1820 MONTANTE</t>
  </si>
  <si>
    <t>PTO-1820|EQ</t>
  </si>
  <si>
    <t>PTO-1820|EQ|1</t>
  </si>
  <si>
    <t>Electricidad</t>
  </si>
  <si>
    <t>PTO-1820|MAT</t>
  </si>
  <si>
    <t>PTO-1820|MAT|1</t>
  </si>
  <si>
    <t>OTR-PTO171</t>
  </si>
  <si>
    <t>CAÑOX3M RIGIDO 25MM PVC TUBE</t>
  </si>
  <si>
    <t>PTO-1820|MAT|2</t>
  </si>
  <si>
    <t>OTR-PTO172</t>
  </si>
  <si>
    <t>RIEL DE FIJAC.1.22 OLMAR</t>
  </si>
  <si>
    <t>PTO-1820|MAT|3</t>
  </si>
  <si>
    <t>OTR-PTO173</t>
  </si>
  <si>
    <t>BROCA METALICA 1/4 CJA X 100</t>
  </si>
  <si>
    <t>PTO-1820|MAT|4</t>
  </si>
  <si>
    <t>OTR-PTO174</t>
  </si>
  <si>
    <t>VARILLA ROSCADA 1/4"X1MTC/BUL.</t>
  </si>
  <si>
    <t>PTO-1820|MAT|5</t>
  </si>
  <si>
    <t>OTR-PTO175</t>
  </si>
  <si>
    <t>GRAMPA P/RIEL 1</t>
  </si>
  <si>
    <t>PTO-1820|MAT|6</t>
  </si>
  <si>
    <t>OTR-PTO176</t>
  </si>
  <si>
    <t>CAJA DE CONEXION 30X40X10 CH20</t>
  </si>
  <si>
    <t>PTO-1820|MAT|7</t>
  </si>
  <si>
    <t>OTR-PTO177</t>
  </si>
  <si>
    <t>CONECTOR 25MM PVC RIG IP54 TUBE</t>
  </si>
  <si>
    <t>PTO-1820|MAT|8</t>
  </si>
  <si>
    <t>OTR-PTO178</t>
  </si>
  <si>
    <t>Cable unipolar 10 mm N.IRAM (UF monos (220 ml en syntenax))</t>
  </si>
  <si>
    <t>PTO-1820|MAT|9</t>
  </si>
  <si>
    <t>OTR-PTO179</t>
  </si>
  <si>
    <t>RLLOX100M 1X 6,0MM NEGRO N.IRAM (UF trifasicas (222 ml en syntenax))</t>
  </si>
  <si>
    <t>PTO-1820|MAT|10</t>
  </si>
  <si>
    <t>OTR-PTO180</t>
  </si>
  <si>
    <t>RLLOX100M 1X 4,0MM NEGRO N.IRAM (Bombas PB + Bombas Pres. (45 ml))</t>
  </si>
  <si>
    <t>PTO-1820|MAT|11</t>
  </si>
  <si>
    <t>OTR-PTO181</t>
  </si>
  <si>
    <t>RLLOX100M 1X16 MM VD/ AM N.IRAM (UF trifasicas (25 ml en syntenax))</t>
  </si>
  <si>
    <t>PTO-1820|MAT|12</t>
  </si>
  <si>
    <t>PTO-1820|MO</t>
  </si>
  <si>
    <t>PTO-1820|MO|1</t>
  </si>
  <si>
    <t>PTO-1820|MO|2</t>
  </si>
  <si>
    <t>PTO-1821</t>
  </si>
  <si>
    <t>EQ-PTO120</t>
  </si>
  <si>
    <t>Herramientas y consumibles - PTO-1821 MontanteTV</t>
  </si>
  <si>
    <t>PTO-1821|EQ</t>
  </si>
  <si>
    <t>PTO-1821|EQ|1</t>
  </si>
  <si>
    <t>PTO-1821|MAT</t>
  </si>
  <si>
    <t>PTO-1821|MAT|1</t>
  </si>
  <si>
    <t>PTO-1821|MAT|2</t>
  </si>
  <si>
    <t>PTO-1821|MAT|3</t>
  </si>
  <si>
    <t>PTO-1821|MAT|4</t>
  </si>
  <si>
    <t>PTO-1821|MAT|5</t>
  </si>
  <si>
    <t>PTO-1821|MAT|6</t>
  </si>
  <si>
    <t>PTO-1821|MAT|7</t>
  </si>
  <si>
    <t>PTO-1821|MAT|8</t>
  </si>
  <si>
    <t>OTR-PTO182</t>
  </si>
  <si>
    <t>RLLOX100M 1X 1,5MM NEGRO N.IRAM (Cable testigo)</t>
  </si>
  <si>
    <t>PTO-1821|MAT|9</t>
  </si>
  <si>
    <t>PTO-1821|MO</t>
  </si>
  <si>
    <t>PTO-1821|MO|1</t>
  </si>
  <si>
    <t>PTO-1821|MO|2</t>
  </si>
  <si>
    <t>PTO-1822</t>
  </si>
  <si>
    <t>EQ-PTO121</t>
  </si>
  <si>
    <t>Herramientas y consumibles - PTO-1822 MontanteTV</t>
  </si>
  <si>
    <t>PTO-1822|EQ</t>
  </si>
  <si>
    <t>PTO-1822|EQ|1</t>
  </si>
  <si>
    <t>PTO-1822|MAT</t>
  </si>
  <si>
    <t>PTO-1822|MAT|1</t>
  </si>
  <si>
    <t>PTO-1822|MAT|2</t>
  </si>
  <si>
    <t>PTO-1822|MAT|3</t>
  </si>
  <si>
    <t>PTO-1822|MAT|4</t>
  </si>
  <si>
    <t>PTO-1822|MAT|5</t>
  </si>
  <si>
    <t>PTO-1822|MAT|6</t>
  </si>
  <si>
    <t>PTO-1822|MAT|7</t>
  </si>
  <si>
    <t>PTO-1822|MAT|8</t>
  </si>
  <si>
    <t>PTO-1822|MAT|9</t>
  </si>
  <si>
    <t>PTO-1822|MO</t>
  </si>
  <si>
    <t>PTO-1822|MO|1</t>
  </si>
  <si>
    <t>PTO-1822|MO|2</t>
  </si>
  <si>
    <t>PTO-1823</t>
  </si>
  <si>
    <t>EQ-PTO084</t>
  </si>
  <si>
    <t>Herramientas menores y consumibles - Colocación de sensor de movimiento - Provisión a c</t>
  </si>
  <si>
    <t>PTO-1823|EQ</t>
  </si>
  <si>
    <t>PTO-1823|EQ|1</t>
  </si>
  <si>
    <t>SUB-PTO040</t>
  </si>
  <si>
    <t>MO Colocación de sensor de movimiento - Provisión a cargo del comitente [SUBCONTRATOS]</t>
  </si>
  <si>
    <t>PTO-1823|MO</t>
  </si>
  <si>
    <t>PTO-1823|MO|1</t>
  </si>
  <si>
    <t>PTO-1824</t>
  </si>
  <si>
    <t>EQ-PTO085</t>
  </si>
  <si>
    <t>Herramientas menores y consumibles - Colocación de teclas simples y/o combinadas, pulsa</t>
  </si>
  <si>
    <t>PTO-1824|EQ</t>
  </si>
  <si>
    <t>PTO-1824|EQ|1</t>
  </si>
  <si>
    <t>SUB-PTO041</t>
  </si>
  <si>
    <t>MO Colocación de teclas simples y/o combinadas, pulsadores - Provisión a cargo del comitente [SUBCONTRATOS]</t>
  </si>
  <si>
    <t>PTO-1824|MO</t>
  </si>
  <si>
    <t>PTO-1824|MO|1</t>
  </si>
  <si>
    <t>PTO-1825</t>
  </si>
  <si>
    <t>EQ-PTO086</t>
  </si>
  <si>
    <t xml:space="preserve">Herramientas menores y consumibles - Colocación de tomas simples/dobles/encapsulados - </t>
  </si>
  <si>
    <t>PTO-1825|EQ</t>
  </si>
  <si>
    <t>PTO-1825|EQ|1</t>
  </si>
  <si>
    <t>SUB-PTO042</t>
  </si>
  <si>
    <t>MO Colocación de tomas simples/dobles/encapsulados - Provisión a cargo del comitente [SUBCONTRATOS]</t>
  </si>
  <si>
    <t>PTO-1825|MO</t>
  </si>
  <si>
    <t>PTO-1825|MO|1</t>
  </si>
  <si>
    <t>PTO-1826</t>
  </si>
  <si>
    <t>EQ-PTO087</t>
  </si>
  <si>
    <t xml:space="preserve">Herramientas menores y consumibles - Colocación de campanilla/zumbadores - Provisión a </t>
  </si>
  <si>
    <t>PTO-1826|EQ</t>
  </si>
  <si>
    <t>PTO-1826|EQ|1</t>
  </si>
  <si>
    <t>SUB-PTO043</t>
  </si>
  <si>
    <t>MO Colocación de campanilla/zumbadores - Provisión a cargo del comitente [SUBCONTRATOS]</t>
  </si>
  <si>
    <t>PTO-1826|MO</t>
  </si>
  <si>
    <t>PTO-1826|MO|1</t>
  </si>
  <si>
    <t>PTO-1827</t>
  </si>
  <si>
    <t>EQ-PTO088</t>
  </si>
  <si>
    <t>Herramientas menores y consumibles - Colocación de extractor de baño - Provisión a carg</t>
  </si>
  <si>
    <t>PTO-1827|EQ</t>
  </si>
  <si>
    <t>PTO-1827|EQ|1</t>
  </si>
  <si>
    <t>SUB-PTO044</t>
  </si>
  <si>
    <t>MO Colocación de extractor de baño - Provisión a cargo del comitente [SUBCONTRATOS]</t>
  </si>
  <si>
    <t>PTO-1827|MO</t>
  </si>
  <si>
    <t>PTO-1827|MO|1</t>
  </si>
  <si>
    <t>PTO-1828</t>
  </si>
  <si>
    <t>EQ-PTO089</t>
  </si>
  <si>
    <t>Herramientas menores y consumibles - Colocación de luz de emergencia - Provisión a carg</t>
  </si>
  <si>
    <t>PTO-1828|EQ</t>
  </si>
  <si>
    <t>PTO-1828|EQ|1</t>
  </si>
  <si>
    <t>SUB-PTO045</t>
  </si>
  <si>
    <t>MO Colocación de luz de emergencia - Provisión a cargo del comitente [SUBCONTRATOS]</t>
  </si>
  <si>
    <t>PTO-1828|MO</t>
  </si>
  <si>
    <t>PTO-1828|MO|1</t>
  </si>
  <si>
    <t>PTO-1829</t>
  </si>
  <si>
    <t>EQ-PTO090</t>
  </si>
  <si>
    <t>Herramientas menores y consumibles - Colocación de semáforo - Provisión a cargo del com</t>
  </si>
  <si>
    <t>PTO-1829|EQ</t>
  </si>
  <si>
    <t>PTO-1829|EQ|1</t>
  </si>
  <si>
    <t>SUB-PTO046</t>
  </si>
  <si>
    <t>MO Colocación de semáforo - Provisión a cargo del comitente [SUBCONTRATOS]</t>
  </si>
  <si>
    <t>PTO-1829|MO</t>
  </si>
  <si>
    <t>PTO-1829|MO|1</t>
  </si>
  <si>
    <t>PTO-1830</t>
  </si>
  <si>
    <t>EQ-PTO091</t>
  </si>
  <si>
    <t>Herramientas menores y consumibles - Colocación artefactos en espacios comunes y balcon</t>
  </si>
  <si>
    <t>PTO-1830|EQ</t>
  </si>
  <si>
    <t>PTO-1830|EQ|1</t>
  </si>
  <si>
    <t>SUB-PTO047</t>
  </si>
  <si>
    <t>MO Colocación artefactos en espacios comunes y balcones - Provisión a cargo del comitente. NO incluye provisión, ni colocación de artefactos en interior de UF [SUBCONTRATOS]</t>
  </si>
  <si>
    <t>PTO-1830|MO</t>
  </si>
  <si>
    <t>PTO-1830|MO|1</t>
  </si>
  <si>
    <t>PTO-1831</t>
  </si>
  <si>
    <t>EQ-PTO122</t>
  </si>
  <si>
    <t>Herramientas y consumibles - PTO-1831 ACOMETIDA</t>
  </si>
  <si>
    <t>PTO-1831|EQ</t>
  </si>
  <si>
    <t>PTO-1831|EQ|1</t>
  </si>
  <si>
    <t>PTO-1831|MAT</t>
  </si>
  <si>
    <t>PTO-1831|MAT|1</t>
  </si>
  <si>
    <t>OTR-PTO183</t>
  </si>
  <si>
    <t>M SUBTERRANEO N IRAM 1X 120MM2 (1 x 120)</t>
  </si>
  <si>
    <t>PTO-1831|MAT|2</t>
  </si>
  <si>
    <t>OTR-PTO184</t>
  </si>
  <si>
    <t>[66039162] GAB 4 MED TRIF C/TM + DIF (EDENOR)</t>
  </si>
  <si>
    <t>PTO-1831|MAT|3</t>
  </si>
  <si>
    <t>OTR-PTO185</t>
  </si>
  <si>
    <t>[66039155] GAB 1 MED TRIF C/TM + DIF (EDENOR)</t>
  </si>
  <si>
    <t>PTO-1831|MAT|4</t>
  </si>
  <si>
    <t>OTR-PTO186</t>
  </si>
  <si>
    <t>[62009010] CAJA TOMA 500A C/ 6 BASES NH (EDENOR)</t>
  </si>
  <si>
    <t>PTO-1831|MAT|5</t>
  </si>
  <si>
    <t>OTR-PTO187</t>
  </si>
  <si>
    <t>Fusible NH 00 63 A</t>
  </si>
  <si>
    <t>PTO-1831|MAT|6</t>
  </si>
  <si>
    <t>OTR-PTO188</t>
  </si>
  <si>
    <t>Fusible NH 02 a 125 A</t>
  </si>
  <si>
    <t>PTO-1831|MAT|7</t>
  </si>
  <si>
    <t>SUB-CACOM</t>
  </si>
  <si>
    <t>Caño de acometida</t>
  </si>
  <si>
    <t>PTO-1831|MO</t>
  </si>
  <si>
    <t>PTO-1831|MO|1</t>
  </si>
  <si>
    <t>SUB-CAJTOM</t>
  </si>
  <si>
    <t>Caja de toma</t>
  </si>
  <si>
    <t>PTO-1831|MO|2</t>
  </si>
  <si>
    <t>SUB-PTO048</t>
  </si>
  <si>
    <t xml:space="preserve">Gabinete columna 4 modulos trifasico Edesur </t>
  </si>
  <si>
    <t>PTO-1831|MO|3</t>
  </si>
  <si>
    <t>SUB-PTO049</t>
  </si>
  <si>
    <t xml:space="preserve">Gabinete columna 2 modulos trifasico Edesur </t>
  </si>
  <si>
    <t>PTO-1831|MO|4</t>
  </si>
  <si>
    <t>PTO-1832</t>
  </si>
  <si>
    <t>EQ-PTO123</t>
  </si>
  <si>
    <t>Herramientas y consumibles - PTO-1832 Puesta tierra</t>
  </si>
  <si>
    <t>PTO-1832|EQ</t>
  </si>
  <si>
    <t>PTO-1832|EQ|1</t>
  </si>
  <si>
    <t>PTO-1832|MAT</t>
  </si>
  <si>
    <t>PTO-1832|MAT|1</t>
  </si>
  <si>
    <t>OTR-PTO189</t>
  </si>
  <si>
    <t>M COBRE DESNUDO 7H 25MM (1 x 25 desnudo)</t>
  </si>
  <si>
    <t>PTO-1832|MAT|2</t>
  </si>
  <si>
    <t>OTR-PTO190</t>
  </si>
  <si>
    <t>CONDUWELD JAB ST 3/4 1.5M (Jabalina 3/4" x 1,5 m)</t>
  </si>
  <si>
    <t>PTO-1832|MAT|3</t>
  </si>
  <si>
    <t>OTR-PTO191</t>
  </si>
  <si>
    <t>CAJA INSPECCION 15 x 15 PVC</t>
  </si>
  <si>
    <t>PTO-1832|MAT|4</t>
  </si>
  <si>
    <t>SUB-PATSERV</t>
  </si>
  <si>
    <t>PAT de Servicio</t>
  </si>
  <si>
    <t>PTO-1832|MO</t>
  </si>
  <si>
    <t>PTO-1832|MO|1</t>
  </si>
  <si>
    <t>PTO-1833</t>
  </si>
  <si>
    <t>SUB-PTO051</t>
  </si>
  <si>
    <t>MO Certificado DCI para servicios generales [SUBCONTRATOS]</t>
  </si>
  <si>
    <t>PTO-1833|MO</t>
  </si>
  <si>
    <t>PTO-1833|MO|1</t>
  </si>
  <si>
    <t>PTO-1901</t>
  </si>
  <si>
    <t>EQ-PTO094</t>
  </si>
  <si>
    <t>Herramientas menores y consumibles - Tendido caño cloacal en planta baja</t>
  </si>
  <si>
    <t>PTO-1901|EQ</t>
  </si>
  <si>
    <t>PTO-1901|EQ|1</t>
  </si>
  <si>
    <t>OTR-PTO113</t>
  </si>
  <si>
    <t>Tendido caño cloacal en planta baja [CLOACAL]</t>
  </si>
  <si>
    <t>PTO-1901|MAT</t>
  </si>
  <si>
    <t>PTO-1901|MAT|1</t>
  </si>
  <si>
    <t>SUB-PTO052</t>
  </si>
  <si>
    <t>MO Tendido caño cloacal en planta baja [CLOACAL]</t>
  </si>
  <si>
    <t>PTO-1901|MO</t>
  </si>
  <si>
    <t>PTO-1901|MO|1</t>
  </si>
  <si>
    <t>PTO-1902</t>
  </si>
  <si>
    <t>EQ-PTO095</t>
  </si>
  <si>
    <t>Herramientas menores y consumibles - Por armar CDV en planta tipo</t>
  </si>
  <si>
    <t>PTO-1902|EQ</t>
  </si>
  <si>
    <t>PTO-1902|EQ|1</t>
  </si>
  <si>
    <t>OTR-PTO114</t>
  </si>
  <si>
    <t>Por armar CDV en planta tipo [CLOACAL]</t>
  </si>
  <si>
    <t>PTO-1902|MAT</t>
  </si>
  <si>
    <t>PTO-1902|MAT|1</t>
  </si>
  <si>
    <t>SUB-PTO053</t>
  </si>
  <si>
    <t>MO Por armar CDV en planta tipo [CLOACAL]</t>
  </si>
  <si>
    <t>PTO-1902|MO</t>
  </si>
  <si>
    <t>PTO-1902|MO|1</t>
  </si>
  <si>
    <t>PTO-1903</t>
  </si>
  <si>
    <t>EQ-PTO096</t>
  </si>
  <si>
    <t>Herramientas menores y consumibles - Montantes, remate y ventilación a los 4 vientos</t>
  </si>
  <si>
    <t>PTO-1903|EQ</t>
  </si>
  <si>
    <t>PTO-1903|EQ|1</t>
  </si>
  <si>
    <t>OTR-PTO115</t>
  </si>
  <si>
    <t>Montantes, remate y ventilación a los 4 vientos [CLOACAL]</t>
  </si>
  <si>
    <t>PTO-1903|MAT</t>
  </si>
  <si>
    <t>PTO-1903|MAT|1</t>
  </si>
  <si>
    <t>SUB-PTO054</t>
  </si>
  <si>
    <t>MO Montantes, remate y ventilación a los 4 vientos [CLOACAL]</t>
  </si>
  <si>
    <t>PTO-1903|MO</t>
  </si>
  <si>
    <t>PTO-1903|MO|1</t>
  </si>
  <si>
    <t>PTO-1904</t>
  </si>
  <si>
    <t>EQ-PTO097</t>
  </si>
  <si>
    <t xml:space="preserve">Herramientas menores y consumibles - Tendido caño pluvial en planta baja </t>
  </si>
  <si>
    <t>PTO-1904|EQ</t>
  </si>
  <si>
    <t>PTO-1904|EQ|1</t>
  </si>
  <si>
    <t>OTR-PTO116</t>
  </si>
  <si>
    <t>Tendido caño pluvial en planta baja  [CLOACAL]</t>
  </si>
  <si>
    <t>PTO-1904|MAT</t>
  </si>
  <si>
    <t>PTO-1904|MAT|1</t>
  </si>
  <si>
    <t>SUB-PTO055</t>
  </si>
  <si>
    <t>MO Tendido caño pluvial en planta baja  [CLOACAL]</t>
  </si>
  <si>
    <t>PTO-1904|MO</t>
  </si>
  <si>
    <t>PTO-1904|MO|1</t>
  </si>
  <si>
    <t>PTO-1905</t>
  </si>
  <si>
    <t>EQ-PTO098</t>
  </si>
  <si>
    <t>Herramientas menores y consumibles - Tendido caño pluvial por pisos</t>
  </si>
  <si>
    <t>PTO-1905|EQ</t>
  </si>
  <si>
    <t>PTO-1905|EQ|1</t>
  </si>
  <si>
    <t>OTR-PTO117</t>
  </si>
  <si>
    <t>Tendido caño pluvial por pisos [CLOACAL]</t>
  </si>
  <si>
    <t>PTO-1905|MAT</t>
  </si>
  <si>
    <t>PTO-1905|MAT|1</t>
  </si>
  <si>
    <t>SUB-PTO056</t>
  </si>
  <si>
    <t>MO Tendido caño pluvial por pisos [CLOACAL]</t>
  </si>
  <si>
    <t>PTO-1905|MO</t>
  </si>
  <si>
    <t>PTO-1905|MO|1</t>
  </si>
  <si>
    <t>PTO-1906</t>
  </si>
  <si>
    <t>EQ-PTO099</t>
  </si>
  <si>
    <t>Herramientas menores y consumibles - Instalación tanque de recupero y bombeo pluvial</t>
  </si>
  <si>
    <t>PTO-1906|EQ</t>
  </si>
  <si>
    <t>PTO-1906|EQ|1</t>
  </si>
  <si>
    <t>OTR-PTO118</t>
  </si>
  <si>
    <t>Instalación tanque de recupero y bombeo pluvial [CLOACAL]</t>
  </si>
  <si>
    <t>PTO-1906|MAT</t>
  </si>
  <si>
    <t>PTO-1906|MAT|1</t>
  </si>
  <si>
    <t>SUB-PTO057</t>
  </si>
  <si>
    <t>MO Instalación tanque de recupero y bombeo pluvial [CLOACAL]</t>
  </si>
  <si>
    <t>PTO-1906|MO</t>
  </si>
  <si>
    <t>PTO-1906|MO|1</t>
  </si>
  <si>
    <t>PTO-1907</t>
  </si>
  <si>
    <t>EQ-PTO100</t>
  </si>
  <si>
    <t>Herramientas menores y consumibles - Tendido caño de agua hasta TB. Colocación de TB, a</t>
  </si>
  <si>
    <t>PTO-1907|EQ</t>
  </si>
  <si>
    <t>PTO-1907|EQ|1</t>
  </si>
  <si>
    <t>OTR-PTO119</t>
  </si>
  <si>
    <t>Tendido caño de agua hasta TB. Colocación de TB, armado de colector y cuadro de bombas [AF.AC]</t>
  </si>
  <si>
    <t>PTO-1907|MAT</t>
  </si>
  <si>
    <t>PTO-1907|MAT|1</t>
  </si>
  <si>
    <t>SUB-PTO058</t>
  </si>
  <si>
    <t>MO Tendido caño de agua hasta TB. Colocación de TB, armado de colector y cuadro de bombas [AF.AC]</t>
  </si>
  <si>
    <t>PTO-1907|MO</t>
  </si>
  <si>
    <t>PTO-1907|MO|1</t>
  </si>
  <si>
    <t>PTO-1908</t>
  </si>
  <si>
    <t>EQ-PTO101</t>
  </si>
  <si>
    <t>Herramientas menores y consumibles - Armado de colector, subida y bajadas de AF</t>
  </si>
  <si>
    <t>PTO-1908|EQ</t>
  </si>
  <si>
    <t>PTO-1908|EQ|1</t>
  </si>
  <si>
    <t>OTR-PTO120</t>
  </si>
  <si>
    <t>Armado de colector, subida y bajadas de AF [AF.AC]</t>
  </si>
  <si>
    <t>PTO-1908|MAT</t>
  </si>
  <si>
    <t>PTO-1908|MAT|1</t>
  </si>
  <si>
    <t>SUB-PTO059</t>
  </si>
  <si>
    <t>MO Armado de colector, subida y bajadas de AF [AF.AC]</t>
  </si>
  <si>
    <t>PTO-1908|MO</t>
  </si>
  <si>
    <t>PTO-1908|MO|1</t>
  </si>
  <si>
    <t>PTO-1909</t>
  </si>
  <si>
    <t>EQ-PTO102</t>
  </si>
  <si>
    <t>Herramientas menores y consumibles - Colocación de bomba presurizadora, armado de colec</t>
  </si>
  <si>
    <t>PTO-1909|EQ</t>
  </si>
  <si>
    <t>PTO-1909|EQ|1</t>
  </si>
  <si>
    <t>OTR-PTO121</t>
  </si>
  <si>
    <t>Colocación de bomba presurizadora, armado de colector y montantes presurizadas (ultimo piso 4°) AF [AF.AC]</t>
  </si>
  <si>
    <t>PTO-1909|MAT</t>
  </si>
  <si>
    <t>PTO-1909|MAT|1</t>
  </si>
  <si>
    <t>SUB-PTO060</t>
  </si>
  <si>
    <t>MO Colocación de bomba presurizadora, armado de colector y montantes presurizadas (ultimo piso 4°) AF [AF.AC]</t>
  </si>
  <si>
    <t>PTO-1909|MO</t>
  </si>
  <si>
    <t>PTO-1909|MO|1</t>
  </si>
  <si>
    <t>PTO-1910</t>
  </si>
  <si>
    <t>EQ-PTO103</t>
  </si>
  <si>
    <t>Herramientas menores y consumibles - Distribución agua fria y caliente en planta tipo</t>
  </si>
  <si>
    <t>PTO-1910|EQ</t>
  </si>
  <si>
    <t>PTO-1910|EQ|1</t>
  </si>
  <si>
    <t>OTR-PTO122</t>
  </si>
  <si>
    <t>Distribución agua fria y caliente en planta tipo [AF.AC]</t>
  </si>
  <si>
    <t>PTO-1910|MAT</t>
  </si>
  <si>
    <t>PTO-1910|MAT|1</t>
  </si>
  <si>
    <t>SUB-PTO061</t>
  </si>
  <si>
    <t>MO Distribución agua fria y caliente en planta tipo [AF.AC]</t>
  </si>
  <si>
    <t>PTO-1910|MO</t>
  </si>
  <si>
    <t>PTO-1910|MO|1</t>
  </si>
  <si>
    <t>PTO-1911</t>
  </si>
  <si>
    <t>EQ-PTO104</t>
  </si>
  <si>
    <t>Herramientas menores y consumibles - Colocación de artefactos y griferias</t>
  </si>
  <si>
    <t>PTO-1911|EQ</t>
  </si>
  <si>
    <t>PTO-1911|EQ|1</t>
  </si>
  <si>
    <t>OTR-PTO123</t>
  </si>
  <si>
    <t>Colocación de artefactos y griferias [AF.AC]</t>
  </si>
  <si>
    <t>PTO-1911|MAT</t>
  </si>
  <si>
    <t>PTO-1911|MAT|1</t>
  </si>
  <si>
    <t>SUB-PTO062</t>
  </si>
  <si>
    <t>MO Colocación de artefactos y griferias [AF.AC]</t>
  </si>
  <si>
    <t>PTO-1911|MO</t>
  </si>
  <si>
    <t>PTO-1911|MO|1</t>
  </si>
  <si>
    <t>PTO-1912</t>
  </si>
  <si>
    <t>EQ-PTO027</t>
  </si>
  <si>
    <t>Herramientas y consumibles Armado y conexionado de desagües AA.CC</t>
  </si>
  <si>
    <t>PTO-1912|EQ</t>
  </si>
  <si>
    <t>PTO-1912|EQ|1</t>
  </si>
  <si>
    <t>OTR-PTO124</t>
  </si>
  <si>
    <t>Armado y conexionado de desagües AA.CC</t>
  </si>
  <si>
    <t>PTO-1912|MAT</t>
  </si>
  <si>
    <t>PTO-1912|MAT|1</t>
  </si>
  <si>
    <t>SUB-PTO063</t>
  </si>
  <si>
    <t>MO Armado y conexionado de desagües AA.CC</t>
  </si>
  <si>
    <t>PTO-1912|MO</t>
  </si>
  <si>
    <t>PTO-1912|MO|1</t>
  </si>
  <si>
    <t>PTO-1913</t>
  </si>
  <si>
    <t>EQ-PTO105</t>
  </si>
  <si>
    <t>Herramientas menores y consumibles - Tendido de cañerías de piso radiante - Colectores,</t>
  </si>
  <si>
    <t>PTO-1913|EQ</t>
  </si>
  <si>
    <t>PTO-1913|EQ|1</t>
  </si>
  <si>
    <t>OTR-PTO192</t>
  </si>
  <si>
    <t>Tubo Ø 16 mm PEX, rollo por 240 m - HidroFlex Saladillo</t>
  </si>
  <si>
    <t>PTO-1913|MAT</t>
  </si>
  <si>
    <t>PTO-1913|MAT|1</t>
  </si>
  <si>
    <t>OTR-PTO193</t>
  </si>
  <si>
    <t>Membrana térmica HidroFlex, rollo 1x20 m, e: 10 mm - HidroFlex Saladillo</t>
  </si>
  <si>
    <t>PTO-1913|MAT|2</t>
  </si>
  <si>
    <t>OTR-PTO194</t>
  </si>
  <si>
    <t>Curva tubos Ø 16 mm - HidroFlex Saladillo</t>
  </si>
  <si>
    <t>PTO-1913|MAT|3</t>
  </si>
  <si>
    <t>OTR-PTO195</t>
  </si>
  <si>
    <t>Precintos 200 mm x paquete</t>
  </si>
  <si>
    <t>paq</t>
  </si>
  <si>
    <t>PTO-1913|MAT|4</t>
  </si>
  <si>
    <t>OTR-PTO196</t>
  </si>
  <si>
    <t>Codo c/rosca 3/4"</t>
  </si>
  <si>
    <t>PTO-1913|MAT|5</t>
  </si>
  <si>
    <t>OTR-PTO197</t>
  </si>
  <si>
    <t>H-3 TUBO AGUA CALIENTE 19X3.9X6</t>
  </si>
  <si>
    <t>tira</t>
  </si>
  <si>
    <t>PTO-1913|MAT|6</t>
  </si>
  <si>
    <t>OTR-PTO198</t>
  </si>
  <si>
    <t>Codo 3/4"</t>
  </si>
  <si>
    <t>PTO-1913|MAT|7</t>
  </si>
  <si>
    <t>OTR-PTO199</t>
  </si>
  <si>
    <t>Coverthor blanco 3/8" (Ø 16mm) - Coverthor Saladillo</t>
  </si>
  <si>
    <t>PTO-1913|MAT|8</t>
  </si>
  <si>
    <t>PTO-1913|MAT|9</t>
  </si>
  <si>
    <t>OTR-PTO200</t>
  </si>
  <si>
    <t>Malla N° 4 Liv 15x15 3x2 mt</t>
  </si>
  <si>
    <t>PTO-1913|MAT|10</t>
  </si>
  <si>
    <t>PTO-1913|MAT|11</t>
  </si>
  <si>
    <t>SUB-PTO064</t>
  </si>
  <si>
    <t>MO Tendido de cañerías de piso radiante - Colectores, gabinetes y termostatos a cargo del comitente [SUBCONTRATOS]</t>
  </si>
  <si>
    <t>PTO-1913|MO</t>
  </si>
  <si>
    <t>PTO-1913|MO|1</t>
  </si>
  <si>
    <t>PTO-1914</t>
  </si>
  <si>
    <t>EQ-PTO106</t>
  </si>
  <si>
    <t xml:space="preserve">Herramientas menores y consumibles - Montaje de caldera y puesta en marcha - Provisión </t>
  </si>
  <si>
    <t>PTO-1914|EQ</t>
  </si>
  <si>
    <t>PTO-1914|EQ|1</t>
  </si>
  <si>
    <t>OTR-PTO201</t>
  </si>
  <si>
    <t>Kit flexible caldera</t>
  </si>
  <si>
    <t>PTO-1914|MAT</t>
  </si>
  <si>
    <t>PTO-1914|MAT|1</t>
  </si>
  <si>
    <t>SUB-PTO065</t>
  </si>
  <si>
    <t>MO Montaje de caldera y puesta en marcha - Provisión a cargo del comitente, incluida las ventilaciones [SUBCONTRATOS]</t>
  </si>
  <si>
    <t>PTO-1914|MO</t>
  </si>
  <si>
    <t>PTO-1914|MO|1</t>
  </si>
  <si>
    <t>PTO-1915</t>
  </si>
  <si>
    <t>EQ-PTO107</t>
  </si>
  <si>
    <t>Herramientas menores y consumibles - Tendido cañeria de incendio - Gabinetes, tapas, ma</t>
  </si>
  <si>
    <t>PTO-1915|EQ</t>
  </si>
  <si>
    <t>PTO-1915|EQ|1</t>
  </si>
  <si>
    <t>SUB-PTO086</t>
  </si>
  <si>
    <t>MO Incendio</t>
  </si>
  <si>
    <t>PTO-1915|MO</t>
  </si>
  <si>
    <t>PTO-1915|MO|1</t>
  </si>
  <si>
    <t>OTR-PTO202</t>
  </si>
  <si>
    <t>Caño HG sin cupla 2 1/2 x 6,40 mts</t>
  </si>
  <si>
    <t>PTO-1915|MAT</t>
  </si>
  <si>
    <t>PTO-1915|MAT|1</t>
  </si>
  <si>
    <t>OTR-PTO203</t>
  </si>
  <si>
    <t>Codo HG a 90 HH 2 1/2</t>
  </si>
  <si>
    <t>PTO-1915|MAT|2</t>
  </si>
  <si>
    <t>OTR-PTO204</t>
  </si>
  <si>
    <t>Rosca con tuerca de 2 1/2</t>
  </si>
  <si>
    <t>PTO-1915|MAT|3</t>
  </si>
  <si>
    <t>OTR-PTO205</t>
  </si>
  <si>
    <t>Cupla HG 2 1/2</t>
  </si>
  <si>
    <t>PTO-1915|MAT|4</t>
  </si>
  <si>
    <t>OTR-PTO206</t>
  </si>
  <si>
    <t>Tee reduccion HG 2 1/2 x 2</t>
  </si>
  <si>
    <t>PTO-1915|MAT|5</t>
  </si>
  <si>
    <t>OTR-PTO207</t>
  </si>
  <si>
    <t>Valvula teatro 2 x 1 3/4</t>
  </si>
  <si>
    <t>PTO-1915|MAT|6</t>
  </si>
  <si>
    <t>OTR-PTO208</t>
  </si>
  <si>
    <t>Valvula de impulsion de 2 1/2</t>
  </si>
  <si>
    <t>PTO-1915|MAT|7</t>
  </si>
  <si>
    <t>OTR-PTO209</t>
  </si>
  <si>
    <t>VR 2 1/2 BR</t>
  </si>
  <si>
    <t>PTO-1915|MAT|8</t>
  </si>
  <si>
    <t>PTO-1915|MAT|9</t>
  </si>
  <si>
    <t>PTO-1916</t>
  </si>
  <si>
    <t>SUB-PTO087</t>
  </si>
  <si>
    <t>MO Provisión y tendido de cañerías de gas a cada UF</t>
  </si>
  <si>
    <t>PTO-1916|MO</t>
  </si>
  <si>
    <t>PTO-1916|MO|1</t>
  </si>
  <si>
    <t>OTR-PTO210</t>
  </si>
  <si>
    <t>Llave de paso esférica de 20mm</t>
  </si>
  <si>
    <t>PTO-1916|MAT</t>
  </si>
  <si>
    <t>PTO-1916|MAT|1</t>
  </si>
  <si>
    <t>OTR-PTO211</t>
  </si>
  <si>
    <t>Llave de paso esférica de 32mm</t>
  </si>
  <si>
    <t>PTO-1916|MAT|2</t>
  </si>
  <si>
    <t>OTR-PTO212</t>
  </si>
  <si>
    <t>Codo a 90° de 20mm</t>
  </si>
  <si>
    <t>PTO-1916|MAT|3</t>
  </si>
  <si>
    <t>OTR-PTO213</t>
  </si>
  <si>
    <t>Codo a 90° de 32mm</t>
  </si>
  <si>
    <t>PTO-1916|MAT|4</t>
  </si>
  <si>
    <t>OTR-PTO214</t>
  </si>
  <si>
    <t>Cupla de reduccion de 32x20mm</t>
  </si>
  <si>
    <t>PTO-1916|MAT|5</t>
  </si>
  <si>
    <t>OTR-PTO215</t>
  </si>
  <si>
    <t>Niple corto con tope 32mm</t>
  </si>
  <si>
    <t>PTO-1916|MAT|6</t>
  </si>
  <si>
    <t>OTR-PTO216</t>
  </si>
  <si>
    <t>Te de reduccion central de 32x20mm</t>
  </si>
  <si>
    <t>PTO-1916|MAT|7</t>
  </si>
  <si>
    <t>OTR-PTO217</t>
  </si>
  <si>
    <t>Te normal de 32mm</t>
  </si>
  <si>
    <t>PTO-1916|MAT|8</t>
  </si>
  <si>
    <t>OTR-PTO218</t>
  </si>
  <si>
    <t>Tubo acero polietileno de 20mm L=4m</t>
  </si>
  <si>
    <t>PTO-1916|MAT|9</t>
  </si>
  <si>
    <t>OTR-PTO219</t>
  </si>
  <si>
    <t>Tubo acero polietileno de 32mm L=4m</t>
  </si>
  <si>
    <t>PTO-1916|MAT|10</t>
  </si>
  <si>
    <t>OTR-PTO220</t>
  </si>
  <si>
    <t>Codo a 90° de 20mm c/RH 1/2"</t>
  </si>
  <si>
    <t>PTO-1916|MAT|11</t>
  </si>
  <si>
    <t>OTR-PTO221</t>
  </si>
  <si>
    <t>Codo a 90° de 32mm c/RH 3/4"</t>
  </si>
  <si>
    <t>PTO-1916|MAT|12</t>
  </si>
  <si>
    <t>OTR-PTO222</t>
  </si>
  <si>
    <t>CAÑO EPOXI 1 1/4 x 6,40</t>
  </si>
  <si>
    <t>PTO-1916|MAT|13</t>
  </si>
  <si>
    <t>OTR-PTO223</t>
  </si>
  <si>
    <t>EPOXI TEE 1 1/4</t>
  </si>
  <si>
    <t>PTO-1916|MAT|14</t>
  </si>
  <si>
    <t>OTR-PTO224</t>
  </si>
  <si>
    <t>EPOXI CODO 90 HH 1 1/4</t>
  </si>
  <si>
    <t>PTO-1916|MAT|15</t>
  </si>
  <si>
    <t>OTR-PTO225</t>
  </si>
  <si>
    <t>BRONCE BUJE RED 1 1/4 x 1</t>
  </si>
  <si>
    <t>PTO-1916|MAT|16</t>
  </si>
  <si>
    <t>OTR-PTO226</t>
  </si>
  <si>
    <t>SUYAI ESFERICA P/GAS FORJADA 1 1/4</t>
  </si>
  <si>
    <t>PTO-1916|MAT|17</t>
  </si>
  <si>
    <t>OTR-PTO227</t>
  </si>
  <si>
    <t>FUSIOGAS TRANSICION HEMBRA 32 x 1</t>
  </si>
  <si>
    <t>PTO-1916|MAT|18</t>
  </si>
  <si>
    <t>OTR-PTO228</t>
  </si>
  <si>
    <t>REGULADOR GAS GS-25 N/M3H</t>
  </si>
  <si>
    <t>PTO-1916|MAT|19</t>
  </si>
  <si>
    <t>PTO-1916|MAT|20</t>
  </si>
  <si>
    <t>PTO-1917</t>
  </si>
  <si>
    <t>OTR-PTO129</t>
  </si>
  <si>
    <t>Colocación de anafes - Provisión a cargo del comitente</t>
  </si>
  <si>
    <t>PTO-1917|MAT</t>
  </si>
  <si>
    <t>PTO-1917|MAT|1</t>
  </si>
  <si>
    <t>SUB-PTO066</t>
  </si>
  <si>
    <t>MO Colocación de anafes - Provisión a cargo del comitente</t>
  </si>
  <si>
    <t>PTO-1917|MO</t>
  </si>
  <si>
    <t>PTO-1917|MO|1</t>
  </si>
  <si>
    <t>PTO-1918</t>
  </si>
  <si>
    <t>OTR-PTO130</t>
  </si>
  <si>
    <t>Provisión y amure de rejillas de ventilación homologadas</t>
  </si>
  <si>
    <t>PTO-1918|MAT</t>
  </si>
  <si>
    <t>PTO-1918|MAT|1</t>
  </si>
  <si>
    <t>SUB-PTO067</t>
  </si>
  <si>
    <t>MO Provisión y amure de rejillas de ventilación homologadas</t>
  </si>
  <si>
    <t>PTO-1918|MO</t>
  </si>
  <si>
    <t>PTO-1918|MO|1</t>
  </si>
  <si>
    <t>PTO-1919</t>
  </si>
  <si>
    <t>SUB-PTO068</t>
  </si>
  <si>
    <t>MO Tramites gas - Prefactibilidad, inspección parcial, final</t>
  </si>
  <si>
    <t>PTO-1919|MO</t>
  </si>
  <si>
    <t>PTO-1919|MO|1</t>
  </si>
  <si>
    <t>PTO-2201</t>
  </si>
  <si>
    <t>SUB-PTO069</t>
  </si>
  <si>
    <t>MO Instalación de artefactos de cocina, hornos - Provisión a cargo del comitente [SUBCONTRATOS]</t>
  </si>
  <si>
    <t>PTO-2201|MO</t>
  </si>
  <si>
    <t>PTO-2201|MO|1</t>
  </si>
  <si>
    <t>PTO-2202</t>
  </si>
  <si>
    <t>SUB-PTO070</t>
  </si>
  <si>
    <t>MO Instalacion de extractores de baños - Provisión a cargo del comitente [SUBCONTRATOS]</t>
  </si>
  <si>
    <t>PTO-2202|MO</t>
  </si>
  <si>
    <t>PTO-2202|MO|1</t>
  </si>
  <si>
    <t>PTO-2301</t>
  </si>
  <si>
    <t>EQ-PTO108</t>
  </si>
  <si>
    <t xml:space="preserve">Herramientas menores y consumibles - Albañilería parrilla completa - Losa y muros </t>
  </si>
  <si>
    <t>PTO-2301|EQ</t>
  </si>
  <si>
    <t>PTO-2301|EQ|1</t>
  </si>
  <si>
    <t>OTR-PTO131</t>
  </si>
  <si>
    <t>Mmaposteria</t>
  </si>
  <si>
    <t>PTO-2301|MAT</t>
  </si>
  <si>
    <t>PTO-2301|MAT|1</t>
  </si>
  <si>
    <t>OTR-PTO132</t>
  </si>
  <si>
    <t>Revoque</t>
  </si>
  <si>
    <t>PTO-2301|MAT|2</t>
  </si>
  <si>
    <t>PTO-2301|MAT|3</t>
  </si>
  <si>
    <t>PTO-2301|MAT|4</t>
  </si>
  <si>
    <t>PTO-2301|MAT|5</t>
  </si>
  <si>
    <t>OTR-PTO133</t>
  </si>
  <si>
    <t xml:space="preserve">Dintel </t>
  </si>
  <si>
    <t>PTO-2301|MAT|6</t>
  </si>
  <si>
    <t>PTO-2301|MO</t>
  </si>
  <si>
    <t>PTO-2301|MO|1</t>
  </si>
  <si>
    <t>PTO-2301|MO|2</t>
  </si>
  <si>
    <t>PTO-2302</t>
  </si>
  <si>
    <t>EQ-PTO109</t>
  </si>
  <si>
    <t>Herramientas menores y consumibles - Amure de tapas para pleno eléctricos y gas en pali</t>
  </si>
  <si>
    <t>PTO-2302|EQ</t>
  </si>
  <si>
    <t>PTO-2302|EQ|1</t>
  </si>
  <si>
    <t>OTR-PTO135</t>
  </si>
  <si>
    <t>PTO-2302|MAT</t>
  </si>
  <si>
    <t>PTO-2302|MAT|1</t>
  </si>
  <si>
    <t>PTO-2302|MO</t>
  </si>
  <si>
    <t>PTO-2302|MO|1</t>
  </si>
  <si>
    <t>PTO-2302|MO|2</t>
  </si>
  <si>
    <t>PTO-2303</t>
  </si>
  <si>
    <t>EQ-PTO110</t>
  </si>
  <si>
    <t>Herramientas menores y consumibles - Demolición de vereda</t>
  </si>
  <si>
    <t>PTO-2303|EQ</t>
  </si>
  <si>
    <t>PTO-2303|EQ|1</t>
  </si>
  <si>
    <t>PTO-2303|MAT</t>
  </si>
  <si>
    <t>PTO-2303|MAT|1</t>
  </si>
  <si>
    <t>PTO-2303|MAT|2</t>
  </si>
  <si>
    <t>PTO-2303|MO</t>
  </si>
  <si>
    <t>PTO-2303|MO|1</t>
  </si>
  <si>
    <t>PTO-2303|MO|2</t>
  </si>
  <si>
    <t>PTO-2304</t>
  </si>
  <si>
    <t>PTO-2304|EQ</t>
  </si>
  <si>
    <t>PTO-2304|EQ|1</t>
  </si>
  <si>
    <t>PTO-2304|EQ|2</t>
  </si>
  <si>
    <t>PTO-2304|MAT</t>
  </si>
  <si>
    <t>PTO-2304|MAT|1</t>
  </si>
  <si>
    <t>PTO-2304|MAT|2</t>
  </si>
  <si>
    <t>PTO-2304|MAT|3</t>
  </si>
  <si>
    <t>PTO-2304|MAT|4</t>
  </si>
  <si>
    <t>PTO-2304|MAT|5</t>
  </si>
  <si>
    <t>PTO-2304|MAT|6</t>
  </si>
  <si>
    <t>PTO-2304|MAT|7</t>
  </si>
  <si>
    <t>PTO-2304|MAT|8</t>
  </si>
  <si>
    <t>PTO-2304|MAT|9</t>
  </si>
  <si>
    <t>SUB-PTO088</t>
  </si>
  <si>
    <t>MO Tabique divisorio dormitorios</t>
  </si>
  <si>
    <t>PTO-2304|MO</t>
  </si>
  <si>
    <t>PTO-2304|MO|1</t>
  </si>
  <si>
    <t>PTO-2304|MO|2</t>
  </si>
  <si>
    <t>PTO-2304|MO|3</t>
  </si>
  <si>
    <t>PTO-2401</t>
  </si>
  <si>
    <t>SUB-PTO071</t>
  </si>
  <si>
    <t>MO Sereno</t>
  </si>
  <si>
    <t>PTO-2401|MO</t>
  </si>
  <si>
    <t>PTO-2401|MO|1</t>
  </si>
  <si>
    <t>PTO-2402</t>
  </si>
  <si>
    <t>SUB-PTO072</t>
  </si>
  <si>
    <t>MO Tecnico de seguridad &amp; higiene permanente en Obra</t>
  </si>
  <si>
    <t>PTO-2402|MO</t>
  </si>
  <si>
    <t>PTO-2402|MO|1</t>
  </si>
  <si>
    <t>PTO-2403</t>
  </si>
  <si>
    <t>SUB-PTO073</t>
  </si>
  <si>
    <t>MO Higiene y seguridad Res 51</t>
  </si>
  <si>
    <t>PTO-2403|MO</t>
  </si>
  <si>
    <t>PTO-2403|MO|1</t>
  </si>
  <si>
    <t>PTO-2404</t>
  </si>
  <si>
    <t>EQ-PTO111</t>
  </si>
  <si>
    <t>Herramientas menores y consumibles - Protecciones y defensas</t>
  </si>
  <si>
    <t>PTO-2404|EQ</t>
  </si>
  <si>
    <t>PTO-2404|EQ|1</t>
  </si>
  <si>
    <t>OTR-PTO137</t>
  </si>
  <si>
    <t>Defensas</t>
  </si>
  <si>
    <t>PTO-2404|MAT</t>
  </si>
  <si>
    <t>PTO-2404|MAT|1</t>
  </si>
  <si>
    <t>OTR-PTO138</t>
  </si>
  <si>
    <t>Tabla 4 x 1 x 3,6 Saligna bruto</t>
  </si>
  <si>
    <t>PTO-2404|MAT|2</t>
  </si>
  <si>
    <t>OTR-PTO139</t>
  </si>
  <si>
    <t>Tirante 3 x 3 x 3,6 Saligna bruto</t>
  </si>
  <si>
    <t>PTO-2404|MAT|3</t>
  </si>
  <si>
    <t>PTO-2404|MO</t>
  </si>
  <si>
    <t>PTO-2404|MO|1</t>
  </si>
  <si>
    <t>PTO-2404|MO|2</t>
  </si>
  <si>
    <t>PTO-2404|MO|3</t>
  </si>
  <si>
    <t>PTO-2405</t>
  </si>
  <si>
    <t>EQ-PTO112</t>
  </si>
  <si>
    <t>Herramientas menores y consumibles - Ayuda de gremios</t>
  </si>
  <si>
    <t>PTO-2405|EQ</t>
  </si>
  <si>
    <t>PTO-2405|EQ|1</t>
  </si>
  <si>
    <t>OTR-PTO140</t>
  </si>
  <si>
    <t xml:space="preserve">Mat. </t>
  </si>
  <si>
    <t>mes</t>
  </si>
  <si>
    <t>PTO-2405|MAT</t>
  </si>
  <si>
    <t>PTO-2405|MAT|1</t>
  </si>
  <si>
    <t>PTO-2405|MO</t>
  </si>
  <si>
    <t>PTO-2405|MO|1</t>
  </si>
  <si>
    <t>PTO-2405|MO|2</t>
  </si>
  <si>
    <t>PTO-2406</t>
  </si>
  <si>
    <t>EQ-PTO113</t>
  </si>
  <si>
    <t xml:space="preserve">Herramientas menores y consumibles - Limpieza periodica </t>
  </si>
  <si>
    <t>PTO-2406|EQ</t>
  </si>
  <si>
    <t>PTO-2406|EQ|1</t>
  </si>
  <si>
    <t>PTO-2406|MAT</t>
  </si>
  <si>
    <t>PTO-2406|MAT|1</t>
  </si>
  <si>
    <t>PTO-2406|MO</t>
  </si>
  <si>
    <t>PTO-2406|MO|1</t>
  </si>
  <si>
    <t>PTO-2407</t>
  </si>
  <si>
    <t>EQ-PTO114</t>
  </si>
  <si>
    <t>Herramientas menores y consumibles - Limpieza final de Obra</t>
  </si>
  <si>
    <t>PTO-2407|EQ</t>
  </si>
  <si>
    <t>PTO-2407|EQ|1</t>
  </si>
  <si>
    <t>PTO-2407|MAT</t>
  </si>
  <si>
    <t>PTO-2407|MAT|1</t>
  </si>
  <si>
    <t>PTO-2407|MO</t>
  </si>
  <si>
    <t>PTO-2407|MO|1</t>
  </si>
  <si>
    <t>PTO-2408</t>
  </si>
  <si>
    <t>SUB-PTO074</t>
  </si>
  <si>
    <t>MO Fletes</t>
  </si>
  <si>
    <t>PTO-2408|MO</t>
  </si>
  <si>
    <t>PTO-2408|MO|1</t>
  </si>
  <si>
    <t>PTO-2409</t>
  </si>
  <si>
    <t>PTO-2409|MAT</t>
  </si>
  <si>
    <t>PTO-2409|MAT|1</t>
  </si>
  <si>
    <t>SUB-PTO075</t>
  </si>
  <si>
    <t>MO Volquetes</t>
  </si>
  <si>
    <t>PTO-2409|MO</t>
  </si>
  <si>
    <t>PTO-2409|MO|1</t>
  </si>
  <si>
    <t>PTO-2501</t>
  </si>
  <si>
    <t>SUB-PTO076</t>
  </si>
  <si>
    <t>MO Supervisión profesional de Obra</t>
  </si>
  <si>
    <t>PTO-2501|MO</t>
  </si>
  <si>
    <t>PTO-2501|MO|1</t>
  </si>
  <si>
    <t>PTO-2502</t>
  </si>
  <si>
    <t>SUB-PTO077</t>
  </si>
  <si>
    <t>MO Movilidad y viaticos</t>
  </si>
  <si>
    <t>PTO-2502|MO</t>
  </si>
  <si>
    <t>PTO-2502|MO|1</t>
  </si>
  <si>
    <t>REV-072</t>
  </si>
  <si>
    <t>REV-072|EQ</t>
  </si>
  <si>
    <t>REV-072|EQ|1</t>
  </si>
  <si>
    <t>REV-072|EQ|2</t>
  </si>
  <si>
    <t>EQ-REVOC2</t>
  </si>
  <si>
    <t>Maquina revocadora Revoque/Yeso - Alq. X mes</t>
  </si>
  <si>
    <t>REV-072|EQ|3</t>
  </si>
  <si>
    <t>REV-072|MAT</t>
  </si>
  <si>
    <t>REV-072|MAT|1</t>
  </si>
  <si>
    <t>REV-013</t>
  </si>
  <si>
    <t>Conjunto rotor estator Yeso ASE</t>
  </si>
  <si>
    <t>REV-072|MAT|2</t>
  </si>
  <si>
    <t>REV-072|MO</t>
  </si>
  <si>
    <t>REV-072|MO|1</t>
  </si>
  <si>
    <t>REV-072|MO|2</t>
  </si>
  <si>
    <t>REV-072|MO|3</t>
  </si>
  <si>
    <t>REV-134</t>
  </si>
  <si>
    <t>REV-134|EQ</t>
  </si>
  <si>
    <t>REV-134|EQ|1</t>
  </si>
  <si>
    <t>REV-134|EQ|2</t>
  </si>
  <si>
    <t>REV-134|EQ|3</t>
  </si>
  <si>
    <t>REV-134|MAT</t>
  </si>
  <si>
    <t>REV-134|MAT|1</t>
  </si>
  <si>
    <t>REV-134|MAT|2</t>
  </si>
  <si>
    <t>REV-134|MAT|3</t>
  </si>
  <si>
    <t>REV-134|MO</t>
  </si>
  <si>
    <t>REV-134|MO|1</t>
  </si>
  <si>
    <t>REV-134|MO|2</t>
  </si>
  <si>
    <t>REV-135</t>
  </si>
  <si>
    <t>REV-135|EQ</t>
  </si>
  <si>
    <t>REV-135|EQ|1</t>
  </si>
  <si>
    <t>REV-135|EQ|2</t>
  </si>
  <si>
    <t>REV-135|EQ|3</t>
  </si>
  <si>
    <t>REV-135|MAT</t>
  </si>
  <si>
    <t>REV-135|MAT|1</t>
  </si>
  <si>
    <t>REV-135|MAT|2</t>
  </si>
  <si>
    <t>REV-135|MAT|3</t>
  </si>
  <si>
    <t>REV-135|MO</t>
  </si>
  <si>
    <t>REV-135|MO|1</t>
  </si>
  <si>
    <t>REV-135|MO|2</t>
  </si>
  <si>
    <t>CONFIGURACIÓN DE OBRA</t>
  </si>
  <si>
    <t>Obra</t>
  </si>
  <si>
    <t>Edificio GDR 3760 — García del Río 3760</t>
  </si>
  <si>
    <t>Estado</t>
  </si>
  <si>
    <t>En ejecución</t>
  </si>
  <si>
    <t>Fecha de inicio de obra</t>
  </si>
  <si>
    <t>(presupuesto cerrado dic-2024)</t>
  </si>
  <si>
    <t>Duración estimada (meses)</t>
  </si>
  <si>
    <t>feb-2025 a ago-2026</t>
  </si>
  <si>
    <t>— ÍNDICE CAC —</t>
  </si>
  <si>
    <t>Mes base CAC</t>
  </si>
  <si>
    <t>fecha base del presupuesto</t>
  </si>
  <si>
    <t>Valor CAC base</t>
  </si>
  <si>
    <t>valor del índice en mes base</t>
  </si>
  <si>
    <t>Mes CAC más reciente cargado</t>
  </si>
  <si>
    <t>último mes con valor en B</t>
  </si>
  <si>
    <t>Ratio CAC mes corriente</t>
  </si>
  <si>
    <t>ratio del mes más reciente</t>
  </si>
  <si>
    <t>— COEFICIENTE K —</t>
  </si>
  <si>
    <t>K (coeficiente GG+B)</t>
  </si>
  <si>
    <t>incluye GG + Equipos + Imprevistos + Beneficio</t>
  </si>
  <si>
    <t>% GG+B sobre costo</t>
  </si>
  <si>
    <t>sumatoria sin el 1</t>
  </si>
  <si>
    <t>— PRESUPUESTO —</t>
  </si>
  <si>
    <t>Costo total presupuestado</t>
  </si>
  <si>
    <t>costo controlable por rubro (excl. EQ $21.5M)</t>
  </si>
  <si>
    <t>Precio de venta total</t>
  </si>
  <si>
    <t>costo × K</t>
  </si>
  <si>
    <t>Sanity Check (P. Costo)</t>
  </si>
  <si>
    <t>— NOTAS DE VERSIÓN —</t>
  </si>
  <si>
    <t>Versión</t>
  </si>
  <si>
    <t>Resumen GDR 3760 — v7 (Cash Flow Monto Base + 6 mejoras Cat. A)</t>
  </si>
  <si>
    <t>Hojas eliminadas en Tanda 1</t>
  </si>
  <si>
    <t>"HOJA DE OBRA", "Certificaciones de avance" (vieja)</t>
  </si>
  <si>
    <t>Bugs corregidos</t>
  </si>
  <si>
    <t>CAC D17-D20 contra $B$2; K vinculado a GGBB!F67; cols fantasma Gastos</t>
  </si>
  <si>
    <t>Columna nueva en Gastos</t>
  </si>
  <si>
    <t>U: "Contrato" — llenar SC-XXX en pagos a subcontratos</t>
  </si>
  <si>
    <t>— TANDA 2 (rediseño certificación/facturación) —</t>
  </si>
  <si>
    <t>Hojas eliminadas en T2</t>
  </si>
  <si>
    <t>"Cert. Pto. 01", "Cert. Pto. 02", "Certificados", "Facturacion", "Preventivo Vta", "Contratistas"</t>
  </si>
  <si>
    <t>Hoja nueva en T2</t>
  </si>
  <si>
    <t>2_Certificaciones — registro unificado con estado Certificado → Facturado → Cobrado</t>
  </si>
  <si>
    <t>Renombre con prefijos</t>
  </si>
  <si>
    <t>0_ (config/refs) / 1_ (presupuesto) / 2_ (operativo) / 3_ (control) / _ (legacy)</t>
  </si>
  <si>
    <t>Pagos actualizada</t>
  </si>
  <si>
    <t>usa Tabla18[Contrato] — se llena sola con pagos que tengan código SC- cargado</t>
  </si>
  <si>
    <t>Pendiente para T3</t>
  </si>
  <si>
    <t>Reconstruir Cash Flow y armar Dashboard</t>
  </si>
  <si>
    <t>— TANDA 3 (Cash Flow + Gastos Directos/Indirectos) —</t>
  </si>
  <si>
    <t>Hoja nueva: 2_Gastos_DirInd</t>
  </si>
  <si>
    <t>Carga mensual de 13 directos + 3 indirectos. Total Real y Total Descontado por CAC calculados.</t>
  </si>
  <si>
    <t>Hoja rediseñada: 3_Cash_Flow</t>
  </si>
  <si>
    <t>22 meses (nov-24 → ago-26). 8 filas: Ingresos, Ingresos CAC, Egresos, Directos, Indirectos, Total Eg., Resultado mes, Acumulado.</t>
  </si>
  <si>
    <t>Col nueva en 2_Gastos: X "En Ppto"</t>
  </si>
  <si>
    <t>TRUE/FALSE según si el Rubro está en Control PPTO. Filtra egresos del Cash Flow.</t>
  </si>
  <si>
    <t>Control PPTO ampliado</t>
  </si>
  <si>
    <t>Filas 40-52 (Directos) completadas con ppto desde GGBB. Filas 55-57 (Indirectos) con ppto VACÍO (cargar manual).</t>
  </si>
  <si>
    <t>Pendiente — Ingresos por CAC</t>
  </si>
  <si>
    <t>Stand by: usar col V "Monto CAC" para identificar componente CAC en cobros, cuando se defina con Arquinering.</t>
  </si>
  <si>
    <t>— AUDITORÍA FINAL (Dashboard + Limpieza) —</t>
  </si>
  <si>
    <t>Hoja nueva: 3_Dashboard</t>
  </si>
  <si>
    <t>Vista ejecutiva una página con 5 secciones (Avance Fin., Avance Pres., Rentab., Top desvíos, Subcontratos)</t>
  </si>
  <si>
    <t>Hoja eliminada</t>
  </si>
  <si>
    <t>_01_snapshot (250 filas, 0 referencias — historial obsoleto)</t>
  </si>
  <si>
    <t>Validaciones de datos</t>
  </si>
  <si>
    <t>2_Gastos col A (Rubro) y B (MT/MO) ahora usan listas desde _Listas</t>
  </si>
  <si>
    <t>Formato condicional</t>
  </si>
  <si>
    <t>Semáforos en %desvío (Control PPTO) + resultado del mes (Cash Flow) + KPIs (Dashboard)</t>
  </si>
  <si>
    <t>Protección de hojas 3_</t>
  </si>
  <si>
    <t>Las 4 vistas calculadas están bloqueadas para edición accidental — desproteger desde Revisar &gt; Desproteger Hoja</t>
  </si>
  <si>
    <t>Sanity Check movido</t>
  </si>
  <si>
    <t>Desde 3_Control_Ppto!E35 a 0_CONFIG!B20</t>
  </si>
  <si>
    <t>— RECONCILIACIÓN MENSUAL CON TEZAMAT —</t>
  </si>
  <si>
    <t>Total mes corriente cargado en 2_Gastos</t>
  </si>
  <si>
    <t>(calculado)</t>
  </si>
  <si>
    <t>Total mes corriente según Tezamat</t>
  </si>
  <si>
    <t>(pegar manualmente cada mes)</t>
  </si>
  <si>
    <t>Diferencia (debe dar 0)</t>
  </si>
  <si>
    <t>&gt; 0 = faltan pagos en Gastos / &lt; 0 = sobran pagos</t>
  </si>
  <si>
    <t>— ITERACIÓN v7 (Cash Flow + Cat. A) —</t>
  </si>
  <si>
    <t>Cash Flow fila 6</t>
  </si>
  <si>
    <t>Ahora usa Monto Base (col W) — no incluye CAC. Comparación válida vs Ppto Venta.</t>
  </si>
  <si>
    <t>Rangos extendidos</t>
  </si>
  <si>
    <t>Buffers ampliados: rubros B3:B60, subcontratos A4:A50, certificaciones K5:K500. Soporta crecimiento sin romper.</t>
  </si>
  <si>
    <t>% Tiempo transcurrido</t>
  </si>
  <si>
    <t>Dashboard F17 — (HOY - Inicio) / Duración. Compara avance financiero vs cronograma.</t>
  </si>
  <si>
    <t>% Avance físico certificado</t>
  </si>
  <si>
    <t>Dashboard F18 — desde 2_Certif_avance. Detecta over/under-certification vs cobros.</t>
  </si>
  <si>
    <t>Mes corriente en resultado</t>
  </si>
  <si>
    <t>Dashboard C22 ahora apunta a la columna del mes calendario actual.</t>
  </si>
  <si>
    <t>Reconciliación Tezamat</t>
  </si>
  <si>
    <t>Bloque en 0_CONFIG (filas 49-52) compara total Gastos del mes vs Tezamat.</t>
  </si>
  <si>
    <t>Estado cierre mensual</t>
  </si>
  <si>
    <t>2_Gastos_DirInd fila 6: marcar ✓ cuando se cierra carga del mes. Dashboard avisa si quedan meses sin cerrar.</t>
  </si>
  <si>
    <t>— PENDIENTE 1 (2_Pagos_Quincena_SC) — Junio 2026 —</t>
  </si>
  <si>
    <t>Hoja nueva: 2_Pagos_Quincena_SC</t>
  </si>
  <si>
    <t>Carga manual de quincenas pagadas a obreros de subcontratos con nómina propia. Insertada entre 2_Pagos_Subc y 2_Gastos_DirInd.</t>
  </si>
  <si>
    <t>2_Subcontratos!I (Total Pagado)</t>
  </si>
  <si>
    <t>Fórmula actualizada: ahora suma SUMIFS(Tabla18[Monto Base],...) + SUMIFS(2_Pagos_Quincena_SC!I:I,...). El saldo del contrato descuenta lo pagado por quincenas.</t>
  </si>
  <si>
    <t>— PENDIENTE 2 (Unificación 1_Presupuesto + 2_Certif_avance) — Junio 2026 —</t>
  </si>
  <si>
    <t>1_Presupuesto nueva</t>
  </si>
  <si>
    <t>Fusión de 1_Presupuesto (costo) + 2_Certif_avance (avance). Hoja única con cols de costo congeladas a valores y cols AC/AD editables.</t>
  </si>
  <si>
    <t>2_Certif_avance eliminada</t>
  </si>
  <si>
    <t>Hoja obsoleta eliminada. Referencias en 3_Dashboard C18 y 3_Control_Ppto R actualizadas a 1_Presupuesto.</t>
  </si>
  <si>
    <t>ROUNDUP eliminado</t>
  </si>
  <si>
    <t>Col P (Precio de Venta) usa =O*K exacto sin redondeo. Diferencias de centavos vs versión anterior posibles.</t>
  </si>
  <si>
    <t>INDICE CAC</t>
  </si>
  <si>
    <t>Escala de tiempo</t>
  </si>
  <si>
    <t>Valores</t>
  </si>
  <si>
    <t>Previsión</t>
  </si>
  <si>
    <t>Indice</t>
  </si>
  <si>
    <t>SECCIÓN A — TABLA DE TARIFAS POR CATEGORÍA (Costo por Día/Quincena)</t>
  </si>
  <si>
    <t>PERÍODO</t>
  </si>
  <si>
    <t>ESPEC.
($/día)</t>
  </si>
  <si>
    <t>OFICIAL
($/día)</t>
  </si>
  <si>
    <t>1/2 OFICIAL
($/día)</t>
  </si>
  <si>
    <t>AYUDANTE
($/día)</t>
  </si>
  <si>
    <t>ESPEC.
($/hr)</t>
  </si>
  <si>
    <t>PRESUPUESTO OBRA CIVIL y CERTIFICACIONES DE AVANCE</t>
  </si>
  <si>
    <t>Rubro MT</t>
  </si>
  <si>
    <t>Rubro MT / Prov</t>
  </si>
  <si>
    <t>Rubro MO / OTR</t>
  </si>
  <si>
    <t>Rubro MO / ALB</t>
  </si>
  <si>
    <t xml:space="preserve"> </t>
  </si>
  <si>
    <t>E</t>
  </si>
  <si>
    <t>U</t>
  </si>
  <si>
    <t>MT</t>
  </si>
  <si>
    <t>MO / OTR</t>
  </si>
  <si>
    <t>MO / ALB</t>
  </si>
  <si>
    <t>Costo Unit.</t>
  </si>
  <si>
    <t>P Unit.</t>
  </si>
  <si>
    <t>P.Unit</t>
  </si>
  <si>
    <t>Subtotal</t>
  </si>
  <si>
    <t>ETAPA</t>
  </si>
  <si>
    <t>% Acum. Ant.</t>
  </si>
  <si>
    <t>% Cert. Actual</t>
  </si>
  <si>
    <t>% Acum. Total</t>
  </si>
  <si>
    <t>Imp. Acum. Ant.</t>
  </si>
  <si>
    <t>Imp. Cert. Actual</t>
  </si>
  <si>
    <t>Imp. Acum. Total</t>
  </si>
  <si>
    <t>Acum. MT</t>
  </si>
  <si>
    <t>Acum. MO/OTR</t>
  </si>
  <si>
    <t>Acum. MO/ALB</t>
  </si>
  <si>
    <t>Acum. EQ</t>
  </si>
  <si>
    <t>Acum. Subtotal</t>
  </si>
  <si>
    <t>Costo_ud</t>
  </si>
  <si>
    <t>Costo_total</t>
  </si>
  <si>
    <t>TAREAS PRELIMINARES</t>
  </si>
  <si>
    <t>OK</t>
  </si>
  <si>
    <t>Limpieza y preparación del terreno - No cotiza</t>
  </si>
  <si>
    <t>Agrimensura</t>
  </si>
  <si>
    <t>Topógrafo - Visita de obra replanteo</t>
  </si>
  <si>
    <t>Cartel de Obra - No cotiza</t>
  </si>
  <si>
    <t xml:space="preserve">Cerco de obra perimetral - En chapa C25 + Concertina + Porton corredizo </t>
  </si>
  <si>
    <t>Obrador, pañol y ducha.</t>
  </si>
  <si>
    <t>Gastos Generales Obra</t>
  </si>
  <si>
    <t>Alquiler de baños quimicos y duchas portatiles</t>
  </si>
  <si>
    <t>Conexión pilar y luz de obra + Tablero de obra</t>
  </si>
  <si>
    <t>Conexión agua de obra, tanque + bomba</t>
  </si>
  <si>
    <t>Tramite luz de obra, certificado luz de obra (2) y medición PAT</t>
  </si>
  <si>
    <t>MOVIMIENTO DE TIERRA, COMPACTACION Y RELLENO</t>
  </si>
  <si>
    <t>Excavación y Mov. de Suelos</t>
  </si>
  <si>
    <t>Excavación a maquina para submuración, subsuelo y fundaciones</t>
  </si>
  <si>
    <t>Perfilado manual de bases. Relleno y compactación de pozos</t>
  </si>
  <si>
    <t>IN</t>
  </si>
  <si>
    <t>Aporte y compactación de suelo seleccionado, e: 40 cm (2 capas de 20 cm) - Cotizado Hº Pobre en item 8,02</t>
  </si>
  <si>
    <t>Demolición de bases existentes - No cotiza</t>
  </si>
  <si>
    <t>ESTRUCTURA RESISTENTE</t>
  </si>
  <si>
    <t>Hormigón de limpieza - e: 10 cm</t>
  </si>
  <si>
    <t>Pilotes de tracción Ø 20 cm - (120 kg/m3 de hierro)</t>
  </si>
  <si>
    <t>Sistema de apuntalamiento y reapuntalamiento</t>
  </si>
  <si>
    <t xml:space="preserve">Ensayos de hormigon por etapas de hormigonado </t>
  </si>
  <si>
    <t>Picado de medianeras para columnas y vigas - Cotizado para PB y 1P</t>
  </si>
  <si>
    <t>MAMPOSTERÍA</t>
  </si>
  <si>
    <t>Muro tipo 1 - Ladrillo hueco 8 x 18 x 33</t>
  </si>
  <si>
    <t xml:space="preserve">Muro tipo 2 - Ladrillo hueco 12 x 18 x 33 </t>
  </si>
  <si>
    <t>Muro tipo 3 - Ladrillo comun en panderete</t>
  </si>
  <si>
    <t>Muro tipo 4 - Ladrillo hueco portante 12 x 18 x 33</t>
  </si>
  <si>
    <t>Muro tipo 5 - Bloque HCCA e: 7,5 cm</t>
  </si>
  <si>
    <t>Muro tipo 6 - Ladrillo hueco 18 x 18 x 33</t>
  </si>
  <si>
    <t>Enchape de medianeras existentes - Contemplamos picado zonas sueltas y enchape con ladrillo comun para PB</t>
  </si>
  <si>
    <t>Cordón de hormigón en umbrales carpinterías</t>
  </si>
  <si>
    <t xml:space="preserve">Banquina Sala tanque de bombeo </t>
  </si>
  <si>
    <t>Banquina en parrillas</t>
  </si>
  <si>
    <t>Excavación y amurado con Hº tanque de recuperación de agua de lluvia</t>
  </si>
  <si>
    <t>Provisión y amurado de tapas de inspección para tanque de reserva</t>
  </si>
  <si>
    <t>Vigas de encadenado - Cuantía aprox. 60 kg/m3</t>
  </si>
  <si>
    <t xml:space="preserve">Amurado de bañera </t>
  </si>
  <si>
    <t>AISLACIONES</t>
  </si>
  <si>
    <t>Cajón hidrofugo</t>
  </si>
  <si>
    <t>Aislación hidrófuga horizontal (baños) - Inc. membrana geotextil y 35% en concepto de babetas</t>
  </si>
  <si>
    <t>Azotado hidrófugo - Contrapiso de PB</t>
  </si>
  <si>
    <t xml:space="preserve">Aislación térmica en terrazas, eps e:2,00 cm </t>
  </si>
  <si>
    <t>Barrera de vapor</t>
  </si>
  <si>
    <t>Membrana asfáltica geotextil 4mm - Balcones y azotea - Inc. 20% en concepto de babetas</t>
  </si>
  <si>
    <t>Impermeabilización de tanque de reserva de HºAº</t>
  </si>
  <si>
    <t>CUBIERTAS</t>
  </si>
  <si>
    <t>Babeta de chapa galvanizada en medianeras</t>
  </si>
  <si>
    <t>REVOQUES</t>
  </si>
  <si>
    <t xml:space="preserve">Revoque Grueso Impermeable Exterior </t>
  </si>
  <si>
    <t>Revoque Grueso Impermeable Exterior a mas de 3m - Medianero y fachadas</t>
  </si>
  <si>
    <t>Durlock/Yeso</t>
  </si>
  <si>
    <t>Yeso interior</t>
  </si>
  <si>
    <t xml:space="preserve">Provisión y colocación de guardacanto yesero </t>
  </si>
  <si>
    <t>Revoque Grueso Impermeable Interior b/ revestimiento</t>
  </si>
  <si>
    <t>CONTRAPISOS Y CARPETAS</t>
  </si>
  <si>
    <t xml:space="preserve">Contrapiso de Hº armado e: 18 cm, incluye malla Ø 6 mm y film 200 mic. </t>
  </si>
  <si>
    <t>Contrapiso de H13 subase bajo intertrabado y garden block</t>
  </si>
  <si>
    <t xml:space="preserve">Monolítico e: 6 cm </t>
  </si>
  <si>
    <t>Contrapiso alivianado en azoteas (RDC), e: 15 cm</t>
  </si>
  <si>
    <t>Contrapiso con piedra binder e: 4/5 cm - En locales húmedos (baños)</t>
  </si>
  <si>
    <t>Carpeta autonivelante e: 4/10 mm - En locales húmedos (baños)</t>
  </si>
  <si>
    <t>Carpeta a la cal reforzada</t>
  </si>
  <si>
    <t>Carpeta a la cal reforzada s/membrana</t>
  </si>
  <si>
    <t>ESCALERAS</t>
  </si>
  <si>
    <t>Provisión y ejecución de cemento alisado arrodillado, e: 3,00 cm, en alzada y pedad</t>
  </si>
  <si>
    <t xml:space="preserve">Provisión nariz escalera, hierro angulo 5/8 x 1/8" </t>
  </si>
  <si>
    <t>Ejecución de zócalo rampante de concreto h: 10 cm</t>
  </si>
  <si>
    <t>VENTILACIONES - PROVISION A CARGO DEL COMITENTE</t>
  </si>
  <si>
    <t>Montaje de conductos de ventilación de baños C27 - Provisión a cargo del comitente</t>
  </si>
  <si>
    <t>Montaje de conductos de ventilación de parrillas C27 - Provisión a cargo del comitente</t>
  </si>
  <si>
    <t>Montaje de campanas de parrillas C22 - Provisión a cargo del comitente</t>
  </si>
  <si>
    <t>Montaje de sombreretes en chapa prepintada C25 - Provisión a cargo del comitente</t>
  </si>
  <si>
    <t>PISOS - PROVISION A CARGO DEL COMITENTE</t>
  </si>
  <si>
    <t>Provisión y ejecución de alisado de cemento a la llana metálica, e: 6,00 cm</t>
  </si>
  <si>
    <t>Provisión y ejecución de cemento alisado arrodillado, e: 3,00 cm</t>
  </si>
  <si>
    <t>Colocación de porcelanato a definir en sspacios comunes - Provisión a cargo del comitente</t>
  </si>
  <si>
    <t>Colocación de pavimento intertrabado de H°, incluye provisión y colocación de cama de arena + tomado de junta - Provisión a cargo del comitente</t>
  </si>
  <si>
    <t>Colocación de garden block, incluye provisión y colocación de cama de arena + tomado de junta - Provisión a cargo del comitente</t>
  </si>
  <si>
    <t>Provisión y colocación de relleno de piedra binder</t>
  </si>
  <si>
    <t>Colocación de baldoson granítico vereda 40 x 40 - Provisión a cargo del comitente</t>
  </si>
  <si>
    <t>Colocación de porcelanato a definir Interior UF - Provisión a cargo del comitente</t>
  </si>
  <si>
    <t>Colocación de porcelanato a definir Baños - Provisión a cargo del comitente</t>
  </si>
  <si>
    <t>Colocación de porcelanato a definir Balcones - Provisión a cargo del comitente</t>
  </si>
  <si>
    <t>Colocación de porcelanato a definir Palier - Provisión a cargo del comitente</t>
  </si>
  <si>
    <t>ZOCALOS Y SOLIAS - PROVISION A CARGO DEL COMITENTE</t>
  </si>
  <si>
    <t>Ejecución de zócalo de concreto h: 10 cm</t>
  </si>
  <si>
    <t>Provisión y colocación de zócalo de MDF prepintado color bco. h: 7cm</t>
  </si>
  <si>
    <t>Colocación de zócalo de porcelanato - Provisión a cargo del comitente</t>
  </si>
  <si>
    <t>REVESTIMIENTOS - PROVISION A CARGO DEL COMITENTE</t>
  </si>
  <si>
    <t>Colocación de porcelanato en baños - Provisión a cargo del comitente</t>
  </si>
  <si>
    <t>Colocación de revestimiento en cocinas - Provisión a cargo del comitente</t>
  </si>
  <si>
    <t>Colocación de listones refractarios en parrillas - Provisión a cargo del comitente</t>
  </si>
  <si>
    <t>Revestimiento Simil madera - Cotizado en provisiones</t>
  </si>
  <si>
    <t>CIELORRASOS</t>
  </si>
  <si>
    <t>Aplicado de yeso</t>
  </si>
  <si>
    <t>Buña en yeso aplicado</t>
  </si>
  <si>
    <t>Cielorraso suspendido en placa STD</t>
  </si>
  <si>
    <t>Cielorraso suspendido en placa RH</t>
  </si>
  <si>
    <t>Buña Z en cielorraso suspendido</t>
  </si>
  <si>
    <t xml:space="preserve">Cantonera / Cajón </t>
  </si>
  <si>
    <t>Hormigon visto, maquillaje</t>
  </si>
  <si>
    <t>PINTURA</t>
  </si>
  <si>
    <t>Latex exterior mate en paredes, color bco., sin enduido, a mas de 3 m de altura - Medianeras</t>
  </si>
  <si>
    <t>Latex interior mate en paredes, color bco., con enduido parcial</t>
  </si>
  <si>
    <t>Latex interior mate en paredes, color bco., con enduido completo</t>
  </si>
  <si>
    <t>Latex exterior acrílico en cielorraso, color a definir, sin enduido - Sector cocheras</t>
  </si>
  <si>
    <t>Latex interior mate en cielorraso, color bco., con enduido parcial</t>
  </si>
  <si>
    <t>Latex interior mate en cielorraso, color bco., con enduido completo</t>
  </si>
  <si>
    <t xml:space="preserve">Impermeabilizane de Hº, silicona transparente </t>
  </si>
  <si>
    <t>Revestimiento tipo Tarquini hasta 3 m de altura</t>
  </si>
  <si>
    <t>Revestimiento tipo Tarquini a mas de 3 m de altura</t>
  </si>
  <si>
    <t>Franjas división cocheras</t>
  </si>
  <si>
    <t>Esmalte sintetico en puertas color bco. - Puertas placa, de chapa y de ascensor</t>
  </si>
  <si>
    <t>Esmalte sintético convertidor antioxido color negro satinado en herrería - Barandas, herrerías, etc.</t>
  </si>
  <si>
    <t>MARMOLES Y GRANITOS - PROVISION  A CARGO DEL COMITENTE</t>
  </si>
  <si>
    <t>CARPINTERIA - PROVISION A CARGO DEL COMITENTE</t>
  </si>
  <si>
    <t xml:space="preserve">Amure de puertas placa  </t>
  </si>
  <si>
    <t xml:space="preserve">Amure de puertas de chapa e ingresos depto </t>
  </si>
  <si>
    <t xml:space="preserve">Amure de premarcos </t>
  </si>
  <si>
    <t xml:space="preserve">Amure Puertas de Ascensor </t>
  </si>
  <si>
    <t>INSTALACION ELECTRICA</t>
  </si>
  <si>
    <t>Tendido y cableado boca Iluminación en losa</t>
  </si>
  <si>
    <t>Tendido y cableado boca Iluminación en pared</t>
  </si>
  <si>
    <t>Tendido y cableado boca Iluminación emergencia</t>
  </si>
  <si>
    <t>Tendido y cableado boca sensor de movimiento</t>
  </si>
  <si>
    <t xml:space="preserve">Tendido y cableado boca semáforo </t>
  </si>
  <si>
    <t>Tendido y cableado boca de extractor de baño</t>
  </si>
  <si>
    <t>Tendido y cableado boca tomacorriente (simple/doble/exterior)</t>
  </si>
  <si>
    <t>Tendido y cableado boca tomacorriente especial (AA.CC)</t>
  </si>
  <si>
    <t>Tendido y cableado boca MBT Timbre</t>
  </si>
  <si>
    <t xml:space="preserve">Tendido y cableado boca de temostato </t>
  </si>
  <si>
    <t xml:space="preserve">Boca de TE - Cañería c/cable testigo </t>
  </si>
  <si>
    <t xml:space="preserve">Boca de TV - Cañería c/cable testigo </t>
  </si>
  <si>
    <t xml:space="preserve">Boca de PE - Cañería c/cable testigo </t>
  </si>
  <si>
    <t xml:space="preserve">Boca de DA - Cañería c/cable testigo </t>
  </si>
  <si>
    <t xml:space="preserve">Boca de CCTV - Cañería c/cable testigo </t>
  </si>
  <si>
    <t>Tablero servicios generales - TSG</t>
  </si>
  <si>
    <t>Tablero seccional, bombas de elevación - TSBE</t>
  </si>
  <si>
    <t>Tablero seccional ascensor - TSASC</t>
  </si>
  <si>
    <t>Tablero seccional departamento - TSD</t>
  </si>
  <si>
    <t>Montante eléctrica</t>
  </si>
  <si>
    <t xml:space="preserve">Montante TV + Tablero TV - Cañería c/cable testigo </t>
  </si>
  <si>
    <t>Montante PE + Tablero PE- Cañería c/cable testigo</t>
  </si>
  <si>
    <t>Colocación de sensor de movimiento - Provisión a cargo del comitente</t>
  </si>
  <si>
    <t>Colocación de teclas simples y/o combinadas, pulsadores - Provisión a cargo del comitente</t>
  </si>
  <si>
    <t>Colocación de tomas simples/dobles/encapsulados - Provisión a cargo del comitente</t>
  </si>
  <si>
    <t>Colocación de campanilla/zumbadores - Provisión a cargo del comitente</t>
  </si>
  <si>
    <t>Colocación de extractor de baño - Provisión a cargo del comitente</t>
  </si>
  <si>
    <t>Colocación de luz de emergencia - Provisión a cargo del comitente</t>
  </si>
  <si>
    <t>Colocación de semáforo - Provisión a cargo del comitente</t>
  </si>
  <si>
    <t>Colocación artefactos en espacios comunes y balcones - Provisión a cargo del comitente. NO incluye provisión, ni colocación de artefactos en interior de UF</t>
  </si>
  <si>
    <t xml:space="preserve">Acometida y gabiente de medidores </t>
  </si>
  <si>
    <t>Puesta a tierra, jabalinas y cableados</t>
  </si>
  <si>
    <t>Certificado DCI para servicios generales</t>
  </si>
  <si>
    <t>INSTALACION SANITARIA, GRIFERIA Y SANITARIOS</t>
  </si>
  <si>
    <t>INSTALACION CLOACAL</t>
  </si>
  <si>
    <t>Sanitaria</t>
  </si>
  <si>
    <t>Tendido caño cloacal en planta baja</t>
  </si>
  <si>
    <t>Por armar CDV en planta tipo</t>
  </si>
  <si>
    <t>Montantes, remate y ventilación a los 4 vientos</t>
  </si>
  <si>
    <t>INSTALACION PLUVIAL</t>
  </si>
  <si>
    <t xml:space="preserve">Tendido caño pluvial en planta baja </t>
  </si>
  <si>
    <t>Tendido caño pluvial por pisos</t>
  </si>
  <si>
    <t>Instalación tanque de recupero y bombeo pluvial</t>
  </si>
  <si>
    <t>INSTALACION AGUA FRIA Y CALIENTE</t>
  </si>
  <si>
    <t>Tendido caño de agua hasta TB. Colocación de TB, armado de colector y cuadro de bombas</t>
  </si>
  <si>
    <t>Armado de colector, subida y bajadas de AF</t>
  </si>
  <si>
    <t>Colocación de bomba presurizadora, armado de colector y montantes presurizadas (ultimo piso 4°) AF</t>
  </si>
  <si>
    <t>Distribución agua fria y caliente en planta tipo</t>
  </si>
  <si>
    <t>Colocación de artefactos y griferias</t>
  </si>
  <si>
    <t>INSTALACION DESCARGA SPLIT</t>
  </si>
  <si>
    <t>INSTALACION CALEFACCION</t>
  </si>
  <si>
    <t>Tendido de cañerías de piso radiante - Colectores, gabinetes y termostatos a cargo del comitente</t>
  </si>
  <si>
    <t>Montaje de caldera y puesta en marcha - Provisión a cargo del comitente, incluida las ventilaciones</t>
  </si>
  <si>
    <t>INSTALACION DE INCENDIO</t>
  </si>
  <si>
    <t>Tendido cañeria de incendio - Gabinetes, tapas, mangueras y lanzas cotizadas en provisiones</t>
  </si>
  <si>
    <t>INSTALACION DE GAS</t>
  </si>
  <si>
    <t>Provisión y tendido de cañerías de gas a cada UF</t>
  </si>
  <si>
    <t>C</t>
  </si>
  <si>
    <t>Tramites gas - Prefactibilidad, inspección parcial, final</t>
  </si>
  <si>
    <t>AIRE ACONDICIONADO - PROVISION A CARGO DEL COMITENTE</t>
  </si>
  <si>
    <t>Preinstalación para AA.CC - Cotizado en provisiones</t>
  </si>
  <si>
    <t>Montaje, colocación y puesta en marcha de equipos - Cotizado en provisiones</t>
  </si>
  <si>
    <t>ASCENSOR  - PROVISION A CARGO DEL COMITENTE</t>
  </si>
  <si>
    <t xml:space="preserve">Ascensores </t>
  </si>
  <si>
    <t>EQUIPAMIENTO - PROVISION A CARGO DEL COMITENTE</t>
  </si>
  <si>
    <t>Instalación de artefactos de cocina, hornos - Provisión a cargo del comitente</t>
  </si>
  <si>
    <t>Instalacion de extractores de baños - Provisión a cargo del comitente</t>
  </si>
  <si>
    <t>TRABAJOS COMPLEMENTARIOS</t>
  </si>
  <si>
    <t xml:space="preserve">Albañilería parrilla completa - Losa y muros </t>
  </si>
  <si>
    <t>Amure de tapas para pleno eléctricos y gas en palieres - Provisión a cargo del comitente</t>
  </si>
  <si>
    <t>Demolición de vereda</t>
  </si>
  <si>
    <t xml:space="preserve">Tabique divisorio dormitorios - Tabique simple con aislacion de lana de vidrio </t>
  </si>
  <si>
    <t>AYUDA DE GREMIOS</t>
  </si>
  <si>
    <t>Sereno</t>
  </si>
  <si>
    <t>Seguridad e Higiene</t>
  </si>
  <si>
    <t>Tecnico de seguridad &amp; higiene permanente en Obra</t>
  </si>
  <si>
    <t>Higiene y seguridad Res 51</t>
  </si>
  <si>
    <t>Protecciones y defensas</t>
  </si>
  <si>
    <t>Ayuda de gremios</t>
  </si>
  <si>
    <t xml:space="preserve">Limpieza periodica </t>
  </si>
  <si>
    <t>Limpieza final de Obra</t>
  </si>
  <si>
    <t>Movilidad</t>
  </si>
  <si>
    <t>Fletes</t>
  </si>
  <si>
    <t>JEFATURA DE OBRA</t>
  </si>
  <si>
    <t>Supervisión de Obra</t>
  </si>
  <si>
    <t>Supervisión profesional de Obra</t>
  </si>
  <si>
    <t>Movilidad y viaticos</t>
  </si>
  <si>
    <t>SUB TOTAL OBRA GRIS</t>
  </si>
  <si>
    <t>TOTAL</t>
  </si>
  <si>
    <t>MESES</t>
  </si>
  <si>
    <t>DÓLAR BNA</t>
  </si>
  <si>
    <t>DÓLAR MEP</t>
  </si>
  <si>
    <t>Descrip</t>
  </si>
  <si>
    <t>Mes</t>
  </si>
  <si>
    <t>Total Dias</t>
  </si>
  <si>
    <t>GASTOS GENERALES y BENEFICIO</t>
  </si>
  <si>
    <t>Prelim</t>
  </si>
  <si>
    <t>Syh permanente</t>
  </si>
  <si>
    <t>Mov de suelos y excav.</t>
  </si>
  <si>
    <t>Gastos Grales de obra en items</t>
  </si>
  <si>
    <t>Precio Unit</t>
  </si>
  <si>
    <t>Losa sobre PB</t>
  </si>
  <si>
    <t>Oficina en obra (6x3 c/AA)</t>
  </si>
  <si>
    <t>Losa sobre 1</t>
  </si>
  <si>
    <t>Obrador 6x3 s/AA</t>
  </si>
  <si>
    <t>Losa sobre 2</t>
  </si>
  <si>
    <t>Pañol (6x3)</t>
  </si>
  <si>
    <t>Losa sobre 3</t>
  </si>
  <si>
    <t>Inicio mamposteria</t>
  </si>
  <si>
    <t>Baños</t>
  </si>
  <si>
    <t>Losa sobre 4</t>
  </si>
  <si>
    <t>Losa sobre SM</t>
  </si>
  <si>
    <t xml:space="preserve">Meses H° </t>
  </si>
  <si>
    <t>Estacionamiento en contramano</t>
  </si>
  <si>
    <t>HyS permanente</t>
  </si>
  <si>
    <t>Mampostería</t>
  </si>
  <si>
    <t>HyS</t>
  </si>
  <si>
    <t>Revoques, contrap y carp</t>
  </si>
  <si>
    <t>Energía de obra</t>
  </si>
  <si>
    <t>Colocación</t>
  </si>
  <si>
    <t>Agua de obra</t>
  </si>
  <si>
    <t>Internet</t>
  </si>
  <si>
    <t>Terminaciones</t>
  </si>
  <si>
    <t>Alquiler cerco de obra chapa</t>
  </si>
  <si>
    <t>Proyecto Ejecutivo</t>
  </si>
  <si>
    <t>Proyecto (50%)</t>
  </si>
  <si>
    <t>Gastos Directos</t>
  </si>
  <si>
    <t>Coordinacion de obra</t>
  </si>
  <si>
    <t>Jefe de obra</t>
  </si>
  <si>
    <t>Sobrestante</t>
  </si>
  <si>
    <t>Administrativo en obra</t>
  </si>
  <si>
    <t>Capataz</t>
  </si>
  <si>
    <t>Logistica</t>
  </si>
  <si>
    <t>Vehiculo obra</t>
  </si>
  <si>
    <t>Mov y viaticos</t>
  </si>
  <si>
    <t>UOCRA</t>
  </si>
  <si>
    <t>Pañolero/Sereno</t>
  </si>
  <si>
    <t>Equipos</t>
  </si>
  <si>
    <t>Bobcat</t>
  </si>
  <si>
    <t>Camion limpieza</t>
  </si>
  <si>
    <t>Tijera electrica 12</t>
  </si>
  <si>
    <t>JLG</t>
  </si>
  <si>
    <t>Grua 20ton</t>
  </si>
  <si>
    <t>Gastos Indirectos</t>
  </si>
  <si>
    <t>Admin (50%Compras - 50%RRHH)</t>
  </si>
  <si>
    <t>Seguros</t>
  </si>
  <si>
    <t>IIBB (monto venta obra gris)</t>
  </si>
  <si>
    <t>Imp cheque</t>
  </si>
  <si>
    <t>Contrato</t>
  </si>
  <si>
    <t>Monto puesto en Ayuda de gremio que no se eroga</t>
  </si>
  <si>
    <t>Imputados en pres</t>
  </si>
  <si>
    <t>Total GGBB</t>
  </si>
  <si>
    <t>Total de Gastos Generales</t>
  </si>
  <si>
    <t>Otro</t>
  </si>
  <si>
    <t>Corralon</t>
  </si>
  <si>
    <t>Subcontratos</t>
  </si>
  <si>
    <t>Mano de obra</t>
  </si>
  <si>
    <t>A</t>
  </si>
  <si>
    <t>GG</t>
  </si>
  <si>
    <t>Imprevistos + Negociacion</t>
  </si>
  <si>
    <t>Beneficio</t>
  </si>
  <si>
    <t>K</t>
  </si>
  <si>
    <t>A+B</t>
  </si>
  <si>
    <t>Rubro</t>
  </si>
  <si>
    <t>MT/MO</t>
  </si>
  <si>
    <t>Cuenta</t>
  </si>
  <si>
    <t>Descripción de Cuenta</t>
  </si>
  <si>
    <t>Fecha Asiento</t>
  </si>
  <si>
    <t>Número de Asiento</t>
  </si>
  <si>
    <t>Observaciones</t>
  </si>
  <si>
    <t>Cliente / Proveedor</t>
  </si>
  <si>
    <t>Código de Comprobante</t>
  </si>
  <si>
    <t>Número de comprobante</t>
  </si>
  <si>
    <t>Debe</t>
  </si>
  <si>
    <t>Haber</t>
  </si>
  <si>
    <t>Unidad</t>
  </si>
  <si>
    <t>Descripción de Unidad</t>
  </si>
  <si>
    <t>Centro de Costo</t>
  </si>
  <si>
    <t>Descripción de Centro de Costo</t>
  </si>
  <si>
    <t>Saldo Inicial</t>
  </si>
  <si>
    <t>Monto Descontado</t>
  </si>
  <si>
    <t>Monto Real</t>
  </si>
  <si>
    <t>Monto CAC</t>
  </si>
  <si>
    <t>Monto Base</t>
  </si>
  <si>
    <t>En Ppto</t>
  </si>
  <si>
    <t>H. Gestoria</t>
  </si>
  <si>
    <t xml:space="preserve">Viarq U$ 250                  </t>
  </si>
  <si>
    <t xml:space="preserve">  </t>
  </si>
  <si>
    <t>OPXX</t>
  </si>
  <si>
    <t>DESA</t>
  </si>
  <si>
    <t>Desarrollos</t>
  </si>
  <si>
    <t xml:space="preserve">GDR            </t>
  </si>
  <si>
    <t>García del Río 3760</t>
  </si>
  <si>
    <t>Gastos Generales</t>
  </si>
  <si>
    <t xml:space="preserve">Encomienda - Instalaciones DO </t>
  </si>
  <si>
    <t xml:space="preserve">OPG </t>
  </si>
  <si>
    <t xml:space="preserve">Encomienda Obra - DO          </t>
  </si>
  <si>
    <t>H. Gestoria- USD 450 A TC 1070</t>
  </si>
  <si>
    <t>H. Escribanía</t>
  </si>
  <si>
    <t xml:space="preserve">Pto. 720 - Varios             </t>
  </si>
  <si>
    <t xml:space="preserve">Combustible para cortar pasto </t>
  </si>
  <si>
    <t>Combustible para desmalecedora</t>
  </si>
  <si>
    <t>ESTACION DE SERVICIO NORTENA S.R.L.</t>
  </si>
  <si>
    <t>TIQA</t>
  </si>
  <si>
    <t>GASTOS GENERALAES - ESTACION D</t>
  </si>
  <si>
    <t>H. Arquitectura</t>
  </si>
  <si>
    <t>Alejandro Ardiles - Agrimensor</t>
  </si>
  <si>
    <t xml:space="preserve">Pto. 530 - Varios             </t>
  </si>
  <si>
    <t>Mov. Variables</t>
  </si>
  <si>
    <t xml:space="preserve">Agustin Fletes                </t>
  </si>
  <si>
    <t>Albañilería MO</t>
  </si>
  <si>
    <t xml:space="preserve">2Q 12-2024 - Almaraz Oscar    </t>
  </si>
  <si>
    <t xml:space="preserve">Encomienda Demolicion         </t>
  </si>
  <si>
    <t>Edenor</t>
  </si>
  <si>
    <t xml:space="preserve">EDENOR - Fact. 45239049       </t>
  </si>
  <si>
    <t xml:space="preserve">Deuda Edenor                  </t>
  </si>
  <si>
    <t>H. Seguridad e Higiene</t>
  </si>
  <si>
    <t>Honorarios Seguridad e Higiene</t>
  </si>
  <si>
    <t>Petrini David Osvaldo</t>
  </si>
  <si>
    <t>FCA3</t>
  </si>
  <si>
    <t>GASTOS GENERALES - triunfo seg</t>
  </si>
  <si>
    <t>triunfo seguros</t>
  </si>
  <si>
    <t xml:space="preserve">Baño Portatil - ECOBAT SRL    </t>
  </si>
  <si>
    <t>ECOBAT SRL</t>
  </si>
  <si>
    <t xml:space="preserve">Transporte Baño - ECOBAT SRL  </t>
  </si>
  <si>
    <t>Eléctrico MT</t>
  </si>
  <si>
    <t>ELECTRICO MT - Casa Castelao S</t>
  </si>
  <si>
    <t>Casa Castelao S.A.</t>
  </si>
  <si>
    <t>Preliminares</t>
  </si>
  <si>
    <t xml:space="preserve">CLAVO - HOVSEPIAN HNOS. SH    </t>
  </si>
  <si>
    <t>HOVSEPIAN HNOS. SH</t>
  </si>
  <si>
    <t>Varios Ferreteria</t>
  </si>
  <si>
    <t xml:space="preserve">Varios Ferreteria             </t>
  </si>
  <si>
    <t>Gastos en personal</t>
  </si>
  <si>
    <t>Gastos en Personales - Abrafer</t>
  </si>
  <si>
    <t>Abrafer S.R.L.</t>
  </si>
  <si>
    <t>Homigón MO</t>
  </si>
  <si>
    <t xml:space="preserve">Anclajes Cima - Anticipo 30%  </t>
  </si>
  <si>
    <t>SC-003</t>
  </si>
  <si>
    <t>Varios Ferreteria - Abrafer S.</t>
  </si>
  <si>
    <t xml:space="preserve">Seguridad e Higiene - Abrafer </t>
  </si>
  <si>
    <t>Supermercados</t>
  </si>
  <si>
    <t xml:space="preserve">Supermercados                 </t>
  </si>
  <si>
    <t>Supermercado - Dia Argentina S</t>
  </si>
  <si>
    <t>Dia Argentina S.A.</t>
  </si>
  <si>
    <t xml:space="preserve">preliminares - LUNA FERNANDO  </t>
  </si>
  <si>
    <t>LUNA FERNANDO</t>
  </si>
  <si>
    <t>preliminares - HOVSEPIAN HNOS.</t>
  </si>
  <si>
    <t xml:space="preserve">2Q 02-2025 - Adelanto - Godoy </t>
  </si>
  <si>
    <t xml:space="preserve">Preliminares                  </t>
  </si>
  <si>
    <t>BISAGRA - HERRAJES TRONADOR SR</t>
  </si>
  <si>
    <t>HERRAJES TRONADOR SRL</t>
  </si>
  <si>
    <t>preliminares - Denegri Gustavo</t>
  </si>
  <si>
    <t>Denegri Gustavo Ariel Jesus</t>
  </si>
  <si>
    <t>Albañilería MT</t>
  </si>
  <si>
    <t>ALBAÑILERIA MT - HOVSEPIAN HNO</t>
  </si>
  <si>
    <t>BISAGRA 1842 - HERRAJES TRONAD</t>
  </si>
  <si>
    <t>Ajuste por Redondeo</t>
  </si>
  <si>
    <t>Ajuste por redondeo - Aserrade</t>
  </si>
  <si>
    <t>Aserradero Biel S.A.</t>
  </si>
  <si>
    <t>Hormigón MT</t>
  </si>
  <si>
    <t>homigon MT - Aserradero Biel S</t>
  </si>
  <si>
    <t xml:space="preserve">Varios Ferreteria - HOVSEPIAN </t>
  </si>
  <si>
    <t>2Q 02-2025 Adelanto - Meza Raf</t>
  </si>
  <si>
    <t>2Q 02-2025 Adelanto - Espinoza</t>
  </si>
  <si>
    <t xml:space="preserve">2Q 02-2025 Adelanto - Cabrera </t>
  </si>
  <si>
    <t>Varios Ferreteria - Casa Caste</t>
  </si>
  <si>
    <t>Matafuegos - Petrini Carlos Ja</t>
  </si>
  <si>
    <t>Petrini Carlos Javier</t>
  </si>
  <si>
    <t xml:space="preserve">preliminares - Centro Sec SRL </t>
  </si>
  <si>
    <t>Centro Sec SRL</t>
  </si>
  <si>
    <t>Durlock MT</t>
  </si>
  <si>
    <t xml:space="preserve">Durlock MT                    </t>
  </si>
  <si>
    <t>Ajuste por redondeo - TRANSPOR</t>
  </si>
  <si>
    <t>TRANSPORTES RT S.A.</t>
  </si>
  <si>
    <t xml:space="preserve">preliminares - TRANSPORTES RT </t>
  </si>
  <si>
    <t>homigon MT - TRANSPORTES RT S.</t>
  </si>
  <si>
    <t xml:space="preserve">2Q 02-2025 - Ayala Angel      </t>
  </si>
  <si>
    <t>2Q 02-2025 - Ayala Angel - SER</t>
  </si>
  <si>
    <t xml:space="preserve">2Q 02-2025 - Espinosa Catriel </t>
  </si>
  <si>
    <t xml:space="preserve">2Q 02-2025 - Cabrera Ruben    </t>
  </si>
  <si>
    <t>2Q 02-2025 - Meza Iturbe Rafae</t>
  </si>
  <si>
    <t xml:space="preserve">2Q 02-2025 - Godoy Juan Ramon </t>
  </si>
  <si>
    <t>NCA3</t>
  </si>
  <si>
    <t>preliminares - Boyadsian Andre</t>
  </si>
  <si>
    <t>Boyadsian Andrea Walter</t>
  </si>
  <si>
    <t xml:space="preserve">EPP - Abrafer S.R.L.          </t>
  </si>
  <si>
    <t>Movimiento de Suelos</t>
  </si>
  <si>
    <t xml:space="preserve">Celsi Vial - Excavacion       </t>
  </si>
  <si>
    <t>SC-004</t>
  </si>
  <si>
    <t>ALBAÑILERIA MT - TRANSPORTES R</t>
  </si>
  <si>
    <t xml:space="preserve">ALQ DE BAÑO - ECOBAT SRL      </t>
  </si>
  <si>
    <t>Aguas</t>
  </si>
  <si>
    <t>Aguas - Martin Guillermo Ibarl</t>
  </si>
  <si>
    <t>Martin Guillermo Ibarlucia</t>
  </si>
  <si>
    <t xml:space="preserve">Combustible - YPF S.A.        </t>
  </si>
  <si>
    <t>YPF S.A.</t>
  </si>
  <si>
    <t xml:space="preserve">ICO - YPF S.A.                </t>
  </si>
  <si>
    <t xml:space="preserve">ITC - YPF S.A.                </t>
  </si>
  <si>
    <t>Limpieza</t>
  </si>
  <si>
    <t xml:space="preserve">Limpieza - Dia Argentina S.A. </t>
  </si>
  <si>
    <t>Hierros - Acindar Industria Ar</t>
  </si>
  <si>
    <t>Acindar Industria Argentina de Aceros S.A.</t>
  </si>
  <si>
    <t>ALBAÑILERIA MT - LUNA FERNANDO</t>
  </si>
  <si>
    <t>VOLQUETE - BAZAN FERNANDO EXEQ</t>
  </si>
  <si>
    <t>BAZAN FERNANDO EXEQUIEL</t>
  </si>
  <si>
    <t xml:space="preserve">FC3 </t>
  </si>
  <si>
    <t>PINTURA ASFALTICA - Palermo Ma</t>
  </si>
  <si>
    <t>Palermo Materiales SA</t>
  </si>
  <si>
    <t>1Q 03-2025 - Ayala Angel - SER</t>
  </si>
  <si>
    <t xml:space="preserve">1Q 03-2025 - Sobres           </t>
  </si>
  <si>
    <t xml:space="preserve">homigon MT - Separators SRL   </t>
  </si>
  <si>
    <t>Separators SRL</t>
  </si>
  <si>
    <t>Intereses</t>
  </si>
  <si>
    <t>Intereses Prestamo Galicia - A</t>
  </si>
  <si>
    <t xml:space="preserve">OP  </t>
  </si>
  <si>
    <t>Movimiento de Suelos - LUNA FE</t>
  </si>
  <si>
    <t>Varios Ferreteria - Balbin 300</t>
  </si>
  <si>
    <t>Balbin 3001 S.R.L.</t>
  </si>
  <si>
    <t>Varios Ferreteria - ARCO MAQUI</t>
  </si>
  <si>
    <t>ARCO MAQUINARIAS ALQUILER Y VENTAS S.A.</t>
  </si>
  <si>
    <t>homigon MT - Materiales San Fe</t>
  </si>
  <si>
    <t>Materiales San Fernando S.A.</t>
  </si>
  <si>
    <t>RUBINO FERNANDO MIGUEL</t>
  </si>
  <si>
    <t xml:space="preserve">Pto. 30777-USD 13.600-TC 1315 </t>
  </si>
  <si>
    <t xml:space="preserve">Supermercado - INC S.A        </t>
  </si>
  <si>
    <t>INC S.A</t>
  </si>
  <si>
    <t xml:space="preserve">Ajuste por redondeo - INC S.A </t>
  </si>
  <si>
    <t>Ajuste por redondeo - Dia Arge</t>
  </si>
  <si>
    <t xml:space="preserve">LIMPIEZA - Dia Argentina S.A. </t>
  </si>
  <si>
    <t>Otros ingresos</t>
  </si>
  <si>
    <t>A cuent Ant Obra-10000 TC 1300</t>
  </si>
  <si>
    <t>OIXX</t>
  </si>
  <si>
    <t>Supermercado - Coto C.I.C.S.A.</t>
  </si>
  <si>
    <t>Coto C.I.C.S.A.</t>
  </si>
  <si>
    <t xml:space="preserve">FENOMIX                       </t>
  </si>
  <si>
    <t xml:space="preserve">2Q 03-2025 - Torres Miguel    </t>
  </si>
  <si>
    <t>homigon MT - BELSITO GERMAN GA</t>
  </si>
  <si>
    <t>BELSITO GERMAN GABRIEL</t>
  </si>
  <si>
    <t>preliminares - HERRAJES TRONAD</t>
  </si>
  <si>
    <t xml:space="preserve">Acopio - Materiales San Fern  </t>
  </si>
  <si>
    <t xml:space="preserve">A cta Ant Obra-4000 TC 1270   </t>
  </si>
  <si>
    <t xml:space="preserve">ICO2 - YPF S.A.               </t>
  </si>
  <si>
    <t xml:space="preserve">INFINIA E 12 - YPF S.A.       </t>
  </si>
  <si>
    <t xml:space="preserve">BAÑO PORTATIL - ECOBAT SRL    </t>
  </si>
  <si>
    <t xml:space="preserve">Bomba Hormigon                </t>
  </si>
  <si>
    <t>Permiso GCBA Bomba en contrama</t>
  </si>
  <si>
    <t xml:space="preserve">Anclajes CIMA - Certif. #1    </t>
  </si>
  <si>
    <t>Anclajes CIMA - Certif. #1 - C</t>
  </si>
  <si>
    <t xml:space="preserve">Anclajes CIMA - Anticipo CAC  </t>
  </si>
  <si>
    <t>Internet - Telecom Argentina S</t>
  </si>
  <si>
    <t>Telecom Argentina S.A.</t>
  </si>
  <si>
    <t>Combustible General - ESTACION</t>
  </si>
  <si>
    <t>Ajuste por redondeo - ESTACION</t>
  </si>
  <si>
    <t>CARTEL OBRA - DESSINS CARTELER</t>
  </si>
  <si>
    <t>DESSINS CARTELERIA S.R.L</t>
  </si>
  <si>
    <t xml:space="preserve">1Q 04-2025                    </t>
  </si>
  <si>
    <t xml:space="preserve">1Q 04-2025 - SERENO           </t>
  </si>
  <si>
    <t xml:space="preserve">Celsi Vial - Certif. #2       </t>
  </si>
  <si>
    <t xml:space="preserve">Probetas - Instituto Nacional </t>
  </si>
  <si>
    <t>Instituto Nacional de Tecnologia Industrial</t>
  </si>
  <si>
    <t>FXX3</t>
  </si>
  <si>
    <t xml:space="preserve">PROBETAS - Instituto Nacional </t>
  </si>
  <si>
    <t xml:space="preserve">Deposito factura GDR TC 1.190 </t>
  </si>
  <si>
    <t>Seguridad e Higiene - RUBINO F</t>
  </si>
  <si>
    <t xml:space="preserve">ICL - Yapay Neasa S.R.L.      </t>
  </si>
  <si>
    <t>Yapay Neasa S.R.L.</t>
  </si>
  <si>
    <t xml:space="preserve">IDC - Yapay Neasa S.R.L.      </t>
  </si>
  <si>
    <t xml:space="preserve">NAFTA - Yapay Neasa S.R.L.    </t>
  </si>
  <si>
    <t>Obra civil Reforma</t>
  </si>
  <si>
    <t>Obras - Garcia del Rio 3760 CA</t>
  </si>
  <si>
    <t>Garcia del Rio 3760 CABA Fideicomiso</t>
  </si>
  <si>
    <t>FAWS</t>
  </si>
  <si>
    <t>homigon MT - NOGUEROL Y MAURIC</t>
  </si>
  <si>
    <t>NOGUEROL Y MAURICIO SOC DE HECHO</t>
  </si>
  <si>
    <t>2Q 04-2025 Ayala Angel -SERENO</t>
  </si>
  <si>
    <t xml:space="preserve">2Q 04-2025                    </t>
  </si>
  <si>
    <t>A cta de Deuda de GDR TC 1.555</t>
  </si>
  <si>
    <t xml:space="preserve">A cta de Deuda de GDR TC 1155 </t>
  </si>
  <si>
    <t xml:space="preserve">BAÑO - ECOBAT SRL             </t>
  </si>
  <si>
    <t>A cta de Deuda de GDR TC 1.155</t>
  </si>
  <si>
    <t xml:space="preserve">Emanuel Pasquariello - Edenor </t>
  </si>
  <si>
    <t xml:space="preserve">Celsi Vial - Certif. #4       </t>
  </si>
  <si>
    <t xml:space="preserve">1Q 05-2025                    </t>
  </si>
  <si>
    <t>Combustible General - Yapay Ne</t>
  </si>
  <si>
    <t xml:space="preserve">homigon MT - SINIS S.A.       </t>
  </si>
  <si>
    <t>SINIS S.A.</t>
  </si>
  <si>
    <t>homigon MT - Maderera Newton S</t>
  </si>
  <si>
    <t>Maderera Newton S.A.</t>
  </si>
  <si>
    <t>homigon MT - Instituto Naciona</t>
  </si>
  <si>
    <t>FENOLICO - Maderera Newton S.A</t>
  </si>
  <si>
    <t>Supermercado - SOLDADO DE MALV</t>
  </si>
  <si>
    <t>SOLDADO DE MALVINAS 2202 SRL</t>
  </si>
  <si>
    <t>HIERRO LISO Y ALAMBRE - CUTULI</t>
  </si>
  <si>
    <t>CUTULI HNOS S.A.</t>
  </si>
  <si>
    <t xml:space="preserve">INFINIA DIESEL B10 - YPF S.A. </t>
  </si>
  <si>
    <t xml:space="preserve">NAFTA INFINIA E12 - YPF S.A.  </t>
  </si>
  <si>
    <t>Limpieza - STRIETZEL WALTER FA</t>
  </si>
  <si>
    <t>STRIETZEL WALTER FABIAN</t>
  </si>
  <si>
    <t xml:space="preserve">2Q 05-2025                    </t>
  </si>
  <si>
    <t xml:space="preserve">Celsi Vial - Certif. #5       </t>
  </si>
  <si>
    <t>ANGULO REINER - Separators SRL</t>
  </si>
  <si>
    <t xml:space="preserve">Pedro Abregu-Auton 05-GDR     </t>
  </si>
  <si>
    <t xml:space="preserve">ALQUILER BAÑO - ECOBAT SRL    </t>
  </si>
  <si>
    <t xml:space="preserve">VIATICO                       </t>
  </si>
  <si>
    <t>ALBAÑILERIA MT - CUTULI HNOS S</t>
  </si>
  <si>
    <t>INFINIA DIESEL B 10 - YPF S.A.</t>
  </si>
  <si>
    <t>INFINIA DIESEL E 12 - YPF S.A.</t>
  </si>
  <si>
    <t xml:space="preserve">1Q 06-2025 - Rueda Rodrigo    </t>
  </si>
  <si>
    <t>Pago Cta Ant-usd 30000 tc 1190</t>
  </si>
  <si>
    <t xml:space="preserve">VOLQUETE                      </t>
  </si>
  <si>
    <t xml:space="preserve">Edenor - Prestamo a GDR       </t>
  </si>
  <si>
    <t xml:space="preserve">HORMIGON MT - Maderera Newton </t>
  </si>
  <si>
    <t xml:space="preserve">1Q 06-2025                    </t>
  </si>
  <si>
    <t>Varios Ferreteria - CAYFER SRL</t>
  </si>
  <si>
    <t>CAYFER SRL</t>
  </si>
  <si>
    <t xml:space="preserve">Pago Cta Ant-usd 3505 tc 1200 </t>
  </si>
  <si>
    <t>HIERRO LISO - CUTULI HNOS S.A.</t>
  </si>
  <si>
    <t>CAJA DE TOMA-CAÑO PILAR - Casa</t>
  </si>
  <si>
    <t xml:space="preserve">Aguas - OCEANUS NORTE SA      </t>
  </si>
  <si>
    <t>OCEANUS NORTE SA</t>
  </si>
  <si>
    <t>Aysa</t>
  </si>
  <si>
    <t xml:space="preserve">AYSA - pendientes             </t>
  </si>
  <si>
    <t xml:space="preserve">Reparacion Vibrador           </t>
  </si>
  <si>
    <t xml:space="preserve">Bomba de Hormigon             </t>
  </si>
  <si>
    <t>Sueldos</t>
  </si>
  <si>
    <t xml:space="preserve">Javier Antequera - 06-2025    </t>
  </si>
  <si>
    <t xml:space="preserve">Javier Antequera - SAC        </t>
  </si>
  <si>
    <t xml:space="preserve">2Q 06-2025                    </t>
  </si>
  <si>
    <t xml:space="preserve">H. Seguridad e Higiene        </t>
  </si>
  <si>
    <t xml:space="preserve">Celsi Vial  - Certif. #7      </t>
  </si>
  <si>
    <t>Certif. #1 - Hormigon Fundacio</t>
  </si>
  <si>
    <t>SC-005</t>
  </si>
  <si>
    <t xml:space="preserve">SALIGNA BRU - Maderera Newton </t>
  </si>
  <si>
    <t xml:space="preserve">1Q 07-2025                    </t>
  </si>
  <si>
    <t>Cable - Pilar de obra - Boyads</t>
  </si>
  <si>
    <t xml:space="preserve">Armaduras del Sur             </t>
  </si>
  <si>
    <t xml:space="preserve">Permiso Bomba de Hormigón     </t>
  </si>
  <si>
    <t xml:space="preserve">Varios Ferreteria - Meirinhos </t>
  </si>
  <si>
    <t>Meirinhos Guillermo Ruben</t>
  </si>
  <si>
    <t>HORMIGON MT - CUTULI HNOS S.A.</t>
  </si>
  <si>
    <t>Sanitaria MT</t>
  </si>
  <si>
    <t xml:space="preserve">TIRA PVC 40 - Denegri Gustavo </t>
  </si>
  <si>
    <t xml:space="preserve">DIESEL 500 B 7 - YPF S.A.     </t>
  </si>
  <si>
    <t>Eléctrico MO</t>
  </si>
  <si>
    <t>Silvio Aguirre-Trabajos Bajada</t>
  </si>
  <si>
    <t xml:space="preserve">Pedro Abregu - Autonomos      </t>
  </si>
  <si>
    <t xml:space="preserve">Fernando Rubino - S&amp;H         </t>
  </si>
  <si>
    <t xml:space="preserve">Javier Antequera 07-2025      </t>
  </si>
  <si>
    <t>preliminares - Meirinhos Guill</t>
  </si>
  <si>
    <t xml:space="preserve">Limpieza                      </t>
  </si>
  <si>
    <t xml:space="preserve">David Petrini - Adicional S&amp;H </t>
  </si>
  <si>
    <t>David Petrini - Monotributista</t>
  </si>
  <si>
    <t xml:space="preserve">2Q 07-2025                    </t>
  </si>
  <si>
    <t>FICHAS - Boyadsian Andrea Walt</t>
  </si>
  <si>
    <t>PROYECTORES - Boyadsian Andrea</t>
  </si>
  <si>
    <t xml:space="preserve">cta deu AING-usd 1200 tc 1310 </t>
  </si>
  <si>
    <t xml:space="preserve">Cuadrilla Hormigon            </t>
  </si>
  <si>
    <t>CARTUCHO INYECCION  FIS - Abra</t>
  </si>
  <si>
    <t>ALBAÑILERIA MT - Abrafer S.R.L</t>
  </si>
  <si>
    <t>Ajuste por redondeo - Casa Cas</t>
  </si>
  <si>
    <t xml:space="preserve">Desacopio Volquetes           </t>
  </si>
  <si>
    <t>Volquetes Gustavo</t>
  </si>
  <si>
    <t xml:space="preserve">AD  </t>
  </si>
  <si>
    <t xml:space="preserve">Desacopio volquetes           </t>
  </si>
  <si>
    <t xml:space="preserve">Baño portatil - ECOBAT SRL    </t>
  </si>
  <si>
    <t>HORMIGON MT - Instituto Nacion</t>
  </si>
  <si>
    <t xml:space="preserve">INFINIA E12 - YPF S.A.        </t>
  </si>
  <si>
    <t xml:space="preserve">Silvio Aguirre - Cert # 1     </t>
  </si>
  <si>
    <t>Varios Ferreteria - LUNA FERNA</t>
  </si>
  <si>
    <t xml:space="preserve">1Q 08-2025                    </t>
  </si>
  <si>
    <t>PINO ELLIOTIS - Maderera Newto</t>
  </si>
  <si>
    <t>A cta d deu AIN-usd 2650  1315</t>
  </si>
  <si>
    <t>Librería</t>
  </si>
  <si>
    <t xml:space="preserve">Librería                      </t>
  </si>
  <si>
    <t>Barra hierro - CUTULI HNOS S.A</t>
  </si>
  <si>
    <t xml:space="preserve">Javier Antequera - 08-2025    </t>
  </si>
  <si>
    <t xml:space="preserve">2Q 08-2025 - Garcia del Rio   </t>
  </si>
  <si>
    <t xml:space="preserve">Varios Ferreteria - Boyadsian </t>
  </si>
  <si>
    <t xml:space="preserve">Varios Ferreteria - INC S.A   </t>
  </si>
  <si>
    <t xml:space="preserve">Hormigon - Bono 08-2025       </t>
  </si>
  <si>
    <t xml:space="preserve">David Petrini - S&amp;H           </t>
  </si>
  <si>
    <t xml:space="preserve">baño quimico - ECOBAT SRL     </t>
  </si>
  <si>
    <t>HORMIGON MT - BELSITO GERMAN G</t>
  </si>
  <si>
    <t xml:space="preserve">Resorte p/tubo SISTELECTRIC - </t>
  </si>
  <si>
    <t>Flete acopio hierros - RUIZ DI</t>
  </si>
  <si>
    <t>RUIZ DIAZ EMANUEL DAVID</t>
  </si>
  <si>
    <t xml:space="preserve">1Q 09-2025 - Garcia del Rio   </t>
  </si>
  <si>
    <t xml:space="preserve">DIESEL 500 B1 - YPF S.A.      </t>
  </si>
  <si>
    <t>Subcontrato electrico - Petrin</t>
  </si>
  <si>
    <t>Movilidad Variable - PAZ CLAUD</t>
  </si>
  <si>
    <t>PAZ CLAUDIA SILVIA</t>
  </si>
  <si>
    <t>Obrador - Boyadsian Andrea Wal</t>
  </si>
  <si>
    <t xml:space="preserve">2Q 09-2025 - Herrera N. Jesus </t>
  </si>
  <si>
    <t xml:space="preserve">Reglas aluminio - PAZ CLAUDIA </t>
  </si>
  <si>
    <t xml:space="preserve">Javier Antequera              </t>
  </si>
  <si>
    <t>SANITARIA MT - SANITARIOS RODR</t>
  </si>
  <si>
    <t>SANITARIOS RODRIGUEZ SH</t>
  </si>
  <si>
    <t>SANITARIA MT - Denegri Gustavo</t>
  </si>
  <si>
    <t>Ajuste por redondeo - Material</t>
  </si>
  <si>
    <t>Materiales Huidobro S.A.</t>
  </si>
  <si>
    <t>CARTUCHO INYECCION - Abrafer S</t>
  </si>
  <si>
    <t>ALBAÑILERIA MT - Materiales Hu</t>
  </si>
  <si>
    <t xml:space="preserve">HORMIGON MT - Aserradero Biel </t>
  </si>
  <si>
    <t xml:space="preserve">2Q 09-2025 - Obra GRD         </t>
  </si>
  <si>
    <t xml:space="preserve">CERCO DE OBRA - Comercial cmp </t>
  </si>
  <si>
    <t>Comercial cmp S.A</t>
  </si>
  <si>
    <t>CERCO DE OBRA - Materiales Hui</t>
  </si>
  <si>
    <t>Ajuste por redondeo - CUTULI H</t>
  </si>
  <si>
    <t>Barra Hierro - CUTULI HNOS S.A</t>
  </si>
  <si>
    <t>Caja estanca - Boyadsian Andre</t>
  </si>
  <si>
    <t>Rafael Meza - Certif. #3 s/2Pi</t>
  </si>
  <si>
    <t xml:space="preserve">ELECTRICO MT - Electropelba   </t>
  </si>
  <si>
    <t>Electropelba</t>
  </si>
  <si>
    <t xml:space="preserve">PRELIMINARES - Abrafer S.R.L. </t>
  </si>
  <si>
    <t>PRELIMINARES - Sanitriun S.R.L</t>
  </si>
  <si>
    <t>Sanitriun S.R.L</t>
  </si>
  <si>
    <t>HORMIGON MT - ARMADURAS ARGENT</t>
  </si>
  <si>
    <t>ARMADURAS ARGENTINAS S.R.L.</t>
  </si>
  <si>
    <t xml:space="preserve">David Petrini - Adicional     </t>
  </si>
  <si>
    <t xml:space="preserve">INFINIA DIESEL B4 - YPF S.A.  </t>
  </si>
  <si>
    <t>ALBAÑILERIA MT - Ecometal S.R.</t>
  </si>
  <si>
    <t>Ecometal S.R.L</t>
  </si>
  <si>
    <t xml:space="preserve">GCBA - Permiso de Bomba       </t>
  </si>
  <si>
    <t xml:space="preserve">1Q 10-2025                    </t>
  </si>
  <si>
    <t xml:space="preserve">Sereno                        </t>
  </si>
  <si>
    <t>Gastos GCBA Construccion</t>
  </si>
  <si>
    <t>Permiso Camiones bomba hormigo</t>
  </si>
  <si>
    <t>Pedro Abregu-Autono 09 y 10/25</t>
  </si>
  <si>
    <t>Ajuste por redondeo - Coto C.I</t>
  </si>
  <si>
    <t xml:space="preserve">CERCO OBRA DE TODAS LAS OBRAS </t>
  </si>
  <si>
    <t>Trotta Gabriel Guido</t>
  </si>
  <si>
    <t>Ajuste por redondeo - CALERA E</t>
  </si>
  <si>
    <t>CALERA EL OMBU S.A.</t>
  </si>
  <si>
    <t>Acopio mamposteria - CALERA EL</t>
  </si>
  <si>
    <t xml:space="preserve">Infinia Diesel B4 - YPF S.A.  </t>
  </si>
  <si>
    <t xml:space="preserve">Infinia E12 - YPF S.A.        </t>
  </si>
  <si>
    <t>H. Contables</t>
  </si>
  <si>
    <t xml:space="preserve">Degli Esposti - Honorarios    </t>
  </si>
  <si>
    <t xml:space="preserve">10-2025 - Javier Antequera    </t>
  </si>
  <si>
    <t xml:space="preserve">CERCO DE OBRA TODAS LAS OBRAS </t>
  </si>
  <si>
    <t>2Q 10-2025-Obra Garcia del Rio</t>
  </si>
  <si>
    <t>Varios Ferreteria - Centro Sec</t>
  </si>
  <si>
    <t xml:space="preserve">2Q 10-2025-Ayala Angel-SERENO </t>
  </si>
  <si>
    <t xml:space="preserve">Meza Rafael - Bonos HORMIGON  </t>
  </si>
  <si>
    <t>ALBAÑILERIA MT - PAZ CLAUDIA S</t>
  </si>
  <si>
    <t xml:space="preserve">Materiales Palermo-Acopio GDR </t>
  </si>
  <si>
    <t xml:space="preserve">Diesel 500 B 0 - YPF S.A.     </t>
  </si>
  <si>
    <t>Infinia Diesel B 10 - YPF S.A.</t>
  </si>
  <si>
    <t xml:space="preserve">David Petrini                 </t>
  </si>
  <si>
    <t xml:space="preserve">Viatico                       </t>
  </si>
  <si>
    <t xml:space="preserve">1Q 11-25-Ayala Angel-SERENO   </t>
  </si>
  <si>
    <t xml:space="preserve">1Q 11-2025 - Garcia del Rio   </t>
  </si>
  <si>
    <t xml:space="preserve">Certif. #2 - Losa 3 Hormigon  </t>
  </si>
  <si>
    <t xml:space="preserve">Certif. #3 - Losa 4 Hormigon  </t>
  </si>
  <si>
    <t xml:space="preserve">Diesel B11 - YPF S.A.         </t>
  </si>
  <si>
    <t xml:space="preserve">Javier Antequera 2025-12      </t>
  </si>
  <si>
    <t>SANITARIA MT - Acopio - Sanita</t>
  </si>
  <si>
    <t>Sanitarios Panamericana S.A.</t>
  </si>
  <si>
    <t>SANITARIA MT - Sanitriun S.R.L</t>
  </si>
  <si>
    <t xml:space="preserve">2Q 11-2025-Ayala Angel-Sereno </t>
  </si>
  <si>
    <t>2Q 11-2025-Obra Garcia del Rio</t>
  </si>
  <si>
    <t>Sanitaria MO</t>
  </si>
  <si>
    <t>Ezequiel Mendoza - Tramite GAS</t>
  </si>
  <si>
    <t xml:space="preserve">Certif. Final - Hormigon      </t>
  </si>
  <si>
    <t>SANITARIA MT - Sanitarios Pana</t>
  </si>
  <si>
    <t xml:space="preserve">Sanitaria MT                  </t>
  </si>
  <si>
    <t xml:space="preserve">Infinie E12 - YPF S.A.        </t>
  </si>
  <si>
    <t>HORMIGON MT - Materiales San F</t>
  </si>
  <si>
    <t xml:space="preserve">1Q 12-2025-Ayala Angel-Sereno </t>
  </si>
  <si>
    <t xml:space="preserve">1Q 12-2025 - Obra GDR         </t>
  </si>
  <si>
    <t>Gustavo Espinola-Prem Electric</t>
  </si>
  <si>
    <t>LIBRERIA - Parise Paola Beatri</t>
  </si>
  <si>
    <t>Parise Paola Beatriz</t>
  </si>
  <si>
    <t xml:space="preserve">DIDI                          </t>
  </si>
  <si>
    <t>Flete gdr a tomkinson - ROBLES</t>
  </si>
  <si>
    <t>ROBLES EDUARDO NICOLAS</t>
  </si>
  <si>
    <t xml:space="preserve">Diesel B10 - YPF S.A.         </t>
  </si>
  <si>
    <t>DURLOCK MT - Palermo Materiale</t>
  </si>
  <si>
    <t xml:space="preserve">2Q 12-2025 - Obra GDR         </t>
  </si>
  <si>
    <t xml:space="preserve">Fletes a Tomkinson            </t>
  </si>
  <si>
    <t xml:space="preserve">2Q 12-2025-Ayala Angel-SERENO </t>
  </si>
  <si>
    <t xml:space="preserve">2Q 12-2025 - Zarza Angel      </t>
  </si>
  <si>
    <t>Fletes - ROBLES EDUARDO NICOLA</t>
  </si>
  <si>
    <t xml:space="preserve">Ezequiel Mendoza-Gestor GAS   </t>
  </si>
  <si>
    <t>Pintura MT</t>
  </si>
  <si>
    <t>PINTURA MT - Pinturerias Prest</t>
  </si>
  <si>
    <t>Pinturerias Prestigio S.A</t>
  </si>
  <si>
    <t>Provisiones</t>
  </si>
  <si>
    <t xml:space="preserve">Provisiones - Abrafer S.R.L.  </t>
  </si>
  <si>
    <t xml:space="preserve">PROVISIONES - Abrafer S.R.L.  </t>
  </si>
  <si>
    <t>Combustible General - YPF S.A.</t>
  </si>
  <si>
    <t xml:space="preserve">ICL - YPF S.A.                </t>
  </si>
  <si>
    <t xml:space="preserve">IDC - YPF S.A.                </t>
  </si>
  <si>
    <t xml:space="preserve">TASA VIAL - YPF S.A.          </t>
  </si>
  <si>
    <t xml:space="preserve">Volquetes                     </t>
  </si>
  <si>
    <t>1Q 01-2026 - Obra Garcia del R</t>
  </si>
  <si>
    <t>1Q 01-2026 - SERENO - Ayala An</t>
  </si>
  <si>
    <t xml:space="preserve">DURLOCK MT - CUTULI HNOS S.A. </t>
  </si>
  <si>
    <t>Petrini Omar Daniel</t>
  </si>
  <si>
    <t>Durlock MO</t>
  </si>
  <si>
    <t xml:space="preserve">Elvio Cespedes - Yesero       </t>
  </si>
  <si>
    <t>SC-001</t>
  </si>
  <si>
    <t>Correo Argentino-Carta Documen</t>
  </si>
  <si>
    <t>2Q 01-2026 - Obra Garcia del R</t>
  </si>
  <si>
    <t>Yohen Rodriguez-Premio Hormigo</t>
  </si>
  <si>
    <t>Cespedes Elvio - Yesero - Cert</t>
  </si>
  <si>
    <t xml:space="preserve">PSICO - Camaras               </t>
  </si>
  <si>
    <t>Revestimiento MO</t>
  </si>
  <si>
    <t>Elvio Cespedes - Revoque Certi</t>
  </si>
  <si>
    <t>SC-002</t>
  </si>
  <si>
    <t xml:space="preserve">Infinia Diesel - YPF S.A.     </t>
  </si>
  <si>
    <t xml:space="preserve">Nafta Infinia - YPF S.A.      </t>
  </si>
  <si>
    <t>Ajuste por redondeo - D aria H</t>
  </si>
  <si>
    <t>D aria Hnos Sac</t>
  </si>
  <si>
    <t>Revestimiento MT</t>
  </si>
  <si>
    <t>REVESTIMIENTO MT - CUTULI HNOS</t>
  </si>
  <si>
    <t xml:space="preserve">PINTURA MT - D aria Hnos Sac  </t>
  </si>
  <si>
    <t xml:space="preserve">2Q 02-2026 - Garcia del Rio   </t>
  </si>
  <si>
    <t xml:space="preserve">2Q 02-2026-Ayala Angel-SERENO </t>
  </si>
  <si>
    <t>2Q 02-2026 - Santacruz Recalde</t>
  </si>
  <si>
    <t xml:space="preserve">Inflador de Bicicleta         </t>
  </si>
  <si>
    <t xml:space="preserve">Cespedes Elvio - Certif. #2 - </t>
  </si>
  <si>
    <t xml:space="preserve">Vidriera                      </t>
  </si>
  <si>
    <t xml:space="preserve">Petrini David                 </t>
  </si>
  <si>
    <t>SANITARIA MT - Sanitarios Sion</t>
  </si>
  <si>
    <t>Sanitarios Sione SRL</t>
  </si>
  <si>
    <t xml:space="preserve">1Q 03-2026 - Obra GDR         </t>
  </si>
  <si>
    <t xml:space="preserve">Degli Esposti Norberto        </t>
  </si>
  <si>
    <t xml:space="preserve">Ajuste por redondeo - Palermo </t>
  </si>
  <si>
    <t xml:space="preserve">Yeso - Palermo Materiales SA  </t>
  </si>
  <si>
    <t xml:space="preserve">Pedro Abregu (11-25 a 03-26)  </t>
  </si>
  <si>
    <t>1Q 03-2026 - Acosta Alexis - D</t>
  </si>
  <si>
    <t>1Q 03-2026 - Samaniego Reynald</t>
  </si>
  <si>
    <t>1Q 03-2026 - Soto Anzaldo Jose</t>
  </si>
  <si>
    <t xml:space="preserve">1Q 03-2026 - Mansilla Julio - </t>
  </si>
  <si>
    <t>1Q 03-2026 - Davalos Ramon - D</t>
  </si>
  <si>
    <t>1Q 03-2026 - Mendoza Rodrigo -</t>
  </si>
  <si>
    <t xml:space="preserve">Guinche - Petrini Omar Daniel </t>
  </si>
  <si>
    <t>Membrana - Cisilotto Hnos. SAC</t>
  </si>
  <si>
    <t>Cisilotto Hnos. SACIFI</t>
  </si>
  <si>
    <t xml:space="preserve">Elvio Cespedes - Certif. #3 - </t>
  </si>
  <si>
    <t>Elvio Cespedes - CAC * Certif.</t>
  </si>
  <si>
    <t xml:space="preserve">2Q 03-2026 Soto Anzaldo       </t>
  </si>
  <si>
    <t xml:space="preserve">Elvio Cespedes - Certif. #4 - </t>
  </si>
  <si>
    <t>Ajuste por redondeo - Electrop</t>
  </si>
  <si>
    <t xml:space="preserve">1Q 04-2026                    </t>
  </si>
  <si>
    <t xml:space="preserve">1Q 04-26 - Ayala Angel-SERENO </t>
  </si>
  <si>
    <t>SANITARIA MO - Pinturerias Pre</t>
  </si>
  <si>
    <t>Varios Ferreteria - Sabatini D</t>
  </si>
  <si>
    <t>Sabatini Daniel Gerardo y Diamantini Luciano</t>
  </si>
  <si>
    <t>Elvio Cespedes - Yeso - Certif</t>
  </si>
  <si>
    <t xml:space="preserve">GEORGIA Matafuegos - Valvulas </t>
  </si>
  <si>
    <t xml:space="preserve">GEORGIA Matafuegos-Gabinete   </t>
  </si>
  <si>
    <t>Inst Incendio - Sanitriun S.R.</t>
  </si>
  <si>
    <t xml:space="preserve">Yeso - Alpeba S.A.            </t>
  </si>
  <si>
    <t>Alpeba S.A.</t>
  </si>
  <si>
    <t>Ajuste por redondeo - Sanitari</t>
  </si>
  <si>
    <t>GASTOS DIRECTOS E INDIRECTOS — carga mensual</t>
  </si>
  <si>
    <t>Cargar manualmente el monto de cada mes (pesos corrientes). Los totales y deflactación CAC se calculan automáticamente. Alimenta 3_Control_Ppto y 3_Cash_Flow.</t>
  </si>
  <si>
    <t>Concepto</t>
  </si>
  <si>
    <t>Total Real</t>
  </si>
  <si>
    <t>Total Descontado</t>
  </si>
  <si>
    <t>Ratio CAC</t>
  </si>
  <si>
    <t>Estado del mes</t>
  </si>
  <si>
    <t>cargar "✓" o "OK" cuando se cierre el mes</t>
  </si>
  <si>
    <t>GASTOS DIRECTOS</t>
  </si>
  <si>
    <t>D</t>
  </si>
  <si>
    <t>TOTAL DIRECTOS</t>
  </si>
  <si>
    <t>GASTOS INDIRECTOS</t>
  </si>
  <si>
    <t>Payroll - Socios</t>
  </si>
  <si>
    <t>I</t>
  </si>
  <si>
    <t>Intereses Financiamiento</t>
  </si>
  <si>
    <t>Payroll - Administración</t>
  </si>
  <si>
    <t>TOTAL INDIRECTOS</t>
  </si>
  <si>
    <t>Resumen Consolidado por Obra (Horas)</t>
  </si>
  <si>
    <t>Período</t>
  </si>
  <si>
    <t>Categoría</t>
  </si>
  <si>
    <t>Horas totales</t>
  </si>
  <si>
    <t>Horas normales</t>
  </si>
  <si>
    <t>Horas extra 50%</t>
  </si>
  <si>
    <t>Horas extra 100%</t>
  </si>
  <si>
    <t>Costo Hs. Normales</t>
  </si>
  <si>
    <t>Costo Hs. Extra 50%</t>
  </si>
  <si>
    <t>Costo Hs. Extra 100%</t>
  </si>
  <si>
    <t>Total</t>
  </si>
  <si>
    <t>1Q</t>
  </si>
  <si>
    <t>GARCIA DEL RIO</t>
  </si>
  <si>
    <t>2Q</t>
  </si>
  <si>
    <t>SUBCONTRATOS — MAESTRO DE CONTRATOS</t>
  </si>
  <si>
    <t>Contrato #</t>
  </si>
  <si>
    <t>Proveedor</t>
  </si>
  <si>
    <t>Monto Presup. ($)</t>
  </si>
  <si>
    <t>Ajusta CAC</t>
  </si>
  <si>
    <t>% Anticipo</t>
  </si>
  <si>
    <t>Monto Anticipo ($)</t>
  </si>
  <si>
    <t>Pagado ($) sin CAC</t>
  </si>
  <si>
    <t>Saldo Disponible ($)</t>
  </si>
  <si>
    <t>CAC Pagado ($)</t>
  </si>
  <si>
    <t>Total Pagado ($)</t>
  </si>
  <si>
    <t>Alerta</t>
  </si>
  <si>
    <t>ELVIO CESPEDES</t>
  </si>
  <si>
    <t>Yeso</t>
  </si>
  <si>
    <t>SI</t>
  </si>
  <si>
    <t>Revoque Exterior</t>
  </si>
  <si>
    <t>ANCLAJES CIMA</t>
  </si>
  <si>
    <t>Fundaciones</t>
  </si>
  <si>
    <t>CELSI VIAL S.A.</t>
  </si>
  <si>
    <t>Exc. y Mov. de Suelos</t>
  </si>
  <si>
    <t>Excavacion y Mov. Suelos</t>
  </si>
  <si>
    <t>CUADRILLA HORMIGON</t>
  </si>
  <si>
    <t>Hormigón MO</t>
  </si>
  <si>
    <t>Hormigon M.O.</t>
  </si>
  <si>
    <t>INSTRUCCIONES</t>
  </si>
  <si>
    <t>► Cargar un contrato por fila. Código sugerido: SC-NNN (correlativo).</t>
  </si>
  <si>
    <t>► Total Pagado (col I) se calcula SOLO desde pagos con código SC-NNN cargado en Gastos!U "Contrato".</t>
  </si>
  <si>
    <t>► Saldo Disponible (col J) = Monto Presupuesto − Total Pagado (deflactado por CAC).</t>
  </si>
  <si>
    <t>► Ejemplo cargado: SC-001 Elvio Cespedes (Yeso). Para que I4 muestre el pagado real, cargar "SC-001" en Gastos!U de cada pago a Cespedes/Yeso.</t>
  </si>
  <si>
    <t>PAGOS A SUBCONTRATOS — vista filtrada desde Gastos</t>
  </si>
  <si>
    <t>Esta hoja se llena automáticamente con los pagos de Gastos que tengan código de Contrato cargado en la columna U.</t>
  </si>
  <si>
    <t>Fecha Pago</t>
  </si>
  <si>
    <t>Observación</t>
  </si>
  <si>
    <t>Monto Total ($)</t>
  </si>
  <si>
    <t>Monto Base ($)</t>
  </si>
  <si>
    <t>Monto CAC ($)</t>
  </si>
  <si>
    <t>Acum. Base s/Contrato ($)</t>
  </si>
  <si>
    <t>% Avance Ppto Aprobado</t>
  </si>
  <si>
    <t>RESUMEN POR CONTRATO</t>
  </si>
  <si>
    <t>Ppto Aprobado</t>
  </si>
  <si>
    <t>Base Pagado</t>
  </si>
  <si>
    <t>CAC Pagado</t>
  </si>
  <si>
    <t>Total Pagado</t>
  </si>
  <si>
    <t>Saldo Ppto</t>
  </si>
  <si>
    <t>% Consumido</t>
  </si>
  <si>
    <t>PAGOS POR QUINCENA A SUBCONTRATOS CON NÓMINA PROPIA — carga manual por quincena</t>
  </si>
  <si>
    <t>Quincena</t>
  </si>
  <si>
    <t>Fecha pago</t>
  </si>
  <si>
    <t>Monto pagado ($)</t>
  </si>
  <si>
    <t>Monto descontado ($)</t>
  </si>
  <si>
    <t>1Q 04-2025</t>
  </si>
  <si>
    <t>2Q 04-2025</t>
  </si>
  <si>
    <t>1Q 05-2025</t>
  </si>
  <si>
    <t>2Q 05-2025</t>
  </si>
  <si>
    <t>1Q 06-2025</t>
  </si>
  <si>
    <t>2Q 06-2025</t>
  </si>
  <si>
    <t>1Q 07-2025</t>
  </si>
  <si>
    <t>2Q 07-2025</t>
  </si>
  <si>
    <t>1Q 08-2025 (pago parcial 1)</t>
  </si>
  <si>
    <t>1Q 08-2025 (pago parcial 2)</t>
  </si>
  <si>
    <t>2Q 08-2025</t>
  </si>
  <si>
    <t>1Q 09-2025 (orig: 1Q 09-2024)</t>
  </si>
  <si>
    <t>Saldo Certif. Losa 1 y Esc PB — pendiente confirmar con Arquinering</t>
  </si>
  <si>
    <t>1Q 09-2025 pago parcial 2 (orig: 1Q 09-2024)</t>
  </si>
  <si>
    <t>2Q 09-2025 (orig: 2Q 09-2024)</t>
  </si>
  <si>
    <t>1Q 10-2025</t>
  </si>
  <si>
    <t>2Q 10-2025 (pago parcial 1)</t>
  </si>
  <si>
    <t>2Q 10-2025 (pago parcial 2)</t>
  </si>
  <si>
    <t>1Q 11-2025</t>
  </si>
  <si>
    <t>CERTIFICACIONES — Trazabilidad de Cert → Factura → Cobro</t>
  </si>
  <si>
    <t>Cada fila = un componente fiscal de un certificado emitido. Una certificación normal se carga en 2 filas (B70 + N30).</t>
  </si>
  <si>
    <t>Correlativo interno (CERT-001, CERT-002...)</t>
  </si>
  <si>
    <t>Fecha emisión del certificado</t>
  </si>
  <si>
    <t>1, 2 o 3 según presupuesto</t>
  </si>
  <si>
    <t>B70 (con IVA) / N30 (sin IVA) / GGN</t>
  </si>
  <si>
    <t>Anticipo, Cert #N, Adic #N, etc.</t>
  </si>
  <si>
    <t>% acumulado del Pto. al emitir el cert</t>
  </si>
  <si>
    <t>Sin CAC ni IVA, a precio de presupuesto</t>
  </si>
  <si>
    <t>Ratio de actualización aplicado</t>
  </si>
  <si>
    <t>Base × % CAC</t>
  </si>
  <si>
    <t>(Base + CAC) × 10.5% si B70, sino 0</t>
  </si>
  <si>
    <t>Base + CAC + IVA</t>
  </si>
  <si>
    <t>Lista: Certificado / Facturado / Cobrado / Parcial</t>
  </si>
  <si>
    <t>Nro de la factura emitida (talonario)</t>
  </si>
  <si>
    <t>Retenciones IIBB, SUSS, etc.</t>
  </si>
  <si>
    <t>Neto efectivamente cobrado</t>
  </si>
  <si>
    <t>Total Cert − Monto Cobrado</t>
  </si>
  <si>
    <t>ID Cert</t>
  </si>
  <si>
    <t>Fecha Cert</t>
  </si>
  <si>
    <t>Pto.</t>
  </si>
  <si>
    <t>Tipo Fiscal</t>
  </si>
  <si>
    <t>Avance Acum %</t>
  </si>
  <si>
    <t>Importe Base</t>
  </si>
  <si>
    <t>% CAC</t>
  </si>
  <si>
    <t>IVA</t>
  </si>
  <si>
    <t>Total Cert</t>
  </si>
  <si>
    <t>Nº Factura</t>
  </si>
  <si>
    <t>Fecha Factura</t>
  </si>
  <si>
    <t>Fecha Cobro</t>
  </si>
  <si>
    <t>Retenciones</t>
  </si>
  <si>
    <t>Monto Cobrado</t>
  </si>
  <si>
    <t>Saldo</t>
  </si>
  <si>
    <t>RESUMEN — CERTIFICACIÓN Y FACTURACIÓN</t>
  </si>
  <si>
    <t>CERT-00-01</t>
  </si>
  <si>
    <t>B70</t>
  </si>
  <si>
    <t>Anticipo B70</t>
  </si>
  <si>
    <t>0003-00000653</t>
  </si>
  <si>
    <t>TABLA A — CERTIFICACIÓN POR TIPO</t>
  </si>
  <si>
    <t>CERT-00-02</t>
  </si>
  <si>
    <t>N30</t>
  </si>
  <si>
    <t>Anticipo N30</t>
  </si>
  <si>
    <t>Ppto Base</t>
  </si>
  <si>
    <t>Certificado</t>
  </si>
  <si>
    <t>Pendiente</t>
  </si>
  <si>
    <t>% Avance</t>
  </si>
  <si>
    <t>CERT-00-03</t>
  </si>
  <si>
    <t>Pto. 1 facturable</t>
  </si>
  <si>
    <t>CERT-00-04</t>
  </si>
  <si>
    <t>Pto. 1 efectivo</t>
  </si>
  <si>
    <t>CERT-01-01</t>
  </si>
  <si>
    <t>Certif. # 1 - B70</t>
  </si>
  <si>
    <t>0003-00000704</t>
  </si>
  <si>
    <t>Pto. 2 facturable</t>
  </si>
  <si>
    <t>CERT-01-02</t>
  </si>
  <si>
    <t>Certif. # 1 - N30</t>
  </si>
  <si>
    <t>Pto. 2 efectivo</t>
  </si>
  <si>
    <t>CERT-01-03</t>
  </si>
  <si>
    <t>Adic</t>
  </si>
  <si>
    <t>Adicionales 01</t>
  </si>
  <si>
    <t>CERT-01-04</t>
  </si>
  <si>
    <t>CERT-01-05</t>
  </si>
  <si>
    <t>GGN</t>
  </si>
  <si>
    <t>Certif. #1</t>
  </si>
  <si>
    <t>CERT-02-01</t>
  </si>
  <si>
    <t>Certif. # 2 - B70</t>
  </si>
  <si>
    <t>0003-00000719</t>
  </si>
  <si>
    <t>TABLA B — FACTURACIÓN Y COBRO</t>
  </si>
  <si>
    <t>CERT-02-02</t>
  </si>
  <si>
    <t>Certif. # 2 - N30</t>
  </si>
  <si>
    <t>Facturable</t>
  </si>
  <si>
    <t>Facturado</t>
  </si>
  <si>
    <t>Cobrado</t>
  </si>
  <si>
    <t>Saldo Cob.</t>
  </si>
  <si>
    <t>% Cobrado</t>
  </si>
  <si>
    <t>CERT-02-03</t>
  </si>
  <si>
    <t>CERT-02-04</t>
  </si>
  <si>
    <t>CERT-02-05</t>
  </si>
  <si>
    <t>Certif. #2</t>
  </si>
  <si>
    <t>CERT-03-01</t>
  </si>
  <si>
    <t>Certif. # 3 - B70</t>
  </si>
  <si>
    <t>0003-00000723</t>
  </si>
  <si>
    <t>CERT-03-02</t>
  </si>
  <si>
    <t>Certif. # 3 - N30</t>
  </si>
  <si>
    <t>CERT-03-03</t>
  </si>
  <si>
    <t>CERT-03-04</t>
  </si>
  <si>
    <t>CERT-03-05</t>
  </si>
  <si>
    <t>Certif. #3</t>
  </si>
  <si>
    <t>INDICADORES</t>
  </si>
  <si>
    <t>CERT-04-01</t>
  </si>
  <si>
    <t>Certif. # 4 - B70</t>
  </si>
  <si>
    <t>0003-00000736</t>
  </si>
  <si>
    <t>% Avance certificación</t>
  </si>
  <si>
    <t>CERT-04-02</t>
  </si>
  <si>
    <t>Certif. # 4 - N30</t>
  </si>
  <si>
    <t>% Facturable con factura emitida</t>
  </si>
  <si>
    <t>CERT-04-03</t>
  </si>
  <si>
    <t>% Cobrado sobre facturado</t>
  </si>
  <si>
    <t>CERT-04-04</t>
  </si>
  <si>
    <t>Saldo a cobrar</t>
  </si>
  <si>
    <t>CERT-04-05</t>
  </si>
  <si>
    <t>Certif. #4</t>
  </si>
  <si>
    <t>CERT-05-01</t>
  </si>
  <si>
    <t>Certif. # 5 - B70</t>
  </si>
  <si>
    <t>0003-00000754</t>
  </si>
  <si>
    <t>CERT-05-02</t>
  </si>
  <si>
    <t>Certif. # 5 - N30</t>
  </si>
  <si>
    <t>CERT-05-03</t>
  </si>
  <si>
    <t>CERT-05-04</t>
  </si>
  <si>
    <t>CERT-05-05</t>
  </si>
  <si>
    <t>Certif. #5</t>
  </si>
  <si>
    <t>CERT-06-01</t>
  </si>
  <si>
    <t>Certif. # 6 - B70</t>
  </si>
  <si>
    <t>0003-00000784</t>
  </si>
  <si>
    <t>CERT-06-02</t>
  </si>
  <si>
    <t>Certif. # 6 - N30</t>
  </si>
  <si>
    <t>CERT-06-03</t>
  </si>
  <si>
    <t>CERT-06-04</t>
  </si>
  <si>
    <t>CERT-01-06</t>
  </si>
  <si>
    <t>Adic 01 - Certif. #1</t>
  </si>
  <si>
    <t>CERT-06-05</t>
  </si>
  <si>
    <t>Certif. #6</t>
  </si>
  <si>
    <t>CERT-07-01</t>
  </si>
  <si>
    <t>Certif. # 7 - B65</t>
  </si>
  <si>
    <t>0003-00000800</t>
  </si>
  <si>
    <t>CERT-07-02</t>
  </si>
  <si>
    <t>Certif. # 7 - N35</t>
  </si>
  <si>
    <t>CERT-07-03</t>
  </si>
  <si>
    <t>CERT-07-04</t>
  </si>
  <si>
    <t>CERT-02-06</t>
  </si>
  <si>
    <t>Adic 01 - Certif. #2</t>
  </si>
  <si>
    <t>CERT-07-05</t>
  </si>
  <si>
    <t>Certif. #7</t>
  </si>
  <si>
    <t>CERT-08-01</t>
  </si>
  <si>
    <t>Certif. # 8 - B65</t>
  </si>
  <si>
    <t>0003-00000802</t>
  </si>
  <si>
    <t>CERT-08-02</t>
  </si>
  <si>
    <t>Certif. # 8 - N35</t>
  </si>
  <si>
    <t>CERT-08-03</t>
  </si>
  <si>
    <t>CERT-08-04</t>
  </si>
  <si>
    <t>CERT-03-06</t>
  </si>
  <si>
    <t>Adic 01 - Certif. #3</t>
  </si>
  <si>
    <t>CERT-08-05</t>
  </si>
  <si>
    <t>Certif. #8</t>
  </si>
  <si>
    <t>CERT-09-01</t>
  </si>
  <si>
    <t>Certif. # 9 - B65</t>
  </si>
  <si>
    <t>0003-00000810</t>
  </si>
  <si>
    <t>CERT-09-02</t>
  </si>
  <si>
    <t>Certif. # 9 - N35</t>
  </si>
  <si>
    <t>CERT-09-03</t>
  </si>
  <si>
    <t>CERT-09-04</t>
  </si>
  <si>
    <t>CERT-04-06</t>
  </si>
  <si>
    <t>Adic 01 - Certif. #4</t>
  </si>
  <si>
    <t>CERT-09-05</t>
  </si>
  <si>
    <t>Certif. #9</t>
  </si>
  <si>
    <t>CERT-00-05</t>
  </si>
  <si>
    <t>Deductivos Pto. 1 (Anticipo Pto. 1)</t>
  </si>
  <si>
    <t>CERT-10-01</t>
  </si>
  <si>
    <t>Certif. # 10 - B60</t>
  </si>
  <si>
    <t>0003-00000832</t>
  </si>
  <si>
    <t>CERT-10-02</t>
  </si>
  <si>
    <t>Certif. # 10 - N40</t>
  </si>
  <si>
    <t>CERT-10-03</t>
  </si>
  <si>
    <t>Certif. #10</t>
  </si>
  <si>
    <t>CERT-11-01</t>
  </si>
  <si>
    <t>Certif. # 11 - B60</t>
  </si>
  <si>
    <t>CERT-11-02</t>
  </si>
  <si>
    <t>Certif. # 11 - N40</t>
  </si>
  <si>
    <t>CERT-11-03</t>
  </si>
  <si>
    <t>Certif. #11</t>
  </si>
  <si>
    <t>CERT-12-01</t>
  </si>
  <si>
    <t>Certif. # 12 - B60</t>
  </si>
  <si>
    <t>CERT-12-02</t>
  </si>
  <si>
    <t>Certif. # 12 - N40</t>
  </si>
  <si>
    <t>CERT-12-03</t>
  </si>
  <si>
    <t>Certif. #12</t>
  </si>
  <si>
    <t>CERT-13-01</t>
  </si>
  <si>
    <t>Certif. # 13 - B60</t>
  </si>
  <si>
    <t>CERT-13-02</t>
  </si>
  <si>
    <t>Certif. # 13 - N40</t>
  </si>
  <si>
    <t>CERT-13-03</t>
  </si>
  <si>
    <t>Certif. #13</t>
  </si>
  <si>
    <t>GDR 3760 — Edificio García del Río 3760</t>
  </si>
  <si>
    <t>▌  AVANCE FINANCIERO</t>
  </si>
  <si>
    <t>Cobrado (acumulado desde Gastos)</t>
  </si>
  <si>
    <t>Facturado pendiente de cobro (Certif.)</t>
  </si>
  <si>
    <t>Certificado pendiente de facturar (Certif.)</t>
  </si>
  <si>
    <t>Presupuesto de venta total</t>
  </si>
  <si>
    <t>100%</t>
  </si>
  <si>
    <t>Saldo total a cobrar</t>
  </si>
  <si>
    <t>Nota: Cobrado se mide desde Gastos. Facturado/Certificado pendientes vienen de 2_Certificaciones.</t>
  </si>
  <si>
    <t>▌  AVANCE PRESUPUESTARIO</t>
  </si>
  <si>
    <t>Gasto deflactado acumulado</t>
  </si>
  <si>
    <t>Gasto real acumulado</t>
  </si>
  <si>
    <t>Saldo presupuestario disponible</t>
  </si>
  <si>
    <t>▌  RENTABILIDAD</t>
  </si>
  <si>
    <t>Margen presupuestado (Venta − Costo)</t>
  </si>
  <si>
    <t>Resultado acumulado actual (Cash Flow)</t>
  </si>
  <si>
    <t>Resultado del mes corriente</t>
  </si>
  <si>
    <t>▌  TOP 3 RUBROS CON MAYOR DESVÍO</t>
  </si>
  <si>
    <t>Desvío $</t>
  </si>
  <si>
    <t>% Desv.</t>
  </si>
  <si>
    <t>▌  SUBCONTRATOS</t>
  </si>
  <si>
    <t>Total comprometido (ppto aprobado)</t>
  </si>
  <si>
    <t>Total base pagado</t>
  </si>
  <si>
    <t>Total CAC pagado</t>
  </si>
  <si>
    <t>Saldo de ppto aprobado</t>
  </si>
  <si>
    <t>Contratos &gt; 80% consumido</t>
  </si>
  <si>
    <t>Esta vista se calcula sola a partir de las hojas 1_, 2_ y 3_. No editar manualmente.</t>
  </si>
  <si>
    <t>Meses con gastos cargados sin marcar cerrado:</t>
  </si>
  <si>
    <t>Control Presupuesto vs Gastos de obra</t>
  </si>
  <si>
    <t>Gastos Obra</t>
  </si>
  <si>
    <t>Presupuestado</t>
  </si>
  <si>
    <t>Acumulado
Descontado</t>
  </si>
  <si>
    <t>Acumulado 
Real</t>
  </si>
  <si>
    <t>Saldo
Disponible</t>
  </si>
  <si>
    <t>%</t>
  </si>
  <si>
    <t>Desvío</t>
  </si>
  <si>
    <t>% Avance s/certif</t>
  </si>
  <si>
    <t>% Sobrante</t>
  </si>
  <si>
    <t>Mantenimiento</t>
  </si>
  <si>
    <t>TOTAL COSTO CONTROLABLE</t>
  </si>
  <si>
    <t>CHECK: Δ Ppto Rubros (Control − 1_Presupuesto)</t>
  </si>
  <si>
    <t>Gtos Directos</t>
  </si>
  <si>
    <t>Jefe de Obra</t>
  </si>
  <si>
    <t>TOTAL Gtos Directos</t>
  </si>
  <si>
    <t>CHECK: Δ Ppto Directos (Control − GGBB)</t>
  </si>
  <si>
    <t>Gtos Indirectos</t>
  </si>
  <si>
    <t xml:space="preserve">Payroll - Socios </t>
  </si>
  <si>
    <t>TOTAL Gtos Indirectos</t>
  </si>
  <si>
    <t>CHECK: Δ Ppto Indirectos (Control − GGBB)</t>
  </si>
  <si>
    <t>▌  AVANCE POR ETAPA</t>
  </si>
  <si>
    <t>Etapa</t>
  </si>
  <si>
    <t>Presupuesto Venta</t>
  </si>
  <si>
    <t>Avance s/certif</t>
  </si>
  <si>
    <t>▌ SANITY CHECKS</t>
  </si>
  <si>
    <t>Costo MT sin rubro (col A vacía con K&gt;0)</t>
  </si>
  <si>
    <t>Costo MO/OTR sin rubro (col C vacía con L&gt;0)</t>
  </si>
  <si>
    <t>Costo MO/ALB sin rubro (col D vacía con M&gt;0)</t>
  </si>
  <si>
    <t>Control Horas Trabajadas vs Horas Presupuestadas</t>
  </si>
  <si>
    <t>Jornales</t>
  </si>
  <si>
    <t>Horas
PPTO</t>
  </si>
  <si>
    <t>Horas
Acumulado</t>
  </si>
  <si>
    <t>Horas
Saldo</t>
  </si>
  <si>
    <t>Horas
Desvío</t>
  </si>
  <si>
    <t>Herrería</t>
  </si>
  <si>
    <t>CASH FLOW — Ingresos vs Egresos por mes (pesos corrientes)</t>
  </si>
  <si>
    <t>Acumulado en pesos corrientes (no deflactado). % Avance basado en certificado para evitar distorsión por inflación. Cobros desde 2_Gastos cuentas "Obra civil Reforma" + "Otros ingresos".</t>
  </si>
  <si>
    <t>Acumulado</t>
  </si>
  <si>
    <t>Ppto Venta</t>
  </si>
  <si>
    <t>Saldo Disp.</t>
  </si>
  <si>
    <t>INGRESOS</t>
  </si>
  <si>
    <t>1. Ingresos</t>
  </si>
  <si>
    <t>2. Ingresos por CAC</t>
  </si>
  <si>
    <t>EGRESOS</t>
  </si>
  <si>
    <t>3. Egresos (Gastos + Quincenas)</t>
  </si>
  <si>
    <t>4. Gastos Directos</t>
  </si>
  <si>
    <t>5. Gastos Indirectos</t>
  </si>
  <si>
    <t>6. Total Egresos (3+4+5)</t>
  </si>
  <si>
    <t>RESULTADO</t>
  </si>
  <si>
    <t>7. Resultado del mes (1−6)</t>
  </si>
  <si>
    <t>8. Resultado acumulado</t>
  </si>
  <si>
    <t>Rubros</t>
  </si>
  <si>
    <t>Tipos</t>
  </si>
  <si>
    <t>Aberturas</t>
  </si>
  <si>
    <t>Termomecánica</t>
  </si>
  <si>
    <t>Gastos en Personal</t>
  </si>
  <si>
    <t>Consumibles y Ferretería</t>
  </si>
  <si>
    <t>Artefactos Sanitarios</t>
  </si>
  <si>
    <t>Instalación Incendio</t>
  </si>
  <si>
    <t>VitroBlock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</si>
</sst>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$&quot;#,##0_);[Red]\(&quot;$&quot;#,##0\)"/>
    <numFmt numFmtId="164" formatCode="dd/mm/yyyy"/>
    <numFmt numFmtId="165" formatCode="_(* #,##0.00_);_(* \(#,##0.00\);_(* \-??_);_(@_)"/>
    <numFmt numFmtId="166" formatCode="_(* #,##0_);_(* \(#,##0\);_(* \-??_);_(@_)"/>
    <numFmt numFmtId="167" formatCode="#,##0;\-#,##0;&quot;OK&quot;"/>
    <numFmt numFmtId="168" formatCode="_-* #,##0.00\ _$_-;\-* #,##0.00\ _$_-;_-* \-??\ _$_-;_-@_-"/>
    <numFmt numFmtId="169" formatCode="_ * #,##0.00_ ;_ * \-#,##0.00_ ;_ * \-??_ ;_ @_ "/>
    <numFmt numFmtId="170" formatCode="_ * #,##0.0_ ;_ * \-#,##0.0_ ;_ * \-??_ ;_ @_ "/>
    <numFmt numFmtId="171" formatCode="_-* #,##0.00\ _€_-;\-* #,##0.00\ _€_-;_-* \-??\ _€_-;_-@_-"/>
    <numFmt numFmtId="172" formatCode="_-* #,##0.00_-;\-* #,##0.00_-;_-* \-??_-;_-@_-"/>
    <numFmt numFmtId="173" formatCode="_-* #,##0_-;\-* #,##0_-;_-* \-??_-;_-@_-"/>
    <numFmt numFmtId="174" formatCode="_(* #,##0.0000_);_(* \(#,##0.0000\);_(* \-??_);_(@_)"/>
    <numFmt numFmtId="175" formatCode="\$#,##0;&quot;($&quot;#,##0\);\-"/>
    <numFmt numFmtId="176" formatCode="0.0000"/>
    <numFmt numFmtId="177" formatCode="#,##0;\-#,##0;;"/>
    <numFmt numFmtId="178" formatCode="0.0%"/>
    <numFmt numFmtId="179" formatCode="0&quot; contratos&quot;"/>
    <numFmt numFmtId="180" formatCode="0&quot; meses&quot;"/>
    <numFmt numFmtId="181" formatCode="yyyy\-mm\-dd"/>
    <numFmt numFmtId="182" formatCode="0.000"/>
    <numFmt numFmtId="183" formatCode="&quot;$&quot;#,##0"/>
    <numFmt numFmtId="184" formatCode="_-* #,##0.00\ _p_t_a_-;\-* #,##0.00\ _p_t_a_-;_-* \-??\ _p_t_a_-;_-@_-"/>
    <numFmt numFmtId="185" formatCode="_-&quot;$ &quot;* #,##0.00_-;&quot;-$ &quot;* #,##0.00_-;_-&quot;$ &quot;* \-??_-;_-@_-"/>
    <numFmt numFmtId="186" formatCode="_ &quot;$ &quot;* #,##0.00_ ;_ &quot;$ &quot;* \-#,##0.00_ ;_ &quot;$ &quot;* \-??_ ;_ @_ "/>
  </numFmts>
  <fonts count="108" x14ac:knownFonts="1">
    <font>
      <sz val="11"/>
      <color theme="1"/>
      <name val="Aptos Narrow"/>
      <family val="2"/>
      <charset val="1"/>
    </font>
    <font>
      <sz val="11"/>
      <color rgb="FF006100"/>
      <name val="Aptos Narrow"/>
      <family val="2"/>
      <charset val="1"/>
    </font>
    <font>
      <sz val="11"/>
      <color rgb="FF9C0006"/>
      <name val="Aptos Narrow"/>
      <family val="2"/>
      <charset val="1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name val="MS Sans Serif"/>
      <charset val="1"/>
    </font>
    <font>
      <sz val="11"/>
      <color theme="1"/>
      <name val="Calibri"/>
      <family val="2"/>
      <charset val="1"/>
    </font>
    <font>
      <sz val="10"/>
      <color rgb="FF000000"/>
      <name val="MS Sans Serif"/>
      <charset val="1"/>
    </font>
    <font>
      <sz val="11"/>
      <color theme="1"/>
      <name val="Arial"/>
      <family val="2"/>
      <charset val="1"/>
    </font>
    <font>
      <b/>
      <sz val="11"/>
      <color theme="1"/>
      <name val="Aptos Narrow"/>
      <family val="2"/>
      <charset val="1"/>
    </font>
    <font>
      <sz val="10"/>
      <color theme="1"/>
      <name val="Aptos Narrow"/>
      <family val="2"/>
      <charset val="1"/>
    </font>
    <font>
      <b/>
      <sz val="10"/>
      <name val="Aptos Narrow"/>
      <family val="2"/>
      <charset val="1"/>
    </font>
    <font>
      <sz val="10"/>
      <name val="Aptos Narrow"/>
      <family val="2"/>
      <charset val="1"/>
    </font>
    <font>
      <i/>
      <sz val="10"/>
      <color rgb="FF606060"/>
      <name val="Aptos Narrow"/>
      <family val="2"/>
      <charset val="1"/>
    </font>
    <font>
      <b/>
      <i/>
      <sz val="10"/>
      <color rgb="FF808080"/>
      <name val="Aptos Narrow"/>
      <family val="2"/>
      <charset val="1"/>
    </font>
    <font>
      <b/>
      <sz val="10"/>
      <color rgb="FF1F3864"/>
      <name val="Aptos Narrow"/>
      <family val="2"/>
      <charset val="1"/>
    </font>
    <font>
      <b/>
      <sz val="10"/>
      <color rgb="FFFFFFFF"/>
      <name val="Aptos Narrow"/>
      <family val="2"/>
      <charset val="1"/>
    </font>
    <font>
      <sz val="10"/>
      <color rgb="FF0000FF"/>
      <name val="Aptos Narrow"/>
      <family val="2"/>
      <charset val="1"/>
    </font>
    <font>
      <i/>
      <sz val="10"/>
      <color rgb="FF0000FF"/>
      <name val="Aptos Narrow"/>
      <family val="2"/>
      <charset val="1"/>
    </font>
    <font>
      <b/>
      <sz val="10"/>
      <color theme="1"/>
      <name val="Aptos Narrow"/>
      <family val="2"/>
      <charset val="1"/>
    </font>
    <font>
      <b/>
      <sz val="10"/>
      <color rgb="FFFFFFFF"/>
      <name val="Calibri"/>
      <family val="2"/>
      <charset val="1"/>
    </font>
    <font>
      <sz val="8"/>
      <color theme="1"/>
      <name val="Aptos Narrow"/>
      <family val="2"/>
      <charset val="1"/>
    </font>
    <font>
      <sz val="8"/>
      <name val="Aptos Narrow"/>
      <family val="2"/>
      <charset val="1"/>
    </font>
    <font>
      <b/>
      <sz val="8"/>
      <name val="Aptos Narrow"/>
      <family val="2"/>
      <charset val="1"/>
    </font>
    <font>
      <b/>
      <sz val="8"/>
      <color theme="1"/>
      <name val="Aptos Narrow"/>
      <family val="2"/>
      <charset val="1"/>
    </font>
    <font>
      <sz val="8"/>
      <color rgb="FFFF0000"/>
      <name val="Aptos Narrow"/>
      <family val="2"/>
      <charset val="1"/>
    </font>
    <font>
      <sz val="8"/>
      <color rgb="FF006100"/>
      <name val="Aptos Narrow"/>
      <family val="2"/>
      <charset val="1"/>
    </font>
    <font>
      <b/>
      <sz val="8"/>
      <color rgb="FFFF0000"/>
      <name val="Aptos Narrow"/>
      <family val="2"/>
      <charset val="1"/>
    </font>
    <font>
      <sz val="8"/>
      <color theme="9"/>
      <name val="Aptos Narrow"/>
      <family val="2"/>
      <charset val="1"/>
    </font>
    <font>
      <sz val="9"/>
      <color theme="1"/>
      <name val="Aptos Narrow"/>
      <family val="2"/>
      <charset val="1"/>
    </font>
    <font>
      <b/>
      <sz val="8"/>
      <color theme="0"/>
      <name val="Aptos Narrow"/>
      <family val="2"/>
      <charset val="1"/>
    </font>
    <font>
      <sz val="9"/>
      <color rgb="FF0000FF"/>
      <name val="Aptos Narrow"/>
      <family val="2"/>
      <charset val="1"/>
    </font>
    <font>
      <sz val="9"/>
      <color rgb="FF00B050"/>
      <name val="Aptos Narrow"/>
      <family val="2"/>
      <charset val="1"/>
    </font>
    <font>
      <b/>
      <sz val="10"/>
      <color theme="0"/>
      <name val="Aptos Narrow"/>
      <family val="2"/>
      <charset val="1"/>
    </font>
    <font>
      <sz val="11"/>
      <color rgb="FF0000FF"/>
      <name val="Aptos Narrow"/>
      <family val="2"/>
      <charset val="1"/>
    </font>
    <font>
      <i/>
      <sz val="10"/>
      <color rgb="FF808080"/>
      <name val="Aptos Narrow"/>
      <family val="2"/>
      <charset val="1"/>
    </font>
    <font>
      <b/>
      <i/>
      <sz val="10"/>
      <color rgb="FF606060"/>
      <name val="Aptos Narrow"/>
      <family val="2"/>
      <charset val="1"/>
    </font>
    <font>
      <b/>
      <i/>
      <sz val="10"/>
      <color rgb="FF8B0000"/>
      <name val="Aptos Narrow"/>
      <family val="2"/>
      <charset val="1"/>
    </font>
    <font>
      <b/>
      <sz val="10"/>
      <color rgb="FF1F4E78"/>
      <name val="Aptos Narrow"/>
      <family val="2"/>
      <charset val="1"/>
    </font>
    <font>
      <b/>
      <sz val="11"/>
      <name val="Calibri"/>
      <family val="2"/>
      <charset val="1"/>
    </font>
    <font>
      <sz val="10"/>
      <name val="Calibri"/>
      <family val="2"/>
      <charset val="1"/>
    </font>
    <font>
      <sz val="11"/>
      <color rgb="FF0000FF"/>
      <name val="Calibri"/>
      <family val="2"/>
      <charset val="1"/>
    </font>
    <font>
      <sz val="11"/>
      <name val="Calibri"/>
      <family val="2"/>
      <charset val="1"/>
    </font>
    <font>
      <b/>
      <sz val="10"/>
      <name val="Calibri"/>
      <family val="2"/>
      <charset val="1"/>
    </font>
    <font>
      <i/>
      <sz val="11"/>
      <color rgb="FF0000FF"/>
      <name val="Calibri"/>
      <family val="2"/>
      <charset val="1"/>
    </font>
    <font>
      <i/>
      <sz val="11"/>
      <name val="Calibri"/>
      <family val="2"/>
      <charset val="1"/>
    </font>
    <font>
      <i/>
      <sz val="11"/>
      <color rgb="FF595959"/>
      <name val="Calibri"/>
      <family val="2"/>
      <charset val="1"/>
    </font>
    <font>
      <b/>
      <sz val="18"/>
      <color rgb="FF00843B"/>
      <name val="Aptos Narrow"/>
      <family val="2"/>
      <charset val="1"/>
    </font>
    <font>
      <i/>
      <sz val="10"/>
      <color rgb="FF595959"/>
      <name val="Aptos Narrow"/>
      <family val="2"/>
      <charset val="1"/>
    </font>
    <font>
      <b/>
      <sz val="12"/>
      <color rgb="FFFFFFFF"/>
      <name val="Aptos Narrow"/>
      <family val="2"/>
      <charset val="1"/>
    </font>
    <font>
      <b/>
      <sz val="10"/>
      <color rgb="FF595959"/>
      <name val="Aptos Narrow"/>
      <family val="2"/>
      <charset val="1"/>
    </font>
    <font>
      <b/>
      <sz val="11"/>
      <color rgb="FF000000"/>
      <name val="Aptos Narrow"/>
      <family val="2"/>
      <charset val="1"/>
    </font>
    <font>
      <b/>
      <sz val="11"/>
      <color rgb="FF00843B"/>
      <name val="Aptos Narrow"/>
      <family val="2"/>
      <charset val="1"/>
    </font>
    <font>
      <sz val="10"/>
      <color rgb="FF595959"/>
      <name val="Aptos Narrow"/>
      <family val="2"/>
      <charset val="1"/>
    </font>
    <font>
      <b/>
      <sz val="11"/>
      <color rgb="FF595959"/>
      <name val="Aptos Narrow"/>
      <family val="2"/>
      <charset val="1"/>
    </font>
    <font>
      <b/>
      <sz val="11"/>
      <color rgb="FF1F4E78"/>
      <name val="Aptos Narrow"/>
      <family val="2"/>
      <charset val="1"/>
    </font>
    <font>
      <i/>
      <sz val="8"/>
      <color rgb="FF808080"/>
      <name val="Aptos Narrow"/>
      <family val="2"/>
      <charset val="1"/>
    </font>
    <font>
      <b/>
      <sz val="9"/>
      <color rgb="FF595959"/>
      <name val="Aptos Narrow"/>
      <family val="2"/>
      <charset val="1"/>
    </font>
    <font>
      <b/>
      <sz val="11"/>
      <color rgb="FFC00000"/>
      <name val="Aptos Narrow"/>
      <family val="2"/>
      <charset val="1"/>
    </font>
    <font>
      <i/>
      <sz val="8"/>
      <color rgb="FF595959"/>
      <name val="Aptos Narrow"/>
      <family val="2"/>
      <charset val="1"/>
    </font>
    <font>
      <i/>
      <sz val="9"/>
      <color rgb="FF606060"/>
      <name val="Aptos Narrow"/>
      <family val="2"/>
      <charset val="1"/>
    </font>
    <font>
      <b/>
      <i/>
      <sz val="9"/>
      <color rgb="FFC00000"/>
      <name val="Aptos Narrow"/>
      <family val="2"/>
      <charset val="1"/>
    </font>
    <font>
      <b/>
      <sz val="10"/>
      <color rgb="FF000000"/>
      <name val="Aptos Narrow"/>
      <family val="2"/>
      <charset val="1"/>
    </font>
    <font>
      <b/>
      <sz val="10"/>
      <color rgb="FF00B050"/>
      <name val="Aptos Narrow"/>
      <family val="2"/>
      <charset val="1"/>
    </font>
    <font>
      <b/>
      <sz val="11"/>
      <color rgb="FFFFFFFF"/>
      <name val="Arial"/>
      <family val="2"/>
      <charset val="1"/>
    </font>
    <font>
      <sz val="11"/>
      <color theme="1"/>
      <name val="Aptos Narrow"/>
      <family val="2"/>
      <charset val="1"/>
    </font>
    <font>
      <b/>
      <sz val="10"/>
      <color rgb="FFFFFFFF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000000"/>
      <name val="Aptos Narrow"/>
      <family val="2"/>
      <scheme val="minor"/>
    </font>
    <font>
      <sz val="9"/>
      <color rgb="FF008000"/>
      <name val="Aptos Narrow"/>
      <family val="2"/>
      <scheme val="minor"/>
    </font>
    <font>
      <sz val="9"/>
      <color rgb="FF0000FF"/>
      <name val="Aptos Narrow"/>
      <family val="2"/>
      <scheme val="minor"/>
    </font>
    <font>
      <b/>
      <sz val="10"/>
      <color rgb="FF0000FF"/>
      <name val="Aptos Narrow"/>
      <family val="2"/>
      <charset val="1"/>
    </font>
    <font>
      <sz val="10"/>
      <color rgb="FF00B050"/>
      <name val="Aptos Narrow"/>
      <family val="2"/>
      <charset val="1"/>
    </font>
    <font>
      <b/>
      <sz val="10"/>
      <name val="Aptos Narrow"/>
      <family val="2"/>
      <charset val="1"/>
      <scheme val="minor"/>
    </font>
    <font>
      <sz val="10"/>
      <color theme="1"/>
      <name val="Aptos Narrow"/>
      <family val="2"/>
      <charset val="1"/>
      <scheme val="minor"/>
    </font>
    <font>
      <i/>
      <sz val="10"/>
      <color rgb="FF808080"/>
      <name val="Aptos Narrow"/>
      <family val="2"/>
      <charset val="1"/>
      <scheme val="minor"/>
    </font>
    <font>
      <b/>
      <sz val="10"/>
      <color rgb="FFFFFFFF"/>
      <name val="Aptos Narrow"/>
      <family val="2"/>
      <charset val="1"/>
      <scheme val="minor"/>
    </font>
    <font>
      <b/>
      <sz val="10"/>
      <color rgb="FF1F3864"/>
      <name val="Aptos Narrow"/>
      <family val="2"/>
      <charset val="1"/>
      <scheme val="minor"/>
    </font>
    <font>
      <sz val="10"/>
      <name val="Aptos Narrow"/>
      <family val="2"/>
      <charset val="1"/>
      <scheme val="minor"/>
    </font>
    <font>
      <sz val="10"/>
      <color rgb="FF7F7F7F"/>
      <name val="Aptos Narrow"/>
      <family val="2"/>
      <charset val="1"/>
      <scheme val="minor"/>
    </font>
    <font>
      <sz val="10"/>
      <color rgb="FF000000"/>
      <name val="Aptos Narrow"/>
      <family val="2"/>
      <charset val="1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8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color rgb="FF000000"/>
      <name val="Aptos Narrow"/>
      <family val="2"/>
      <scheme val="minor"/>
    </font>
    <font>
      <sz val="8"/>
      <color rgb="FF0000FF"/>
      <name val="Aptos Narrow"/>
      <family val="2"/>
      <scheme val="minor"/>
    </font>
    <font>
      <sz val="8"/>
      <color rgb="FF000000"/>
      <name val="Aptos Narrow"/>
      <family val="2"/>
      <scheme val="minor"/>
    </font>
    <font>
      <sz val="8"/>
      <color theme="0"/>
      <name val="Aptos Narrow"/>
      <family val="2"/>
      <scheme val="minor"/>
    </font>
    <font>
      <b/>
      <sz val="8"/>
      <color rgb="FF7030A0"/>
      <name val="Aptos Narrow"/>
      <family val="2"/>
      <scheme val="minor"/>
    </font>
    <font>
      <b/>
      <sz val="10"/>
      <name val="Aptos Narrow"/>
      <family val="2"/>
      <scheme val="minor"/>
    </font>
    <font>
      <i/>
      <sz val="10"/>
      <color rgb="FF606060"/>
      <name val="Aptos Narrow"/>
      <family val="2"/>
      <scheme val="minor"/>
    </font>
    <font>
      <sz val="10"/>
      <color theme="1"/>
      <name val="Aptos Narrow"/>
      <family val="2"/>
      <scheme val="minor"/>
    </font>
    <font>
      <i/>
      <sz val="10"/>
      <color rgb="FF808080"/>
      <name val="Aptos Narrow"/>
      <family val="2"/>
      <scheme val="minor"/>
    </font>
    <font>
      <sz val="10"/>
      <color rgb="FF00B050"/>
      <name val="Aptos Narrow"/>
      <family val="2"/>
      <scheme val="minor"/>
    </font>
    <font>
      <b/>
      <sz val="11"/>
      <color rgb="FFFFFFFF"/>
      <name val="Aptos Narrow"/>
      <family val="2"/>
    </font>
    <font>
      <sz val="10"/>
      <color rgb="FFFF0000"/>
      <name val="Aptos Narrow"/>
      <family val="2"/>
    </font>
    <font>
      <b/>
      <sz val="10"/>
      <color rgb="FFFF0000"/>
      <name val="Aptos Narrow"/>
      <family val="2"/>
    </font>
    <font>
      <b/>
      <sz val="10"/>
      <color theme="1"/>
      <name val="Aptos Narrow"/>
      <family val="2"/>
    </font>
    <font>
      <sz val="10"/>
      <color rgb="FF008000"/>
      <name val="Aptos Narrow"/>
      <family val="2"/>
    </font>
    <font>
      <b/>
      <sz val="10"/>
      <color rgb="FFFF0000"/>
      <name val="Aptos Narrow"/>
      <family val="2"/>
      <charset val="1"/>
    </font>
    <font>
      <sz val="10"/>
      <color rgb="FFFF0000"/>
      <name val="Aptos Narrow"/>
      <family val="2"/>
      <charset val="1"/>
    </font>
    <font>
      <b/>
      <sz val="11"/>
      <color rgb="FFFFFFFF"/>
      <name val="Aptos Narrow"/>
    </font>
    <font>
      <sz val="11"/>
      <color rgb="FF008000"/>
      <name val="Aptos Narrow"/>
    </font>
  </fonts>
  <fills count="40">
    <fill>
      <patternFill patternType="none"/>
    </fill>
    <fill>
      <patternFill patternType="gray125"/>
    </fill>
    <fill>
      <patternFill patternType="solid">
        <fgColor rgb="FFC6EFCE"/>
        <bgColor rgb="FFC2F1C8"/>
      </patternFill>
    </fill>
    <fill>
      <patternFill patternType="solid">
        <fgColor rgb="FFFFC7CE"/>
        <bgColor rgb="FFF4CCCC"/>
      </patternFill>
    </fill>
    <fill>
      <patternFill patternType="solid">
        <fgColor rgb="FFFFF2CC"/>
        <bgColor rgb="FFFFF7CD"/>
      </patternFill>
    </fill>
    <fill>
      <patternFill patternType="solid">
        <fgColor rgb="FFD6E4F0"/>
        <bgColor rgb="FFD9E1F2"/>
      </patternFill>
    </fill>
    <fill>
      <patternFill patternType="solid">
        <fgColor rgb="FF1B2A4A"/>
        <bgColor rgb="FF262626"/>
      </patternFill>
    </fill>
    <fill>
      <patternFill patternType="solid">
        <fgColor theme="4"/>
        <bgColor rgb="FF1F4E78"/>
      </patternFill>
    </fill>
    <fill>
      <patternFill patternType="solid">
        <fgColor theme="6" tint="0.59959715567491678"/>
        <bgColor rgb="FFA6CAEC"/>
      </patternFill>
    </fill>
    <fill>
      <patternFill patternType="solid">
        <fgColor rgb="FFFFFFCC"/>
        <bgColor rgb="FFFFF7CD"/>
      </patternFill>
    </fill>
    <fill>
      <patternFill patternType="solid">
        <fgColor rgb="FFCCFFCC"/>
        <bgColor rgb="FFC2F1C8"/>
      </patternFill>
    </fill>
    <fill>
      <patternFill patternType="solid">
        <fgColor rgb="FFFFFF00"/>
        <bgColor rgb="FFFFC000"/>
      </patternFill>
    </fill>
    <fill>
      <patternFill patternType="solid">
        <fgColor rgb="FF0000FF"/>
        <bgColor rgb="FF0000FF"/>
      </patternFill>
    </fill>
    <fill>
      <patternFill patternType="solid">
        <fgColor theme="0" tint="-0.34998626667073579"/>
        <bgColor rgb="FFBFBFBF"/>
      </patternFill>
    </fill>
    <fill>
      <patternFill patternType="solid">
        <fgColor rgb="FF00B050"/>
        <bgColor rgb="FF00843B"/>
      </patternFill>
    </fill>
    <fill>
      <patternFill patternType="solid">
        <fgColor theme="1"/>
        <bgColor rgb="FF262626"/>
      </patternFill>
    </fill>
    <fill>
      <patternFill patternType="solid">
        <fgColor theme="0" tint="-0.14999847407452621"/>
        <bgColor rgb="FFD9E1F2"/>
      </patternFill>
    </fill>
    <fill>
      <patternFill patternType="solid">
        <fgColor rgb="FF2E75B6"/>
        <bgColor rgb="FF156082"/>
      </patternFill>
    </fill>
    <fill>
      <patternFill patternType="solid">
        <fgColor rgb="FF1F4E78"/>
        <bgColor rgb="FF156082"/>
      </patternFill>
    </fill>
    <fill>
      <patternFill patternType="solid">
        <fgColor rgb="FF00843B"/>
        <bgColor rgb="FF008000"/>
      </patternFill>
    </fill>
    <fill>
      <patternFill patternType="solid">
        <fgColor rgb="FFFFFF99"/>
        <bgColor rgb="FFFFFFCC"/>
      </patternFill>
    </fill>
    <fill>
      <patternFill patternType="solid">
        <fgColor rgb="FFE2EFDA"/>
        <bgColor rgb="FFD9EAD3"/>
      </patternFill>
    </fill>
    <fill>
      <patternFill patternType="solid">
        <fgColor rgb="FF006100"/>
        <bgColor rgb="FF008000"/>
      </patternFill>
    </fill>
    <fill>
      <patternFill patternType="solid">
        <fgColor rgb="FFD9EAD3"/>
        <bgColor rgb="FFE2EFDA"/>
      </patternFill>
    </fill>
    <fill>
      <patternFill patternType="solid">
        <fgColor rgb="FF9E2A2B"/>
        <bgColor rgb="FF9C0006"/>
      </patternFill>
    </fill>
    <fill>
      <patternFill patternType="solid">
        <fgColor rgb="FFF4CCCC"/>
        <bgColor rgb="FFFFC7CE"/>
      </patternFill>
    </fill>
    <fill>
      <patternFill patternType="solid">
        <fgColor rgb="FFD9E1F2"/>
        <bgColor rgb="FFD6E4F0"/>
      </patternFill>
    </fill>
    <fill>
      <patternFill patternType="solid">
        <fgColor theme="0" tint="-4.9989318521683403E-2"/>
        <bgColor rgb="FFEBF5FB"/>
      </patternFill>
    </fill>
    <fill>
      <patternFill patternType="solid">
        <fgColor rgb="FFC00000"/>
        <bgColor rgb="FF9C0006"/>
      </patternFill>
    </fill>
    <fill>
      <patternFill patternType="solid">
        <fgColor rgb="FFFFF7CD"/>
        <bgColor rgb="FFFFF2CC"/>
      </patternFill>
    </fill>
    <fill>
      <patternFill patternType="solid">
        <fgColor rgb="FFFFFFFF"/>
        <bgColor rgb="FFF2F2F2"/>
      </patternFill>
    </fill>
    <fill>
      <patternFill patternType="solid">
        <fgColor theme="6" tint="0.79979857783745845"/>
        <bgColor rgb="FFC6EFCE"/>
      </patternFill>
    </fill>
    <fill>
      <patternFill patternType="solid">
        <fgColor theme="0" tint="-0.249977111117893"/>
        <bgColor rgb="FFCCCCCC"/>
      </patternFill>
    </fill>
    <fill>
      <patternFill patternType="solid">
        <fgColor theme="7" tint="0.79979857783745845"/>
        <bgColor rgb="FFD6E4F0"/>
      </patternFill>
    </fill>
    <fill>
      <patternFill patternType="solid">
        <fgColor theme="0" tint="-4.9989318521683403E-2"/>
        <bgColor rgb="FFD9E1F2"/>
      </patternFill>
    </fill>
    <fill>
      <patternFill patternType="solid">
        <fgColor theme="1" tint="0.34998626667073579"/>
        <bgColor rgb="FF0000FF"/>
      </patternFill>
    </fill>
    <fill>
      <patternFill patternType="solid">
        <fgColor theme="0" tint="-4.9989318521683403E-2"/>
        <bgColor rgb="FFBFBFBF"/>
      </patternFill>
    </fill>
    <fill>
      <patternFill patternType="solid">
        <fgColor rgb="FF1F4E78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1F4E78"/>
      </patternFill>
    </fill>
  </fills>
  <borders count="33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hair">
        <color theme="0" tint="-0.249977111117893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/>
      <bottom style="hair">
        <color theme="0" tint="-0.249977111117893"/>
      </bottom>
      <diagonal/>
    </border>
    <border>
      <left/>
      <right/>
      <top style="hair">
        <color theme="0" tint="-0.249977111117893"/>
      </top>
      <bottom style="hair">
        <color theme="0" tint="-0.249977111117893"/>
      </bottom>
      <diagonal/>
    </border>
    <border>
      <left style="medium">
        <color theme="1" tint="0.14999847407452621"/>
      </left>
      <right/>
      <top style="medium">
        <color theme="1" tint="0.14999847407452621"/>
      </top>
      <bottom style="medium">
        <color theme="1" tint="0.14999847407452621"/>
      </bottom>
      <diagonal/>
    </border>
    <border>
      <left/>
      <right/>
      <top style="medium">
        <color theme="1" tint="0.14999847407452621"/>
      </top>
      <bottom style="medium">
        <color theme="1" tint="0.14999847407452621"/>
      </bottom>
      <diagonal/>
    </border>
  </borders>
  <cellStyleXfs count="124">
    <xf numFmtId="0" fontId="0" fillId="0" borderId="0"/>
    <xf numFmtId="0" fontId="1" fillId="2" borderId="0"/>
    <xf numFmtId="165" fontId="66" fillId="0" borderId="0"/>
    <xf numFmtId="0" fontId="2" fillId="3" borderId="0"/>
    <xf numFmtId="172" fontId="66" fillId="0" borderId="0"/>
    <xf numFmtId="172" fontId="66" fillId="0" borderId="0"/>
    <xf numFmtId="165" fontId="66" fillId="0" borderId="0"/>
    <xf numFmtId="165" fontId="66" fillId="0" borderId="0"/>
    <xf numFmtId="171" fontId="66" fillId="0" borderId="0"/>
    <xf numFmtId="171" fontId="66" fillId="0" borderId="0"/>
    <xf numFmtId="172" fontId="66" fillId="0" borderId="0"/>
    <xf numFmtId="172" fontId="3" fillId="0" borderId="0"/>
    <xf numFmtId="165" fontId="3" fillId="0" borderId="0"/>
    <xf numFmtId="172" fontId="3" fillId="0" borderId="0"/>
    <xf numFmtId="172" fontId="66" fillId="0" borderId="0"/>
    <xf numFmtId="169" fontId="66" fillId="0" borderId="0"/>
    <xf numFmtId="169" fontId="66" fillId="0" borderId="0"/>
    <xf numFmtId="169" fontId="66" fillId="0" borderId="0"/>
    <xf numFmtId="172" fontId="66" fillId="0" borderId="0"/>
    <xf numFmtId="165" fontId="3" fillId="0" borderId="0"/>
    <xf numFmtId="172" fontId="66" fillId="0" borderId="0"/>
    <xf numFmtId="172" fontId="3" fillId="0" borderId="0"/>
    <xf numFmtId="172" fontId="3" fillId="0" borderId="0"/>
    <xf numFmtId="171" fontId="66" fillId="0" borderId="0"/>
    <xf numFmtId="169" fontId="3" fillId="0" borderId="0"/>
    <xf numFmtId="169" fontId="3" fillId="0" borderId="0"/>
    <xf numFmtId="169" fontId="66" fillId="0" borderId="0"/>
    <xf numFmtId="172" fontId="3" fillId="0" borderId="0"/>
    <xf numFmtId="169" fontId="3" fillId="0" borderId="0"/>
    <xf numFmtId="172" fontId="3" fillId="0" borderId="0"/>
    <xf numFmtId="165" fontId="3" fillId="0" borderId="0"/>
    <xf numFmtId="171" fontId="4" fillId="0" borderId="0"/>
    <xf numFmtId="172" fontId="66" fillId="0" borderId="0"/>
    <xf numFmtId="169" fontId="66" fillId="0" borderId="0"/>
    <xf numFmtId="169" fontId="66" fillId="0" borderId="0"/>
    <xf numFmtId="172" fontId="5" fillId="0" borderId="0"/>
    <xf numFmtId="168" fontId="66" fillId="0" borderId="0"/>
    <xf numFmtId="168" fontId="66" fillId="0" borderId="0"/>
    <xf numFmtId="168" fontId="66" fillId="0" borderId="0"/>
    <xf numFmtId="171" fontId="66" fillId="0" borderId="0"/>
    <xf numFmtId="171" fontId="66" fillId="0" borderId="0"/>
    <xf numFmtId="171" fontId="66" fillId="0" borderId="0"/>
    <xf numFmtId="171" fontId="66" fillId="0" borderId="0"/>
    <xf numFmtId="171" fontId="66" fillId="0" borderId="0"/>
    <xf numFmtId="171" fontId="66" fillId="0" borderId="0"/>
    <xf numFmtId="172" fontId="66" fillId="0" borderId="0"/>
    <xf numFmtId="168" fontId="66" fillId="0" borderId="0"/>
    <xf numFmtId="184" fontId="3" fillId="0" borderId="0"/>
    <xf numFmtId="168" fontId="66" fillId="0" borderId="0"/>
    <xf numFmtId="172" fontId="66" fillId="0" borderId="0"/>
    <xf numFmtId="168" fontId="66" fillId="0" borderId="0"/>
    <xf numFmtId="172" fontId="66" fillId="0" borderId="0"/>
    <xf numFmtId="172" fontId="66" fillId="0" borderId="0"/>
    <xf numFmtId="172" fontId="66" fillId="0" borderId="0"/>
    <xf numFmtId="165" fontId="66" fillId="0" borderId="0"/>
    <xf numFmtId="172" fontId="66" fillId="0" borderId="0"/>
    <xf numFmtId="168" fontId="66" fillId="0" borderId="0"/>
    <xf numFmtId="172" fontId="6" fillId="0" borderId="0"/>
    <xf numFmtId="172" fontId="6" fillId="0" borderId="0"/>
    <xf numFmtId="172" fontId="66" fillId="0" borderId="0"/>
    <xf numFmtId="172" fontId="66" fillId="0" borderId="0"/>
    <xf numFmtId="172" fontId="3" fillId="0" borderId="0"/>
    <xf numFmtId="165" fontId="3" fillId="0" borderId="0"/>
    <xf numFmtId="172" fontId="66" fillId="0" borderId="0"/>
    <xf numFmtId="172" fontId="66" fillId="0" borderId="0"/>
    <xf numFmtId="172" fontId="66" fillId="0" borderId="0"/>
    <xf numFmtId="185" fontId="66" fillId="0" borderId="0"/>
    <xf numFmtId="186" fontId="3" fillId="0" borderId="0"/>
    <xf numFmtId="186" fontId="66" fillId="0" borderId="0"/>
    <xf numFmtId="185" fontId="66" fillId="0" borderId="0"/>
    <xf numFmtId="185" fontId="66" fillId="0" borderId="0"/>
    <xf numFmtId="185" fontId="66" fillId="0" borderId="0"/>
    <xf numFmtId="185" fontId="66" fillId="0" borderId="0"/>
    <xf numFmtId="186" fontId="3" fillId="0" borderId="0"/>
    <xf numFmtId="186" fontId="3" fillId="0" borderId="0"/>
    <xf numFmtId="185" fontId="66" fillId="0" borderId="0"/>
    <xf numFmtId="0" fontId="3" fillId="0" borderId="1"/>
    <xf numFmtId="0" fontId="3" fillId="0" borderId="1"/>
    <xf numFmtId="0" fontId="3" fillId="0" borderId="0"/>
    <xf numFmtId="0" fontId="7" fillId="0" borderId="0"/>
    <xf numFmtId="0" fontId="3" fillId="0" borderId="0"/>
    <xf numFmtId="0" fontId="66" fillId="0" borderId="0"/>
    <xf numFmtId="0" fontId="3" fillId="0" borderId="0"/>
    <xf numFmtId="0" fontId="8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" fillId="0" borderId="0"/>
    <xf numFmtId="0" fontId="3" fillId="0" borderId="1"/>
    <xf numFmtId="0" fontId="3" fillId="0" borderId="1"/>
    <xf numFmtId="0" fontId="66" fillId="0" borderId="0"/>
    <xf numFmtId="0" fontId="6" fillId="0" borderId="0"/>
    <xf numFmtId="0" fontId="66" fillId="0" borderId="0"/>
    <xf numFmtId="0" fontId="66" fillId="0" borderId="0"/>
    <xf numFmtId="0" fontId="3" fillId="0" borderId="1"/>
    <xf numFmtId="0" fontId="3" fillId="0" borderId="0"/>
    <xf numFmtId="0" fontId="66" fillId="0" borderId="0"/>
    <xf numFmtId="0" fontId="6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1"/>
    <xf numFmtId="0" fontId="66" fillId="0" borderId="0">
      <alignment horizontal="left"/>
    </xf>
    <xf numFmtId="0" fontId="66" fillId="0" borderId="0"/>
    <xf numFmtId="0" fontId="66" fillId="0" borderId="0"/>
    <xf numFmtId="0" fontId="10" fillId="0" borderId="0"/>
    <xf numFmtId="0" fontId="10" fillId="0" borderId="0">
      <alignment horizontal="left"/>
    </xf>
    <xf numFmtId="0" fontId="66" fillId="0" borderId="0"/>
    <xf numFmtId="9" fontId="3" fillId="0" borderId="0"/>
    <xf numFmtId="9" fontId="3" fillId="0" borderId="0"/>
    <xf numFmtId="9" fontId="5" fillId="0" borderId="0"/>
    <xf numFmtId="9" fontId="3" fillId="0" borderId="0"/>
    <xf numFmtId="9" fontId="66" fillId="0" borderId="0"/>
    <xf numFmtId="9" fontId="66" fillId="0" borderId="0"/>
    <xf numFmtId="9" fontId="66" fillId="0" borderId="0"/>
    <xf numFmtId="9" fontId="3" fillId="0" borderId="0"/>
  </cellStyleXfs>
  <cellXfs count="581">
    <xf numFmtId="0" fontId="0" fillId="0" borderId="0" xfId="0"/>
    <xf numFmtId="0" fontId="36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164" fontId="13" fillId="4" borderId="0" xfId="0" applyNumberFormat="1" applyFont="1" applyFill="1"/>
    <xf numFmtId="0" fontId="14" fillId="0" borderId="0" xfId="0" applyFont="1"/>
    <xf numFmtId="1" fontId="13" fillId="4" borderId="0" xfId="0" applyNumberFormat="1" applyFont="1" applyFill="1"/>
    <xf numFmtId="0" fontId="15" fillId="0" borderId="0" xfId="0" applyFont="1"/>
    <xf numFmtId="14" fontId="13" fillId="0" borderId="0" xfId="0" applyNumberFormat="1" applyFont="1"/>
    <xf numFmtId="4" fontId="13" fillId="0" borderId="0" xfId="0" applyNumberFormat="1" applyFont="1"/>
    <xf numFmtId="165" fontId="13" fillId="0" borderId="0" xfId="0" applyNumberFormat="1" applyFont="1"/>
    <xf numFmtId="166" fontId="13" fillId="0" borderId="0" xfId="0" applyNumberFormat="1" applyFont="1"/>
    <xf numFmtId="3" fontId="13" fillId="0" borderId="0" xfId="0" applyNumberFormat="1" applyFont="1"/>
    <xf numFmtId="3" fontId="13" fillId="4" borderId="0" xfId="0" applyNumberFormat="1" applyFont="1" applyFill="1"/>
    <xf numFmtId="167" fontId="12" fillId="0" borderId="0" xfId="0" applyNumberFormat="1" applyFont="1"/>
    <xf numFmtId="0" fontId="16" fillId="5" borderId="0" xfId="0" applyFont="1" applyFill="1" applyAlignment="1">
      <alignment vertical="center"/>
    </xf>
    <xf numFmtId="0" fontId="11" fillId="0" borderId="0" xfId="0" applyFont="1" applyAlignment="1">
      <alignment horizontal="center"/>
    </xf>
    <xf numFmtId="9" fontId="11" fillId="0" borderId="0" xfId="0" applyNumberFormat="1" applyFont="1" applyAlignment="1">
      <alignment horizontal="center" vertical="center" wrapText="1"/>
    </xf>
    <xf numFmtId="0" fontId="22" fillId="0" borderId="0" xfId="0" applyFont="1"/>
    <xf numFmtId="3" fontId="23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168" fontId="23" fillId="0" borderId="0" xfId="0" applyNumberFormat="1" applyFont="1" applyAlignment="1">
      <alignment horizontal="right" vertical="center" wrapText="1"/>
    </xf>
    <xf numFmtId="166" fontId="23" fillId="0" borderId="0" xfId="0" applyNumberFormat="1" applyFont="1" applyAlignment="1">
      <alignment horizontal="center" vertical="center" wrapText="1"/>
    </xf>
    <xf numFmtId="169" fontId="23" fillId="0" borderId="0" xfId="0" applyNumberFormat="1" applyFont="1" applyAlignment="1">
      <alignment horizontal="center" vertical="center" wrapText="1"/>
    </xf>
    <xf numFmtId="14" fontId="24" fillId="0" borderId="0" xfId="0" applyNumberFormat="1" applyFont="1" applyAlignment="1">
      <alignment horizontal="center" wrapText="1"/>
    </xf>
    <xf numFmtId="170" fontId="23" fillId="0" borderId="0" xfId="0" applyNumberFormat="1" applyFont="1" applyAlignment="1">
      <alignment horizontal="center" vertical="center" wrapText="1"/>
    </xf>
    <xf numFmtId="170" fontId="24" fillId="0" borderId="0" xfId="0" applyNumberFormat="1" applyFont="1" applyAlignment="1">
      <alignment wrapText="1"/>
    </xf>
    <xf numFmtId="169" fontId="24" fillId="0" borderId="0" xfId="0" applyNumberFormat="1" applyFont="1" applyAlignment="1">
      <alignment horizontal="center" vertical="center" wrapText="1"/>
    </xf>
    <xf numFmtId="169" fontId="23" fillId="0" borderId="0" xfId="0" applyNumberFormat="1" applyFont="1" applyAlignment="1">
      <alignment vertical="center" wrapText="1"/>
    </xf>
    <xf numFmtId="14" fontId="24" fillId="0" borderId="0" xfId="0" applyNumberFormat="1" applyFont="1" applyAlignment="1">
      <alignment vertical="center" wrapText="1"/>
    </xf>
    <xf numFmtId="14" fontId="23" fillId="0" borderId="0" xfId="0" applyNumberFormat="1" applyFont="1" applyAlignment="1">
      <alignment vertical="center" wrapText="1"/>
    </xf>
    <xf numFmtId="171" fontId="23" fillId="0" borderId="3" xfId="0" applyNumberFormat="1" applyFont="1" applyBorder="1" applyAlignment="1">
      <alignment vertical="center" wrapText="1"/>
    </xf>
    <xf numFmtId="0" fontId="24" fillId="0" borderId="0" xfId="0" applyFont="1" applyAlignment="1">
      <alignment horizontal="left" vertical="center"/>
    </xf>
    <xf numFmtId="166" fontId="24" fillId="0" borderId="4" xfId="0" applyNumberFormat="1" applyFont="1" applyBorder="1" applyAlignment="1">
      <alignment horizontal="center" vertical="center" wrapText="1"/>
    </xf>
    <xf numFmtId="170" fontId="24" fillId="0" borderId="4" xfId="0" applyNumberFormat="1" applyFont="1" applyBorder="1" applyAlignment="1">
      <alignment horizontal="center" vertical="center" wrapText="1"/>
    </xf>
    <xf numFmtId="170" fontId="24" fillId="0" borderId="4" xfId="0" applyNumberFormat="1" applyFont="1" applyBorder="1" applyAlignment="1">
      <alignment horizontal="center" wrapText="1"/>
    </xf>
    <xf numFmtId="169" fontId="24" fillId="0" borderId="0" xfId="0" applyNumberFormat="1" applyFont="1" applyAlignment="1">
      <alignment vertical="center" wrapText="1"/>
    </xf>
    <xf numFmtId="170" fontId="24" fillId="0" borderId="0" xfId="0" applyNumberFormat="1" applyFont="1" applyAlignment="1">
      <alignment horizontal="center" wrapText="1"/>
    </xf>
    <xf numFmtId="170" fontId="24" fillId="0" borderId="0" xfId="0" applyNumberFormat="1" applyFont="1" applyAlignment="1">
      <alignment vertical="center" wrapText="1"/>
    </xf>
    <xf numFmtId="170" fontId="23" fillId="0" borderId="0" xfId="0" applyNumberFormat="1" applyFont="1" applyAlignment="1">
      <alignment vertical="center" wrapText="1"/>
    </xf>
    <xf numFmtId="0" fontId="24" fillId="8" borderId="4" xfId="0" applyFont="1" applyFill="1" applyBorder="1" applyAlignment="1">
      <alignment horizontal="center" vertical="center" wrapText="1"/>
    </xf>
    <xf numFmtId="166" fontId="24" fillId="9" borderId="4" xfId="0" applyNumberFormat="1" applyFont="1" applyFill="1" applyBorder="1" applyAlignment="1">
      <alignment horizontal="center" wrapText="1"/>
    </xf>
    <xf numFmtId="165" fontId="24" fillId="10" borderId="4" xfId="0" applyNumberFormat="1" applyFont="1" applyFill="1" applyBorder="1" applyAlignment="1">
      <alignment horizontal="center" wrapText="1"/>
    </xf>
    <xf numFmtId="169" fontId="24" fillId="0" borderId="0" xfId="0" applyNumberFormat="1" applyFont="1" applyAlignment="1">
      <alignment horizontal="center" wrapText="1"/>
    </xf>
    <xf numFmtId="165" fontId="22" fillId="0" borderId="5" xfId="0" applyNumberFormat="1" applyFont="1" applyBorder="1" applyAlignment="1">
      <alignment horizontal="left" vertical="center"/>
    </xf>
    <xf numFmtId="165" fontId="22" fillId="0" borderId="5" xfId="0" applyNumberFormat="1" applyFont="1" applyBorder="1"/>
    <xf numFmtId="170" fontId="24" fillId="0" borderId="0" xfId="0" applyNumberFormat="1" applyFont="1" applyAlignment="1">
      <alignment horizontal="center" vertical="center" wrapText="1"/>
    </xf>
    <xf numFmtId="169" fontId="24" fillId="0" borderId="0" xfId="0" applyNumberFormat="1" applyFont="1" applyAlignment="1">
      <alignment wrapText="1"/>
    </xf>
    <xf numFmtId="171" fontId="23" fillId="0" borderId="0" xfId="0" applyNumberFormat="1" applyFont="1" applyAlignment="1">
      <alignment horizontal="left" vertical="center"/>
    </xf>
    <xf numFmtId="165" fontId="22" fillId="0" borderId="0" xfId="0" applyNumberFormat="1" applyFont="1"/>
    <xf numFmtId="0" fontId="23" fillId="0" borderId="0" xfId="0" applyFont="1" applyAlignment="1">
      <alignment vertical="center" wrapText="1"/>
    </xf>
    <xf numFmtId="0" fontId="23" fillId="0" borderId="6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165" fontId="22" fillId="0" borderId="3" xfId="0" applyNumberFormat="1" applyFont="1" applyBorder="1" applyAlignment="1">
      <alignment horizontal="left" vertical="center"/>
    </xf>
    <xf numFmtId="165" fontId="22" fillId="0" borderId="3" xfId="0" applyNumberFormat="1" applyFont="1" applyBorder="1"/>
    <xf numFmtId="171" fontId="23" fillId="0" borderId="0" xfId="0" applyNumberFormat="1" applyFont="1"/>
    <xf numFmtId="165" fontId="22" fillId="0" borderId="0" xfId="0" applyNumberFormat="1" applyFont="1" applyAlignment="1">
      <alignment horizontal="center" vertical="center"/>
    </xf>
    <xf numFmtId="0" fontId="25" fillId="0" borderId="4" xfId="0" applyFont="1" applyBorder="1" applyAlignment="1">
      <alignment horizontal="left"/>
    </xf>
    <xf numFmtId="0" fontId="25" fillId="0" borderId="4" xfId="0" applyFont="1" applyBorder="1" applyAlignment="1">
      <alignment horizontal="center"/>
    </xf>
    <xf numFmtId="171" fontId="24" fillId="0" borderId="4" xfId="0" applyNumberFormat="1" applyFont="1" applyBorder="1" applyAlignment="1">
      <alignment horizontal="center"/>
    </xf>
    <xf numFmtId="166" fontId="24" fillId="0" borderId="4" xfId="0" applyNumberFormat="1" applyFont="1" applyBorder="1" applyAlignment="1">
      <alignment horizontal="center"/>
    </xf>
    <xf numFmtId="165" fontId="25" fillId="0" borderId="0" xfId="0" applyNumberFormat="1" applyFont="1"/>
    <xf numFmtId="165" fontId="23" fillId="0" borderId="0" xfId="0" applyNumberFormat="1" applyFont="1"/>
    <xf numFmtId="165" fontId="23" fillId="0" borderId="3" xfId="0" applyNumberFormat="1" applyFont="1" applyBorder="1" applyAlignment="1">
      <alignment horizontal="left" vertical="center"/>
    </xf>
    <xf numFmtId="171" fontId="23" fillId="0" borderId="0" xfId="0" applyNumberFormat="1" applyFont="1" applyAlignment="1">
      <alignment horizontal="center" vertical="center"/>
    </xf>
    <xf numFmtId="0" fontId="22" fillId="0" borderId="8" xfId="0" applyFont="1" applyBorder="1" applyAlignment="1">
      <alignment horizontal="left"/>
    </xf>
    <xf numFmtId="0" fontId="22" fillId="0" borderId="8" xfId="0" applyFont="1" applyBorder="1"/>
    <xf numFmtId="39" fontId="23" fillId="0" borderId="8" xfId="0" applyNumberFormat="1" applyFont="1" applyBorder="1"/>
    <xf numFmtId="166" fontId="23" fillId="0" borderId="3" xfId="0" applyNumberFormat="1" applyFont="1" applyBorder="1"/>
    <xf numFmtId="166" fontId="23" fillId="0" borderId="8" xfId="0" applyNumberFormat="1" applyFont="1" applyBorder="1"/>
    <xf numFmtId="165" fontId="26" fillId="0" borderId="0" xfId="0" applyNumberFormat="1" applyFont="1"/>
    <xf numFmtId="0" fontId="22" fillId="0" borderId="3" xfId="0" applyFont="1" applyBorder="1" applyAlignment="1">
      <alignment horizontal="left"/>
    </xf>
    <xf numFmtId="0" fontId="22" fillId="0" borderId="3" xfId="0" applyFont="1" applyBorder="1"/>
    <xf numFmtId="39" fontId="23" fillId="0" borderId="3" xfId="0" applyNumberFormat="1" applyFont="1" applyBorder="1"/>
    <xf numFmtId="0" fontId="25" fillId="0" borderId="9" xfId="0" applyFont="1" applyBorder="1" applyAlignment="1">
      <alignment horizontal="left"/>
    </xf>
    <xf numFmtId="0" fontId="22" fillId="0" borderId="10" xfId="0" applyFont="1" applyBorder="1"/>
    <xf numFmtId="171" fontId="22" fillId="0" borderId="10" xfId="0" applyNumberFormat="1" applyFont="1" applyBorder="1"/>
    <xf numFmtId="166" fontId="22" fillId="0" borderId="10" xfId="0" applyNumberFormat="1" applyFont="1" applyBorder="1"/>
    <xf numFmtId="166" fontId="22" fillId="0" borderId="11" xfId="0" applyNumberFormat="1" applyFont="1" applyBorder="1"/>
    <xf numFmtId="165" fontId="24" fillId="0" borderId="0" xfId="0" applyNumberFormat="1" applyFont="1"/>
    <xf numFmtId="0" fontId="22" fillId="0" borderId="5" xfId="0" applyFont="1" applyBorder="1" applyAlignment="1">
      <alignment horizontal="left"/>
    </xf>
    <xf numFmtId="0" fontId="22" fillId="0" borderId="5" xfId="0" applyFont="1" applyBorder="1"/>
    <xf numFmtId="39" fontId="23" fillId="0" borderId="5" xfId="0" applyNumberFormat="1" applyFont="1" applyBorder="1"/>
    <xf numFmtId="166" fontId="23" fillId="0" borderId="5" xfId="0" applyNumberFormat="1" applyFont="1" applyBorder="1"/>
    <xf numFmtId="39" fontId="24" fillId="11" borderId="3" xfId="0" applyNumberFormat="1" applyFont="1" applyFill="1" applyBorder="1"/>
    <xf numFmtId="166" fontId="24" fillId="11" borderId="3" xfId="0" applyNumberFormat="1" applyFont="1" applyFill="1" applyBorder="1"/>
    <xf numFmtId="165" fontId="23" fillId="0" borderId="3" xfId="0" applyNumberFormat="1" applyFont="1" applyBorder="1"/>
    <xf numFmtId="165" fontId="22" fillId="0" borderId="12" xfId="0" applyNumberFormat="1" applyFont="1" applyBorder="1" applyAlignment="1">
      <alignment horizontal="left" vertical="center"/>
    </xf>
    <xf numFmtId="165" fontId="23" fillId="0" borderId="12" xfId="0" applyNumberFormat="1" applyFont="1" applyBorder="1"/>
    <xf numFmtId="165" fontId="25" fillId="0" borderId="4" xfId="0" applyNumberFormat="1" applyFont="1" applyBorder="1"/>
    <xf numFmtId="39" fontId="23" fillId="0" borderId="10" xfId="0" applyNumberFormat="1" applyFont="1" applyBorder="1"/>
    <xf numFmtId="166" fontId="23" fillId="0" borderId="10" xfId="0" applyNumberFormat="1" applyFont="1" applyBorder="1"/>
    <xf numFmtId="166" fontId="23" fillId="0" borderId="11" xfId="0" applyNumberFormat="1" applyFont="1" applyBorder="1"/>
    <xf numFmtId="171" fontId="23" fillId="0" borderId="3" xfId="0" applyNumberFormat="1" applyFont="1" applyBorder="1"/>
    <xf numFmtId="39" fontId="23" fillId="11" borderId="3" xfId="0" applyNumberFormat="1" applyFont="1" applyFill="1" applyBorder="1"/>
    <xf numFmtId="171" fontId="24" fillId="0" borderId="0" xfId="0" applyNumberFormat="1" applyFont="1"/>
    <xf numFmtId="0" fontId="22" fillId="0" borderId="12" xfId="0" applyFont="1" applyBorder="1" applyAlignment="1">
      <alignment horizontal="left"/>
    </xf>
    <xf numFmtId="0" fontId="22" fillId="0" borderId="12" xfId="0" applyFont="1" applyBorder="1"/>
    <xf numFmtId="39" fontId="23" fillId="0" borderId="12" xfId="0" applyNumberFormat="1" applyFont="1" applyBorder="1"/>
    <xf numFmtId="166" fontId="23" fillId="0" borderId="12" xfId="0" applyNumberFormat="1" applyFont="1" applyBorder="1"/>
    <xf numFmtId="0" fontId="22" fillId="0" borderId="8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11" borderId="3" xfId="0" applyFont="1" applyFill="1" applyBorder="1" applyAlignment="1">
      <alignment horizontal="left"/>
    </xf>
    <xf numFmtId="166" fontId="26" fillId="11" borderId="3" xfId="0" applyNumberFormat="1" applyFont="1" applyFill="1" applyBorder="1"/>
    <xf numFmtId="0" fontId="22" fillId="0" borderId="0" xfId="0" applyFont="1" applyAlignment="1">
      <alignment horizontal="left"/>
    </xf>
    <xf numFmtId="39" fontId="23" fillId="0" borderId="0" xfId="0" applyNumberFormat="1" applyFont="1"/>
    <xf numFmtId="166" fontId="23" fillId="0" borderId="0" xfId="0" applyNumberFormat="1" applyFont="1"/>
    <xf numFmtId="172" fontId="25" fillId="0" borderId="0" xfId="0" applyNumberFormat="1" applyFont="1"/>
    <xf numFmtId="0" fontId="22" fillId="0" borderId="0" xfId="0" applyFont="1" applyAlignment="1">
      <alignment horizontal="center" vertical="center"/>
    </xf>
    <xf numFmtId="171" fontId="22" fillId="0" borderId="0" xfId="0" applyNumberFormat="1" applyFont="1"/>
    <xf numFmtId="39" fontId="22" fillId="0" borderId="0" xfId="0" applyNumberFormat="1" applyFont="1"/>
    <xf numFmtId="166" fontId="22" fillId="0" borderId="0" xfId="0" applyNumberFormat="1" applyFont="1"/>
    <xf numFmtId="165" fontId="27" fillId="0" borderId="0" xfId="0" applyNumberFormat="1" applyFont="1"/>
    <xf numFmtId="10" fontId="25" fillId="0" borderId="0" xfId="0" applyNumberFormat="1" applyFont="1"/>
    <xf numFmtId="10" fontId="22" fillId="0" borderId="0" xfId="0" applyNumberFormat="1" applyFont="1"/>
    <xf numFmtId="0" fontId="28" fillId="0" borderId="9" xfId="0" applyFont="1" applyBorder="1" applyAlignment="1">
      <alignment horizontal="right"/>
    </xf>
    <xf numFmtId="0" fontId="22" fillId="0" borderId="10" xfId="0" applyFont="1" applyBorder="1" applyAlignment="1">
      <alignment horizontal="left"/>
    </xf>
    <xf numFmtId="165" fontId="25" fillId="0" borderId="10" xfId="0" applyNumberFormat="1" applyFont="1" applyBorder="1"/>
    <xf numFmtId="165" fontId="27" fillId="0" borderId="11" xfId="0" applyNumberFormat="1" applyFont="1" applyBorder="1"/>
    <xf numFmtId="0" fontId="28" fillId="0" borderId="0" xfId="0" applyFont="1" applyAlignment="1">
      <alignment horizontal="right"/>
    </xf>
    <xf numFmtId="9" fontId="25" fillId="0" borderId="0" xfId="0" applyNumberFormat="1" applyFont="1"/>
    <xf numFmtId="9" fontId="22" fillId="0" borderId="0" xfId="0" applyNumberFormat="1" applyFont="1"/>
    <xf numFmtId="165" fontId="22" fillId="11" borderId="0" xfId="0" applyNumberFormat="1" applyFont="1" applyFill="1"/>
    <xf numFmtId="0" fontId="22" fillId="0" borderId="0" xfId="0" applyFont="1" applyAlignment="1">
      <alignment horizontal="right"/>
    </xf>
    <xf numFmtId="165" fontId="22" fillId="0" borderId="10" xfId="0" applyNumberFormat="1" applyFont="1" applyBorder="1"/>
    <xf numFmtId="165" fontId="22" fillId="0" borderId="11" xfId="0" applyNumberFormat="1" applyFont="1" applyBorder="1"/>
    <xf numFmtId="165" fontId="29" fillId="0" borderId="0" xfId="0" applyNumberFormat="1" applyFont="1"/>
    <xf numFmtId="173" fontId="22" fillId="0" borderId="0" xfId="0" applyNumberFormat="1" applyFont="1" applyAlignment="1">
      <alignment horizontal="right"/>
    </xf>
    <xf numFmtId="174" fontId="23" fillId="0" borderId="0" xfId="0" applyNumberFormat="1" applyFont="1"/>
    <xf numFmtId="0" fontId="25" fillId="0" borderId="0" xfId="0" applyFont="1"/>
    <xf numFmtId="171" fontId="23" fillId="0" borderId="0" xfId="0" applyNumberFormat="1" applyFont="1" applyAlignment="1">
      <alignment horizontal="right"/>
    </xf>
    <xf numFmtId="173" fontId="23" fillId="0" borderId="0" xfId="0" applyNumberFormat="1" applyFont="1" applyAlignment="1">
      <alignment horizontal="right"/>
    </xf>
    <xf numFmtId="165" fontId="23" fillId="0" borderId="0" xfId="0" applyNumberFormat="1" applyFont="1" applyAlignment="1">
      <alignment horizontal="right"/>
    </xf>
    <xf numFmtId="171" fontId="23" fillId="0" borderId="0" xfId="0" applyNumberFormat="1" applyFont="1" applyAlignment="1">
      <alignment horizontal="left"/>
    </xf>
    <xf numFmtId="0" fontId="30" fillId="0" borderId="0" xfId="0" applyFont="1"/>
    <xf numFmtId="0" fontId="30" fillId="0" borderId="0" xfId="0" applyFont="1" applyAlignment="1">
      <alignment horizontal="center"/>
    </xf>
    <xf numFmtId="173" fontId="30" fillId="0" borderId="0" xfId="0" applyNumberFormat="1" applyFont="1"/>
    <xf numFmtId="0" fontId="31" fillId="14" borderId="0" xfId="0" applyFont="1" applyFill="1" applyAlignment="1">
      <alignment horizontal="center" vertical="center" wrapText="1"/>
    </xf>
    <xf numFmtId="0" fontId="32" fillId="0" borderId="0" xfId="0" applyFont="1"/>
    <xf numFmtId="14" fontId="30" fillId="0" borderId="0" xfId="0" applyNumberFormat="1" applyFont="1" applyAlignment="1">
      <alignment horizontal="center"/>
    </xf>
    <xf numFmtId="173" fontId="33" fillId="0" borderId="0" xfId="0" applyNumberFormat="1" applyFont="1"/>
    <xf numFmtId="164" fontId="30" fillId="0" borderId="0" xfId="0" applyNumberFormat="1" applyFont="1" applyAlignment="1">
      <alignment horizontal="center"/>
    </xf>
    <xf numFmtId="49" fontId="11" fillId="0" borderId="0" xfId="0" applyNumberFormat="1" applyFont="1"/>
    <xf numFmtId="0" fontId="17" fillId="0" borderId="0" xfId="0" applyFont="1"/>
    <xf numFmtId="0" fontId="34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4" fontId="18" fillId="16" borderId="13" xfId="0" applyNumberFormat="1" applyFont="1" applyFill="1" applyBorder="1" applyAlignment="1">
      <alignment horizontal="center"/>
    </xf>
    <xf numFmtId="0" fontId="18" fillId="16" borderId="13" xfId="0" applyFont="1" applyFill="1" applyBorder="1" applyAlignment="1">
      <alignment horizontal="center"/>
    </xf>
    <xf numFmtId="0" fontId="18" fillId="16" borderId="13" xfId="0" applyFont="1" applyFill="1" applyBorder="1"/>
    <xf numFmtId="49" fontId="18" fillId="16" borderId="13" xfId="0" applyNumberFormat="1" applyFont="1" applyFill="1" applyBorder="1"/>
    <xf numFmtId="2" fontId="20" fillId="16" borderId="13" xfId="0" applyNumberFormat="1" applyFont="1" applyFill="1" applyBorder="1"/>
    <xf numFmtId="2" fontId="18" fillId="16" borderId="13" xfId="0" applyNumberFormat="1" applyFont="1" applyFill="1" applyBorder="1"/>
    <xf numFmtId="2" fontId="11" fillId="0" borderId="0" xfId="0" applyNumberFormat="1" applyFont="1"/>
    <xf numFmtId="175" fontId="11" fillId="0" borderId="0" xfId="0" applyNumberFormat="1" applyFont="1" applyAlignment="1">
      <alignment horizontal="center"/>
    </xf>
    <xf numFmtId="175" fontId="11" fillId="0" borderId="0" xfId="0" applyNumberFormat="1" applyFont="1"/>
    <xf numFmtId="175" fontId="20" fillId="0" borderId="0" xfId="0" applyNumberFormat="1" applyFont="1"/>
    <xf numFmtId="1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/>
    <xf numFmtId="49" fontId="18" fillId="0" borderId="0" xfId="0" applyNumberFormat="1" applyFont="1"/>
    <xf numFmtId="2" fontId="20" fillId="0" borderId="0" xfId="0" applyNumberFormat="1" applyFont="1"/>
    <xf numFmtId="2" fontId="18" fillId="0" borderId="0" xfId="0" applyNumberFormat="1" applyFont="1"/>
    <xf numFmtId="14" fontId="18" fillId="16" borderId="0" xfId="0" applyNumberFormat="1" applyFont="1" applyFill="1" applyAlignment="1">
      <alignment horizontal="center"/>
    </xf>
    <xf numFmtId="0" fontId="18" fillId="16" borderId="0" xfId="0" applyFont="1" applyFill="1" applyAlignment="1">
      <alignment horizontal="center"/>
    </xf>
    <xf numFmtId="0" fontId="18" fillId="16" borderId="0" xfId="0" applyFont="1" applyFill="1"/>
    <xf numFmtId="49" fontId="18" fillId="16" borderId="0" xfId="0" applyNumberFormat="1" applyFont="1" applyFill="1"/>
    <xf numFmtId="2" fontId="20" fillId="16" borderId="0" xfId="0" applyNumberFormat="1" applyFont="1" applyFill="1"/>
    <xf numFmtId="2" fontId="18" fillId="16" borderId="0" xfId="0" applyNumberFormat="1" applyFont="1" applyFill="1"/>
    <xf numFmtId="2" fontId="11" fillId="16" borderId="0" xfId="0" applyNumberFormat="1" applyFont="1" applyFill="1"/>
    <xf numFmtId="0" fontId="17" fillId="18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7" fillId="18" borderId="0" xfId="0" applyFont="1" applyFill="1" applyAlignment="1">
      <alignment horizontal="center" vertical="center"/>
    </xf>
    <xf numFmtId="17" fontId="17" fillId="18" borderId="0" xfId="0" applyNumberFormat="1" applyFont="1" applyFill="1" applyAlignment="1">
      <alignment horizontal="center" vertical="center"/>
    </xf>
    <xf numFmtId="0" fontId="37" fillId="0" borderId="0" xfId="0" applyFont="1" applyAlignment="1">
      <alignment horizontal="right"/>
    </xf>
    <xf numFmtId="176" fontId="36" fillId="0" borderId="0" xfId="0" applyNumberFormat="1" applyFont="1" applyAlignment="1">
      <alignment horizontal="center"/>
    </xf>
    <xf numFmtId="0" fontId="38" fillId="0" borderId="0" xfId="0" applyFont="1" applyAlignment="1">
      <alignment horizontal="right"/>
    </xf>
    <xf numFmtId="0" fontId="39" fillId="4" borderId="0" xfId="0" applyFont="1" applyFill="1" applyAlignment="1">
      <alignment horizontal="center"/>
    </xf>
    <xf numFmtId="0" fontId="17" fillId="22" borderId="0" xfId="0" applyFont="1" applyFill="1"/>
    <xf numFmtId="177" fontId="13" fillId="0" borderId="0" xfId="0" applyNumberFormat="1" applyFont="1"/>
    <xf numFmtId="3" fontId="12" fillId="0" borderId="0" xfId="0" applyNumberFormat="1" applyFont="1"/>
    <xf numFmtId="0" fontId="12" fillId="23" borderId="0" xfId="0" applyFont="1" applyFill="1"/>
    <xf numFmtId="177" fontId="12" fillId="23" borderId="0" xfId="0" applyNumberFormat="1" applyFont="1" applyFill="1"/>
    <xf numFmtId="3" fontId="12" fillId="23" borderId="0" xfId="0" applyNumberFormat="1" applyFont="1" applyFill="1"/>
    <xf numFmtId="0" fontId="17" fillId="24" borderId="0" xfId="0" applyFont="1" applyFill="1"/>
    <xf numFmtId="0" fontId="12" fillId="25" borderId="0" xfId="0" applyFont="1" applyFill="1"/>
    <xf numFmtId="177" fontId="12" fillId="25" borderId="0" xfId="0" applyNumberFormat="1" applyFont="1" applyFill="1"/>
    <xf numFmtId="3" fontId="12" fillId="25" borderId="0" xfId="0" applyNumberFormat="1" applyFont="1" applyFill="1"/>
    <xf numFmtId="0" fontId="36" fillId="0" borderId="0" xfId="0" applyFont="1" applyAlignment="1">
      <alignment horizontal="center" wrapText="1"/>
    </xf>
    <xf numFmtId="0" fontId="40" fillId="0" borderId="0" xfId="0" applyFont="1" applyAlignment="1">
      <alignment horizontal="left" vertical="center"/>
    </xf>
    <xf numFmtId="0" fontId="41" fillId="0" borderId="0" xfId="0" applyFont="1"/>
    <xf numFmtId="0" fontId="42" fillId="4" borderId="0" xfId="0" applyFont="1" applyFill="1" applyAlignment="1">
      <alignment vertical="center"/>
    </xf>
    <xf numFmtId="164" fontId="42" fillId="4" borderId="0" xfId="0" applyNumberFormat="1" applyFont="1" applyFill="1" applyAlignment="1">
      <alignment vertical="center"/>
    </xf>
    <xf numFmtId="178" fontId="42" fillId="4" borderId="0" xfId="0" applyNumberFormat="1" applyFont="1" applyFill="1" applyAlignment="1">
      <alignment vertical="center"/>
    </xf>
    <xf numFmtId="3" fontId="42" fillId="4" borderId="0" xfId="0" applyNumberFormat="1" applyFont="1" applyFill="1" applyAlignment="1">
      <alignment vertical="center"/>
    </xf>
    <xf numFmtId="10" fontId="43" fillId="4" borderId="0" xfId="0" applyNumberFormat="1" applyFont="1" applyFill="1" applyAlignment="1">
      <alignment vertical="center"/>
    </xf>
    <xf numFmtId="3" fontId="43" fillId="4" borderId="0" xfId="0" applyNumberFormat="1" applyFont="1" applyFill="1" applyAlignment="1">
      <alignment vertical="center"/>
    </xf>
    <xf numFmtId="0" fontId="43" fillId="4" borderId="0" xfId="0" applyFont="1" applyFill="1" applyAlignment="1">
      <alignment vertical="center"/>
    </xf>
    <xf numFmtId="0" fontId="21" fillId="17" borderId="0" xfId="0" applyFont="1" applyFill="1" applyAlignment="1">
      <alignment horizontal="left" vertical="center"/>
    </xf>
    <xf numFmtId="0" fontId="21" fillId="17" borderId="0" xfId="0" applyFont="1" applyFill="1"/>
    <xf numFmtId="0" fontId="21" fillId="18" borderId="0" xfId="0" applyFont="1" applyFill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1" fillId="0" borderId="0" xfId="0" applyFont="1" applyAlignment="1">
      <alignment horizontal="left" vertical="center"/>
    </xf>
    <xf numFmtId="3" fontId="41" fillId="0" borderId="0" xfId="0" applyNumberFormat="1" applyFont="1" applyAlignment="1">
      <alignment horizontal="right" vertical="center"/>
    </xf>
    <xf numFmtId="178" fontId="41" fillId="0" borderId="0" xfId="0" applyNumberFormat="1" applyFont="1" applyAlignment="1">
      <alignment horizontal="right" vertical="center"/>
    </xf>
    <xf numFmtId="0" fontId="42" fillId="4" borderId="0" xfId="0" applyFont="1" applyFill="1"/>
    <xf numFmtId="164" fontId="42" fillId="4" borderId="0" xfId="0" applyNumberFormat="1" applyFont="1" applyFill="1"/>
    <xf numFmtId="178" fontId="42" fillId="4" borderId="0" xfId="0" applyNumberFormat="1" applyFont="1" applyFill="1"/>
    <xf numFmtId="3" fontId="43" fillId="4" borderId="0" xfId="0" applyNumberFormat="1" applyFont="1" applyFill="1"/>
    <xf numFmtId="0" fontId="43" fillId="4" borderId="0" xfId="0" applyFont="1" applyFill="1"/>
    <xf numFmtId="3" fontId="42" fillId="4" borderId="0" xfId="0" applyNumberFormat="1" applyFont="1" applyFill="1"/>
    <xf numFmtId="0" fontId="44" fillId="26" borderId="0" xfId="0" applyFont="1" applyFill="1" applyAlignment="1">
      <alignment horizontal="left" vertical="center"/>
    </xf>
    <xf numFmtId="0" fontId="41" fillId="26" borderId="0" xfId="0" applyFont="1" applyFill="1"/>
    <xf numFmtId="3" fontId="44" fillId="26" borderId="0" xfId="0" applyNumberFormat="1" applyFont="1" applyFill="1" applyAlignment="1">
      <alignment horizontal="right" vertical="center"/>
    </xf>
    <xf numFmtId="178" fontId="44" fillId="26" borderId="0" xfId="0" applyNumberFormat="1" applyFont="1" applyFill="1" applyAlignment="1">
      <alignment horizontal="right" vertical="center"/>
    </xf>
    <xf numFmtId="0" fontId="45" fillId="26" borderId="0" xfId="0" applyFont="1" applyFill="1"/>
    <xf numFmtId="164" fontId="45" fillId="26" borderId="0" xfId="0" applyNumberFormat="1" applyFont="1" applyFill="1"/>
    <xf numFmtId="0" fontId="45" fillId="26" borderId="0" xfId="0" applyFont="1" applyFill="1" applyAlignment="1">
      <alignment vertical="center"/>
    </xf>
    <xf numFmtId="178" fontId="45" fillId="26" borderId="0" xfId="0" applyNumberFormat="1" applyFont="1" applyFill="1"/>
    <xf numFmtId="3" fontId="45" fillId="26" borderId="0" xfId="0" applyNumberFormat="1" applyFont="1" applyFill="1" applyAlignment="1">
      <alignment vertical="center"/>
    </xf>
    <xf numFmtId="10" fontId="46" fillId="26" borderId="0" xfId="0" applyNumberFormat="1" applyFont="1" applyFill="1" applyAlignment="1">
      <alignment vertical="center"/>
    </xf>
    <xf numFmtId="3" fontId="46" fillId="26" borderId="0" xfId="0" applyNumberFormat="1" applyFont="1" applyFill="1"/>
    <xf numFmtId="0" fontId="46" fillId="26" borderId="0" xfId="0" applyFont="1" applyFill="1"/>
    <xf numFmtId="3" fontId="45" fillId="26" borderId="0" xfId="0" applyNumberFormat="1" applyFont="1" applyFill="1"/>
    <xf numFmtId="3" fontId="47" fillId="26" borderId="0" xfId="0" applyNumberFormat="1" applyFont="1" applyFill="1"/>
    <xf numFmtId="0" fontId="44" fillId="0" borderId="0" xfId="0" applyFont="1" applyAlignment="1">
      <alignment horizontal="left" vertical="center"/>
    </xf>
    <xf numFmtId="10" fontId="43" fillId="4" borderId="0" xfId="0" applyNumberFormat="1" applyFont="1" applyFill="1"/>
    <xf numFmtId="10" fontId="46" fillId="26" borderId="0" xfId="0" applyNumberFormat="1" applyFont="1" applyFill="1"/>
    <xf numFmtId="0" fontId="51" fillId="27" borderId="0" xfId="0" applyFont="1" applyFill="1" applyAlignment="1">
      <alignment horizontal="left" vertical="center" indent="1"/>
    </xf>
    <xf numFmtId="3" fontId="52" fillId="27" borderId="0" xfId="0" applyNumberFormat="1" applyFont="1" applyFill="1" applyAlignment="1">
      <alignment horizontal="right" vertical="center" indent="1"/>
    </xf>
    <xf numFmtId="178" fontId="53" fillId="27" borderId="0" xfId="0" applyNumberFormat="1" applyFont="1" applyFill="1" applyAlignment="1">
      <alignment horizontal="right" vertical="center" indent="1"/>
    </xf>
    <xf numFmtId="0" fontId="54" fillId="0" borderId="0" xfId="0" applyFont="1" applyAlignment="1">
      <alignment horizontal="left" vertical="center" indent="1"/>
    </xf>
    <xf numFmtId="3" fontId="55" fillId="0" borderId="0" xfId="0" applyNumberFormat="1" applyFont="1" applyAlignment="1">
      <alignment horizontal="right" vertical="center" indent="1"/>
    </xf>
    <xf numFmtId="178" fontId="55" fillId="0" borderId="0" xfId="0" applyNumberFormat="1" applyFont="1" applyAlignment="1">
      <alignment horizontal="right" vertical="center" indent="1"/>
    </xf>
    <xf numFmtId="0" fontId="54" fillId="27" borderId="0" xfId="0" applyFont="1" applyFill="1" applyAlignment="1">
      <alignment horizontal="left" vertical="center" indent="1"/>
    </xf>
    <xf numFmtId="3" fontId="55" fillId="27" borderId="0" xfId="0" applyNumberFormat="1" applyFont="1" applyFill="1" applyAlignment="1">
      <alignment horizontal="right" vertical="center" indent="1"/>
    </xf>
    <xf numFmtId="178" fontId="55" fillId="27" borderId="0" xfId="0" applyNumberFormat="1" applyFont="1" applyFill="1" applyAlignment="1">
      <alignment horizontal="right" vertical="center" indent="1"/>
    </xf>
    <xf numFmtId="9" fontId="55" fillId="0" borderId="0" xfId="0" applyNumberFormat="1" applyFont="1" applyAlignment="1">
      <alignment horizontal="right" vertical="center" indent="1"/>
    </xf>
    <xf numFmtId="178" fontId="56" fillId="27" borderId="0" xfId="0" applyNumberFormat="1" applyFont="1" applyFill="1" applyAlignment="1">
      <alignment horizontal="right" vertical="center" indent="1"/>
    </xf>
    <xf numFmtId="9" fontId="55" fillId="27" borderId="0" xfId="0" applyNumberFormat="1" applyFont="1" applyFill="1" applyAlignment="1">
      <alignment horizontal="right" vertical="center" indent="1"/>
    </xf>
    <xf numFmtId="0" fontId="51" fillId="0" borderId="0" xfId="0" applyFont="1" applyAlignment="1">
      <alignment horizontal="left" vertical="center" indent="1"/>
    </xf>
    <xf numFmtId="3" fontId="52" fillId="0" borderId="0" xfId="0" applyNumberFormat="1" applyFont="1" applyAlignment="1">
      <alignment horizontal="right" vertical="center" indent="1"/>
    </xf>
    <xf numFmtId="178" fontId="56" fillId="0" borderId="0" xfId="0" applyNumberFormat="1" applyFont="1" applyAlignment="1">
      <alignment horizontal="right" vertical="center" indent="1"/>
    </xf>
    <xf numFmtId="178" fontId="53" fillId="0" borderId="0" xfId="0" applyNumberFormat="1" applyFont="1" applyAlignment="1">
      <alignment horizontal="right" vertical="center" indent="1"/>
    </xf>
    <xf numFmtId="0" fontId="0" fillId="27" borderId="0" xfId="0" applyFill="1"/>
    <xf numFmtId="0" fontId="58" fillId="0" borderId="0" xfId="0" applyFont="1" applyAlignment="1">
      <alignment horizontal="center" vertical="center"/>
    </xf>
    <xf numFmtId="3" fontId="59" fillId="0" borderId="0" xfId="0" applyNumberFormat="1" applyFont="1" applyAlignment="1">
      <alignment horizontal="right" vertical="center" indent="1"/>
    </xf>
    <xf numFmtId="178" fontId="59" fillId="0" borderId="0" xfId="0" applyNumberFormat="1" applyFont="1" applyAlignment="1">
      <alignment horizontal="right" vertical="center" indent="1"/>
    </xf>
    <xf numFmtId="179" fontId="59" fillId="27" borderId="0" xfId="0" applyNumberFormat="1" applyFont="1" applyFill="1" applyAlignment="1">
      <alignment horizontal="right" vertical="center" indent="1"/>
    </xf>
    <xf numFmtId="0" fontId="61" fillId="0" borderId="0" xfId="0" applyFont="1"/>
    <xf numFmtId="180" fontId="62" fillId="0" borderId="0" xfId="0" applyNumberFormat="1" applyFont="1" applyAlignment="1">
      <alignment horizontal="left" indent="1"/>
    </xf>
    <xf numFmtId="0" fontId="20" fillId="0" borderId="0" xfId="0" applyFont="1"/>
    <xf numFmtId="0" fontId="20" fillId="32" borderId="28" xfId="0" applyFont="1" applyFill="1" applyBorder="1" applyAlignment="1">
      <alignment vertical="center" wrapText="1"/>
    </xf>
    <xf numFmtId="0" fontId="20" fillId="32" borderId="28" xfId="0" applyFont="1" applyFill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20" fillId="32" borderId="0" xfId="0" applyFont="1" applyFill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1" fillId="0" borderId="29" xfId="0" applyFont="1" applyBorder="1"/>
    <xf numFmtId="0" fontId="11" fillId="0" borderId="29" xfId="0" applyFont="1" applyBorder="1" applyAlignment="1">
      <alignment horizontal="center"/>
    </xf>
    <xf numFmtId="166" fontId="13" fillId="0" borderId="29" xfId="0" applyNumberFormat="1" applyFont="1" applyBorder="1" applyAlignment="1">
      <alignment horizontal="center" vertical="center" wrapText="1"/>
    </xf>
    <xf numFmtId="9" fontId="11" fillId="0" borderId="29" xfId="0" applyNumberFormat="1" applyFont="1" applyBorder="1" applyAlignment="1">
      <alignment horizontal="center"/>
    </xf>
    <xf numFmtId="9" fontId="11" fillId="0" borderId="30" xfId="0" applyNumberFormat="1" applyFont="1" applyBorder="1" applyAlignment="1">
      <alignment horizontal="center"/>
    </xf>
    <xf numFmtId="0" fontId="63" fillId="0" borderId="29" xfId="0" applyFont="1" applyBorder="1" applyAlignment="1">
      <alignment horizontal="center" vertical="center"/>
    </xf>
    <xf numFmtId="9" fontId="13" fillId="0" borderId="29" xfId="0" applyNumberFormat="1" applyFont="1" applyBorder="1" applyAlignment="1">
      <alignment horizontal="center" vertical="center"/>
    </xf>
    <xf numFmtId="9" fontId="13" fillId="0" borderId="29" xfId="0" applyNumberFormat="1" applyFont="1" applyBorder="1" applyAlignment="1">
      <alignment horizontal="center" vertical="center" wrapText="1"/>
    </xf>
    <xf numFmtId="0" fontId="11" fillId="27" borderId="30" xfId="0" applyFont="1" applyFill="1" applyBorder="1"/>
    <xf numFmtId="0" fontId="11" fillId="27" borderId="30" xfId="0" applyFont="1" applyFill="1" applyBorder="1" applyAlignment="1">
      <alignment horizontal="center"/>
    </xf>
    <xf numFmtId="166" fontId="13" fillId="27" borderId="29" xfId="0" applyNumberFormat="1" applyFont="1" applyFill="1" applyBorder="1" applyAlignment="1">
      <alignment horizontal="center" vertical="center" wrapText="1"/>
    </xf>
    <xf numFmtId="0" fontId="11" fillId="0" borderId="30" xfId="0" applyFont="1" applyBorder="1" applyAlignment="1">
      <alignment horizontal="center"/>
    </xf>
    <xf numFmtId="166" fontId="13" fillId="27" borderId="30" xfId="0" applyNumberFormat="1" applyFont="1" applyFill="1" applyBorder="1" applyAlignment="1">
      <alignment horizontal="center" vertical="center" wrapText="1"/>
    </xf>
    <xf numFmtId="0" fontId="63" fillId="27" borderId="30" xfId="0" applyFont="1" applyFill="1" applyBorder="1" applyAlignment="1">
      <alignment horizontal="center" vertical="center"/>
    </xf>
    <xf numFmtId="0" fontId="11" fillId="0" borderId="30" xfId="0" applyFont="1" applyBorder="1"/>
    <xf numFmtId="166" fontId="13" fillId="0" borderId="30" xfId="0" applyNumberFormat="1" applyFont="1" applyBorder="1" applyAlignment="1">
      <alignment horizontal="center" vertical="center" wrapText="1"/>
    </xf>
    <xf numFmtId="0" fontId="63" fillId="0" borderId="30" xfId="0" applyFont="1" applyBorder="1" applyAlignment="1">
      <alignment horizontal="center" vertical="center"/>
    </xf>
    <xf numFmtId="0" fontId="64" fillId="0" borderId="0" xfId="0" applyFont="1"/>
    <xf numFmtId="0" fontId="20" fillId="0" borderId="31" xfId="0" applyFont="1" applyBorder="1"/>
    <xf numFmtId="0" fontId="11" fillId="0" borderId="32" xfId="0" applyFont="1" applyBorder="1" applyAlignment="1">
      <alignment horizontal="center"/>
    </xf>
    <xf numFmtId="166" fontId="20" fillId="0" borderId="32" xfId="0" applyNumberFormat="1" applyFont="1" applyBorder="1"/>
    <xf numFmtId="9" fontId="11" fillId="0" borderId="32" xfId="0" applyNumberFormat="1" applyFont="1" applyBorder="1" applyAlignment="1">
      <alignment horizontal="center"/>
    </xf>
    <xf numFmtId="0" fontId="63" fillId="0" borderId="32" xfId="0" applyFont="1" applyBorder="1" applyAlignment="1">
      <alignment horizontal="center" vertical="center"/>
    </xf>
    <xf numFmtId="166" fontId="13" fillId="0" borderId="0" xfId="0" applyNumberFormat="1" applyFont="1" applyAlignment="1">
      <alignment horizontal="center" vertical="center" wrapText="1"/>
    </xf>
    <xf numFmtId="9" fontId="11" fillId="0" borderId="0" xfId="0" applyNumberFormat="1" applyFont="1" applyAlignment="1">
      <alignment horizontal="center"/>
    </xf>
    <xf numFmtId="0" fontId="44" fillId="0" borderId="0" xfId="0" applyFont="1"/>
    <xf numFmtId="0" fontId="21" fillId="19" borderId="0" xfId="0" applyFont="1" applyFill="1" applyAlignment="1">
      <alignment horizontal="center" vertical="center" wrapText="1"/>
    </xf>
    <xf numFmtId="0" fontId="41" fillId="21" borderId="0" xfId="0" applyFont="1" applyFill="1"/>
    <xf numFmtId="3" fontId="41" fillId="21" borderId="0" xfId="0" applyNumberFormat="1" applyFont="1" applyFill="1" applyAlignment="1">
      <alignment horizontal="right"/>
    </xf>
    <xf numFmtId="178" fontId="41" fillId="21" borderId="0" xfId="0" applyNumberFormat="1" applyFont="1" applyFill="1" applyAlignment="1">
      <alignment horizontal="right"/>
    </xf>
    <xf numFmtId="0" fontId="41" fillId="30" borderId="0" xfId="0" applyFont="1" applyFill="1"/>
    <xf numFmtId="3" fontId="41" fillId="30" borderId="0" xfId="0" applyNumberFormat="1" applyFont="1" applyFill="1" applyAlignment="1">
      <alignment horizontal="right"/>
    </xf>
    <xf numFmtId="178" fontId="41" fillId="30" borderId="0" xfId="0" applyNumberFormat="1" applyFont="1" applyFill="1" applyAlignment="1">
      <alignment horizontal="right"/>
    </xf>
    <xf numFmtId="0" fontId="44" fillId="27" borderId="0" xfId="0" applyFont="1" applyFill="1"/>
    <xf numFmtId="3" fontId="44" fillId="27" borderId="0" xfId="0" applyNumberFormat="1" applyFont="1" applyFill="1" applyAlignment="1">
      <alignment horizontal="right"/>
    </xf>
    <xf numFmtId="178" fontId="44" fillId="27" borderId="0" xfId="0" applyNumberFormat="1" applyFont="1" applyFill="1" applyAlignment="1">
      <alignment horizontal="right"/>
    </xf>
    <xf numFmtId="3" fontId="11" fillId="0" borderId="29" xfId="0" applyNumberFormat="1" applyFont="1" applyBorder="1" applyAlignment="1">
      <alignment horizontal="left"/>
    </xf>
    <xf numFmtId="3" fontId="11" fillId="0" borderId="29" xfId="0" applyNumberFormat="1" applyFont="1" applyBorder="1" applyAlignment="1">
      <alignment horizontal="center"/>
    </xf>
    <xf numFmtId="3" fontId="20" fillId="33" borderId="29" xfId="0" applyNumberFormat="1" applyFont="1" applyFill="1" applyBorder="1" applyAlignment="1">
      <alignment horizontal="left"/>
    </xf>
    <xf numFmtId="3" fontId="20" fillId="33" borderId="29" xfId="0" applyNumberFormat="1" applyFont="1" applyFill="1" applyBorder="1" applyAlignment="1">
      <alignment horizontal="center"/>
    </xf>
    <xf numFmtId="3" fontId="20" fillId="33" borderId="0" xfId="0" applyNumberFormat="1" applyFont="1" applyFill="1" applyAlignment="1">
      <alignment horizontal="center"/>
    </xf>
    <xf numFmtId="9" fontId="20" fillId="33" borderId="0" xfId="0" applyNumberFormat="1" applyFont="1" applyFill="1" applyAlignment="1">
      <alignment horizontal="center"/>
    </xf>
    <xf numFmtId="9" fontId="11" fillId="33" borderId="0" xfId="0" applyNumberFormat="1" applyFont="1" applyFill="1" applyAlignment="1">
      <alignment horizontal="center"/>
    </xf>
    <xf numFmtId="0" fontId="63" fillId="33" borderId="0" xfId="0" applyFont="1" applyFill="1" applyAlignment="1">
      <alignment horizontal="center" vertical="center"/>
    </xf>
    <xf numFmtId="3" fontId="11" fillId="0" borderId="0" xfId="0" applyNumberFormat="1" applyFont="1" applyAlignment="1">
      <alignment horizontal="center"/>
    </xf>
    <xf numFmtId="0" fontId="63" fillId="0" borderId="0" xfId="0" applyFont="1" applyAlignment="1">
      <alignment horizontal="center" vertical="center"/>
    </xf>
    <xf numFmtId="9" fontId="20" fillId="33" borderId="29" xfId="0" applyNumberFormat="1" applyFont="1" applyFill="1" applyBorder="1" applyAlignment="1">
      <alignment horizontal="center"/>
    </xf>
    <xf numFmtId="9" fontId="11" fillId="33" borderId="29" xfId="0" applyNumberFormat="1" applyFont="1" applyFill="1" applyBorder="1" applyAlignment="1">
      <alignment horizontal="center"/>
    </xf>
    <xf numFmtId="0" fontId="63" fillId="33" borderId="29" xfId="0" applyFont="1" applyFill="1" applyBorder="1" applyAlignment="1">
      <alignment horizontal="center" vertical="center"/>
    </xf>
    <xf numFmtId="0" fontId="65" fillId="18" borderId="0" xfId="0" applyFont="1" applyFill="1"/>
    <xf numFmtId="49" fontId="65" fillId="18" borderId="0" xfId="0" applyNumberFormat="1" applyFont="1" applyFill="1"/>
    <xf numFmtId="49" fontId="22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3" fillId="0" borderId="0" xfId="0" applyFont="1"/>
    <xf numFmtId="181" fontId="18" fillId="0" borderId="0" xfId="0" applyNumberFormat="1" applyFont="1" applyAlignment="1">
      <alignment horizontal="center"/>
    </xf>
    <xf numFmtId="181" fontId="18" fillId="0" borderId="0" xfId="0" applyNumberFormat="1" applyFont="1"/>
    <xf numFmtId="3" fontId="18" fillId="0" borderId="0" xfId="0" applyNumberFormat="1" applyFont="1" applyAlignment="1">
      <alignment horizontal="center"/>
    </xf>
    <xf numFmtId="176" fontId="13" fillId="0" borderId="0" xfId="0" applyNumberFormat="1" applyFont="1" applyAlignment="1">
      <alignment horizontal="center"/>
    </xf>
    <xf numFmtId="3" fontId="1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35" fillId="0" borderId="0" xfId="0" applyFont="1"/>
    <xf numFmtId="49" fontId="20" fillId="34" borderId="0" xfId="0" applyNumberFormat="1" applyFont="1" applyFill="1" applyAlignment="1">
      <alignment horizontal="center" vertical="center" wrapText="1"/>
    </xf>
    <xf numFmtId="0" fontId="20" fillId="34" borderId="0" xfId="0" applyFont="1" applyFill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32" fillId="0" borderId="0" xfId="0" applyFont="1" applyAlignment="1">
      <alignment horizontal="center"/>
    </xf>
    <xf numFmtId="173" fontId="32" fillId="0" borderId="0" xfId="0" applyNumberFormat="1" applyFont="1" applyAlignment="1">
      <alignment horizontal="center"/>
    </xf>
    <xf numFmtId="0" fontId="31" fillId="35" borderId="0" xfId="0" applyFont="1" applyFill="1" applyAlignment="1">
      <alignment horizontal="center" vertical="center" wrapText="1"/>
    </xf>
    <xf numFmtId="14" fontId="18" fillId="0" borderId="2" xfId="0" applyNumberFormat="1" applyFont="1" applyBorder="1" applyAlignment="1">
      <alignment horizontal="center" vertical="center"/>
    </xf>
    <xf numFmtId="4" fontId="18" fillId="0" borderId="2" xfId="0" applyNumberFormat="1" applyFont="1" applyBorder="1" applyAlignment="1">
      <alignment horizontal="center" vertical="center"/>
    </xf>
    <xf numFmtId="4" fontId="11" fillId="0" borderId="2" xfId="0" applyNumberFormat="1" applyFont="1" applyBorder="1" applyAlignment="1">
      <alignment horizontal="center" vertical="center"/>
    </xf>
    <xf numFmtId="4" fontId="19" fillId="0" borderId="2" xfId="0" applyNumberFormat="1" applyFont="1" applyBorder="1" applyAlignment="1">
      <alignment horizontal="center" vertical="center"/>
    </xf>
    <xf numFmtId="14" fontId="11" fillId="0" borderId="0" xfId="0" applyNumberFormat="1" applyFont="1"/>
    <xf numFmtId="0" fontId="20" fillId="36" borderId="0" xfId="0" applyFont="1" applyFill="1" applyAlignment="1">
      <alignment horizontal="center" vertical="center" wrapText="1"/>
    </xf>
    <xf numFmtId="0" fontId="68" fillId="6" borderId="2" xfId="0" applyFont="1" applyFill="1" applyBorder="1" applyAlignment="1">
      <alignment horizontal="center" vertical="center" wrapText="1"/>
    </xf>
    <xf numFmtId="2" fontId="68" fillId="6" borderId="2" xfId="0" applyNumberFormat="1" applyFont="1" applyFill="1" applyBorder="1" applyAlignment="1">
      <alignment horizontal="center" vertical="center" wrapText="1"/>
    </xf>
    <xf numFmtId="2" fontId="68" fillId="7" borderId="2" xfId="0" applyNumberFormat="1" applyFont="1" applyFill="1" applyBorder="1" applyAlignment="1">
      <alignment horizontal="center" vertical="center" wrapText="1"/>
    </xf>
    <xf numFmtId="0" fontId="69" fillId="0" borderId="0" xfId="0" applyFont="1"/>
    <xf numFmtId="0" fontId="70" fillId="0" borderId="2" xfId="0" applyFont="1" applyBorder="1"/>
    <xf numFmtId="0" fontId="71" fillId="0" borderId="2" xfId="0" applyFont="1" applyBorder="1"/>
    <xf numFmtId="182" fontId="72" fillId="0" borderId="2" xfId="0" applyNumberFormat="1" applyFont="1" applyBorder="1"/>
    <xf numFmtId="178" fontId="72" fillId="0" borderId="2" xfId="0" applyNumberFormat="1" applyFont="1" applyBorder="1"/>
    <xf numFmtId="3" fontId="71" fillId="0" borderId="2" xfId="0" applyNumberFormat="1" applyFont="1" applyBorder="1"/>
    <xf numFmtId="3" fontId="70" fillId="0" borderId="2" xfId="0" applyNumberFormat="1" applyFont="1" applyBorder="1"/>
    <xf numFmtId="2" fontId="71" fillId="0" borderId="2" xfId="0" applyNumberFormat="1" applyFont="1" applyBorder="1"/>
    <xf numFmtId="2" fontId="71" fillId="0" borderId="2" xfId="0" applyNumberFormat="1" applyFont="1" applyBorder="1" applyAlignment="1">
      <alignment horizontal="center"/>
    </xf>
    <xf numFmtId="0" fontId="70" fillId="0" borderId="2" xfId="0" applyFont="1" applyBorder="1" applyAlignment="1">
      <alignment horizontal="left" vertical="center" wrapText="1"/>
    </xf>
    <xf numFmtId="2" fontId="69" fillId="0" borderId="0" xfId="0" applyNumberFormat="1" applyFont="1"/>
    <xf numFmtId="2" fontId="69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75" fontId="18" fillId="0" borderId="0" xfId="0" applyNumberFormat="1" applyFont="1"/>
    <xf numFmtId="9" fontId="18" fillId="0" borderId="0" xfId="0" applyNumberFormat="1" applyFont="1" applyAlignment="1">
      <alignment horizontal="center"/>
    </xf>
    <xf numFmtId="6" fontId="74" fillId="0" borderId="0" xfId="0" applyNumberFormat="1" applyFont="1"/>
    <xf numFmtId="0" fontId="20" fillId="5" borderId="0" xfId="0" applyFont="1" applyFill="1" applyAlignment="1">
      <alignment horizontal="center"/>
    </xf>
    <xf numFmtId="0" fontId="11" fillId="5" borderId="0" xfId="0" applyFont="1" applyFill="1"/>
    <xf numFmtId="175" fontId="20" fillId="5" borderId="0" xfId="0" applyNumberFormat="1" applyFont="1" applyFill="1"/>
    <xf numFmtId="0" fontId="76" fillId="0" borderId="0" xfId="0" applyFont="1"/>
    <xf numFmtId="0" fontId="78" fillId="18" borderId="0" xfId="0" applyFont="1" applyFill="1" applyAlignment="1">
      <alignment horizontal="center" vertical="center" wrapText="1"/>
    </xf>
    <xf numFmtId="0" fontId="79" fillId="17" borderId="0" xfId="0" applyFont="1" applyFill="1" applyAlignment="1">
      <alignment horizontal="center"/>
    </xf>
    <xf numFmtId="0" fontId="80" fillId="0" borderId="0" xfId="0" applyFont="1" applyAlignment="1">
      <alignment vertical="center"/>
    </xf>
    <xf numFmtId="164" fontId="80" fillId="0" borderId="0" xfId="0" applyNumberFormat="1" applyFont="1" applyAlignment="1">
      <alignment vertical="center"/>
    </xf>
    <xf numFmtId="3" fontId="80" fillId="0" borderId="0" xfId="0" applyNumberFormat="1" applyFont="1" applyAlignment="1">
      <alignment vertical="center"/>
    </xf>
    <xf numFmtId="178" fontId="80" fillId="0" borderId="0" xfId="0" applyNumberFormat="1" applyFont="1" applyAlignment="1">
      <alignment vertical="center"/>
    </xf>
    <xf numFmtId="0" fontId="81" fillId="0" borderId="0" xfId="0" applyFont="1"/>
    <xf numFmtId="0" fontId="82" fillId="4" borderId="0" xfId="0" applyFont="1" applyFill="1"/>
    <xf numFmtId="0" fontId="79" fillId="0" borderId="0" xfId="0" applyFont="1"/>
    <xf numFmtId="0" fontId="75" fillId="0" borderId="0" xfId="0" applyFont="1"/>
    <xf numFmtId="0" fontId="80" fillId="0" borderId="0" xfId="0" applyFont="1"/>
    <xf numFmtId="3" fontId="80" fillId="0" borderId="0" xfId="0" applyNumberFormat="1" applyFont="1"/>
    <xf numFmtId="178" fontId="80" fillId="0" borderId="0" xfId="0" applyNumberFormat="1" applyFont="1"/>
    <xf numFmtId="0" fontId="83" fillId="0" borderId="0" xfId="0" applyFont="1"/>
    <xf numFmtId="0" fontId="84" fillId="0" borderId="0" xfId="0" applyFont="1" applyAlignment="1">
      <alignment horizontal="center" vertical="center"/>
    </xf>
    <xf numFmtId="166" fontId="84" fillId="0" borderId="0" xfId="0" applyNumberFormat="1" applyFont="1" applyAlignment="1">
      <alignment horizontal="center" vertical="center"/>
    </xf>
    <xf numFmtId="166" fontId="85" fillId="0" borderId="0" xfId="0" applyNumberFormat="1" applyFont="1" applyAlignment="1">
      <alignment horizontal="center"/>
    </xf>
    <xf numFmtId="166" fontId="85" fillId="0" borderId="0" xfId="0" applyNumberFormat="1" applyFont="1" applyAlignment="1">
      <alignment horizontal="center" vertical="center"/>
    </xf>
    <xf numFmtId="0" fontId="86" fillId="0" borderId="0" xfId="0" applyFont="1"/>
    <xf numFmtId="0" fontId="84" fillId="0" borderId="14" xfId="0" applyFont="1" applyBorder="1" applyAlignment="1">
      <alignment horizontal="center" vertical="center"/>
    </xf>
    <xf numFmtId="166" fontId="84" fillId="0" borderId="14" xfId="0" applyNumberFormat="1" applyFont="1" applyBorder="1" applyAlignment="1">
      <alignment horizontal="center" vertical="center"/>
    </xf>
    <xf numFmtId="175" fontId="83" fillId="0" borderId="0" xfId="0" applyNumberFormat="1" applyFont="1"/>
    <xf numFmtId="166" fontId="85" fillId="0" borderId="14" xfId="0" applyNumberFormat="1" applyFont="1" applyBorder="1" applyAlignment="1">
      <alignment horizontal="center" vertical="center"/>
    </xf>
    <xf numFmtId="0" fontId="88" fillId="12" borderId="0" xfId="0" applyFont="1" applyFill="1" applyAlignment="1">
      <alignment horizontal="center" vertical="center" wrapText="1"/>
    </xf>
    <xf numFmtId="0" fontId="83" fillId="0" borderId="0" xfId="0" applyFont="1" applyAlignment="1">
      <alignment vertical="center" wrapText="1"/>
    </xf>
    <xf numFmtId="165" fontId="85" fillId="0" borderId="9" xfId="0" applyNumberFormat="1" applyFont="1" applyBorder="1" applyAlignment="1">
      <alignment horizontal="center" vertical="center" wrapText="1"/>
    </xf>
    <xf numFmtId="165" fontId="85" fillId="0" borderId="10" xfId="0" applyNumberFormat="1" applyFont="1" applyBorder="1" applyAlignment="1">
      <alignment horizontal="center" vertical="center" wrapText="1"/>
    </xf>
    <xf numFmtId="0" fontId="85" fillId="0" borderId="11" xfId="0" applyFont="1" applyBorder="1" applyAlignment="1">
      <alignment horizontal="center" vertical="center" wrapText="1"/>
    </xf>
    <xf numFmtId="166" fontId="85" fillId="0" borderId="4" xfId="0" applyNumberFormat="1" applyFont="1" applyBorder="1" applyAlignment="1">
      <alignment horizontal="center" vertical="center" wrapText="1"/>
    </xf>
    <xf numFmtId="166" fontId="85" fillId="29" borderId="16" xfId="0" applyNumberFormat="1" applyFont="1" applyFill="1" applyBorder="1" applyAlignment="1">
      <alignment horizontal="center" vertical="center" wrapText="1"/>
    </xf>
    <xf numFmtId="166" fontId="85" fillId="20" borderId="16" xfId="0" applyNumberFormat="1" applyFont="1" applyFill="1" applyBorder="1" applyAlignment="1">
      <alignment horizontal="center" vertical="center" wrapText="1"/>
    </xf>
    <xf numFmtId="166" fontId="85" fillId="0" borderId="0" xfId="0" applyNumberFormat="1" applyFont="1" applyAlignment="1">
      <alignment horizontal="center" vertical="center" wrapText="1"/>
    </xf>
    <xf numFmtId="0" fontId="86" fillId="16" borderId="17" xfId="0" applyFont="1" applyFill="1" applyBorder="1" applyAlignment="1">
      <alignment vertical="center" wrapText="1"/>
    </xf>
    <xf numFmtId="0" fontId="88" fillId="12" borderId="18" xfId="0" applyFont="1" applyFill="1" applyBorder="1" applyAlignment="1" applyProtection="1">
      <alignment horizontal="center" vertical="center" wrapText="1"/>
      <protection locked="0"/>
    </xf>
    <xf numFmtId="0" fontId="86" fillId="16" borderId="18" xfId="0" applyFont="1" applyFill="1" applyBorder="1" applyAlignment="1">
      <alignment horizontal="center" vertical="center" wrapText="1"/>
    </xf>
    <xf numFmtId="0" fontId="86" fillId="16" borderId="17" xfId="0" applyFont="1" applyFill="1" applyBorder="1" applyAlignment="1">
      <alignment horizontal="center" vertical="center" wrapText="1"/>
    </xf>
    <xf numFmtId="0" fontId="86" fillId="13" borderId="17" xfId="0" applyFont="1" applyFill="1" applyBorder="1" applyAlignment="1">
      <alignment horizontal="center" vertical="center" wrapText="1"/>
    </xf>
    <xf numFmtId="0" fontId="86" fillId="0" borderId="0" xfId="0" applyFont="1" applyAlignment="1">
      <alignment horizontal="center" vertical="center" wrapText="1"/>
    </xf>
    <xf numFmtId="0" fontId="86" fillId="13" borderId="18" xfId="0" applyFont="1" applyFill="1" applyBorder="1" applyAlignment="1">
      <alignment horizontal="center" vertical="center" wrapText="1"/>
    </xf>
    <xf numFmtId="0" fontId="89" fillId="13" borderId="18" xfId="0" applyFont="1" applyFill="1" applyBorder="1" applyAlignment="1">
      <alignment horizontal="center" vertical="center" wrapText="1"/>
    </xf>
    <xf numFmtId="0" fontId="89" fillId="13" borderId="0" xfId="0" applyFont="1" applyFill="1" applyAlignment="1">
      <alignment horizontal="center" vertical="center" wrapText="1"/>
    </xf>
    <xf numFmtId="0" fontId="86" fillId="13" borderId="19" xfId="0" applyFont="1" applyFill="1" applyBorder="1" applyAlignment="1">
      <alignment horizontal="center" vertical="center" wrapText="1"/>
    </xf>
    <xf numFmtId="165" fontId="85" fillId="0" borderId="9" xfId="0" applyNumberFormat="1" applyFont="1" applyBorder="1" applyAlignment="1">
      <alignment horizontal="center" vertical="center"/>
    </xf>
    <xf numFmtId="165" fontId="85" fillId="0" borderId="10" xfId="0" applyNumberFormat="1" applyFont="1" applyBorder="1" applyAlignment="1">
      <alignment horizontal="center" vertical="center"/>
    </xf>
    <xf numFmtId="0" fontId="85" fillId="0" borderId="10" xfId="0" applyFont="1" applyBorder="1" applyAlignment="1">
      <alignment vertical="center"/>
    </xf>
    <xf numFmtId="0" fontId="84" fillId="0" borderId="10" xfId="0" applyFont="1" applyBorder="1" applyAlignment="1">
      <alignment horizontal="center" vertical="center"/>
    </xf>
    <xf numFmtId="166" fontId="84" fillId="0" borderId="10" xfId="0" applyNumberFormat="1" applyFont="1" applyBorder="1" applyAlignment="1">
      <alignment horizontal="center" vertical="center"/>
    </xf>
    <xf numFmtId="166" fontId="85" fillId="0" borderId="10" xfId="0" applyNumberFormat="1" applyFont="1" applyBorder="1" applyAlignment="1">
      <alignment vertical="center"/>
    </xf>
    <xf numFmtId="166" fontId="85" fillId="0" borderId="10" xfId="0" applyNumberFormat="1" applyFont="1" applyBorder="1" applyAlignment="1">
      <alignment horizontal="center" vertical="center"/>
    </xf>
    <xf numFmtId="9" fontId="83" fillId="0" borderId="0" xfId="0" applyNumberFormat="1" applyFont="1"/>
    <xf numFmtId="166" fontId="86" fillId="0" borderId="0" xfId="0" applyNumberFormat="1" applyFont="1"/>
    <xf numFmtId="9" fontId="83" fillId="16" borderId="20" xfId="0" applyNumberFormat="1" applyFont="1" applyFill="1" applyBorder="1"/>
    <xf numFmtId="0" fontId="83" fillId="16" borderId="0" xfId="0" applyFont="1" applyFill="1" applyProtection="1">
      <protection locked="0"/>
    </xf>
    <xf numFmtId="0" fontId="86" fillId="16" borderId="0" xfId="0" applyFont="1" applyFill="1"/>
    <xf numFmtId="175" fontId="86" fillId="16" borderId="20" xfId="0" applyNumberFormat="1" applyFont="1" applyFill="1" applyBorder="1"/>
    <xf numFmtId="175" fontId="86" fillId="16" borderId="0" xfId="0" applyNumberFormat="1" applyFont="1" applyFill="1"/>
    <xf numFmtId="175" fontId="86" fillId="16" borderId="21" xfId="0" applyNumberFormat="1" applyFont="1" applyFill="1" applyBorder="1"/>
    <xf numFmtId="175" fontId="86" fillId="0" borderId="0" xfId="0" applyNumberFormat="1" applyFont="1"/>
    <xf numFmtId="0" fontId="90" fillId="0" borderId="3" xfId="0" applyFont="1" applyBorder="1" applyAlignment="1">
      <alignment vertical="top"/>
    </xf>
    <xf numFmtId="165" fontId="83" fillId="0" borderId="5" xfId="0" applyNumberFormat="1" applyFont="1" applyBorder="1" applyAlignment="1">
      <alignment horizontal="center" vertical="center"/>
    </xf>
    <xf numFmtId="165" fontId="84" fillId="0" borderId="3" xfId="0" applyNumberFormat="1" applyFont="1" applyBorder="1" applyAlignment="1">
      <alignment horizontal="center" vertical="center"/>
    </xf>
    <xf numFmtId="0" fontId="84" fillId="0" borderId="5" xfId="0" applyFont="1" applyBorder="1" applyAlignment="1">
      <alignment vertical="top"/>
    </xf>
    <xf numFmtId="49" fontId="84" fillId="0" borderId="5" xfId="0" applyNumberFormat="1" applyFont="1" applyBorder="1" applyAlignment="1">
      <alignment horizontal="center" vertical="center"/>
    </xf>
    <xf numFmtId="166" fontId="83" fillId="0" borderId="5" xfId="0" applyNumberFormat="1" applyFont="1" applyBorder="1" applyAlignment="1">
      <alignment horizontal="center" vertical="center"/>
    </xf>
    <xf numFmtId="166" fontId="84" fillId="29" borderId="3" xfId="0" applyNumberFormat="1" applyFont="1" applyFill="1" applyBorder="1" applyAlignment="1">
      <alignment horizontal="center" vertical="center"/>
    </xf>
    <xf numFmtId="166" fontId="85" fillId="29" borderId="3" xfId="0" applyNumberFormat="1" applyFont="1" applyFill="1" applyBorder="1" applyAlignment="1">
      <alignment horizontal="center" vertical="center"/>
    </xf>
    <xf numFmtId="166" fontId="86" fillId="20" borderId="3" xfId="0" applyNumberFormat="1" applyFont="1" applyFill="1" applyBorder="1" applyAlignment="1">
      <alignment horizontal="center" vertical="center"/>
    </xf>
    <xf numFmtId="166" fontId="83" fillId="0" borderId="3" xfId="0" applyNumberFormat="1" applyFont="1" applyBorder="1" applyAlignment="1">
      <alignment horizontal="center" vertical="center"/>
    </xf>
    <xf numFmtId="166" fontId="86" fillId="0" borderId="3" xfId="0" applyNumberFormat="1" applyFont="1" applyBorder="1" applyAlignment="1">
      <alignment horizontal="center" vertical="center"/>
    </xf>
    <xf numFmtId="166" fontId="83" fillId="0" borderId="0" xfId="0" applyNumberFormat="1" applyFont="1"/>
    <xf numFmtId="166" fontId="86" fillId="0" borderId="0" xfId="0" applyNumberFormat="1" applyFont="1" applyAlignment="1">
      <alignment horizontal="center" vertical="center"/>
    </xf>
    <xf numFmtId="0" fontId="83" fillId="0" borderId="20" xfId="0" applyFont="1" applyBorder="1"/>
    <xf numFmtId="178" fontId="90" fillId="30" borderId="0" xfId="0" applyNumberFormat="1" applyFont="1" applyFill="1" applyProtection="1">
      <protection locked="0"/>
    </xf>
    <xf numFmtId="178" fontId="90" fillId="0" borderId="0" xfId="0" applyNumberFormat="1" applyFont="1" applyProtection="1">
      <protection locked="0"/>
    </xf>
    <xf numFmtId="178" fontId="86" fillId="0" borderId="0" xfId="0" applyNumberFormat="1" applyFont="1"/>
    <xf numFmtId="0" fontId="89" fillId="0" borderId="22" xfId="0" applyFont="1" applyBorder="1" applyAlignment="1">
      <alignment horizontal="center" vertical="center"/>
    </xf>
    <xf numFmtId="175" fontId="83" fillId="0" borderId="20" xfId="0" applyNumberFormat="1" applyFont="1" applyBorder="1"/>
    <xf numFmtId="175" fontId="83" fillId="0" borderId="21" xfId="0" applyNumberFormat="1" applyFont="1" applyBorder="1"/>
    <xf numFmtId="175" fontId="91" fillId="30" borderId="0" xfId="0" applyNumberFormat="1" applyFont="1" applyFill="1"/>
    <xf numFmtId="175" fontId="86" fillId="0" borderId="21" xfId="0" applyNumberFormat="1" applyFont="1" applyBorder="1"/>
    <xf numFmtId="165" fontId="83" fillId="0" borderId="3" xfId="0" applyNumberFormat="1" applyFont="1" applyBorder="1" applyAlignment="1">
      <alignment horizontal="center" vertical="center"/>
    </xf>
    <xf numFmtId="0" fontId="84" fillId="0" borderId="3" xfId="0" applyFont="1" applyBorder="1" applyAlignment="1">
      <alignment vertical="top"/>
    </xf>
    <xf numFmtId="49" fontId="84" fillId="0" borderId="3" xfId="0" applyNumberFormat="1" applyFont="1" applyBorder="1" applyAlignment="1">
      <alignment horizontal="center" vertical="center"/>
    </xf>
    <xf numFmtId="0" fontId="89" fillId="0" borderId="21" xfId="0" applyFont="1" applyBorder="1" applyAlignment="1">
      <alignment horizontal="center" vertical="center"/>
    </xf>
    <xf numFmtId="0" fontId="84" fillId="0" borderId="3" xfId="0" applyFont="1" applyBorder="1" applyAlignment="1">
      <alignment horizontal="center" vertical="center"/>
    </xf>
    <xf numFmtId="166" fontId="84" fillId="0" borderId="3" xfId="0" applyNumberFormat="1" applyFont="1" applyBorder="1" applyAlignment="1">
      <alignment horizontal="center" vertical="center"/>
    </xf>
    <xf numFmtId="178" fontId="90" fillId="16" borderId="0" xfId="0" applyNumberFormat="1" applyFont="1" applyFill="1" applyProtection="1">
      <protection locked="0"/>
    </xf>
    <xf numFmtId="178" fontId="86" fillId="16" borderId="0" xfId="0" applyNumberFormat="1" applyFont="1" applyFill="1"/>
    <xf numFmtId="175" fontId="89" fillId="16" borderId="0" xfId="0" applyNumberFormat="1" applyFont="1" applyFill="1"/>
    <xf numFmtId="0" fontId="84" fillId="0" borderId="23" xfId="0" applyFont="1" applyBorder="1" applyAlignment="1">
      <alignment horizontal="left"/>
    </xf>
    <xf numFmtId="165" fontId="83" fillId="0" borderId="24" xfId="0" applyNumberFormat="1" applyFont="1" applyBorder="1" applyAlignment="1">
      <alignment horizontal="center" vertical="center"/>
    </xf>
    <xf numFmtId="165" fontId="84" fillId="0" borderId="24" xfId="0" applyNumberFormat="1" applyFont="1" applyBorder="1" applyAlignment="1">
      <alignment horizontal="center" vertical="center"/>
    </xf>
    <xf numFmtId="0" fontId="84" fillId="0" borderId="25" xfId="0" applyFont="1" applyBorder="1" applyAlignment="1">
      <alignment horizontal="left"/>
    </xf>
    <xf numFmtId="49" fontId="84" fillId="0" borderId="24" xfId="0" applyNumberFormat="1" applyFont="1" applyBorder="1" applyAlignment="1">
      <alignment horizontal="center" vertical="center"/>
    </xf>
    <xf numFmtId="166" fontId="84" fillId="0" borderId="24" xfId="0" applyNumberFormat="1" applyFont="1" applyBorder="1" applyAlignment="1">
      <alignment horizontal="center" vertical="center"/>
    </xf>
    <xf numFmtId="165" fontId="83" fillId="0" borderId="12" xfId="0" applyNumberFormat="1" applyFont="1" applyBorder="1" applyAlignment="1">
      <alignment horizontal="center" vertical="center"/>
    </xf>
    <xf numFmtId="165" fontId="84" fillId="0" borderId="12" xfId="0" applyNumberFormat="1" applyFont="1" applyBorder="1" applyAlignment="1">
      <alignment horizontal="center" vertical="center"/>
    </xf>
    <xf numFmtId="0" fontId="84" fillId="0" borderId="12" xfId="0" applyFont="1" applyBorder="1" applyAlignment="1">
      <alignment horizontal="left"/>
    </xf>
    <xf numFmtId="49" fontId="84" fillId="0" borderId="12" xfId="0" applyNumberFormat="1" applyFont="1" applyBorder="1" applyAlignment="1">
      <alignment horizontal="center" vertical="center"/>
    </xf>
    <xf numFmtId="166" fontId="84" fillId="0" borderId="12" xfId="0" applyNumberFormat="1" applyFont="1" applyBorder="1" applyAlignment="1">
      <alignment horizontal="center" vertical="center"/>
    </xf>
    <xf numFmtId="0" fontId="83" fillId="0" borderId="3" xfId="0" applyFont="1" applyBorder="1" applyAlignment="1">
      <alignment vertical="center"/>
    </xf>
    <xf numFmtId="0" fontId="84" fillId="0" borderId="3" xfId="0" applyFont="1" applyBorder="1" applyAlignment="1">
      <alignment horizontal="left"/>
    </xf>
    <xf numFmtId="166" fontId="84" fillId="0" borderId="3" xfId="0" applyNumberFormat="1" applyFont="1" applyBorder="1" applyAlignment="1">
      <alignment horizontal="right" vertical="center"/>
    </xf>
    <xf numFmtId="166" fontId="85" fillId="0" borderId="0" xfId="0" applyNumberFormat="1" applyFont="1" applyAlignment="1">
      <alignment horizontal="right" vertical="center"/>
    </xf>
    <xf numFmtId="0" fontId="84" fillId="0" borderId="24" xfId="0" applyFont="1" applyBorder="1" applyAlignment="1">
      <alignment horizontal="left"/>
    </xf>
    <xf numFmtId="0" fontId="84" fillId="0" borderId="12" xfId="0" applyFont="1" applyBorder="1" applyAlignment="1">
      <alignment vertical="top"/>
    </xf>
    <xf numFmtId="165" fontId="84" fillId="0" borderId="5" xfId="0" applyNumberFormat="1" applyFont="1" applyBorder="1" applyAlignment="1">
      <alignment horizontal="center" vertical="center"/>
    </xf>
    <xf numFmtId="166" fontId="84" fillId="0" borderId="5" xfId="0" applyNumberFormat="1" applyFont="1" applyBorder="1" applyAlignment="1">
      <alignment horizontal="center" vertical="center"/>
    </xf>
    <xf numFmtId="0" fontId="84" fillId="0" borderId="3" xfId="0" applyFont="1" applyBorder="1" applyAlignment="1">
      <alignment vertical="center"/>
    </xf>
    <xf numFmtId="166" fontId="84" fillId="0" borderId="12" xfId="0" applyNumberFormat="1" applyFont="1" applyBorder="1" applyAlignment="1">
      <alignment horizontal="right" vertical="center"/>
    </xf>
    <xf numFmtId="166" fontId="84" fillId="0" borderId="5" xfId="0" applyNumberFormat="1" applyFont="1" applyBorder="1" applyAlignment="1">
      <alignment horizontal="right" vertical="center"/>
    </xf>
    <xf numFmtId="0" fontId="84" fillId="0" borderId="3" xfId="0" applyFont="1" applyBorder="1" applyAlignment="1">
      <alignment horizontal="left" vertical="center"/>
    </xf>
    <xf numFmtId="166" fontId="83" fillId="0" borderId="12" xfId="0" applyNumberFormat="1" applyFont="1" applyBorder="1" applyAlignment="1">
      <alignment horizontal="center" vertical="center"/>
    </xf>
    <xf numFmtId="0" fontId="84" fillId="30" borderId="5" xfId="0" applyFont="1" applyFill="1" applyBorder="1" applyAlignment="1">
      <alignment vertical="top"/>
    </xf>
    <xf numFmtId="0" fontId="84" fillId="30" borderId="3" xfId="0" applyFont="1" applyFill="1" applyBorder="1" applyAlignment="1">
      <alignment vertical="top"/>
    </xf>
    <xf numFmtId="0" fontId="84" fillId="0" borderId="3" xfId="0" applyFont="1" applyBorder="1" applyAlignment="1">
      <alignment horizontal="left" vertical="top"/>
    </xf>
    <xf numFmtId="165" fontId="84" fillId="31" borderId="5" xfId="0" applyNumberFormat="1" applyFont="1" applyFill="1" applyBorder="1" applyAlignment="1">
      <alignment horizontal="center" vertical="center"/>
    </xf>
    <xf numFmtId="165" fontId="83" fillId="0" borderId="8" xfId="0" applyNumberFormat="1" applyFont="1" applyBorder="1" applyAlignment="1">
      <alignment horizontal="center" vertical="center"/>
    </xf>
    <xf numFmtId="165" fontId="84" fillId="31" borderId="8" xfId="0" applyNumberFormat="1" applyFont="1" applyFill="1" applyBorder="1" applyAlignment="1">
      <alignment horizontal="center" vertical="center"/>
    </xf>
    <xf numFmtId="0" fontId="84" fillId="0" borderId="8" xfId="0" applyFont="1" applyBorder="1" applyAlignment="1">
      <alignment vertical="top"/>
    </xf>
    <xf numFmtId="49" fontId="84" fillId="0" borderId="8" xfId="0" applyNumberFormat="1" applyFont="1" applyBorder="1" applyAlignment="1">
      <alignment horizontal="center" vertical="center"/>
    </xf>
    <xf numFmtId="165" fontId="84" fillId="31" borderId="3" xfId="0" applyNumberFormat="1" applyFont="1" applyFill="1" applyBorder="1" applyAlignment="1">
      <alignment horizontal="center" vertical="center"/>
    </xf>
    <xf numFmtId="0" fontId="84" fillId="0" borderId="5" xfId="0" applyFont="1" applyBorder="1" applyAlignment="1">
      <alignment horizontal="center" vertical="center"/>
    </xf>
    <xf numFmtId="0" fontId="84" fillId="0" borderId="12" xfId="0" applyFont="1" applyBorder="1" applyAlignment="1">
      <alignment horizontal="center" vertical="center"/>
    </xf>
    <xf numFmtId="0" fontId="83" fillId="0" borderId="3" xfId="0" applyFont="1" applyBorder="1" applyAlignment="1">
      <alignment horizontal="center" vertical="center"/>
    </xf>
    <xf numFmtId="0" fontId="84" fillId="0" borderId="24" xfId="0" applyFont="1" applyBorder="1" applyAlignment="1">
      <alignment horizontal="center" vertical="center"/>
    </xf>
    <xf numFmtId="165" fontId="84" fillId="0" borderId="8" xfId="0" applyNumberFormat="1" applyFont="1" applyBorder="1" applyAlignment="1">
      <alignment horizontal="center" vertical="center"/>
    </xf>
    <xf numFmtId="0" fontId="84" fillId="0" borderId="8" xfId="0" applyFont="1" applyBorder="1" applyAlignment="1">
      <alignment horizontal="center" vertical="center"/>
    </xf>
    <xf numFmtId="0" fontId="83" fillId="0" borderId="5" xfId="0" applyFont="1" applyBorder="1" applyAlignment="1">
      <alignment horizontal="center" vertical="center"/>
    </xf>
    <xf numFmtId="0" fontId="83" fillId="0" borderId="8" xfId="0" applyFont="1" applyBorder="1" applyAlignment="1">
      <alignment horizontal="center" vertical="center"/>
    </xf>
    <xf numFmtId="166" fontId="83" fillId="0" borderId="8" xfId="0" applyNumberFormat="1" applyFont="1" applyBorder="1" applyAlignment="1">
      <alignment horizontal="center" vertical="center"/>
    </xf>
    <xf numFmtId="0" fontId="84" fillId="0" borderId="12" xfId="0" applyFont="1" applyBorder="1" applyAlignment="1">
      <alignment vertical="center"/>
    </xf>
    <xf numFmtId="9" fontId="83" fillId="0" borderId="20" xfId="0" applyNumberFormat="1" applyFont="1" applyBorder="1"/>
    <xf numFmtId="0" fontId="84" fillId="0" borderId="5" xfId="0" applyFont="1" applyBorder="1"/>
    <xf numFmtId="0" fontId="84" fillId="0" borderId="3" xfId="0" applyFont="1" applyBorder="1"/>
    <xf numFmtId="0" fontId="84" fillId="0" borderId="5" xfId="0" applyFont="1" applyBorder="1" applyAlignment="1">
      <alignment horizontal="left" vertical="center"/>
    </xf>
    <xf numFmtId="0" fontId="84" fillId="0" borderId="12" xfId="0" applyFont="1" applyBorder="1" applyAlignment="1">
      <alignment horizontal="left" vertical="center"/>
    </xf>
    <xf numFmtId="166" fontId="86" fillId="0" borderId="10" xfId="0" applyNumberFormat="1" applyFont="1" applyBorder="1" applyAlignment="1">
      <alignment horizontal="center" vertical="center"/>
    </xf>
    <xf numFmtId="165" fontId="84" fillId="0" borderId="10" xfId="0" applyNumberFormat="1" applyFont="1" applyBorder="1" applyAlignment="1">
      <alignment horizontal="center" vertical="center"/>
    </xf>
    <xf numFmtId="0" fontId="83" fillId="0" borderId="5" xfId="0" applyFont="1" applyBorder="1" applyAlignment="1">
      <alignment vertical="center"/>
    </xf>
    <xf numFmtId="0" fontId="83" fillId="0" borderId="12" xfId="0" applyFont="1" applyBorder="1" applyAlignment="1">
      <alignment vertical="center"/>
    </xf>
    <xf numFmtId="165" fontId="83" fillId="0" borderId="26" xfId="0" applyNumberFormat="1" applyFont="1" applyBorder="1" applyAlignment="1">
      <alignment horizontal="center" vertical="center"/>
    </xf>
    <xf numFmtId="165" fontId="84" fillId="0" borderId="14" xfId="0" applyNumberFormat="1" applyFont="1" applyBorder="1" applyAlignment="1">
      <alignment horizontal="center" vertical="center"/>
    </xf>
    <xf numFmtId="0" fontId="86" fillId="0" borderId="14" xfId="0" applyFont="1" applyBorder="1" applyAlignment="1">
      <alignment vertical="center"/>
    </xf>
    <xf numFmtId="0" fontId="83" fillId="0" borderId="5" xfId="0" applyFont="1" applyBorder="1"/>
    <xf numFmtId="0" fontId="83" fillId="0" borderId="3" xfId="0" applyFont="1" applyBorder="1"/>
    <xf numFmtId="0" fontId="83" fillId="0" borderId="12" xfId="0" applyFont="1" applyBorder="1"/>
    <xf numFmtId="165" fontId="85" fillId="0" borderId="10" xfId="0" applyNumberFormat="1" applyFont="1" applyBorder="1" applyAlignment="1">
      <alignment vertical="center"/>
    </xf>
    <xf numFmtId="0" fontId="83" fillId="0" borderId="24" xfId="0" applyFont="1" applyBorder="1"/>
    <xf numFmtId="165" fontId="84" fillId="0" borderId="4" xfId="0" applyNumberFormat="1" applyFont="1" applyBorder="1" applyAlignment="1">
      <alignment horizontal="center" vertical="center"/>
    </xf>
    <xf numFmtId="0" fontId="84" fillId="0" borderId="4" xfId="0" applyFont="1" applyBorder="1" applyAlignment="1">
      <alignment vertical="top"/>
    </xf>
    <xf numFmtId="49" fontId="84" fillId="0" borderId="4" xfId="0" applyNumberFormat="1" applyFont="1" applyBorder="1" applyAlignment="1">
      <alignment horizontal="center" vertical="center"/>
    </xf>
    <xf numFmtId="166" fontId="84" fillId="0" borderId="4" xfId="0" applyNumberFormat="1" applyFont="1" applyBorder="1" applyAlignment="1">
      <alignment horizontal="center" vertical="center"/>
    </xf>
    <xf numFmtId="166" fontId="84" fillId="0" borderId="3" xfId="0" applyNumberFormat="1" applyFont="1" applyBorder="1" applyAlignment="1">
      <alignment vertical="center"/>
    </xf>
    <xf numFmtId="166" fontId="85" fillId="0" borderId="0" xfId="0" applyNumberFormat="1" applyFont="1" applyAlignment="1">
      <alignment vertical="center"/>
    </xf>
    <xf numFmtId="165" fontId="84" fillId="0" borderId="3" xfId="0" applyNumberFormat="1" applyFont="1" applyBorder="1" applyAlignment="1">
      <alignment horizontal="left" vertical="center"/>
    </xf>
    <xf numFmtId="0" fontId="83" fillId="0" borderId="12" xfId="0" applyFont="1" applyBorder="1" applyAlignment="1">
      <alignment horizontal="center" vertical="center"/>
    </xf>
    <xf numFmtId="9" fontId="92" fillId="15" borderId="27" xfId="0" applyNumberFormat="1" applyFont="1" applyFill="1" applyBorder="1"/>
    <xf numFmtId="0" fontId="92" fillId="15" borderId="15" xfId="0" applyFont="1" applyFill="1" applyBorder="1" applyProtection="1">
      <protection locked="0"/>
    </xf>
    <xf numFmtId="178" fontId="92" fillId="15" borderId="15" xfId="0" applyNumberFormat="1" applyFont="1" applyFill="1" applyBorder="1" applyProtection="1">
      <protection locked="0"/>
    </xf>
    <xf numFmtId="178" fontId="88" fillId="15" borderId="15" xfId="0" applyNumberFormat="1" applyFont="1" applyFill="1" applyBorder="1"/>
    <xf numFmtId="175" fontId="88" fillId="15" borderId="27" xfId="0" applyNumberFormat="1" applyFont="1" applyFill="1" applyBorder="1"/>
    <xf numFmtId="175" fontId="88" fillId="0" borderId="0" xfId="0" applyNumberFormat="1" applyFont="1"/>
    <xf numFmtId="165" fontId="85" fillId="0" borderId="13" xfId="0" applyNumberFormat="1" applyFont="1" applyBorder="1" applyAlignment="1">
      <alignment horizontal="center" vertical="center"/>
    </xf>
    <xf numFmtId="0" fontId="86" fillId="0" borderId="13" xfId="0" applyFont="1" applyBorder="1" applyAlignment="1">
      <alignment vertical="center"/>
    </xf>
    <xf numFmtId="165" fontId="84" fillId="0" borderId="13" xfId="0" applyNumberFormat="1" applyFont="1" applyBorder="1" applyAlignment="1">
      <alignment horizontal="center" vertical="center"/>
    </xf>
    <xf numFmtId="166" fontId="84" fillId="0" borderId="13" xfId="0" applyNumberFormat="1" applyFont="1" applyBorder="1" applyAlignment="1">
      <alignment horizontal="center" vertical="center"/>
    </xf>
    <xf numFmtId="166" fontId="93" fillId="0" borderId="13" xfId="0" applyNumberFormat="1" applyFont="1" applyBorder="1" applyAlignment="1">
      <alignment horizontal="center" vertical="center"/>
    </xf>
    <xf numFmtId="166" fontId="86" fillId="0" borderId="13" xfId="0" applyNumberFormat="1" applyFont="1" applyBorder="1" applyAlignment="1">
      <alignment horizontal="center" vertical="center"/>
    </xf>
    <xf numFmtId="166" fontId="85" fillId="0" borderId="13" xfId="0" applyNumberFormat="1" applyFont="1" applyBorder="1" applyAlignment="1">
      <alignment horizontal="center" vertical="center"/>
    </xf>
    <xf numFmtId="0" fontId="83" fillId="0" borderId="0" xfId="0" applyFont="1" applyProtection="1">
      <protection locked="0"/>
    </xf>
    <xf numFmtId="166" fontId="85" fillId="0" borderId="15" xfId="0" applyNumberFormat="1" applyFont="1" applyBorder="1" applyAlignment="1">
      <alignment horizontal="center"/>
    </xf>
    <xf numFmtId="166" fontId="85" fillId="0" borderId="15" xfId="0" applyNumberFormat="1" applyFont="1" applyBorder="1" applyAlignment="1">
      <alignment horizontal="center" vertical="center"/>
    </xf>
    <xf numFmtId="165" fontId="83" fillId="0" borderId="0" xfId="0" applyNumberFormat="1" applyFont="1"/>
    <xf numFmtId="9" fontId="84" fillId="0" borderId="0" xfId="42" applyNumberFormat="1" applyFont="1"/>
    <xf numFmtId="0" fontId="67" fillId="18" borderId="0" xfId="0" applyFont="1" applyFill="1" applyAlignment="1">
      <alignment horizontal="center" vertical="center" wrapText="1"/>
    </xf>
    <xf numFmtId="0" fontId="94" fillId="0" borderId="0" xfId="0" applyFont="1"/>
    <xf numFmtId="177" fontId="87" fillId="0" borderId="0" xfId="0" applyNumberFormat="1" applyFont="1"/>
    <xf numFmtId="177" fontId="94" fillId="0" borderId="0" xfId="0" applyNumberFormat="1" applyFont="1"/>
    <xf numFmtId="3" fontId="94" fillId="0" borderId="0" xfId="0" applyNumberFormat="1" applyFont="1"/>
    <xf numFmtId="178" fontId="94" fillId="0" borderId="0" xfId="0" applyNumberFormat="1" applyFont="1"/>
    <xf numFmtId="0" fontId="95" fillId="0" borderId="0" xfId="0" applyFont="1"/>
    <xf numFmtId="177" fontId="95" fillId="0" borderId="0" xfId="0" applyNumberFormat="1" applyFont="1"/>
    <xf numFmtId="178" fontId="87" fillId="0" borderId="0" xfId="0" applyNumberFormat="1" applyFont="1"/>
    <xf numFmtId="0" fontId="94" fillId="25" borderId="0" xfId="0" applyFont="1" applyFill="1"/>
    <xf numFmtId="177" fontId="94" fillId="25" borderId="0" xfId="0" applyNumberFormat="1" applyFont="1" applyFill="1"/>
    <xf numFmtId="3" fontId="94" fillId="25" borderId="0" xfId="0" applyNumberFormat="1" applyFont="1" applyFill="1"/>
    <xf numFmtId="178" fontId="94" fillId="25" borderId="0" xfId="0" applyNumberFormat="1" applyFont="1" applyFill="1"/>
    <xf numFmtId="0" fontId="94" fillId="26" borderId="0" xfId="0" applyFont="1" applyFill="1"/>
    <xf numFmtId="177" fontId="94" fillId="26" borderId="0" xfId="0" applyNumberFormat="1" applyFont="1" applyFill="1"/>
    <xf numFmtId="0" fontId="96" fillId="0" borderId="0" xfId="0" applyFont="1"/>
    <xf numFmtId="0" fontId="67" fillId="18" borderId="0" xfId="0" applyFont="1" applyFill="1" applyAlignment="1">
      <alignment horizontal="left" vertical="center"/>
    </xf>
    <xf numFmtId="17" fontId="67" fillId="18" borderId="0" xfId="0" applyNumberFormat="1" applyFont="1" applyFill="1" applyAlignment="1">
      <alignment horizontal="center" vertical="center"/>
    </xf>
    <xf numFmtId="0" fontId="97" fillId="0" borderId="0" xfId="0" applyFont="1"/>
    <xf numFmtId="0" fontId="98" fillId="0" borderId="0" xfId="0" applyFont="1"/>
    <xf numFmtId="14" fontId="33" fillId="0" borderId="0" xfId="0" applyNumberFormat="1" applyFont="1" applyAlignment="1">
      <alignment horizontal="center"/>
    </xf>
    <xf numFmtId="183" fontId="11" fillId="0" borderId="0" xfId="0" applyNumberFormat="1" applyFont="1" applyAlignment="1">
      <alignment horizontal="center"/>
    </xf>
    <xf numFmtId="0" fontId="99" fillId="37" borderId="0" xfId="0" applyFont="1" applyFill="1"/>
    <xf numFmtId="0" fontId="100" fillId="0" borderId="0" xfId="0" applyFont="1"/>
    <xf numFmtId="166" fontId="101" fillId="0" borderId="0" xfId="0" applyNumberFormat="1" applyFont="1" applyAlignment="1">
      <alignment horizontal="center" vertical="center" wrapText="1"/>
    </xf>
    <xf numFmtId="166" fontId="20" fillId="0" borderId="0" xfId="0" applyNumberFormat="1" applyFont="1"/>
    <xf numFmtId="0" fontId="101" fillId="0" borderId="0" xfId="0" applyFont="1"/>
    <xf numFmtId="166" fontId="101" fillId="0" borderId="0" xfId="0" applyNumberFormat="1" applyFont="1"/>
    <xf numFmtId="0" fontId="102" fillId="0" borderId="0" xfId="0" applyFont="1"/>
    <xf numFmtId="166" fontId="103" fillId="0" borderId="29" xfId="0" applyNumberFormat="1" applyFont="1" applyBorder="1" applyAlignment="1">
      <alignment horizontal="center" vertical="center" wrapText="1"/>
    </xf>
    <xf numFmtId="166" fontId="23" fillId="38" borderId="3" xfId="0" applyNumberFormat="1" applyFont="1" applyFill="1" applyBorder="1"/>
    <xf numFmtId="3" fontId="105" fillId="0" borderId="0" xfId="0" applyNumberFormat="1" applyFont="1"/>
    <xf numFmtId="0" fontId="104" fillId="0" borderId="0" xfId="0" applyFont="1"/>
    <xf numFmtId="0" fontId="106" fillId="39" borderId="0" xfId="0" applyFont="1" applyFill="1" applyAlignment="1">
      <alignment horizontal="center" vertical="center"/>
    </xf>
    <xf numFmtId="166" fontId="107" fillId="0" borderId="0" xfId="0" applyNumberFormat="1" applyFont="1"/>
    <xf numFmtId="0" fontId="14" fillId="0" borderId="0" xfId="0" applyFont="1"/>
    <xf numFmtId="0" fontId="11" fillId="0" borderId="0" xfId="0" applyFont="1"/>
    <xf numFmtId="0" fontId="77" fillId="0" borderId="0" xfId="0" applyFont="1"/>
    <xf numFmtId="0" fontId="76" fillId="0" borderId="0" xfId="0" applyFont="1"/>
    <xf numFmtId="0" fontId="36" fillId="0" borderId="0" xfId="0" applyFont="1"/>
    <xf numFmtId="0" fontId="50" fillId="18" borderId="0" xfId="0" applyFont="1" applyFill="1" applyAlignment="1">
      <alignment horizontal="left" vertical="center" indent="1"/>
    </xf>
    <xf numFmtId="0" fontId="0" fillId="0" borderId="0" xfId="0"/>
    <xf numFmtId="0" fontId="57" fillId="0" borderId="0" xfId="0" applyFont="1"/>
    <xf numFmtId="0" fontId="49" fillId="0" borderId="0" xfId="0" applyFont="1"/>
    <xf numFmtId="0" fontId="60" fillId="0" borderId="0" xfId="0" applyFont="1"/>
    <xf numFmtId="0" fontId="50" fillId="28" borderId="0" xfId="0" applyFont="1" applyFill="1" applyAlignment="1">
      <alignment horizontal="left" vertical="center" indent="1"/>
    </xf>
    <xf numFmtId="0" fontId="50" fillId="19" borderId="0" xfId="0" applyFont="1" applyFill="1" applyAlignment="1">
      <alignment horizontal="left" vertical="center" indent="1"/>
    </xf>
    <xf numFmtId="0" fontId="48" fillId="0" borderId="0" xfId="0" applyFont="1"/>
    <xf numFmtId="0" fontId="67" fillId="22" borderId="0" xfId="0" applyFont="1" applyFill="1"/>
    <xf numFmtId="0" fontId="96" fillId="0" borderId="0" xfId="0" applyFont="1"/>
    <xf numFmtId="0" fontId="67" fillId="24" borderId="0" xfId="0" applyFont="1" applyFill="1"/>
    <xf numFmtId="0" fontId="67" fillId="18" borderId="0" xfId="0" applyFont="1" applyFill="1"/>
  </cellXfs>
  <cellStyles count="124">
    <cellStyle name="Bueno 2" xfId="1" xr:uid="{00000000-0005-0000-0000-000001000000}"/>
    <cellStyle name="Comma 2" xfId="2" xr:uid="{00000000-0005-0000-0000-000002000000}"/>
    <cellStyle name="Incorrecto 2" xfId="3" xr:uid="{00000000-0005-0000-0000-000003000000}"/>
    <cellStyle name="Millares 10" xfId="4" xr:uid="{00000000-0005-0000-0000-000004000000}"/>
    <cellStyle name="Millares 10 2" xfId="5" xr:uid="{00000000-0005-0000-0000-000005000000}"/>
    <cellStyle name="Millares 10 2 2" xfId="6" xr:uid="{00000000-0005-0000-0000-000006000000}"/>
    <cellStyle name="Millares 10 3" xfId="7" xr:uid="{00000000-0005-0000-0000-000007000000}"/>
    <cellStyle name="Millares 11" xfId="8" xr:uid="{00000000-0005-0000-0000-000008000000}"/>
    <cellStyle name="Millares 11 2" xfId="9" xr:uid="{00000000-0005-0000-0000-000009000000}"/>
    <cellStyle name="Millares 12" xfId="10" xr:uid="{00000000-0005-0000-0000-00000A000000}"/>
    <cellStyle name="Millares 12 2" xfId="11" xr:uid="{00000000-0005-0000-0000-00000B000000}"/>
    <cellStyle name="Millares 12 2 2" xfId="12" xr:uid="{00000000-0005-0000-0000-00000C000000}"/>
    <cellStyle name="Millares 12 2 2 2" xfId="13" xr:uid="{00000000-0005-0000-0000-00000D000000}"/>
    <cellStyle name="Millares 13" xfId="14" xr:uid="{00000000-0005-0000-0000-00000E000000}"/>
    <cellStyle name="Millares 14" xfId="15" xr:uid="{00000000-0005-0000-0000-00000F000000}"/>
    <cellStyle name="Millares 14 2" xfId="16" xr:uid="{00000000-0005-0000-0000-000010000000}"/>
    <cellStyle name="Millares 14 2 2" xfId="17" xr:uid="{00000000-0005-0000-0000-000011000000}"/>
    <cellStyle name="Millares 15" xfId="18" xr:uid="{00000000-0005-0000-0000-000012000000}"/>
    <cellStyle name="Millares 16" xfId="19" xr:uid="{00000000-0005-0000-0000-000013000000}"/>
    <cellStyle name="Millares 17" xfId="20" xr:uid="{00000000-0005-0000-0000-000014000000}"/>
    <cellStyle name="Millares 18" xfId="21" xr:uid="{00000000-0005-0000-0000-000015000000}"/>
    <cellStyle name="Millares 18 2" xfId="22" xr:uid="{00000000-0005-0000-0000-000016000000}"/>
    <cellStyle name="Millares 2" xfId="23" xr:uid="{00000000-0005-0000-0000-000017000000}"/>
    <cellStyle name="Millares 2 2" xfId="24" xr:uid="{00000000-0005-0000-0000-000018000000}"/>
    <cellStyle name="Millares 2 2 2" xfId="25" xr:uid="{00000000-0005-0000-0000-000019000000}"/>
    <cellStyle name="Millares 2 3" xfId="26" xr:uid="{00000000-0005-0000-0000-00001A000000}"/>
    <cellStyle name="Millares 2 3 2" xfId="27" xr:uid="{00000000-0005-0000-0000-00001B000000}"/>
    <cellStyle name="Millares 2 4" xfId="28" xr:uid="{00000000-0005-0000-0000-00001C000000}"/>
    <cellStyle name="Millares 2 5" xfId="29" xr:uid="{00000000-0005-0000-0000-00001D000000}"/>
    <cellStyle name="Millares 2 6" xfId="30" xr:uid="{00000000-0005-0000-0000-00001E000000}"/>
    <cellStyle name="Millares 20" xfId="31" xr:uid="{00000000-0005-0000-0000-00001F000000}"/>
    <cellStyle name="Millares 23" xfId="32" xr:uid="{00000000-0005-0000-0000-000020000000}"/>
    <cellStyle name="Millares 3" xfId="33" xr:uid="{00000000-0005-0000-0000-000021000000}"/>
    <cellStyle name="Millares 3 2" xfId="34" xr:uid="{00000000-0005-0000-0000-000022000000}"/>
    <cellStyle name="Millares 3 2 2" xfId="35" xr:uid="{00000000-0005-0000-0000-000023000000}"/>
    <cellStyle name="Millares 3 2 2 2" xfId="36" xr:uid="{00000000-0005-0000-0000-000024000000}"/>
    <cellStyle name="Millares 3 2 3" xfId="37" xr:uid="{00000000-0005-0000-0000-000025000000}"/>
    <cellStyle name="Millares 3 3" xfId="38" xr:uid="{00000000-0005-0000-0000-000026000000}"/>
    <cellStyle name="Millares 3 5" xfId="39" xr:uid="{00000000-0005-0000-0000-000027000000}"/>
    <cellStyle name="Millares 3 5 2" xfId="40" xr:uid="{00000000-0005-0000-0000-000028000000}"/>
    <cellStyle name="Millares 3 5 2 2" xfId="41" xr:uid="{00000000-0005-0000-0000-000029000000}"/>
    <cellStyle name="Millares 3 5 3" xfId="42" xr:uid="{00000000-0005-0000-0000-00002A000000}"/>
    <cellStyle name="Millares 3 5 4" xfId="43" xr:uid="{00000000-0005-0000-0000-00002B000000}"/>
    <cellStyle name="Millares 3 5 4 2" xfId="44" xr:uid="{00000000-0005-0000-0000-00002C000000}"/>
    <cellStyle name="Millares 4" xfId="45" xr:uid="{00000000-0005-0000-0000-00002D000000}"/>
    <cellStyle name="Millares 4 2" xfId="46" xr:uid="{00000000-0005-0000-0000-00002E000000}"/>
    <cellStyle name="Millares 4 2 2" xfId="47" xr:uid="{00000000-0005-0000-0000-00002F000000}"/>
    <cellStyle name="Millares 4 3" xfId="48" xr:uid="{00000000-0005-0000-0000-000030000000}"/>
    <cellStyle name="Millares 5" xfId="49" xr:uid="{00000000-0005-0000-0000-000031000000}"/>
    <cellStyle name="Millares 5 2" xfId="50" xr:uid="{00000000-0005-0000-0000-000032000000}"/>
    <cellStyle name="Millares 5 3" xfId="51" xr:uid="{00000000-0005-0000-0000-000033000000}"/>
    <cellStyle name="Millares 5 3 2" xfId="52" xr:uid="{00000000-0005-0000-0000-000034000000}"/>
    <cellStyle name="Millares 5 3 3" xfId="53" xr:uid="{00000000-0005-0000-0000-000035000000}"/>
    <cellStyle name="Millares 5 3 4" xfId="54" xr:uid="{00000000-0005-0000-0000-000036000000}"/>
    <cellStyle name="Millares 6" xfId="55" xr:uid="{00000000-0005-0000-0000-000037000000}"/>
    <cellStyle name="Millares 6 2" xfId="56" xr:uid="{00000000-0005-0000-0000-000038000000}"/>
    <cellStyle name="Millares 6 3" xfId="57" xr:uid="{00000000-0005-0000-0000-000039000000}"/>
    <cellStyle name="Millares 6 4" xfId="58" xr:uid="{00000000-0005-0000-0000-00003A000000}"/>
    <cellStyle name="Millares 7" xfId="59" xr:uid="{00000000-0005-0000-0000-00003B000000}"/>
    <cellStyle name="Millares 7 2" xfId="60" xr:uid="{00000000-0005-0000-0000-00003C000000}"/>
    <cellStyle name="Millares 7 3" xfId="61" xr:uid="{00000000-0005-0000-0000-00003D000000}"/>
    <cellStyle name="Millares 7 4" xfId="62" xr:uid="{00000000-0005-0000-0000-00003E000000}"/>
    <cellStyle name="Millares 8" xfId="63" xr:uid="{00000000-0005-0000-0000-00003F000000}"/>
    <cellStyle name="Millares 8 2" xfId="64" xr:uid="{00000000-0005-0000-0000-000040000000}"/>
    <cellStyle name="Millares 9" xfId="65" xr:uid="{00000000-0005-0000-0000-000041000000}"/>
    <cellStyle name="Moneda 2" xfId="66" xr:uid="{00000000-0005-0000-0000-000042000000}"/>
    <cellStyle name="Moneda 2 2" xfId="67" xr:uid="{00000000-0005-0000-0000-000043000000}"/>
    <cellStyle name="Moneda 2 3" xfId="68" xr:uid="{00000000-0005-0000-0000-000044000000}"/>
    <cellStyle name="Moneda 2 3 2" xfId="69" xr:uid="{00000000-0005-0000-0000-000045000000}"/>
    <cellStyle name="Moneda 3" xfId="70" xr:uid="{00000000-0005-0000-0000-000046000000}"/>
    <cellStyle name="Moneda 4" xfId="71" xr:uid="{00000000-0005-0000-0000-000047000000}"/>
    <cellStyle name="Moneda 5" xfId="72" xr:uid="{00000000-0005-0000-0000-000048000000}"/>
    <cellStyle name="Moneda 6" xfId="73" xr:uid="{00000000-0005-0000-0000-000049000000}"/>
    <cellStyle name="Moneda 6 2" xfId="74" xr:uid="{00000000-0005-0000-0000-00004A000000}"/>
    <cellStyle name="Moneda 7" xfId="75" xr:uid="{00000000-0005-0000-0000-00004B000000}"/>
    <cellStyle name="Normal" xfId="0" builtinId="0"/>
    <cellStyle name="Normal 10" xfId="76" xr:uid="{00000000-0005-0000-0000-00004C000000}"/>
    <cellStyle name="Normal 11" xfId="77" xr:uid="{00000000-0005-0000-0000-00004D000000}"/>
    <cellStyle name="Normal 12" xfId="78" xr:uid="{00000000-0005-0000-0000-00004E000000}"/>
    <cellStyle name="Normal 13" xfId="79" xr:uid="{00000000-0005-0000-0000-00004F000000}"/>
    <cellStyle name="Normal 18" xfId="80" xr:uid="{00000000-0005-0000-0000-000050000000}"/>
    <cellStyle name="Normal 2" xfId="81" xr:uid="{00000000-0005-0000-0000-000051000000}"/>
    <cellStyle name="Normal 2 2" xfId="82" xr:uid="{00000000-0005-0000-0000-000052000000}"/>
    <cellStyle name="Normal 2 3" xfId="83" xr:uid="{00000000-0005-0000-0000-000053000000}"/>
    <cellStyle name="Normal 2 3 2" xfId="84" xr:uid="{00000000-0005-0000-0000-000054000000}"/>
    <cellStyle name="Normal 2 4 2" xfId="85" xr:uid="{00000000-0005-0000-0000-000055000000}"/>
    <cellStyle name="Normal 2 5" xfId="86" xr:uid="{00000000-0005-0000-0000-000056000000}"/>
    <cellStyle name="Normal 2 5 2" xfId="87" xr:uid="{00000000-0005-0000-0000-000057000000}"/>
    <cellStyle name="Normal 2 5 3" xfId="88" xr:uid="{00000000-0005-0000-0000-000058000000}"/>
    <cellStyle name="Normal 23" xfId="89" xr:uid="{00000000-0005-0000-0000-000059000000}"/>
    <cellStyle name="Normal 25" xfId="90" xr:uid="{00000000-0005-0000-0000-00005A000000}"/>
    <cellStyle name="Normal 3" xfId="91" xr:uid="{00000000-0005-0000-0000-00005B000000}"/>
    <cellStyle name="Normal 3 2" xfId="92" xr:uid="{00000000-0005-0000-0000-00005C000000}"/>
    <cellStyle name="Normal 3 3" xfId="93" xr:uid="{00000000-0005-0000-0000-00005D000000}"/>
    <cellStyle name="Normal 3 4" xfId="94" xr:uid="{00000000-0005-0000-0000-00005E000000}"/>
    <cellStyle name="Normal 3 5" xfId="95" xr:uid="{00000000-0005-0000-0000-00005F000000}"/>
    <cellStyle name="Normal 32" xfId="96" xr:uid="{00000000-0005-0000-0000-000060000000}"/>
    <cellStyle name="Normal 4" xfId="97" xr:uid="{00000000-0005-0000-0000-000061000000}"/>
    <cellStyle name="Normal 4 2" xfId="98" xr:uid="{00000000-0005-0000-0000-000062000000}"/>
    <cellStyle name="Normal 4 2 2" xfId="99" xr:uid="{00000000-0005-0000-0000-000063000000}"/>
    <cellStyle name="Normal 4 3" xfId="100" xr:uid="{00000000-0005-0000-0000-000064000000}"/>
    <cellStyle name="Normal 5" xfId="101" xr:uid="{00000000-0005-0000-0000-000065000000}"/>
    <cellStyle name="Normal 5 2" xfId="102" xr:uid="{00000000-0005-0000-0000-000066000000}"/>
    <cellStyle name="Normal 5 2 2" xfId="103" xr:uid="{00000000-0005-0000-0000-000067000000}"/>
    <cellStyle name="Normal 5 3" xfId="104" xr:uid="{00000000-0005-0000-0000-000068000000}"/>
    <cellStyle name="Normal 6" xfId="105" xr:uid="{00000000-0005-0000-0000-000069000000}"/>
    <cellStyle name="Normal 7" xfId="106" xr:uid="{00000000-0005-0000-0000-00006A000000}"/>
    <cellStyle name="Normal 7 2" xfId="107" xr:uid="{00000000-0005-0000-0000-00006B000000}"/>
    <cellStyle name="Normal 8" xfId="108" xr:uid="{00000000-0005-0000-0000-00006C000000}"/>
    <cellStyle name="Normal 9" xfId="109" xr:uid="{00000000-0005-0000-0000-00006D000000}"/>
    <cellStyle name="Pivot Table Category" xfId="110" xr:uid="{00000000-0005-0000-0000-00006E000000}"/>
    <cellStyle name="Pivot Table Corner" xfId="111" xr:uid="{00000000-0005-0000-0000-00006F000000}"/>
    <cellStyle name="Pivot Table Field" xfId="112" xr:uid="{00000000-0005-0000-0000-000070000000}"/>
    <cellStyle name="Pivot Table Result" xfId="113" xr:uid="{00000000-0005-0000-0000-000071000000}"/>
    <cellStyle name="Pivot Table Title" xfId="114" xr:uid="{00000000-0005-0000-0000-000072000000}"/>
    <cellStyle name="Pivot Table Value" xfId="115" xr:uid="{00000000-0005-0000-0000-000073000000}"/>
    <cellStyle name="Porcentaje 2" xfId="116" xr:uid="{00000000-0005-0000-0000-000074000000}"/>
    <cellStyle name="Porcentaje 2 2" xfId="117" xr:uid="{00000000-0005-0000-0000-000075000000}"/>
    <cellStyle name="Porcentaje 2 2 2" xfId="118" xr:uid="{00000000-0005-0000-0000-000076000000}"/>
    <cellStyle name="Porcentaje 2 2 2 2" xfId="119" xr:uid="{00000000-0005-0000-0000-000077000000}"/>
    <cellStyle name="Porcentaje 3" xfId="120" xr:uid="{00000000-0005-0000-0000-000078000000}"/>
    <cellStyle name="Porcentaje 5" xfId="121" xr:uid="{00000000-0005-0000-0000-000079000000}"/>
    <cellStyle name="Porcentaje 5 2" xfId="122" xr:uid="{00000000-0005-0000-0000-00007A000000}"/>
    <cellStyle name="Porcentual 2" xfId="123" xr:uid="{00000000-0005-0000-0000-00007B000000}"/>
  </cellStyles>
  <dxfs count="107"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vertAlign val="baseline"/>
        <color rgb="FF0000FF"/>
        <name val="Aptos Narrow"/>
        <family val="2"/>
        <charset val="1"/>
      </font>
      <alignment horizontal="center"/>
    </dxf>
    <dxf>
      <font>
        <strike val="0"/>
        <outline val="0"/>
        <shadow val="0"/>
        <vertAlign val="baseline"/>
        <color rgb="FF0000FF"/>
        <name val="Aptos Narrow"/>
        <family val="2"/>
        <charset val="1"/>
      </font>
      <alignment horizontal="center"/>
    </dxf>
    <dxf>
      <font>
        <strike val="0"/>
        <condense val="0"/>
        <extend val="0"/>
        <outline val="0"/>
        <shadow val="0"/>
        <vertAlign val="baseline"/>
        <sz val="9"/>
        <color rgb="FF0000FF"/>
        <name val="Aptos Narrow"/>
        <family val="2"/>
        <charset val="1"/>
      </font>
      <numFmt numFmtId="19" formatCode="m/d/yyyy"/>
      <alignment horizontal="center" vertical="bottom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2F2F2"/>
      <rgbColor rgb="FF0000FF"/>
      <rgbColor rgb="FFFFFF00"/>
      <rgbColor rgb="FFFF00FF"/>
      <rgbColor rgb="FFC6EFCE"/>
      <rgbColor rgb="FF8B0000"/>
      <rgbColor rgb="FF008000"/>
      <rgbColor rgb="FF000080"/>
      <rgbColor rgb="FF7F7F7F"/>
      <rgbColor rgb="FFC00000"/>
      <rgbColor rgb="FF00843B"/>
      <rgbColor rgb="FFBFBFBF"/>
      <rgbColor rgb="FF808080"/>
      <rgbColor rgb="FFD9E1F2"/>
      <rgbColor rgb="FF7030A0"/>
      <rgbColor rgb="FFFFFFCC"/>
      <rgbColor rgb="FFCAEEFB"/>
      <rgbColor rgb="FF660066"/>
      <rgbColor rgb="FFD6E4F0"/>
      <rgbColor rgb="FF0066CC"/>
      <rgbColor rgb="FFCCCCCC"/>
      <rgbColor rgb="FF000080"/>
      <rgbColor rgb="FFFF00FF"/>
      <rgbColor rgb="FFFFF7CD"/>
      <rgbColor rgb="FFE2EFDA"/>
      <rgbColor rgb="FF800080"/>
      <rgbColor rgb="FF9C0006"/>
      <rgbColor rgb="FF156082"/>
      <rgbColor rgb="FF0000FF"/>
      <rgbColor rgb="FF00B050"/>
      <rgbColor rgb="FFEBF5FB"/>
      <rgbColor rgb="FFCCFFCC"/>
      <rgbColor rgb="FFFFFF99"/>
      <rgbColor rgb="FFA6CAEC"/>
      <rgbColor rgb="FFFFC7CE"/>
      <rgbColor rgb="FFD9D9D9"/>
      <rgbColor rgb="FFF4CCCC"/>
      <rgbColor rgb="FF2E75B6"/>
      <rgbColor rgb="FF84E291"/>
      <rgbColor rgb="FFC2F1C8"/>
      <rgbColor rgb="FFFFC000"/>
      <rgbColor rgb="FFD9EAD3"/>
      <rgbColor rgb="FFFFF2CC"/>
      <rgbColor rgb="FF606060"/>
      <rgbColor rgb="FFA6A6A6"/>
      <rgbColor rgb="FF1F3864"/>
      <rgbColor rgb="FF4EA72E"/>
      <rgbColor rgb="FF006100"/>
      <rgbColor rgb="FF1B2A4A"/>
      <rgbColor rgb="FF9E2A2B"/>
      <rgbColor rgb="FF595959"/>
      <rgbColor rgb="FF1F4E78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8" displayName="Tabla18" ref="A1:X853" totalsRowShown="0">
  <autoFilter ref="A1:X853" xr:uid="{00000000-0009-0000-0100-000001000000}"/>
  <tableColumns count="24">
    <tableColumn id="1" xr3:uid="{00000000-0010-0000-0000-000001000000}" name="Rubro"/>
    <tableColumn id="2" xr3:uid="{00000000-0010-0000-0000-000002000000}" name="MT/MO"/>
    <tableColumn id="6" xr3:uid="{00000000-0010-0000-0000-000006000000}" name="Mes" dataDxfId="106"/>
    <tableColumn id="3" xr3:uid="{00000000-0010-0000-0000-000003000000}" name="Cuenta"/>
    <tableColumn id="4" xr3:uid="{00000000-0010-0000-0000-000004000000}" name="Descripción de Cuenta"/>
    <tableColumn id="5" xr3:uid="{00000000-0010-0000-0000-000005000000}" name="Fecha Asiento"/>
    <tableColumn id="7" xr3:uid="{00000000-0010-0000-0000-000007000000}" name="Número de Asiento"/>
    <tableColumn id="8" xr3:uid="{00000000-0010-0000-0000-000008000000}" name="Observaciones"/>
    <tableColumn id="9" xr3:uid="{00000000-0010-0000-0000-000009000000}" name="Cliente / Proveedor"/>
    <tableColumn id="10" xr3:uid="{00000000-0010-0000-0000-00000A000000}" name="Código de Comprobante"/>
    <tableColumn id="11" xr3:uid="{00000000-0010-0000-0000-00000B000000}" name="Número de comprobante"/>
    <tableColumn id="12" xr3:uid="{00000000-0010-0000-0000-00000C000000}" name="Debe"/>
    <tableColumn id="13" xr3:uid="{00000000-0010-0000-0000-00000D000000}" name="Haber"/>
    <tableColumn id="14" xr3:uid="{00000000-0010-0000-0000-00000E000000}" name="Unidad"/>
    <tableColumn id="15" xr3:uid="{00000000-0010-0000-0000-00000F000000}" name="Descripción de Unidad"/>
    <tableColumn id="16" xr3:uid="{00000000-0010-0000-0000-000010000000}" name="Centro de Costo"/>
    <tableColumn id="17" xr3:uid="{00000000-0010-0000-0000-000011000000}" name="Descripción de Centro de Costo"/>
    <tableColumn id="18" xr3:uid="{00000000-0010-0000-0000-000012000000}" name="Saldo Inicial"/>
    <tableColumn id="19" xr3:uid="{00000000-0010-0000-0000-000013000000}" name="Monto Descontado"/>
    <tableColumn id="20" xr3:uid="{00000000-0010-0000-0000-000014000000}" name="Monto Real"/>
    <tableColumn id="21" xr3:uid="{00000000-0010-0000-0000-000015000000}" name="Contrato" dataDxfId="105"/>
    <tableColumn id="22" xr3:uid="{00000000-0010-0000-0000-000016000000}" name="Monto CAC" dataDxfId="104"/>
    <tableColumn id="23" xr3:uid="{00000000-0010-0000-0000-000017000000}" name="Monto Base"/>
    <tableColumn id="24" xr3:uid="{00000000-0010-0000-0000-000018000000}" name="En Ppt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0"/>
  <sheetViews>
    <sheetView zoomScaleNormal="100" workbookViewId="0">
      <selection activeCell="C19" sqref="C19"/>
    </sheetView>
  </sheetViews>
  <sheetFormatPr defaultColWidth="8.54296875" defaultRowHeight="13" x14ac:dyDescent="0.3"/>
  <cols>
    <col min="1" max="1" width="25" style="2" customWidth="1"/>
    <col min="2" max="2" width="15.453125" style="2" customWidth="1"/>
    <col min="3" max="3" width="50" style="2" customWidth="1"/>
    <col min="4" max="7" width="8.54296875" style="2" customWidth="1"/>
    <col min="8" max="16384" width="8.54296875" style="2"/>
  </cols>
  <sheetData>
    <row r="1" spans="1:3" ht="15" customHeight="1" x14ac:dyDescent="0.3">
      <c r="A1" s="16" t="s">
        <v>3963</v>
      </c>
      <c r="B1" s="16"/>
      <c r="C1" s="16"/>
    </row>
    <row r="3" spans="1:3" ht="15" customHeight="1" x14ac:dyDescent="0.3">
      <c r="A3" s="3" t="s">
        <v>3964</v>
      </c>
      <c r="B3" s="4" t="s">
        <v>3965</v>
      </c>
    </row>
    <row r="4" spans="1:3" ht="15" customHeight="1" x14ac:dyDescent="0.3">
      <c r="A4" s="3" t="s">
        <v>3966</v>
      </c>
      <c r="B4" s="4" t="s">
        <v>3967</v>
      </c>
    </row>
    <row r="5" spans="1:3" ht="15" customHeight="1" x14ac:dyDescent="0.3">
      <c r="A5" s="3" t="s">
        <v>3968</v>
      </c>
      <c r="B5" s="5">
        <v>45689</v>
      </c>
      <c r="C5" s="6" t="s">
        <v>3969</v>
      </c>
    </row>
    <row r="6" spans="1:3" ht="14.25" customHeight="1" x14ac:dyDescent="0.3">
      <c r="A6" s="3" t="s">
        <v>3970</v>
      </c>
      <c r="B6" s="7">
        <v>18</v>
      </c>
      <c r="C6" s="6" t="s">
        <v>3971</v>
      </c>
    </row>
    <row r="7" spans="1:3" ht="15" customHeight="1" x14ac:dyDescent="0.3">
      <c r="A7" s="8" t="s">
        <v>3972</v>
      </c>
    </row>
    <row r="8" spans="1:3" ht="15" customHeight="1" x14ac:dyDescent="0.3">
      <c r="A8" s="3" t="s">
        <v>3973</v>
      </c>
      <c r="B8" s="9">
        <f>'0_Indice_CAC'!A4</f>
        <v>45627</v>
      </c>
      <c r="C8" s="4" t="s">
        <v>3974</v>
      </c>
    </row>
    <row r="9" spans="1:3" ht="15" customHeight="1" x14ac:dyDescent="0.3">
      <c r="A9" s="3" t="s">
        <v>3975</v>
      </c>
      <c r="B9" s="10">
        <f>'0_Indice_CAC'!B4</f>
        <v>15356.4</v>
      </c>
      <c r="C9" s="4" t="s">
        <v>3976</v>
      </c>
    </row>
    <row r="10" spans="1:3" ht="15" customHeight="1" x14ac:dyDescent="0.3">
      <c r="A10" s="3" t="s">
        <v>3977</v>
      </c>
      <c r="B10" s="9">
        <f>INDEX('0_Indice_CAC'!A:A,MATCH(1E+300,'0_Indice_CAC'!B:B))</f>
        <v>46174</v>
      </c>
      <c r="C10" s="4" t="s">
        <v>3978</v>
      </c>
    </row>
    <row r="11" spans="1:3" ht="15" customHeight="1" x14ac:dyDescent="0.3">
      <c r="A11" s="3" t="s">
        <v>3979</v>
      </c>
      <c r="B11" s="4">
        <f>MIN('0_Indice_CAC'!D:D)</f>
        <v>0.79437458588258192</v>
      </c>
      <c r="C11" s="4" t="s">
        <v>3980</v>
      </c>
    </row>
    <row r="13" spans="1:3" ht="15" customHeight="1" x14ac:dyDescent="0.3">
      <c r="A13" s="8" t="s">
        <v>3981</v>
      </c>
    </row>
    <row r="14" spans="1:3" ht="15" customHeight="1" x14ac:dyDescent="0.3">
      <c r="A14" s="3" t="s">
        <v>3982</v>
      </c>
      <c r="B14" s="11">
        <f>'1_GGBB'!F67</f>
        <v>1.4355353179385526</v>
      </c>
      <c r="C14" s="4" t="s">
        <v>3983</v>
      </c>
    </row>
    <row r="15" spans="1:3" ht="15" customHeight="1" x14ac:dyDescent="0.3">
      <c r="A15" s="3" t="s">
        <v>3984</v>
      </c>
      <c r="B15" s="11">
        <f>'1_GGBB'!F65</f>
        <v>0.43553531793855249</v>
      </c>
      <c r="C15" s="4" t="s">
        <v>3985</v>
      </c>
    </row>
    <row r="17" spans="1:3" ht="15" customHeight="1" x14ac:dyDescent="0.3">
      <c r="A17" s="8" t="s">
        <v>3986</v>
      </c>
    </row>
    <row r="18" spans="1:3" ht="15" customHeight="1" x14ac:dyDescent="0.3">
      <c r="A18" s="3" t="s">
        <v>3987</v>
      </c>
      <c r="B18" s="12">
        <f>SUMPRODUCT(('1_Presupuesto'!$K$5:$K$227+'1_Presupuesto'!$L$5:$L$227+'1_Presupuesto'!$M$5:$M$227)*'1_Presupuesto'!$J$5:$J$227)</f>
        <v>994598033.29087734</v>
      </c>
      <c r="C18" s="4" t="s">
        <v>3988</v>
      </c>
    </row>
    <row r="19" spans="1:3" ht="15" customHeight="1" x14ac:dyDescent="0.3">
      <c r="A19" s="3" t="s">
        <v>3989</v>
      </c>
      <c r="B19" s="12">
        <f>SUMPRODUCT('1_Presupuesto'!$O$5:$O$227*'1_Presupuesto'!$J$5:$J$227)*B14</f>
        <v>1458753139.7967503</v>
      </c>
      <c r="C19" s="4" t="s">
        <v>3990</v>
      </c>
    </row>
    <row r="20" spans="1:3" ht="14.25" customHeight="1" x14ac:dyDescent="0.3">
      <c r="A20" s="561" t="s">
        <v>3991</v>
      </c>
      <c r="B20" s="560">
        <f>SUMPRODUCT('1_Presupuesto'!$P$5:$P$227*'1_Presupuesto'!$J$5:$J$227)-B19</f>
        <v>0</v>
      </c>
      <c r="C20" s="6"/>
    </row>
    <row r="21" spans="1:3" ht="15" customHeight="1" x14ac:dyDescent="0.3">
      <c r="A21" s="8" t="s">
        <v>3992</v>
      </c>
    </row>
    <row r="22" spans="1:3" ht="15" customHeight="1" x14ac:dyDescent="0.3">
      <c r="A22" s="3" t="s">
        <v>3993</v>
      </c>
      <c r="B22" s="4" t="s">
        <v>3994</v>
      </c>
    </row>
    <row r="23" spans="1:3" ht="15" customHeight="1" x14ac:dyDescent="0.3">
      <c r="A23" s="3" t="s">
        <v>3995</v>
      </c>
      <c r="B23" s="4" t="s">
        <v>3996</v>
      </c>
    </row>
    <row r="24" spans="1:3" ht="15" customHeight="1" x14ac:dyDescent="0.3">
      <c r="A24" s="3" t="s">
        <v>3997</v>
      </c>
      <c r="B24" s="4" t="s">
        <v>3998</v>
      </c>
    </row>
    <row r="25" spans="1:3" ht="15" customHeight="1" x14ac:dyDescent="0.3">
      <c r="A25" s="3" t="s">
        <v>3999</v>
      </c>
      <c r="B25" s="4" t="s">
        <v>4000</v>
      </c>
    </row>
    <row r="27" spans="1:3" ht="15" customHeight="1" x14ac:dyDescent="0.3">
      <c r="A27" s="8" t="s">
        <v>4001</v>
      </c>
    </row>
    <row r="28" spans="1:3" ht="15" customHeight="1" x14ac:dyDescent="0.3">
      <c r="A28" s="3" t="s">
        <v>4002</v>
      </c>
      <c r="B28" s="4" t="s">
        <v>4003</v>
      </c>
    </row>
    <row r="29" spans="1:3" ht="15" customHeight="1" x14ac:dyDescent="0.3">
      <c r="A29" s="3" t="s">
        <v>4004</v>
      </c>
      <c r="B29" s="4" t="s">
        <v>4005</v>
      </c>
    </row>
    <row r="30" spans="1:3" ht="15" customHeight="1" x14ac:dyDescent="0.3">
      <c r="A30" s="3" t="s">
        <v>4006</v>
      </c>
      <c r="B30" s="4" t="s">
        <v>4007</v>
      </c>
    </row>
    <row r="31" spans="1:3" ht="15" customHeight="1" x14ac:dyDescent="0.3">
      <c r="A31" s="3" t="s">
        <v>4008</v>
      </c>
      <c r="B31" s="4" t="s">
        <v>4009</v>
      </c>
    </row>
    <row r="32" spans="1:3" ht="15" customHeight="1" x14ac:dyDescent="0.3">
      <c r="A32" s="3" t="s">
        <v>4010</v>
      </c>
      <c r="B32" s="4" t="s">
        <v>4011</v>
      </c>
    </row>
    <row r="34" spans="1:2" ht="14.25" customHeight="1" x14ac:dyDescent="0.3">
      <c r="A34" s="8" t="s">
        <v>4012</v>
      </c>
    </row>
    <row r="35" spans="1:2" ht="14.25" customHeight="1" x14ac:dyDescent="0.3">
      <c r="A35" s="3" t="s">
        <v>4013</v>
      </c>
      <c r="B35" s="4" t="s">
        <v>4014</v>
      </c>
    </row>
    <row r="36" spans="1:2" ht="14.25" customHeight="1" x14ac:dyDescent="0.3">
      <c r="A36" s="3" t="s">
        <v>4015</v>
      </c>
      <c r="B36" s="4" t="s">
        <v>4016</v>
      </c>
    </row>
    <row r="37" spans="1:2" ht="14.25" customHeight="1" x14ac:dyDescent="0.3">
      <c r="A37" s="3" t="s">
        <v>4017</v>
      </c>
      <c r="B37" s="4" t="s">
        <v>4018</v>
      </c>
    </row>
    <row r="38" spans="1:2" ht="14.25" customHeight="1" x14ac:dyDescent="0.3">
      <c r="A38" s="3" t="s">
        <v>4019</v>
      </c>
      <c r="B38" s="4" t="s">
        <v>4020</v>
      </c>
    </row>
    <row r="39" spans="1:2" ht="14.25" customHeight="1" x14ac:dyDescent="0.3">
      <c r="A39" s="3" t="s">
        <v>4021</v>
      </c>
      <c r="B39" s="4" t="s">
        <v>4022</v>
      </c>
    </row>
    <row r="40" spans="1:2" ht="14.25" customHeight="1" x14ac:dyDescent="0.3">
      <c r="A40" s="8" t="s">
        <v>4023</v>
      </c>
    </row>
    <row r="41" spans="1:2" ht="14.25" customHeight="1" x14ac:dyDescent="0.3">
      <c r="A41" s="3" t="s">
        <v>4024</v>
      </c>
      <c r="B41" s="4" t="s">
        <v>4025</v>
      </c>
    </row>
    <row r="42" spans="1:2" ht="14.25" customHeight="1" x14ac:dyDescent="0.3">
      <c r="A42" s="3" t="s">
        <v>4026</v>
      </c>
      <c r="B42" s="4" t="s">
        <v>4027</v>
      </c>
    </row>
    <row r="43" spans="1:2" ht="14.25" customHeight="1" x14ac:dyDescent="0.3">
      <c r="A43" s="3" t="s">
        <v>4028</v>
      </c>
      <c r="B43" s="4" t="s">
        <v>4029</v>
      </c>
    </row>
    <row r="44" spans="1:2" ht="14.25" customHeight="1" x14ac:dyDescent="0.3">
      <c r="A44" s="3" t="s">
        <v>4030</v>
      </c>
      <c r="B44" s="4" t="s">
        <v>4031</v>
      </c>
    </row>
    <row r="45" spans="1:2" ht="14.25" customHeight="1" x14ac:dyDescent="0.3">
      <c r="A45" s="3" t="s">
        <v>4032</v>
      </c>
      <c r="B45" s="4" t="s">
        <v>4033</v>
      </c>
    </row>
    <row r="46" spans="1:2" ht="14.25" customHeight="1" x14ac:dyDescent="0.3">
      <c r="A46" s="3" t="s">
        <v>4034</v>
      </c>
      <c r="B46" s="4" t="s">
        <v>4035</v>
      </c>
    </row>
    <row r="49" spans="1:3" ht="14.25" customHeight="1" x14ac:dyDescent="0.3">
      <c r="A49" s="8" t="s">
        <v>4036</v>
      </c>
    </row>
    <row r="50" spans="1:3" ht="14.25" customHeight="1" x14ac:dyDescent="0.3">
      <c r="A50" s="3" t="s">
        <v>4037</v>
      </c>
      <c r="B50" s="13">
        <f ca="1">SUMIFS(Tabla18[Monto Real],Tabla18[Mes],DATE(YEAR(TODAY()),MONTH(TODAY()),1))</f>
        <v>0</v>
      </c>
      <c r="C50" s="6" t="s">
        <v>4038</v>
      </c>
    </row>
    <row r="51" spans="1:3" ht="14.25" customHeight="1" x14ac:dyDescent="0.3">
      <c r="A51" s="3" t="s">
        <v>4039</v>
      </c>
      <c r="B51" s="14"/>
      <c r="C51" s="6" t="s">
        <v>4040</v>
      </c>
    </row>
    <row r="52" spans="1:3" ht="14.25" customHeight="1" x14ac:dyDescent="0.3">
      <c r="A52" s="3" t="s">
        <v>4041</v>
      </c>
      <c r="B52" s="15">
        <f ca="1">B50-IF(B51="",B50,B51)</f>
        <v>0</v>
      </c>
      <c r="C52" s="6" t="s">
        <v>4042</v>
      </c>
    </row>
    <row r="54" spans="1:3" ht="14.25" customHeight="1" x14ac:dyDescent="0.3">
      <c r="A54" s="8" t="s">
        <v>4043</v>
      </c>
    </row>
    <row r="55" spans="1:3" ht="14.25" customHeight="1" x14ac:dyDescent="0.3">
      <c r="A55" s="3" t="s">
        <v>4044</v>
      </c>
      <c r="B55" s="4" t="s">
        <v>4045</v>
      </c>
    </row>
    <row r="56" spans="1:3" ht="14.25" customHeight="1" x14ac:dyDescent="0.3">
      <c r="A56" s="3" t="s">
        <v>4046</v>
      </c>
      <c r="B56" s="4" t="s">
        <v>4047</v>
      </c>
    </row>
    <row r="57" spans="1:3" ht="14.25" customHeight="1" x14ac:dyDescent="0.3">
      <c r="A57" s="3" t="s">
        <v>4048</v>
      </c>
      <c r="B57" s="4" t="s">
        <v>4049</v>
      </c>
    </row>
    <row r="58" spans="1:3" ht="14.25" customHeight="1" x14ac:dyDescent="0.3">
      <c r="A58" s="3" t="s">
        <v>4050</v>
      </c>
      <c r="B58" s="4" t="s">
        <v>4051</v>
      </c>
    </row>
    <row r="59" spans="1:3" ht="14.25" customHeight="1" x14ac:dyDescent="0.3">
      <c r="A59" s="3" t="s">
        <v>4052</v>
      </c>
      <c r="B59" s="4" t="s">
        <v>4053</v>
      </c>
    </row>
    <row r="60" spans="1:3" ht="14.25" customHeight="1" x14ac:dyDescent="0.3">
      <c r="A60" s="3" t="s">
        <v>4054</v>
      </c>
      <c r="B60" s="4" t="s">
        <v>4055</v>
      </c>
    </row>
    <row r="61" spans="1:3" ht="14.25" customHeight="1" x14ac:dyDescent="0.3">
      <c r="A61" s="3" t="s">
        <v>4056</v>
      </c>
      <c r="B61" s="4" t="s">
        <v>4057</v>
      </c>
    </row>
    <row r="62" spans="1:3" ht="14.25" customHeight="1" x14ac:dyDescent="0.3">
      <c r="A62" s="3" t="s">
        <v>4058</v>
      </c>
    </row>
    <row r="63" spans="1:3" ht="14.25" customHeight="1" x14ac:dyDescent="0.3">
      <c r="A63" s="2" t="s">
        <v>4059</v>
      </c>
      <c r="B63" s="2" t="s">
        <v>4060</v>
      </c>
    </row>
    <row r="64" spans="1:3" ht="14.25" customHeight="1" x14ac:dyDescent="0.3">
      <c r="A64" s="2" t="s">
        <v>4061</v>
      </c>
      <c r="B64" s="2" t="s">
        <v>4062</v>
      </c>
    </row>
    <row r="67" spans="1:2" ht="14.25" customHeight="1" x14ac:dyDescent="0.3">
      <c r="A67" s="3" t="s">
        <v>4063</v>
      </c>
    </row>
    <row r="68" spans="1:2" ht="14.25" customHeight="1" x14ac:dyDescent="0.3">
      <c r="A68" s="2" t="s">
        <v>4064</v>
      </c>
      <c r="B68" s="2" t="s">
        <v>4065</v>
      </c>
    </row>
    <row r="69" spans="1:2" ht="14.25" customHeight="1" x14ac:dyDescent="0.3">
      <c r="A69" s="2" t="s">
        <v>4066</v>
      </c>
      <c r="B69" s="2" t="s">
        <v>4067</v>
      </c>
    </row>
    <row r="70" spans="1:2" ht="14.25" customHeight="1" x14ac:dyDescent="0.3">
      <c r="A70" s="2" t="s">
        <v>4068</v>
      </c>
      <c r="B70" s="2" t="s">
        <v>4069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D33"/>
  <sheetViews>
    <sheetView showGridLines="0" topLeftCell="A42" zoomScaleNormal="100" workbookViewId="0"/>
  </sheetViews>
  <sheetFormatPr defaultColWidth="8.7265625" defaultRowHeight="13" x14ac:dyDescent="0.3"/>
  <cols>
    <col min="1" max="1" width="12.90625" style="2" customWidth="1"/>
    <col min="2" max="2" width="10.54296875" style="2" customWidth="1"/>
    <col min="3" max="3" width="11.453125" style="2" customWidth="1"/>
    <col min="4" max="4" width="7.81640625" style="2" customWidth="1"/>
    <col min="5" max="8" width="8.7265625" style="2" customWidth="1"/>
    <col min="9" max="16384" width="8.7265625" style="2"/>
  </cols>
  <sheetData>
    <row r="1" spans="1:4" ht="12.75" customHeight="1" x14ac:dyDescent="0.3">
      <c r="A1" s="16" t="s">
        <v>4070</v>
      </c>
      <c r="B1" s="16"/>
      <c r="C1" s="16"/>
      <c r="D1" s="16"/>
    </row>
    <row r="2" spans="1:4" ht="12.75" customHeight="1" x14ac:dyDescent="0.3">
      <c r="A2" s="321"/>
      <c r="B2" s="321"/>
      <c r="C2" s="321"/>
      <c r="D2" s="321"/>
    </row>
    <row r="3" spans="1:4" ht="25.5" customHeight="1" x14ac:dyDescent="0.3">
      <c r="A3" s="254" t="s">
        <v>4071</v>
      </c>
      <c r="B3" s="254" t="s">
        <v>4072</v>
      </c>
      <c r="C3" s="254" t="s">
        <v>4073</v>
      </c>
      <c r="D3" s="254" t="s">
        <v>4074</v>
      </c>
    </row>
    <row r="4" spans="1:4" ht="12.75" customHeight="1" x14ac:dyDescent="0.3">
      <c r="A4" s="325">
        <v>45627</v>
      </c>
      <c r="B4" s="326">
        <v>15356.4</v>
      </c>
      <c r="C4" s="326"/>
      <c r="D4" s="327">
        <f t="shared" ref="D4:D22" si="0">$B$4/B4</f>
        <v>1</v>
      </c>
    </row>
    <row r="5" spans="1:4" ht="12.75" customHeight="1" x14ac:dyDescent="0.3">
      <c r="A5" s="325">
        <v>45658</v>
      </c>
      <c r="B5" s="326">
        <v>15592.5</v>
      </c>
      <c r="C5" s="326"/>
      <c r="D5" s="327">
        <f t="shared" si="0"/>
        <v>0.98485810485810488</v>
      </c>
    </row>
    <row r="6" spans="1:4" ht="12.75" customHeight="1" x14ac:dyDescent="0.3">
      <c r="A6" s="325">
        <v>45689</v>
      </c>
      <c r="B6" s="326">
        <v>15852.4</v>
      </c>
      <c r="C6" s="326"/>
      <c r="D6" s="327">
        <f t="shared" si="0"/>
        <v>0.96871136231737776</v>
      </c>
    </row>
    <row r="7" spans="1:4" ht="12.75" customHeight="1" x14ac:dyDescent="0.3">
      <c r="A7" s="325">
        <v>45717</v>
      </c>
      <c r="B7" s="326">
        <v>15995.4</v>
      </c>
      <c r="C7" s="326"/>
      <c r="D7" s="327">
        <f t="shared" si="0"/>
        <v>0.96005101466671672</v>
      </c>
    </row>
    <row r="8" spans="1:4" ht="12.75" customHeight="1" x14ac:dyDescent="0.3">
      <c r="A8" s="325">
        <v>45748</v>
      </c>
      <c r="B8" s="326">
        <v>16253.5</v>
      </c>
      <c r="C8" s="326"/>
      <c r="D8" s="327">
        <f t="shared" si="0"/>
        <v>0.94480573414956781</v>
      </c>
    </row>
    <row r="9" spans="1:4" ht="12.75" customHeight="1" x14ac:dyDescent="0.3">
      <c r="A9" s="325">
        <v>45778</v>
      </c>
      <c r="B9" s="326">
        <v>16521.3</v>
      </c>
      <c r="C9" s="326"/>
      <c r="D9" s="327">
        <f t="shared" si="0"/>
        <v>0.92949102068239187</v>
      </c>
    </row>
    <row r="10" spans="1:4" ht="12.75" customHeight="1" x14ac:dyDescent="0.3">
      <c r="A10" s="325">
        <v>45809</v>
      </c>
      <c r="B10" s="326">
        <v>16643.400000000001</v>
      </c>
      <c r="C10" s="326"/>
      <c r="D10" s="327">
        <f t="shared" si="0"/>
        <v>0.922672050182054</v>
      </c>
    </row>
    <row r="11" spans="1:4" ht="12.75" customHeight="1" x14ac:dyDescent="0.3">
      <c r="A11" s="325">
        <v>45839</v>
      </c>
      <c r="B11" s="326">
        <v>16939.5</v>
      </c>
      <c r="C11" s="326"/>
      <c r="D11" s="327">
        <f t="shared" si="0"/>
        <v>0.90654387673780212</v>
      </c>
    </row>
    <row r="12" spans="1:4" ht="12.75" customHeight="1" x14ac:dyDescent="0.3">
      <c r="A12" s="325">
        <v>45870</v>
      </c>
      <c r="B12" s="326">
        <v>17187.599999999999</v>
      </c>
      <c r="C12" s="326"/>
      <c r="D12" s="327">
        <f t="shared" si="0"/>
        <v>0.89345807442574887</v>
      </c>
    </row>
    <row r="13" spans="1:4" ht="12.75" customHeight="1" x14ac:dyDescent="0.3">
      <c r="A13" s="325">
        <v>45901</v>
      </c>
      <c r="B13" s="326">
        <v>17762.3</v>
      </c>
      <c r="C13" s="326"/>
      <c r="D13" s="327">
        <f t="shared" si="0"/>
        <v>0.86455019901701924</v>
      </c>
    </row>
    <row r="14" spans="1:4" ht="12.75" customHeight="1" x14ac:dyDescent="0.3">
      <c r="A14" s="325">
        <v>45931</v>
      </c>
      <c r="B14" s="326">
        <v>18172.8</v>
      </c>
      <c r="C14" s="326"/>
      <c r="D14" s="327">
        <f t="shared" si="0"/>
        <v>0.84502113048071847</v>
      </c>
    </row>
    <row r="15" spans="1:4" ht="12.75" customHeight="1" x14ac:dyDescent="0.3">
      <c r="A15" s="325">
        <v>45962</v>
      </c>
      <c r="B15" s="326">
        <v>18534.900000000001</v>
      </c>
      <c r="C15" s="326"/>
      <c r="D15" s="327">
        <f t="shared" si="0"/>
        <v>0.82851269766764313</v>
      </c>
    </row>
    <row r="16" spans="1:4" ht="12.75" customHeight="1" x14ac:dyDescent="0.3">
      <c r="A16" s="325">
        <v>45992</v>
      </c>
      <c r="B16" s="326">
        <v>18993.891329896</v>
      </c>
      <c r="C16" s="328">
        <v>18993.891329896</v>
      </c>
      <c r="D16" s="327">
        <f t="shared" si="0"/>
        <v>0.8084915162081262</v>
      </c>
    </row>
    <row r="17" spans="1:4" ht="12.75" customHeight="1" x14ac:dyDescent="0.3">
      <c r="A17" s="325">
        <v>46023</v>
      </c>
      <c r="B17" s="326">
        <v>19331.4341532445</v>
      </c>
      <c r="C17" s="328">
        <v>19331.4341532445</v>
      </c>
      <c r="D17" s="327">
        <f t="shared" si="0"/>
        <v>0.79437458588258192</v>
      </c>
    </row>
    <row r="18" spans="1:4" ht="12.75" customHeight="1" x14ac:dyDescent="0.3">
      <c r="A18" s="325">
        <v>46054</v>
      </c>
      <c r="B18" s="326">
        <v>19331.4341532445</v>
      </c>
      <c r="C18" s="326"/>
      <c r="D18" s="327">
        <f t="shared" si="0"/>
        <v>0.79437458588258192</v>
      </c>
    </row>
    <row r="19" spans="1:4" ht="12.75" customHeight="1" x14ac:dyDescent="0.3">
      <c r="A19" s="325">
        <v>46082</v>
      </c>
      <c r="B19" s="326">
        <v>19331.4341532445</v>
      </c>
      <c r="C19" s="326"/>
      <c r="D19" s="327">
        <f t="shared" si="0"/>
        <v>0.79437458588258192</v>
      </c>
    </row>
    <row r="20" spans="1:4" ht="12.75" customHeight="1" x14ac:dyDescent="0.3">
      <c r="A20" s="325">
        <v>46113</v>
      </c>
      <c r="B20" s="326">
        <v>19331.4341532445</v>
      </c>
      <c r="C20" s="326"/>
      <c r="D20" s="327">
        <f t="shared" si="0"/>
        <v>0.79437458588258192</v>
      </c>
    </row>
    <row r="21" spans="1:4" ht="12.75" customHeight="1" x14ac:dyDescent="0.3">
      <c r="A21" s="325">
        <v>46143</v>
      </c>
      <c r="B21" s="326">
        <v>19331.4341532445</v>
      </c>
      <c r="C21" s="326"/>
      <c r="D21" s="327">
        <f t="shared" si="0"/>
        <v>0.79437458588258192</v>
      </c>
    </row>
    <row r="22" spans="1:4" ht="12.75" customHeight="1" x14ac:dyDescent="0.3">
      <c r="A22" s="325">
        <v>46174</v>
      </c>
      <c r="B22" s="326">
        <v>19331.4341532445</v>
      </c>
      <c r="C22" s="326"/>
      <c r="D22" s="327">
        <f t="shared" si="0"/>
        <v>0.79437458588258192</v>
      </c>
    </row>
    <row r="23" spans="1:4" ht="12.75" customHeight="1" x14ac:dyDescent="0.3">
      <c r="A23" s="325"/>
      <c r="B23" s="326"/>
      <c r="C23" s="326"/>
      <c r="D23" s="327"/>
    </row>
    <row r="24" spans="1:4" ht="12.75" customHeight="1" x14ac:dyDescent="0.3">
      <c r="A24" s="325"/>
      <c r="B24" s="326"/>
      <c r="C24" s="326"/>
      <c r="D24" s="327"/>
    </row>
    <row r="25" spans="1:4" ht="12.75" customHeight="1" x14ac:dyDescent="0.3">
      <c r="A25" s="325"/>
      <c r="B25" s="326"/>
      <c r="C25" s="326"/>
      <c r="D25" s="327"/>
    </row>
    <row r="26" spans="1:4" ht="12.75" customHeight="1" x14ac:dyDescent="0.3">
      <c r="A26" s="325"/>
      <c r="B26" s="326"/>
      <c r="C26" s="326"/>
      <c r="D26" s="327"/>
    </row>
    <row r="27" spans="1:4" ht="12.75" customHeight="1" x14ac:dyDescent="0.3">
      <c r="A27" s="325"/>
      <c r="B27" s="326"/>
      <c r="C27" s="326"/>
      <c r="D27" s="327"/>
    </row>
    <row r="28" spans="1:4" ht="12.75" customHeight="1" x14ac:dyDescent="0.3">
      <c r="A28" s="325"/>
      <c r="B28" s="326"/>
      <c r="C28" s="326"/>
      <c r="D28" s="327"/>
    </row>
    <row r="29" spans="1:4" ht="12.75" customHeight="1" x14ac:dyDescent="0.3">
      <c r="A29" s="325"/>
      <c r="B29" s="326"/>
      <c r="C29" s="326"/>
      <c r="D29" s="327"/>
    </row>
    <row r="30" spans="1:4" ht="12.75" customHeight="1" x14ac:dyDescent="0.3">
      <c r="A30" s="325"/>
      <c r="B30" s="326"/>
      <c r="C30" s="326"/>
      <c r="D30" s="327"/>
    </row>
    <row r="31" spans="1:4" ht="12.75" customHeight="1" x14ac:dyDescent="0.3">
      <c r="A31" s="325"/>
      <c r="B31" s="326"/>
      <c r="C31" s="326"/>
      <c r="D31" s="327"/>
    </row>
    <row r="32" spans="1:4" ht="12.75" customHeight="1" x14ac:dyDescent="0.3">
      <c r="A32" s="325"/>
      <c r="B32" s="326"/>
      <c r="C32" s="326"/>
      <c r="D32" s="327"/>
    </row>
    <row r="33" spans="1:4" ht="12.75" customHeight="1" x14ac:dyDescent="0.3">
      <c r="A33" s="325"/>
      <c r="B33" s="326"/>
      <c r="C33" s="326"/>
      <c r="D33" s="327"/>
    </row>
  </sheetData>
  <conditionalFormatting sqref="A4:A33">
    <cfRule type="timePeriod" dxfId="103" priority="2" timePeriod="lastMonth">
      <formula>AND(MONTH(A4)=MONTH(EDATE(TODAY(),0-1)),YEAR(A4)=YEAR(EDATE(TODAY(),0-1)))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M22"/>
  <sheetViews>
    <sheetView showGridLines="0" zoomScaleNormal="100" workbookViewId="0"/>
  </sheetViews>
  <sheetFormatPr defaultColWidth="8.6328125" defaultRowHeight="13" x14ac:dyDescent="0.3"/>
  <cols>
    <col min="1" max="1" width="14" style="2" customWidth="1"/>
    <col min="2" max="5" width="12.26953125" style="2" customWidth="1"/>
    <col min="6" max="6" width="4.90625" style="2" customWidth="1"/>
    <col min="7" max="10" width="11.7265625" style="2" customWidth="1"/>
    <col min="11" max="14" width="8.6328125" style="2" customWidth="1"/>
    <col min="15" max="16384" width="8.6328125" style="2"/>
  </cols>
  <sheetData>
    <row r="1" spans="1:13" ht="15" customHeight="1" x14ac:dyDescent="0.3">
      <c r="A1" s="16" t="s">
        <v>4075</v>
      </c>
      <c r="B1" s="16"/>
      <c r="C1" s="16"/>
      <c r="D1" s="16"/>
      <c r="E1" s="16"/>
      <c r="F1" s="16"/>
      <c r="G1" s="16"/>
      <c r="H1" s="16"/>
      <c r="I1" s="16"/>
      <c r="J1" s="16"/>
      <c r="L1" s="17"/>
      <c r="M1" s="17"/>
    </row>
    <row r="2" spans="1:13" x14ac:dyDescent="0.3">
      <c r="A2" s="321"/>
      <c r="B2" s="321"/>
      <c r="C2" s="321"/>
      <c r="D2" s="321"/>
      <c r="E2" s="321"/>
      <c r="F2" s="321"/>
      <c r="G2" s="321"/>
      <c r="H2" s="321"/>
      <c r="I2" s="321"/>
      <c r="J2" s="321"/>
      <c r="L2" s="17"/>
      <c r="M2" s="17"/>
    </row>
    <row r="3" spans="1:13" ht="26" customHeight="1" x14ac:dyDescent="0.3">
      <c r="A3" s="254" t="s">
        <v>4076</v>
      </c>
      <c r="B3" s="254" t="s">
        <v>4077</v>
      </c>
      <c r="C3" s="254" t="s">
        <v>4078</v>
      </c>
      <c r="D3" s="254" t="s">
        <v>4079</v>
      </c>
      <c r="E3" s="254" t="s">
        <v>4080</v>
      </c>
      <c r="G3" s="330" t="s">
        <v>4081</v>
      </c>
      <c r="H3" s="330" t="s">
        <v>4078</v>
      </c>
      <c r="I3" s="330" t="s">
        <v>4079</v>
      </c>
      <c r="J3" s="330" t="s">
        <v>4080</v>
      </c>
      <c r="L3" s="18"/>
      <c r="M3" s="18"/>
    </row>
    <row r="4" spans="1:13" ht="15" customHeight="1" x14ac:dyDescent="0.3">
      <c r="A4" s="325">
        <v>45627</v>
      </c>
      <c r="B4" s="326">
        <v>85927.1</v>
      </c>
      <c r="C4" s="326">
        <v>76955.08</v>
      </c>
      <c r="D4" s="326">
        <v>65493.07</v>
      </c>
      <c r="E4" s="326">
        <v>60860.58</v>
      </c>
      <c r="G4" s="550">
        <f t="shared" ref="G4:G21" si="0">+B4/8</f>
        <v>10740.887500000001</v>
      </c>
      <c r="H4" s="550">
        <f t="shared" ref="H4:H21" si="1">+C4/8</f>
        <v>9619.3850000000002</v>
      </c>
      <c r="I4" s="550">
        <f t="shared" ref="I4:I21" si="2">+D4/8</f>
        <v>8186.63375</v>
      </c>
      <c r="J4" s="550">
        <f t="shared" ref="J4:J21" si="3">+E4/8</f>
        <v>7607.5725000000002</v>
      </c>
    </row>
    <row r="5" spans="1:13" ht="15" customHeight="1" x14ac:dyDescent="0.3">
      <c r="A5" s="325">
        <v>45658</v>
      </c>
      <c r="B5" s="326">
        <v>87384</v>
      </c>
      <c r="C5" s="326">
        <v>78375</v>
      </c>
      <c r="D5" s="326">
        <v>66853</v>
      </c>
      <c r="E5" s="326">
        <v>61892</v>
      </c>
      <c r="G5" s="550">
        <f t="shared" si="0"/>
        <v>10923</v>
      </c>
      <c r="H5" s="550">
        <f t="shared" si="1"/>
        <v>9796.875</v>
      </c>
      <c r="I5" s="550">
        <f t="shared" si="2"/>
        <v>8356.625</v>
      </c>
      <c r="J5" s="550">
        <f t="shared" si="3"/>
        <v>7736.5</v>
      </c>
    </row>
    <row r="6" spans="1:13" ht="15" customHeight="1" x14ac:dyDescent="0.3">
      <c r="A6" s="325">
        <v>45689</v>
      </c>
      <c r="B6" s="326">
        <v>89383</v>
      </c>
      <c r="C6" s="326">
        <v>80395</v>
      </c>
      <c r="D6" s="326">
        <v>68472</v>
      </c>
      <c r="E6" s="326">
        <v>63382</v>
      </c>
      <c r="G6" s="550">
        <f t="shared" si="0"/>
        <v>11172.875</v>
      </c>
      <c r="H6" s="550">
        <f t="shared" si="1"/>
        <v>10049.375</v>
      </c>
      <c r="I6" s="550">
        <f t="shared" si="2"/>
        <v>8559</v>
      </c>
      <c r="J6" s="550">
        <f t="shared" si="3"/>
        <v>7922.75</v>
      </c>
    </row>
    <row r="7" spans="1:13" ht="15" customHeight="1" x14ac:dyDescent="0.3">
      <c r="A7" s="325">
        <v>45717</v>
      </c>
      <c r="B7" s="326">
        <v>91464</v>
      </c>
      <c r="C7" s="326">
        <v>82269</v>
      </c>
      <c r="D7" s="326">
        <v>70296</v>
      </c>
      <c r="E7" s="326">
        <v>65595</v>
      </c>
      <c r="G7" s="550">
        <f t="shared" si="0"/>
        <v>11433</v>
      </c>
      <c r="H7" s="550">
        <f t="shared" si="1"/>
        <v>10283.625</v>
      </c>
      <c r="I7" s="550">
        <f t="shared" si="2"/>
        <v>8787</v>
      </c>
      <c r="J7" s="550">
        <f t="shared" si="3"/>
        <v>8199.375</v>
      </c>
    </row>
    <row r="8" spans="1:13" ht="15" customHeight="1" x14ac:dyDescent="0.3">
      <c r="A8" s="325">
        <v>45778</v>
      </c>
      <c r="B8" s="326">
        <v>93235.366504703503</v>
      </c>
      <c r="C8" s="326">
        <v>83766.387582470707</v>
      </c>
      <c r="D8" s="326">
        <v>71410.8169819342</v>
      </c>
      <c r="E8" s="326">
        <v>66568.093871664896</v>
      </c>
      <c r="G8" s="550">
        <f t="shared" si="0"/>
        <v>11654.420813087938</v>
      </c>
      <c r="H8" s="550">
        <f t="shared" si="1"/>
        <v>10470.798447808838</v>
      </c>
      <c r="I8" s="550">
        <f t="shared" si="2"/>
        <v>8926.352122741775</v>
      </c>
      <c r="J8" s="550">
        <f t="shared" si="3"/>
        <v>8321.011733958112</v>
      </c>
    </row>
    <row r="9" spans="1:13" ht="15" customHeight="1" x14ac:dyDescent="0.3">
      <c r="A9" s="325">
        <v>45809</v>
      </c>
      <c r="B9" s="326">
        <v>94177.137883538904</v>
      </c>
      <c r="C9" s="326">
        <v>84612.512709566407</v>
      </c>
      <c r="D9" s="326">
        <v>72132.138365590101</v>
      </c>
      <c r="E9" s="326">
        <v>67240.498860267602</v>
      </c>
      <c r="G9" s="550">
        <f t="shared" si="0"/>
        <v>11772.142235442363</v>
      </c>
      <c r="H9" s="550">
        <f t="shared" si="1"/>
        <v>10576.564088695801</v>
      </c>
      <c r="I9" s="550">
        <f t="shared" si="2"/>
        <v>9016.5172956987626</v>
      </c>
      <c r="J9" s="550">
        <f t="shared" si="3"/>
        <v>8405.0623575334503</v>
      </c>
    </row>
    <row r="10" spans="1:13" ht="15" customHeight="1" x14ac:dyDescent="0.3">
      <c r="A10" s="325">
        <v>45839</v>
      </c>
      <c r="B10" s="326">
        <v>95080</v>
      </c>
      <c r="C10" s="326">
        <v>85425</v>
      </c>
      <c r="D10" s="326">
        <v>72871</v>
      </c>
      <c r="E10" s="326">
        <v>67908</v>
      </c>
      <c r="G10" s="550">
        <f t="shared" si="0"/>
        <v>11885</v>
      </c>
      <c r="H10" s="550">
        <f t="shared" si="1"/>
        <v>10678.125</v>
      </c>
      <c r="I10" s="550">
        <f t="shared" si="2"/>
        <v>9108.875</v>
      </c>
      <c r="J10" s="550">
        <f t="shared" si="3"/>
        <v>8488.5</v>
      </c>
    </row>
    <row r="11" spans="1:13" ht="15" customHeight="1" x14ac:dyDescent="0.3">
      <c r="A11" s="325">
        <v>45870</v>
      </c>
      <c r="B11" s="326">
        <v>95889.2</v>
      </c>
      <c r="C11" s="326">
        <v>86356.18</v>
      </c>
      <c r="D11" s="326">
        <v>73781.11</v>
      </c>
      <c r="E11" s="326">
        <v>68935.350000000006</v>
      </c>
      <c r="G11" s="550">
        <f t="shared" si="0"/>
        <v>11986.15</v>
      </c>
      <c r="H11" s="550">
        <f t="shared" si="1"/>
        <v>10794.522499999999</v>
      </c>
      <c r="I11" s="550">
        <f t="shared" si="2"/>
        <v>9222.6387500000001</v>
      </c>
      <c r="J11" s="550">
        <f t="shared" si="3"/>
        <v>8616.9187500000007</v>
      </c>
    </row>
    <row r="12" spans="1:13" ht="15" customHeight="1" x14ac:dyDescent="0.3">
      <c r="A12" s="325">
        <v>45901</v>
      </c>
      <c r="B12" s="326">
        <v>106516.017311572</v>
      </c>
      <c r="C12" s="326">
        <v>88649.807904072004</v>
      </c>
      <c r="D12" s="326">
        <v>75758.191951571993</v>
      </c>
      <c r="E12" s="326">
        <v>71041.118761571997</v>
      </c>
      <c r="G12" s="550">
        <f t="shared" si="0"/>
        <v>13314.502163946499</v>
      </c>
      <c r="H12" s="550">
        <f t="shared" si="1"/>
        <v>11081.225988009001</v>
      </c>
      <c r="I12" s="550">
        <f t="shared" si="2"/>
        <v>9469.7739939464991</v>
      </c>
      <c r="J12" s="550">
        <f t="shared" si="3"/>
        <v>8880.1398451964997</v>
      </c>
    </row>
    <row r="13" spans="1:13" ht="15" customHeight="1" x14ac:dyDescent="0.3">
      <c r="A13" s="325">
        <v>45931</v>
      </c>
      <c r="B13" s="326">
        <v>106864.20592157199</v>
      </c>
      <c r="C13" s="326">
        <v>88971.072744071993</v>
      </c>
      <c r="D13" s="326">
        <v>76032.176431572007</v>
      </c>
      <c r="E13" s="326">
        <v>71292.271201572003</v>
      </c>
      <c r="G13" s="550">
        <f t="shared" si="0"/>
        <v>13358.025740196499</v>
      </c>
      <c r="H13" s="550">
        <f t="shared" si="1"/>
        <v>11121.384093008999</v>
      </c>
      <c r="I13" s="550">
        <f t="shared" si="2"/>
        <v>9504.0220539465008</v>
      </c>
      <c r="J13" s="550">
        <f t="shared" si="3"/>
        <v>8911.5339001965003</v>
      </c>
    </row>
    <row r="14" spans="1:13" ht="15" customHeight="1" x14ac:dyDescent="0.3">
      <c r="A14" s="325">
        <v>45962</v>
      </c>
      <c r="B14" s="326">
        <v>109621.10545407201</v>
      </c>
      <c r="C14" s="326">
        <v>91252.850653390196</v>
      </c>
      <c r="D14" s="326">
        <v>77612.118064071998</v>
      </c>
      <c r="E14" s="326">
        <v>72486.682606571994</v>
      </c>
      <c r="G14" s="550">
        <f t="shared" si="0"/>
        <v>13702.638181759001</v>
      </c>
      <c r="H14" s="550">
        <f t="shared" si="1"/>
        <v>11406.606331673775</v>
      </c>
      <c r="I14" s="550">
        <f t="shared" si="2"/>
        <v>9701.5147580089997</v>
      </c>
      <c r="J14" s="550">
        <f t="shared" si="3"/>
        <v>9060.8353258214993</v>
      </c>
    </row>
    <row r="15" spans="1:13" ht="15" customHeight="1" x14ac:dyDescent="0.3">
      <c r="A15" s="325">
        <v>45992</v>
      </c>
      <c r="B15" s="326">
        <v>113865.181859145</v>
      </c>
      <c r="C15" s="326">
        <v>95196.927058463596</v>
      </c>
      <c r="D15" s="326">
        <v>81356.194469145397</v>
      </c>
      <c r="E15" s="326">
        <v>76230.759011645394</v>
      </c>
      <c r="G15" s="550">
        <f t="shared" si="0"/>
        <v>14233.147732393125</v>
      </c>
      <c r="H15" s="550">
        <f t="shared" si="1"/>
        <v>11899.61588230795</v>
      </c>
      <c r="I15" s="550">
        <f t="shared" si="2"/>
        <v>10169.524308643175</v>
      </c>
      <c r="J15" s="550">
        <f t="shared" si="3"/>
        <v>9528.8448764556742</v>
      </c>
    </row>
    <row r="16" spans="1:13" ht="15" customHeight="1" x14ac:dyDescent="0.3">
      <c r="A16" s="325">
        <v>46023</v>
      </c>
      <c r="B16" s="326">
        <v>117452.657276645</v>
      </c>
      <c r="C16" s="326">
        <v>97866.769866645394</v>
      </c>
      <c r="D16" s="326">
        <v>83614.940401645406</v>
      </c>
      <c r="E16" s="326">
        <v>78291.041771645396</v>
      </c>
      <c r="G16" s="550">
        <f t="shared" si="0"/>
        <v>14681.582159580625</v>
      </c>
      <c r="H16" s="550">
        <f t="shared" si="1"/>
        <v>12233.346233330674</v>
      </c>
      <c r="I16" s="550">
        <f t="shared" si="2"/>
        <v>10451.867550205676</v>
      </c>
      <c r="J16" s="550">
        <f t="shared" si="3"/>
        <v>9786.3802214556745</v>
      </c>
    </row>
    <row r="17" spans="1:10" ht="15" customHeight="1" x14ac:dyDescent="0.3">
      <c r="A17" s="325">
        <v>46054</v>
      </c>
      <c r="B17" s="326">
        <v>119406.334246645</v>
      </c>
      <c r="C17" s="326">
        <v>99479.557976645403</v>
      </c>
      <c r="D17" s="326">
        <v>84948.749161645406</v>
      </c>
      <c r="E17" s="326">
        <v>79490.602471645398</v>
      </c>
      <c r="G17" s="550">
        <f t="shared" si="0"/>
        <v>14925.791780830625</v>
      </c>
      <c r="H17" s="550">
        <f t="shared" si="1"/>
        <v>12434.944747080675</v>
      </c>
      <c r="I17" s="550">
        <f t="shared" si="2"/>
        <v>10618.593645205676</v>
      </c>
      <c r="J17" s="550">
        <f t="shared" si="3"/>
        <v>9936.3253089556747</v>
      </c>
    </row>
    <row r="18" spans="1:10" ht="15" customHeight="1" x14ac:dyDescent="0.3">
      <c r="A18" s="325">
        <v>46082</v>
      </c>
      <c r="B18" s="326">
        <v>122445.790586645</v>
      </c>
      <c r="C18" s="326">
        <v>102029.066882782</v>
      </c>
      <c r="D18" s="326">
        <v>87100.469906645405</v>
      </c>
      <c r="E18" s="326">
        <v>81453.719334145397</v>
      </c>
      <c r="G18" s="550">
        <f t="shared" si="0"/>
        <v>15305.723823330625</v>
      </c>
      <c r="H18" s="550">
        <f t="shared" si="1"/>
        <v>12753.633360347751</v>
      </c>
      <c r="I18" s="550">
        <f t="shared" si="2"/>
        <v>10887.558738330676</v>
      </c>
      <c r="J18" s="550">
        <f t="shared" si="3"/>
        <v>10181.714916768175</v>
      </c>
    </row>
    <row r="19" spans="1:10" ht="15" customHeight="1" x14ac:dyDescent="0.3">
      <c r="A19" s="325">
        <v>46113</v>
      </c>
      <c r="B19" s="326">
        <v>122445.790586645</v>
      </c>
      <c r="C19" s="326">
        <v>102029.066882782</v>
      </c>
      <c r="D19" s="326">
        <v>87100.469906645405</v>
      </c>
      <c r="E19" s="326">
        <v>81453.719334145397</v>
      </c>
      <c r="G19" s="550">
        <f t="shared" si="0"/>
        <v>15305.723823330625</v>
      </c>
      <c r="H19" s="550">
        <f t="shared" si="1"/>
        <v>12753.633360347751</v>
      </c>
      <c r="I19" s="550">
        <f t="shared" si="2"/>
        <v>10887.558738330676</v>
      </c>
      <c r="J19" s="550">
        <f t="shared" si="3"/>
        <v>10181.714916768175</v>
      </c>
    </row>
    <row r="20" spans="1:10" ht="15" customHeight="1" x14ac:dyDescent="0.3">
      <c r="A20" s="325">
        <v>46143</v>
      </c>
      <c r="B20" s="326">
        <v>122445.790586645</v>
      </c>
      <c r="C20" s="326">
        <v>102029.066882782</v>
      </c>
      <c r="D20" s="326">
        <v>87100.469906645405</v>
      </c>
      <c r="E20" s="326">
        <v>81453.719334145397</v>
      </c>
      <c r="G20" s="550">
        <f t="shared" si="0"/>
        <v>15305.723823330625</v>
      </c>
      <c r="H20" s="550">
        <f t="shared" si="1"/>
        <v>12753.633360347751</v>
      </c>
      <c r="I20" s="550">
        <f t="shared" si="2"/>
        <v>10887.558738330676</v>
      </c>
      <c r="J20" s="550">
        <f t="shared" si="3"/>
        <v>10181.714916768175</v>
      </c>
    </row>
    <row r="21" spans="1:10" ht="15" customHeight="1" x14ac:dyDescent="0.3">
      <c r="A21" s="325">
        <v>46174</v>
      </c>
      <c r="B21" s="326">
        <v>122445.790586645</v>
      </c>
      <c r="C21" s="326">
        <v>102029.066882782</v>
      </c>
      <c r="D21" s="326">
        <v>87100.469906645405</v>
      </c>
      <c r="E21" s="326">
        <v>81453.719334145397</v>
      </c>
      <c r="G21" s="550">
        <f t="shared" si="0"/>
        <v>15305.723823330625</v>
      </c>
      <c r="H21" s="550">
        <f t="shared" si="1"/>
        <v>12753.633360347751</v>
      </c>
      <c r="I21" s="550">
        <f t="shared" si="2"/>
        <v>10887.558738330676</v>
      </c>
      <c r="J21" s="550">
        <f t="shared" si="3"/>
        <v>10181.714916768175</v>
      </c>
    </row>
    <row r="22" spans="1:10" ht="15" customHeight="1" x14ac:dyDescent="0.3">
      <c r="A22" s="329"/>
    </row>
  </sheetData>
  <conditionalFormatting sqref="A4:A21">
    <cfRule type="timePeriod" dxfId="102" priority="2" timePeriod="lastMonth">
      <formula>AND(MONTH(A4)=MONTH(EDATE(TODAY(),0-1)),YEAR(A4)=YEAR(EDATE(TODAY(),0-1)))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/>
  </sheetPr>
  <dimension ref="A1:AR229"/>
  <sheetViews>
    <sheetView showGridLines="0" topLeftCell="U1" zoomScale="110" zoomScaleNormal="110" workbookViewId="0">
      <pane ySplit="3" topLeftCell="A5" activePane="bottomLeft" state="frozen"/>
      <selection pane="bottomLeft" activeCell="AN1" sqref="AN1"/>
    </sheetView>
  </sheetViews>
  <sheetFormatPr defaultColWidth="8.7265625" defaultRowHeight="10.5" outlineLevelCol="1" x14ac:dyDescent="0.25"/>
  <cols>
    <col min="1" max="4" width="8.7265625" style="367" customWidth="1"/>
    <col min="5" max="5" width="1.1796875" style="367" customWidth="1"/>
    <col min="6" max="6" width="5.453125" style="367" customWidth="1"/>
    <col min="7" max="7" width="3.26953125" style="367" customWidth="1"/>
    <col min="8" max="8" width="42.36328125" style="367" customWidth="1"/>
    <col min="9" max="9" width="4.08984375" style="367" customWidth="1"/>
    <col min="10" max="10" width="5.453125" style="367" customWidth="1"/>
    <col min="11" max="14" width="9.08984375" style="367" customWidth="1" outlineLevel="1"/>
    <col min="15" max="15" width="10.453125" style="372" customWidth="1" outlineLevel="1"/>
    <col min="16" max="16" width="10.453125" style="404" customWidth="1" outlineLevel="1"/>
    <col min="17" max="17" width="3.90625" style="367" customWidth="1"/>
    <col min="18" max="20" width="9.08984375" style="367" customWidth="1"/>
    <col min="21" max="21" width="10.36328125" style="367" customWidth="1"/>
    <col min="22" max="22" width="9.08984375" style="372" customWidth="1"/>
    <col min="23" max="23" width="2.453125" style="367" customWidth="1"/>
    <col min="24" max="25" width="9.08984375" style="367" customWidth="1"/>
    <col min="26" max="26" width="10.453125" style="372" customWidth="1"/>
    <col min="27" max="27" width="11.1796875" style="372" customWidth="1"/>
    <col min="28" max="28" width="10.81640625" style="367" customWidth="1"/>
    <col min="29" max="29" width="8" style="367" customWidth="1"/>
    <col min="30" max="30" width="8.7265625" style="367" customWidth="1"/>
    <col min="31" max="31" width="8.7265625" style="372" customWidth="1"/>
    <col min="32" max="32" width="3.54296875" style="372" customWidth="1"/>
    <col min="33" max="33" width="12.81640625" style="367" customWidth="1"/>
    <col min="34" max="34" width="11.54296875" style="367" customWidth="1"/>
    <col min="35" max="35" width="11.453125" style="367" customWidth="1"/>
    <col min="36" max="36" width="1.36328125" style="367" customWidth="1"/>
    <col min="37" max="39" width="9.90625" style="367" customWidth="1"/>
    <col min="40" max="40" width="11" style="367" customWidth="1"/>
    <col min="41" max="41" width="10.6328125" style="372" customWidth="1"/>
    <col min="42" max="45" width="8.7265625" style="367" customWidth="1"/>
    <col min="46" max="16384" width="8.7265625" style="367"/>
  </cols>
  <sheetData>
    <row r="1" spans="1:44" ht="10.5" customHeight="1" x14ac:dyDescent="0.25">
      <c r="A1" s="16" t="s">
        <v>4082</v>
      </c>
      <c r="B1" s="16"/>
      <c r="C1" s="16"/>
      <c r="D1" s="16"/>
      <c r="E1" s="16"/>
      <c r="F1" s="16"/>
      <c r="G1" s="16"/>
      <c r="H1" s="16"/>
      <c r="I1" s="368"/>
      <c r="J1" s="369"/>
      <c r="K1" s="370"/>
      <c r="L1" s="370"/>
      <c r="M1" s="370"/>
      <c r="N1" s="370"/>
      <c r="O1" s="371"/>
      <c r="P1" s="371"/>
      <c r="R1" s="369"/>
      <c r="S1" s="369"/>
      <c r="T1" s="369"/>
      <c r="U1" s="369"/>
      <c r="V1" s="371"/>
      <c r="X1" s="369"/>
      <c r="Y1" s="369"/>
      <c r="Z1" s="371"/>
      <c r="AA1" s="371"/>
      <c r="AC1" s="524"/>
      <c r="AD1" s="524"/>
    </row>
    <row r="2" spans="1:44" ht="10.5" customHeight="1" x14ac:dyDescent="0.25">
      <c r="A2" s="321"/>
      <c r="B2" s="321"/>
      <c r="C2" s="321"/>
      <c r="D2" s="321"/>
      <c r="E2" s="321"/>
      <c r="F2" s="321"/>
      <c r="G2" s="321"/>
      <c r="H2" s="321"/>
      <c r="I2" s="373"/>
      <c r="J2" s="374"/>
      <c r="K2" s="525"/>
      <c r="L2" s="525"/>
      <c r="M2" s="525"/>
      <c r="N2" s="525"/>
      <c r="O2" s="526"/>
      <c r="P2" s="527">
        <f>'1_GGBB'!F67</f>
        <v>1.4355353179385526</v>
      </c>
      <c r="R2" s="375"/>
      <c r="S2" s="375"/>
      <c r="T2" s="375"/>
      <c r="U2" s="376"/>
      <c r="V2" s="376"/>
      <c r="X2" s="374"/>
      <c r="Y2" s="374"/>
      <c r="Z2" s="376"/>
      <c r="AA2" s="371"/>
      <c r="AC2" s="524"/>
      <c r="AD2" s="524"/>
      <c r="AK2" s="375"/>
      <c r="AL2" s="375"/>
      <c r="AM2" s="375"/>
      <c r="AN2" s="371"/>
      <c r="AO2" s="528"/>
    </row>
    <row r="3" spans="1:44" s="378" customFormat="1" ht="21" customHeight="1" x14ac:dyDescent="0.35">
      <c r="A3" s="377" t="s">
        <v>4083</v>
      </c>
      <c r="B3" s="377" t="s">
        <v>4084</v>
      </c>
      <c r="C3" s="377" t="s">
        <v>4085</v>
      </c>
      <c r="D3" s="377" t="s">
        <v>4086</v>
      </c>
      <c r="F3" s="379" t="s">
        <v>4087</v>
      </c>
      <c r="G3" s="380" t="s">
        <v>4088</v>
      </c>
      <c r="H3" s="381" t="s">
        <v>4</v>
      </c>
      <c r="I3" s="381" t="s">
        <v>4089</v>
      </c>
      <c r="J3" s="382" t="s">
        <v>6</v>
      </c>
      <c r="K3" s="383" t="s">
        <v>4090</v>
      </c>
      <c r="L3" s="383" t="s">
        <v>4091</v>
      </c>
      <c r="M3" s="383" t="s">
        <v>4092</v>
      </c>
      <c r="N3" s="383" t="s">
        <v>20</v>
      </c>
      <c r="O3" s="383" t="s">
        <v>4093</v>
      </c>
      <c r="P3" s="384" t="s">
        <v>4094</v>
      </c>
      <c r="R3" s="382" t="s">
        <v>4090</v>
      </c>
      <c r="S3" s="382" t="s">
        <v>4091</v>
      </c>
      <c r="T3" s="382" t="s">
        <v>4092</v>
      </c>
      <c r="U3" s="382" t="s">
        <v>20</v>
      </c>
      <c r="V3" s="382" t="s">
        <v>4095</v>
      </c>
      <c r="X3" s="382" t="s">
        <v>4090</v>
      </c>
      <c r="Y3" s="382" t="s">
        <v>56</v>
      </c>
      <c r="Z3" s="382" t="s">
        <v>4096</v>
      </c>
      <c r="AA3" s="385"/>
      <c r="AB3" s="386" t="s">
        <v>4097</v>
      </c>
      <c r="AC3" s="387" t="s">
        <v>4098</v>
      </c>
      <c r="AD3" s="387" t="s">
        <v>4099</v>
      </c>
      <c r="AE3" s="388" t="s">
        <v>4100</v>
      </c>
      <c r="AF3" s="388"/>
      <c r="AG3" s="389" t="s">
        <v>4101</v>
      </c>
      <c r="AH3" s="388" t="s">
        <v>4102</v>
      </c>
      <c r="AI3" s="390" t="s">
        <v>4103</v>
      </c>
      <c r="AJ3" s="391"/>
      <c r="AK3" s="390" t="s">
        <v>4104</v>
      </c>
      <c r="AL3" s="392" t="s">
        <v>4105</v>
      </c>
      <c r="AM3" s="393" t="s">
        <v>4106</v>
      </c>
      <c r="AN3" s="394" t="s">
        <v>4107</v>
      </c>
      <c r="AO3" s="395" t="s">
        <v>4108</v>
      </c>
      <c r="AQ3" s="562" t="s">
        <v>4109</v>
      </c>
      <c r="AR3" s="562" t="s">
        <v>4110</v>
      </c>
    </row>
    <row r="4" spans="1:44" ht="10.5" customHeight="1" x14ac:dyDescent="0.25">
      <c r="F4" s="396">
        <v>1</v>
      </c>
      <c r="G4" s="397"/>
      <c r="H4" s="398" t="s">
        <v>4111</v>
      </c>
      <c r="I4" s="399"/>
      <c r="J4" s="400"/>
      <c r="K4" s="400"/>
      <c r="L4" s="400"/>
      <c r="M4" s="400"/>
      <c r="N4" s="400"/>
      <c r="O4" s="401"/>
      <c r="P4" s="402"/>
      <c r="Q4" s="403"/>
      <c r="R4" s="400"/>
      <c r="S4" s="400"/>
      <c r="T4" s="400"/>
      <c r="U4" s="400"/>
      <c r="V4" s="402"/>
      <c r="X4" s="400"/>
      <c r="Y4" s="400"/>
      <c r="Z4" s="402"/>
      <c r="AA4" s="404">
        <f>+SUM(Z5:Z13)</f>
        <v>21422380.834353875</v>
      </c>
      <c r="AB4" s="405" t="s">
        <v>4111</v>
      </c>
      <c r="AC4" s="406"/>
      <c r="AD4" s="406"/>
      <c r="AE4" s="407"/>
      <c r="AF4" s="407"/>
      <c r="AG4" s="408"/>
      <c r="AH4" s="409"/>
      <c r="AI4" s="410"/>
      <c r="AJ4" s="411"/>
      <c r="AK4" s="408"/>
      <c r="AL4" s="409"/>
      <c r="AM4" s="409"/>
      <c r="AN4" s="409"/>
      <c r="AO4" s="410"/>
    </row>
    <row r="5" spans="1:44" ht="10.5" customHeight="1" x14ac:dyDescent="0.35">
      <c r="A5" s="412" t="s">
        <v>25</v>
      </c>
      <c r="B5" s="412" t="s">
        <v>25</v>
      </c>
      <c r="C5" s="412" t="s">
        <v>25</v>
      </c>
      <c r="D5" s="412" t="s">
        <v>25</v>
      </c>
      <c r="F5" s="413">
        <v>1.01</v>
      </c>
      <c r="G5" s="414" t="s">
        <v>4112</v>
      </c>
      <c r="H5" s="415" t="s">
        <v>4113</v>
      </c>
      <c r="I5" s="416" t="s">
        <v>98</v>
      </c>
      <c r="J5" s="417">
        <v>1</v>
      </c>
      <c r="K5" s="418">
        <v>0</v>
      </c>
      <c r="L5" s="418">
        <v>0</v>
      </c>
      <c r="M5" s="418">
        <v>0</v>
      </c>
      <c r="N5" s="418">
        <v>0</v>
      </c>
      <c r="O5" s="419">
        <f t="shared" ref="O5:O13" si="0">+SUM(K5:N5)</f>
        <v>0</v>
      </c>
      <c r="P5" s="420">
        <f t="shared" ref="P5:P13" si="1">+O5*$P$2</f>
        <v>0</v>
      </c>
      <c r="Q5" s="403"/>
      <c r="R5" s="421">
        <f t="shared" ref="R5:R13" si="2">+K5*$P$2</f>
        <v>0</v>
      </c>
      <c r="S5" s="421">
        <f t="shared" ref="S5:S13" si="3">+L5*$P$2</f>
        <v>0</v>
      </c>
      <c r="T5" s="421">
        <f t="shared" ref="T5:T13" si="4">+M5*$P$2</f>
        <v>0</v>
      </c>
      <c r="U5" s="421">
        <f t="shared" ref="U5:U13" si="5">+N5*$P$2</f>
        <v>0</v>
      </c>
      <c r="V5" s="422">
        <f t="shared" ref="V5:V13" si="6">+SUM(R5:U5)</f>
        <v>0</v>
      </c>
      <c r="W5" s="423"/>
      <c r="X5" s="421">
        <f t="shared" ref="X5:X13" si="7">+R5*J5</f>
        <v>0</v>
      </c>
      <c r="Y5" s="421">
        <f t="shared" ref="Y5:Y13" si="8">+Z5-X5</f>
        <v>0</v>
      </c>
      <c r="Z5" s="422">
        <f t="shared" ref="Z5:Z13" si="9">+V5*J5</f>
        <v>0</v>
      </c>
      <c r="AA5" s="424"/>
      <c r="AB5" s="425" t="s">
        <v>4111</v>
      </c>
      <c r="AC5" s="426">
        <v>0</v>
      </c>
      <c r="AD5" s="427">
        <v>0</v>
      </c>
      <c r="AE5" s="428">
        <f t="shared" ref="AE5:AE13" si="10">AC5+AD5</f>
        <v>0</v>
      </c>
      <c r="AF5" s="429" t="str">
        <f t="shared" ref="AF5:AF13" si="11">IF($AE5=1,"🔴","⚪")</f>
        <v>⚪</v>
      </c>
      <c r="AG5" s="430">
        <f t="shared" ref="AG5:AG13" si="12">AC5*Z5</f>
        <v>0</v>
      </c>
      <c r="AH5" s="375">
        <f t="shared" ref="AH5:AH13" si="13">AD5*Z5</f>
        <v>0</v>
      </c>
      <c r="AI5" s="431">
        <f t="shared" ref="AI5:AI13" si="14">AE5*Z5</f>
        <v>0</v>
      </c>
      <c r="AJ5" s="375"/>
      <c r="AK5" s="430">
        <f t="shared" ref="AK5:AK13" si="15">AE5*X5</f>
        <v>0</v>
      </c>
      <c r="AL5" s="375">
        <f t="shared" ref="AL5:AL13" si="16">AE5*S5*J5</f>
        <v>0</v>
      </c>
      <c r="AM5" s="432">
        <f t="shared" ref="AM5:AM13" si="17">AE5*T5*J5</f>
        <v>0</v>
      </c>
      <c r="AN5" s="432">
        <f t="shared" ref="AN5:AN13" si="18">AE5*U5*J5</f>
        <v>0</v>
      </c>
      <c r="AO5" s="433">
        <f t="shared" ref="AO5:AO13" si="19">AK5+AL5+AM5+AN5</f>
        <v>0</v>
      </c>
      <c r="AQ5" s="563">
        <f t="shared" ref="AQ5:AQ13" si="20">+O5</f>
        <v>0</v>
      </c>
      <c r="AR5" s="563">
        <f t="shared" ref="AR5:AR13" si="21">+O5*J5</f>
        <v>0</v>
      </c>
    </row>
    <row r="6" spans="1:44" ht="10.5" customHeight="1" x14ac:dyDescent="0.35">
      <c r="A6" s="412" t="s">
        <v>4114</v>
      </c>
      <c r="B6" s="412" t="s">
        <v>25</v>
      </c>
      <c r="C6" s="412" t="s">
        <v>4114</v>
      </c>
      <c r="D6" s="412" t="s">
        <v>1285</v>
      </c>
      <c r="F6" s="434">
        <v>1.02</v>
      </c>
      <c r="G6" s="414" t="s">
        <v>4112</v>
      </c>
      <c r="H6" s="435" t="s">
        <v>4115</v>
      </c>
      <c r="I6" s="436" t="s">
        <v>98</v>
      </c>
      <c r="J6" s="421">
        <v>3</v>
      </c>
      <c r="K6" s="418">
        <v>25000</v>
      </c>
      <c r="L6" s="418">
        <v>198736.8446363637</v>
      </c>
      <c r="M6" s="418">
        <v>60860.580776572002</v>
      </c>
      <c r="N6" s="418">
        <v>4268.9613811940326</v>
      </c>
      <c r="O6" s="419">
        <f t="shared" si="0"/>
        <v>288866.38679412974</v>
      </c>
      <c r="P6" s="420">
        <f t="shared" si="1"/>
        <v>414677.90040827193</v>
      </c>
      <c r="Q6" s="403"/>
      <c r="R6" s="421">
        <f t="shared" si="2"/>
        <v>35888.382948463812</v>
      </c>
      <c r="S6" s="421">
        <f t="shared" si="3"/>
        <v>285293.75945116708</v>
      </c>
      <c r="T6" s="421">
        <f t="shared" si="4"/>
        <v>87367.513175021246</v>
      </c>
      <c r="U6" s="421">
        <f t="shared" si="5"/>
        <v>6128.2448336197785</v>
      </c>
      <c r="V6" s="422">
        <f t="shared" si="6"/>
        <v>414677.90040827193</v>
      </c>
      <c r="W6" s="423"/>
      <c r="X6" s="421">
        <f t="shared" si="7"/>
        <v>107665.14884539144</v>
      </c>
      <c r="Y6" s="421">
        <f t="shared" si="8"/>
        <v>1136368.5523794245</v>
      </c>
      <c r="Z6" s="422">
        <f t="shared" si="9"/>
        <v>1244033.7012248158</v>
      </c>
      <c r="AA6" s="424"/>
      <c r="AB6" s="425" t="s">
        <v>4111</v>
      </c>
      <c r="AC6" s="427">
        <v>1</v>
      </c>
      <c r="AD6" s="427">
        <v>0</v>
      </c>
      <c r="AE6" s="428">
        <f t="shared" si="10"/>
        <v>1</v>
      </c>
      <c r="AF6" s="437" t="str">
        <f t="shared" si="11"/>
        <v>🔴</v>
      </c>
      <c r="AG6" s="430">
        <f t="shared" si="12"/>
        <v>1244033.7012248158</v>
      </c>
      <c r="AH6" s="375">
        <f t="shared" si="13"/>
        <v>0</v>
      </c>
      <c r="AI6" s="431">
        <f t="shared" si="14"/>
        <v>1244033.7012248158</v>
      </c>
      <c r="AJ6" s="375"/>
      <c r="AK6" s="430">
        <f t="shared" si="15"/>
        <v>107665.14884539144</v>
      </c>
      <c r="AL6" s="375">
        <f t="shared" si="16"/>
        <v>855881.27835350123</v>
      </c>
      <c r="AM6" s="432">
        <f t="shared" si="17"/>
        <v>262102.53952506374</v>
      </c>
      <c r="AN6" s="432">
        <f t="shared" si="18"/>
        <v>18384.734500859337</v>
      </c>
      <c r="AO6" s="433">
        <f t="shared" si="19"/>
        <v>1244033.7012248158</v>
      </c>
      <c r="AQ6" s="563">
        <f t="shared" si="20"/>
        <v>288866.38679412974</v>
      </c>
      <c r="AR6" s="563">
        <f t="shared" si="21"/>
        <v>866599.16038238921</v>
      </c>
    </row>
    <row r="7" spans="1:44" ht="10.5" customHeight="1" x14ac:dyDescent="0.35">
      <c r="A7" s="412" t="s">
        <v>25</v>
      </c>
      <c r="B7" s="412" t="s">
        <v>25</v>
      </c>
      <c r="C7" s="412" t="s">
        <v>25</v>
      </c>
      <c r="D7" s="412" t="s">
        <v>25</v>
      </c>
      <c r="F7" s="434">
        <v>1.03</v>
      </c>
      <c r="G7" s="414" t="s">
        <v>4112</v>
      </c>
      <c r="H7" s="435" t="s">
        <v>4116</v>
      </c>
      <c r="I7" s="438" t="s">
        <v>98</v>
      </c>
      <c r="J7" s="439">
        <v>1</v>
      </c>
      <c r="K7" s="418">
        <v>0</v>
      </c>
      <c r="L7" s="418">
        <v>0</v>
      </c>
      <c r="M7" s="418">
        <v>0</v>
      </c>
      <c r="N7" s="418">
        <v>0</v>
      </c>
      <c r="O7" s="419">
        <f t="shared" si="0"/>
        <v>0</v>
      </c>
      <c r="P7" s="420">
        <f t="shared" si="1"/>
        <v>0</v>
      </c>
      <c r="Q7" s="403"/>
      <c r="R7" s="421">
        <f t="shared" si="2"/>
        <v>0</v>
      </c>
      <c r="S7" s="421">
        <f t="shared" si="3"/>
        <v>0</v>
      </c>
      <c r="T7" s="421">
        <f t="shared" si="4"/>
        <v>0</v>
      </c>
      <c r="U7" s="421">
        <f t="shared" si="5"/>
        <v>0</v>
      </c>
      <c r="V7" s="422">
        <f t="shared" si="6"/>
        <v>0</v>
      </c>
      <c r="W7" s="423"/>
      <c r="X7" s="421">
        <f t="shared" si="7"/>
        <v>0</v>
      </c>
      <c r="Y7" s="421">
        <f t="shared" si="8"/>
        <v>0</v>
      </c>
      <c r="Z7" s="422">
        <f t="shared" si="9"/>
        <v>0</v>
      </c>
      <c r="AA7" s="371"/>
      <c r="AB7" s="425" t="s">
        <v>4111</v>
      </c>
      <c r="AC7" s="427">
        <v>0</v>
      </c>
      <c r="AD7" s="427">
        <v>0</v>
      </c>
      <c r="AE7" s="428">
        <f t="shared" si="10"/>
        <v>0</v>
      </c>
      <c r="AF7" s="437" t="str">
        <f t="shared" si="11"/>
        <v>⚪</v>
      </c>
      <c r="AG7" s="430">
        <f t="shared" si="12"/>
        <v>0</v>
      </c>
      <c r="AH7" s="375">
        <f t="shared" si="13"/>
        <v>0</v>
      </c>
      <c r="AI7" s="431">
        <f t="shared" si="14"/>
        <v>0</v>
      </c>
      <c r="AJ7" s="375"/>
      <c r="AK7" s="430">
        <f t="shared" si="15"/>
        <v>0</v>
      </c>
      <c r="AL7" s="375">
        <f t="shared" si="16"/>
        <v>0</v>
      </c>
      <c r="AM7" s="432">
        <f t="shared" si="17"/>
        <v>0</v>
      </c>
      <c r="AN7" s="432">
        <f t="shared" si="18"/>
        <v>0</v>
      </c>
      <c r="AO7" s="433">
        <f t="shared" si="19"/>
        <v>0</v>
      </c>
      <c r="AQ7" s="563">
        <f t="shared" si="20"/>
        <v>0</v>
      </c>
      <c r="AR7" s="563">
        <f t="shared" si="21"/>
        <v>0</v>
      </c>
    </row>
    <row r="8" spans="1:44" ht="10.5" customHeight="1" x14ac:dyDescent="0.35">
      <c r="A8" s="412" t="s">
        <v>1285</v>
      </c>
      <c r="B8" s="412" t="s">
        <v>25</v>
      </c>
      <c r="C8" s="412" t="s">
        <v>25</v>
      </c>
      <c r="D8" s="412" t="s">
        <v>1285</v>
      </c>
      <c r="F8" s="434">
        <v>1.04</v>
      </c>
      <c r="G8" s="414" t="s">
        <v>4112</v>
      </c>
      <c r="H8" s="435" t="s">
        <v>4117</v>
      </c>
      <c r="I8" s="436" t="s">
        <v>744</v>
      </c>
      <c r="J8" s="421">
        <v>10</v>
      </c>
      <c r="K8" s="418">
        <v>88330.702809917304</v>
      </c>
      <c r="L8" s="418">
        <v>0</v>
      </c>
      <c r="M8" s="418">
        <v>101654.366059858</v>
      </c>
      <c r="N8" s="418">
        <v>2849.7760330466299</v>
      </c>
      <c r="O8" s="419">
        <f t="shared" si="0"/>
        <v>192834.84490282193</v>
      </c>
      <c r="P8" s="420">
        <f t="shared" si="1"/>
        <v>276821.23038720398</v>
      </c>
      <c r="Q8" s="403"/>
      <c r="R8" s="421">
        <f t="shared" si="2"/>
        <v>126801.84354197043</v>
      </c>
      <c r="S8" s="421">
        <f t="shared" si="3"/>
        <v>0</v>
      </c>
      <c r="T8" s="421">
        <f t="shared" si="4"/>
        <v>145928.43270158026</v>
      </c>
      <c r="U8" s="421">
        <f t="shared" si="5"/>
        <v>4090.9541436532609</v>
      </c>
      <c r="V8" s="422">
        <f t="shared" si="6"/>
        <v>276821.23038720398</v>
      </c>
      <c r="W8" s="423"/>
      <c r="X8" s="421">
        <f t="shared" si="7"/>
        <v>1268018.4354197043</v>
      </c>
      <c r="Y8" s="421">
        <f t="shared" si="8"/>
        <v>1500193.8684523352</v>
      </c>
      <c r="Z8" s="422">
        <f t="shared" si="9"/>
        <v>2768212.3038720395</v>
      </c>
      <c r="AA8" s="424"/>
      <c r="AB8" s="425" t="s">
        <v>4111</v>
      </c>
      <c r="AC8" s="427">
        <v>1</v>
      </c>
      <c r="AD8" s="427">
        <v>0</v>
      </c>
      <c r="AE8" s="428">
        <f t="shared" si="10"/>
        <v>1</v>
      </c>
      <c r="AF8" s="437" t="str">
        <f t="shared" si="11"/>
        <v>🔴</v>
      </c>
      <c r="AG8" s="430">
        <f t="shared" si="12"/>
        <v>2768212.3038720395</v>
      </c>
      <c r="AH8" s="375">
        <f t="shared" si="13"/>
        <v>0</v>
      </c>
      <c r="AI8" s="431">
        <f t="shared" si="14"/>
        <v>2768212.3038720395</v>
      </c>
      <c r="AJ8" s="375"/>
      <c r="AK8" s="430">
        <f t="shared" si="15"/>
        <v>1268018.4354197043</v>
      </c>
      <c r="AL8" s="375">
        <f t="shared" si="16"/>
        <v>0</v>
      </c>
      <c r="AM8" s="432">
        <f t="shared" si="17"/>
        <v>1459284.3270158025</v>
      </c>
      <c r="AN8" s="432">
        <f t="shared" si="18"/>
        <v>40909.541436532607</v>
      </c>
      <c r="AO8" s="433">
        <f t="shared" si="19"/>
        <v>2768212.3038720395</v>
      </c>
      <c r="AQ8" s="563">
        <f t="shared" si="20"/>
        <v>192834.84490282193</v>
      </c>
      <c r="AR8" s="563">
        <f t="shared" si="21"/>
        <v>1928348.4490282193</v>
      </c>
    </row>
    <row r="9" spans="1:44" ht="10.5" customHeight="1" x14ac:dyDescent="0.35">
      <c r="A9" s="412" t="s">
        <v>1285</v>
      </c>
      <c r="B9" s="412" t="s">
        <v>25</v>
      </c>
      <c r="C9" s="412" t="s">
        <v>1285</v>
      </c>
      <c r="D9" s="412" t="s">
        <v>1285</v>
      </c>
      <c r="F9" s="434">
        <v>1.05</v>
      </c>
      <c r="G9" s="414" t="s">
        <v>4112</v>
      </c>
      <c r="H9" s="435" t="s">
        <v>4118</v>
      </c>
      <c r="I9" s="436" t="s">
        <v>98</v>
      </c>
      <c r="J9" s="421">
        <v>1</v>
      </c>
      <c r="K9" s="418">
        <v>2078824.6995041301</v>
      </c>
      <c r="L9" s="418">
        <v>750000</v>
      </c>
      <c r="M9" s="418">
        <v>4424962.8553190297</v>
      </c>
      <c r="N9" s="418">
        <v>108806.813322348</v>
      </c>
      <c r="O9" s="419">
        <f t="shared" si="0"/>
        <v>7362594.3681455078</v>
      </c>
      <c r="P9" s="420">
        <f t="shared" si="1"/>
        <v>10569264.247128358</v>
      </c>
      <c r="Q9" s="403"/>
      <c r="R9" s="421">
        <f t="shared" si="2"/>
        <v>2984226.2759411773</v>
      </c>
      <c r="S9" s="421">
        <f t="shared" si="3"/>
        <v>1076651.4884539144</v>
      </c>
      <c r="T9" s="421">
        <f t="shared" si="4"/>
        <v>6352190.459376689</v>
      </c>
      <c r="U9" s="421">
        <f t="shared" si="5"/>
        <v>156196.02335657759</v>
      </c>
      <c r="V9" s="422">
        <f t="shared" si="6"/>
        <v>10569264.247128358</v>
      </c>
      <c r="W9" s="423"/>
      <c r="X9" s="421">
        <f t="shared" si="7"/>
        <v>2984226.2759411773</v>
      </c>
      <c r="Y9" s="421">
        <f t="shared" si="8"/>
        <v>7585037.9711871808</v>
      </c>
      <c r="Z9" s="422">
        <f t="shared" si="9"/>
        <v>10569264.247128358</v>
      </c>
      <c r="AA9" s="424"/>
      <c r="AB9" s="425" t="s">
        <v>4111</v>
      </c>
      <c r="AC9" s="427">
        <v>1</v>
      </c>
      <c r="AD9" s="427">
        <v>0</v>
      </c>
      <c r="AE9" s="428">
        <f t="shared" si="10"/>
        <v>1</v>
      </c>
      <c r="AF9" s="437" t="str">
        <f t="shared" si="11"/>
        <v>🔴</v>
      </c>
      <c r="AG9" s="430">
        <f t="shared" si="12"/>
        <v>10569264.247128358</v>
      </c>
      <c r="AH9" s="375">
        <f t="shared" si="13"/>
        <v>0</v>
      </c>
      <c r="AI9" s="431">
        <f t="shared" si="14"/>
        <v>10569264.247128358</v>
      </c>
      <c r="AJ9" s="375"/>
      <c r="AK9" s="430">
        <f t="shared" si="15"/>
        <v>2984226.2759411773</v>
      </c>
      <c r="AL9" s="375">
        <f t="shared" si="16"/>
        <v>1076651.4884539144</v>
      </c>
      <c r="AM9" s="432">
        <f t="shared" si="17"/>
        <v>6352190.459376689</v>
      </c>
      <c r="AN9" s="432">
        <f t="shared" si="18"/>
        <v>156196.02335657759</v>
      </c>
      <c r="AO9" s="433">
        <f t="shared" si="19"/>
        <v>10569264.247128358</v>
      </c>
      <c r="AQ9" s="563">
        <f t="shared" si="20"/>
        <v>7362594.3681455078</v>
      </c>
      <c r="AR9" s="563">
        <f t="shared" si="21"/>
        <v>7362594.3681455078</v>
      </c>
    </row>
    <row r="10" spans="1:44" ht="10.5" customHeight="1" x14ac:dyDescent="0.35">
      <c r="A10" s="412" t="s">
        <v>4119</v>
      </c>
      <c r="B10" s="412" t="s">
        <v>25</v>
      </c>
      <c r="C10" s="412" t="s">
        <v>4119</v>
      </c>
      <c r="D10" s="412" t="s">
        <v>1285</v>
      </c>
      <c r="F10" s="434">
        <v>1.06</v>
      </c>
      <c r="G10" s="414" t="s">
        <v>4112</v>
      </c>
      <c r="H10" s="435" t="s">
        <v>4120</v>
      </c>
      <c r="I10" s="436" t="s">
        <v>3877</v>
      </c>
      <c r="J10" s="421">
        <v>4</v>
      </c>
      <c r="K10" s="418">
        <v>0</v>
      </c>
      <c r="L10" s="418">
        <v>318994.121175765</v>
      </c>
      <c r="M10" s="418">
        <v>13291.421715656879</v>
      </c>
      <c r="N10" s="418">
        <v>0</v>
      </c>
      <c r="O10" s="419">
        <f t="shared" si="0"/>
        <v>332285.54289142188</v>
      </c>
      <c r="P10" s="420">
        <f t="shared" si="1"/>
        <v>477007.63246102189</v>
      </c>
      <c r="Q10" s="403"/>
      <c r="R10" s="421">
        <f t="shared" si="2"/>
        <v>0</v>
      </c>
      <c r="S10" s="421">
        <f t="shared" si="3"/>
        <v>457927.32716258097</v>
      </c>
      <c r="T10" s="421">
        <f t="shared" si="4"/>
        <v>19080.305298440882</v>
      </c>
      <c r="U10" s="421">
        <f t="shared" si="5"/>
        <v>0</v>
      </c>
      <c r="V10" s="422">
        <f t="shared" si="6"/>
        <v>477007.63246102183</v>
      </c>
      <c r="W10" s="423"/>
      <c r="X10" s="421">
        <f t="shared" si="7"/>
        <v>0</v>
      </c>
      <c r="Y10" s="421">
        <f t="shared" si="8"/>
        <v>1908030.5298440873</v>
      </c>
      <c r="Z10" s="422">
        <f t="shared" si="9"/>
        <v>1908030.5298440873</v>
      </c>
      <c r="AA10" s="424"/>
      <c r="AB10" s="425" t="s">
        <v>4111</v>
      </c>
      <c r="AC10" s="427">
        <v>1</v>
      </c>
      <c r="AD10" s="427">
        <v>0</v>
      </c>
      <c r="AE10" s="428">
        <f t="shared" si="10"/>
        <v>1</v>
      </c>
      <c r="AF10" s="437" t="str">
        <f t="shared" si="11"/>
        <v>🔴</v>
      </c>
      <c r="AG10" s="430">
        <f t="shared" si="12"/>
        <v>1908030.5298440873</v>
      </c>
      <c r="AH10" s="375">
        <f t="shared" si="13"/>
        <v>0</v>
      </c>
      <c r="AI10" s="431">
        <f t="shared" si="14"/>
        <v>1908030.5298440873</v>
      </c>
      <c r="AJ10" s="375"/>
      <c r="AK10" s="430">
        <f t="shared" si="15"/>
        <v>0</v>
      </c>
      <c r="AL10" s="375">
        <f t="shared" si="16"/>
        <v>1831709.3086503239</v>
      </c>
      <c r="AM10" s="432">
        <f t="shared" si="17"/>
        <v>76321.221193763529</v>
      </c>
      <c r="AN10" s="432">
        <f t="shared" si="18"/>
        <v>0</v>
      </c>
      <c r="AO10" s="433">
        <f t="shared" si="19"/>
        <v>1908030.5298440873</v>
      </c>
      <c r="AQ10" s="563">
        <f t="shared" si="20"/>
        <v>332285.54289142188</v>
      </c>
      <c r="AR10" s="563">
        <f t="shared" si="21"/>
        <v>1329142.1715656875</v>
      </c>
    </row>
    <row r="11" spans="1:44" ht="10.5" customHeight="1" x14ac:dyDescent="0.35">
      <c r="A11" s="412" t="s">
        <v>1285</v>
      </c>
      <c r="B11" s="412" t="s">
        <v>25</v>
      </c>
      <c r="C11" s="412" t="s">
        <v>25</v>
      </c>
      <c r="D11" s="412" t="s">
        <v>1285</v>
      </c>
      <c r="F11" s="434">
        <v>1.07</v>
      </c>
      <c r="G11" s="414" t="s">
        <v>4112</v>
      </c>
      <c r="H11" s="435" t="s">
        <v>4121</v>
      </c>
      <c r="I11" s="436" t="s">
        <v>98</v>
      </c>
      <c r="J11" s="421">
        <v>1</v>
      </c>
      <c r="K11" s="418">
        <v>1090000</v>
      </c>
      <c r="L11" s="418">
        <v>0</v>
      </c>
      <c r="M11" s="418">
        <v>601395.67469257605</v>
      </c>
      <c r="N11" s="418">
        <v>25370.9351203886</v>
      </c>
      <c r="O11" s="419">
        <f t="shared" si="0"/>
        <v>1716766.6098129647</v>
      </c>
      <c r="P11" s="420">
        <f t="shared" si="1"/>
        <v>2464479.1010441454</v>
      </c>
      <c r="Q11" s="403"/>
      <c r="R11" s="421">
        <f t="shared" si="2"/>
        <v>1564733.4965530224</v>
      </c>
      <c r="S11" s="421">
        <f t="shared" si="3"/>
        <v>0</v>
      </c>
      <c r="T11" s="421">
        <f t="shared" si="4"/>
        <v>863324.73107667756</v>
      </c>
      <c r="U11" s="421">
        <f t="shared" si="5"/>
        <v>36420.873414445436</v>
      </c>
      <c r="V11" s="422">
        <f t="shared" si="6"/>
        <v>2464479.1010441454</v>
      </c>
      <c r="W11" s="423"/>
      <c r="X11" s="421">
        <f t="shared" si="7"/>
        <v>1564733.4965530224</v>
      </c>
      <c r="Y11" s="421">
        <f t="shared" si="8"/>
        <v>899745.604491123</v>
      </c>
      <c r="Z11" s="422">
        <f t="shared" si="9"/>
        <v>2464479.1010441454</v>
      </c>
      <c r="AA11" s="424"/>
      <c r="AB11" s="425" t="s">
        <v>4111</v>
      </c>
      <c r="AC11" s="427">
        <v>1</v>
      </c>
      <c r="AD11" s="427">
        <v>0</v>
      </c>
      <c r="AE11" s="428">
        <f t="shared" si="10"/>
        <v>1</v>
      </c>
      <c r="AF11" s="437" t="str">
        <f t="shared" si="11"/>
        <v>🔴</v>
      </c>
      <c r="AG11" s="430">
        <f t="shared" si="12"/>
        <v>2464479.1010441454</v>
      </c>
      <c r="AH11" s="375">
        <f t="shared" si="13"/>
        <v>0</v>
      </c>
      <c r="AI11" s="431">
        <f t="shared" si="14"/>
        <v>2464479.1010441454</v>
      </c>
      <c r="AJ11" s="375"/>
      <c r="AK11" s="430">
        <f t="shared" si="15"/>
        <v>1564733.4965530224</v>
      </c>
      <c r="AL11" s="375">
        <f t="shared" si="16"/>
        <v>0</v>
      </c>
      <c r="AM11" s="432">
        <f t="shared" si="17"/>
        <v>863324.73107667756</v>
      </c>
      <c r="AN11" s="432">
        <f t="shared" si="18"/>
        <v>36420.873414445436</v>
      </c>
      <c r="AO11" s="433">
        <f t="shared" si="19"/>
        <v>2464479.1010441454</v>
      </c>
      <c r="AQ11" s="563">
        <f t="shared" si="20"/>
        <v>1716766.6098129647</v>
      </c>
      <c r="AR11" s="563">
        <f t="shared" si="21"/>
        <v>1716766.6098129647</v>
      </c>
    </row>
    <row r="12" spans="1:44" ht="10.5" customHeight="1" x14ac:dyDescent="0.35">
      <c r="A12" s="412" t="s">
        <v>1285</v>
      </c>
      <c r="B12" s="412" t="s">
        <v>25</v>
      </c>
      <c r="C12" s="412" t="s">
        <v>25</v>
      </c>
      <c r="D12" s="412" t="s">
        <v>1285</v>
      </c>
      <c r="F12" s="434">
        <v>1.08</v>
      </c>
      <c r="G12" s="414" t="s">
        <v>4112</v>
      </c>
      <c r="H12" s="435" t="s">
        <v>4122</v>
      </c>
      <c r="I12" s="436" t="s">
        <v>98</v>
      </c>
      <c r="J12" s="421">
        <v>1</v>
      </c>
      <c r="K12" s="418">
        <v>685200</v>
      </c>
      <c r="L12" s="418">
        <v>0</v>
      </c>
      <c r="M12" s="418">
        <v>651528.70745257603</v>
      </c>
      <c r="N12" s="418">
        <v>20050.930611788601</v>
      </c>
      <c r="O12" s="419">
        <f t="shared" si="0"/>
        <v>1356779.6380643647</v>
      </c>
      <c r="P12" s="420">
        <f t="shared" si="1"/>
        <v>1947705.0891012819</v>
      </c>
      <c r="Q12" s="403"/>
      <c r="R12" s="421">
        <f t="shared" si="2"/>
        <v>983628.79985149624</v>
      </c>
      <c r="S12" s="421">
        <f t="shared" si="3"/>
        <v>0</v>
      </c>
      <c r="T12" s="421">
        <f t="shared" si="4"/>
        <v>935292.47019902791</v>
      </c>
      <c r="U12" s="421">
        <f t="shared" si="5"/>
        <v>28783.819050757807</v>
      </c>
      <c r="V12" s="422">
        <f t="shared" si="6"/>
        <v>1947705.0891012822</v>
      </c>
      <c r="W12" s="423"/>
      <c r="X12" s="421">
        <f t="shared" si="7"/>
        <v>983628.79985149624</v>
      </c>
      <c r="Y12" s="421">
        <f t="shared" si="8"/>
        <v>964076.28924978594</v>
      </c>
      <c r="Z12" s="422">
        <f t="shared" si="9"/>
        <v>1947705.0891012822</v>
      </c>
      <c r="AA12" s="424"/>
      <c r="AB12" s="425" t="s">
        <v>4111</v>
      </c>
      <c r="AC12" s="427">
        <v>1</v>
      </c>
      <c r="AD12" s="427">
        <v>0</v>
      </c>
      <c r="AE12" s="428">
        <f t="shared" si="10"/>
        <v>1</v>
      </c>
      <c r="AF12" s="437" t="str">
        <f t="shared" si="11"/>
        <v>🔴</v>
      </c>
      <c r="AG12" s="430">
        <f t="shared" si="12"/>
        <v>1947705.0891012822</v>
      </c>
      <c r="AH12" s="375">
        <f t="shared" si="13"/>
        <v>0</v>
      </c>
      <c r="AI12" s="431">
        <f t="shared" si="14"/>
        <v>1947705.0891012822</v>
      </c>
      <c r="AJ12" s="375"/>
      <c r="AK12" s="430">
        <f t="shared" si="15"/>
        <v>983628.79985149624</v>
      </c>
      <c r="AL12" s="375">
        <f t="shared" si="16"/>
        <v>0</v>
      </c>
      <c r="AM12" s="432">
        <f t="shared" si="17"/>
        <v>935292.47019902791</v>
      </c>
      <c r="AN12" s="432">
        <f t="shared" si="18"/>
        <v>28783.819050757807</v>
      </c>
      <c r="AO12" s="433">
        <f t="shared" si="19"/>
        <v>1947705.0891012822</v>
      </c>
      <c r="AQ12" s="563">
        <f t="shared" si="20"/>
        <v>1356779.6380643647</v>
      </c>
      <c r="AR12" s="563">
        <f t="shared" si="21"/>
        <v>1356779.6380643647</v>
      </c>
    </row>
    <row r="13" spans="1:44" ht="10.5" customHeight="1" x14ac:dyDescent="0.35">
      <c r="A13" s="412" t="s">
        <v>1285</v>
      </c>
      <c r="B13" s="412" t="s">
        <v>25</v>
      </c>
      <c r="C13" s="412" t="s">
        <v>1285</v>
      </c>
      <c r="D13" s="412" t="s">
        <v>25</v>
      </c>
      <c r="F13" s="434">
        <v>1.0900000000000001</v>
      </c>
      <c r="G13" s="414" t="s">
        <v>4112</v>
      </c>
      <c r="H13" s="435" t="s">
        <v>4123</v>
      </c>
      <c r="I13" s="436" t="s">
        <v>98</v>
      </c>
      <c r="J13" s="421">
        <v>1</v>
      </c>
      <c r="K13" s="418">
        <v>0</v>
      </c>
      <c r="L13" s="418">
        <v>362691.08508372901</v>
      </c>
      <c r="M13" s="418">
        <v>0</v>
      </c>
      <c r="N13" s="418">
        <v>0</v>
      </c>
      <c r="O13" s="419">
        <f t="shared" si="0"/>
        <v>362691.08508372901</v>
      </c>
      <c r="P13" s="420">
        <f t="shared" si="1"/>
        <v>520655.86213914957</v>
      </c>
      <c r="Q13" s="403"/>
      <c r="R13" s="421">
        <f t="shared" si="2"/>
        <v>0</v>
      </c>
      <c r="S13" s="421">
        <f t="shared" si="3"/>
        <v>520655.86213914957</v>
      </c>
      <c r="T13" s="421">
        <f t="shared" si="4"/>
        <v>0</v>
      </c>
      <c r="U13" s="421">
        <f t="shared" si="5"/>
        <v>0</v>
      </c>
      <c r="V13" s="422">
        <f t="shared" si="6"/>
        <v>520655.86213914957</v>
      </c>
      <c r="W13" s="423"/>
      <c r="X13" s="421">
        <f t="shared" si="7"/>
        <v>0</v>
      </c>
      <c r="Y13" s="421">
        <f t="shared" si="8"/>
        <v>520655.86213914957</v>
      </c>
      <c r="Z13" s="422">
        <f t="shared" si="9"/>
        <v>520655.86213914957</v>
      </c>
      <c r="AA13" s="424"/>
      <c r="AB13" s="425" t="s">
        <v>4111</v>
      </c>
      <c r="AC13" s="427">
        <v>1</v>
      </c>
      <c r="AD13" s="427">
        <v>0</v>
      </c>
      <c r="AE13" s="428">
        <f t="shared" si="10"/>
        <v>1</v>
      </c>
      <c r="AF13" s="437" t="str">
        <f t="shared" si="11"/>
        <v>🔴</v>
      </c>
      <c r="AG13" s="430">
        <f t="shared" si="12"/>
        <v>520655.86213914957</v>
      </c>
      <c r="AH13" s="375">
        <f t="shared" si="13"/>
        <v>0</v>
      </c>
      <c r="AI13" s="431">
        <f t="shared" si="14"/>
        <v>520655.86213914957</v>
      </c>
      <c r="AJ13" s="375"/>
      <c r="AK13" s="430">
        <f t="shared" si="15"/>
        <v>0</v>
      </c>
      <c r="AL13" s="375">
        <f t="shared" si="16"/>
        <v>520655.86213914957</v>
      </c>
      <c r="AM13" s="432">
        <f t="shared" si="17"/>
        <v>0</v>
      </c>
      <c r="AN13" s="432">
        <f t="shared" si="18"/>
        <v>0</v>
      </c>
      <c r="AO13" s="433">
        <f t="shared" si="19"/>
        <v>520655.86213914957</v>
      </c>
      <c r="AQ13" s="563">
        <f t="shared" si="20"/>
        <v>362691.08508372901</v>
      </c>
      <c r="AR13" s="563">
        <f t="shared" si="21"/>
        <v>362691.08508372901</v>
      </c>
    </row>
    <row r="14" spans="1:44" ht="10.5" customHeight="1" x14ac:dyDescent="0.25">
      <c r="A14" s="412" t="s">
        <v>25</v>
      </c>
      <c r="B14" s="412" t="s">
        <v>25</v>
      </c>
      <c r="C14" s="412" t="s">
        <v>25</v>
      </c>
      <c r="D14" s="412" t="s">
        <v>25</v>
      </c>
      <c r="F14" s="396">
        <v>2</v>
      </c>
      <c r="G14" s="397"/>
      <c r="H14" s="398" t="s">
        <v>4124</v>
      </c>
      <c r="I14" s="399"/>
      <c r="J14" s="400"/>
      <c r="K14" s="400"/>
      <c r="L14" s="400"/>
      <c r="M14" s="400"/>
      <c r="N14" s="400"/>
      <c r="O14" s="401"/>
      <c r="P14" s="402"/>
      <c r="Q14" s="403"/>
      <c r="R14" s="400"/>
      <c r="S14" s="400"/>
      <c r="T14" s="400"/>
      <c r="U14" s="400"/>
      <c r="V14" s="402"/>
      <c r="X14" s="400"/>
      <c r="Y14" s="400"/>
      <c r="Z14" s="402"/>
      <c r="AA14" s="404">
        <f>+SUM(Z15:Z19)</f>
        <v>31937040.558926079</v>
      </c>
      <c r="AB14" s="405" t="s">
        <v>4124</v>
      </c>
      <c r="AC14" s="406"/>
      <c r="AD14" s="440"/>
      <c r="AE14" s="441"/>
      <c r="AF14" s="441"/>
      <c r="AG14" s="408"/>
      <c r="AH14" s="409"/>
      <c r="AI14" s="410"/>
      <c r="AJ14" s="411"/>
      <c r="AK14" s="408"/>
      <c r="AL14" s="409"/>
      <c r="AM14" s="442"/>
      <c r="AN14" s="442"/>
      <c r="AO14" s="410"/>
    </row>
    <row r="15" spans="1:44" ht="10.5" customHeight="1" x14ac:dyDescent="0.35">
      <c r="A15" s="412" t="s">
        <v>4125</v>
      </c>
      <c r="B15" s="412" t="s">
        <v>25</v>
      </c>
      <c r="C15" s="412" t="s">
        <v>4125</v>
      </c>
      <c r="D15" s="412" t="s">
        <v>1478</v>
      </c>
      <c r="F15" s="434">
        <v>2.0099999999999998</v>
      </c>
      <c r="G15" s="414" t="s">
        <v>4112</v>
      </c>
      <c r="H15" s="443" t="s">
        <v>4126</v>
      </c>
      <c r="I15" s="436" t="s">
        <v>83</v>
      </c>
      <c r="J15" s="439">
        <v>308</v>
      </c>
      <c r="K15" s="418">
        <v>0</v>
      </c>
      <c r="L15" s="418">
        <v>33000</v>
      </c>
      <c r="M15" s="418">
        <v>6520.7765117755844</v>
      </c>
      <c r="N15" s="418">
        <v>97.811647676633442</v>
      </c>
      <c r="O15" s="419">
        <f>+SUM(K15:N15)</f>
        <v>39618.588159452214</v>
      </c>
      <c r="P15" s="420">
        <f>+O15*$P$2</f>
        <v>56873.882549755806</v>
      </c>
      <c r="Q15" s="403"/>
      <c r="R15" s="421">
        <f t="shared" ref="R15:U19" si="22">+K15*$P$2</f>
        <v>0</v>
      </c>
      <c r="S15" s="421">
        <f t="shared" si="22"/>
        <v>47372.665491972235</v>
      </c>
      <c r="T15" s="421">
        <f t="shared" si="22"/>
        <v>9360.8049830380096</v>
      </c>
      <c r="U15" s="421">
        <f t="shared" si="22"/>
        <v>140.41207474556967</v>
      </c>
      <c r="V15" s="422">
        <f>+SUM(R15:U15)</f>
        <v>56873.882549755814</v>
      </c>
      <c r="W15" s="423"/>
      <c r="X15" s="421">
        <f>+R15*J15</f>
        <v>0</v>
      </c>
      <c r="Y15" s="421">
        <f>+Z15-X15</f>
        <v>17517155.825324792</v>
      </c>
      <c r="Z15" s="422">
        <f>+V15*J15</f>
        <v>17517155.825324792</v>
      </c>
      <c r="AA15" s="371"/>
      <c r="AB15" s="425" t="s">
        <v>4124</v>
      </c>
      <c r="AC15" s="427">
        <v>1</v>
      </c>
      <c r="AD15" s="427">
        <v>0</v>
      </c>
      <c r="AE15" s="428">
        <f>AC15+AD15</f>
        <v>1</v>
      </c>
      <c r="AF15" s="437" t="str">
        <f>IF($AE15=1,"🔴","⚪")</f>
        <v>🔴</v>
      </c>
      <c r="AG15" s="430">
        <f>AC15*Z15</f>
        <v>17517155.825324792</v>
      </c>
      <c r="AH15" s="375">
        <f>AD15*Z15</f>
        <v>0</v>
      </c>
      <c r="AI15" s="431">
        <f>AE15*Z15</f>
        <v>17517155.825324792</v>
      </c>
      <c r="AJ15" s="375"/>
      <c r="AK15" s="430">
        <f>AE15*X15</f>
        <v>0</v>
      </c>
      <c r="AL15" s="375">
        <f>AE15*S15*J15</f>
        <v>14590780.971527448</v>
      </c>
      <c r="AM15" s="432">
        <f>AE15*T15*J15</f>
        <v>2883127.9347757068</v>
      </c>
      <c r="AN15" s="432">
        <f>AE15*U15*J15</f>
        <v>43246.919021635455</v>
      </c>
      <c r="AO15" s="433">
        <f>AK15+AL15+AM15+AN15</f>
        <v>17517155.825324792</v>
      </c>
      <c r="AQ15" s="563">
        <f>+O15</f>
        <v>39618.588159452214</v>
      </c>
      <c r="AR15" s="563">
        <f>+O15*J15</f>
        <v>12202525.153111283</v>
      </c>
    </row>
    <row r="16" spans="1:44" ht="10.5" customHeight="1" x14ac:dyDescent="0.35">
      <c r="A16" s="412" t="s">
        <v>4125</v>
      </c>
      <c r="B16" s="412" t="s">
        <v>25</v>
      </c>
      <c r="C16" s="412" t="s">
        <v>4125</v>
      </c>
      <c r="D16" s="412" t="s">
        <v>1285</v>
      </c>
      <c r="F16" s="434">
        <v>2.02</v>
      </c>
      <c r="G16" s="414" t="s">
        <v>4112</v>
      </c>
      <c r="H16" s="443" t="s">
        <v>4127</v>
      </c>
      <c r="I16" s="436" t="s">
        <v>98</v>
      </c>
      <c r="J16" s="439">
        <v>1</v>
      </c>
      <c r="K16" s="418">
        <v>105000</v>
      </c>
      <c r="L16" s="418">
        <v>455000</v>
      </c>
      <c r="M16" s="418">
        <v>8033596.6625074996</v>
      </c>
      <c r="N16" s="418">
        <v>128903.949937613</v>
      </c>
      <c r="O16" s="419">
        <f>+SUM(K16:N16)</f>
        <v>8722500.6124451142</v>
      </c>
      <c r="P16" s="420">
        <f>+O16*$P$2</f>
        <v>12521457.689905617</v>
      </c>
      <c r="Q16" s="403"/>
      <c r="R16" s="421">
        <f t="shared" si="22"/>
        <v>150731.20838354802</v>
      </c>
      <c r="S16" s="421">
        <f t="shared" si="22"/>
        <v>653168.56966204138</v>
      </c>
      <c r="T16" s="421">
        <f t="shared" si="22"/>
        <v>11532511.739102798</v>
      </c>
      <c r="U16" s="421">
        <f t="shared" si="22"/>
        <v>185046.17275722654</v>
      </c>
      <c r="V16" s="422">
        <f>+SUM(R16:U16)</f>
        <v>12521457.689905614</v>
      </c>
      <c r="W16" s="423"/>
      <c r="X16" s="421">
        <f>+R16*J16</f>
        <v>150731.20838354802</v>
      </c>
      <c r="Y16" s="421">
        <f>+Z16-X16</f>
        <v>12370726.481522067</v>
      </c>
      <c r="Z16" s="422">
        <f>+V16*J16</f>
        <v>12521457.689905614</v>
      </c>
      <c r="AA16" s="371"/>
      <c r="AB16" s="425" t="s">
        <v>4124</v>
      </c>
      <c r="AC16" s="427">
        <v>1</v>
      </c>
      <c r="AD16" s="427">
        <v>0</v>
      </c>
      <c r="AE16" s="428">
        <f>AC16+AD16</f>
        <v>1</v>
      </c>
      <c r="AF16" s="437" t="str">
        <f>IF($AE16=1,"🔴","⚪")</f>
        <v>🔴</v>
      </c>
      <c r="AG16" s="430">
        <f>AC16*Z16</f>
        <v>12521457.689905614</v>
      </c>
      <c r="AH16" s="375">
        <f>AD16*Z16</f>
        <v>0</v>
      </c>
      <c r="AI16" s="431">
        <f>AE16*Z16</f>
        <v>12521457.689905614</v>
      </c>
      <c r="AJ16" s="375"/>
      <c r="AK16" s="430">
        <f>AE16*X16</f>
        <v>150731.20838354802</v>
      </c>
      <c r="AL16" s="375">
        <f>AE16*S16*J16</f>
        <v>653168.56966204138</v>
      </c>
      <c r="AM16" s="432">
        <f>AE16*T16*J16</f>
        <v>11532511.739102798</v>
      </c>
      <c r="AN16" s="432">
        <f>AE16*U16*J16</f>
        <v>185046.17275722654</v>
      </c>
      <c r="AO16" s="433">
        <f>AK16+AL16+AM16+AN16</f>
        <v>12521457.689905614</v>
      </c>
      <c r="AQ16" s="563">
        <f>+O16</f>
        <v>8722500.6124451142</v>
      </c>
      <c r="AR16" s="563">
        <f>+O16*J16</f>
        <v>8722500.6124451142</v>
      </c>
    </row>
    <row r="17" spans="1:44" ht="10.5" customHeight="1" x14ac:dyDescent="0.35">
      <c r="A17" s="412" t="s">
        <v>4125</v>
      </c>
      <c r="B17" s="412" t="s">
        <v>25</v>
      </c>
      <c r="C17" s="412" t="s">
        <v>25</v>
      </c>
      <c r="D17" s="412" t="s">
        <v>1285</v>
      </c>
      <c r="F17" s="434">
        <v>2.0299999999999998</v>
      </c>
      <c r="G17" s="414" t="s">
        <v>4112</v>
      </c>
      <c r="H17" s="443" t="s">
        <v>1504</v>
      </c>
      <c r="I17" s="436" t="s">
        <v>83</v>
      </c>
      <c r="J17" s="439">
        <v>15</v>
      </c>
      <c r="K17" s="418">
        <v>26000</v>
      </c>
      <c r="L17" s="418">
        <v>0</v>
      </c>
      <c r="M17" s="418">
        <v>60860.580776572002</v>
      </c>
      <c r="N17" s="418">
        <v>1302.90871164858</v>
      </c>
      <c r="O17" s="419">
        <f>+SUM(K17:N17)</f>
        <v>88163.48948822057</v>
      </c>
      <c r="P17" s="420">
        <f>+O17*$P$2</f>
        <v>126561.80291304496</v>
      </c>
      <c r="Q17" s="403"/>
      <c r="R17" s="421">
        <f t="shared" si="22"/>
        <v>37323.918266402368</v>
      </c>
      <c r="S17" s="421">
        <f t="shared" si="22"/>
        <v>0</v>
      </c>
      <c r="T17" s="421">
        <f t="shared" si="22"/>
        <v>87367.513175021246</v>
      </c>
      <c r="U17" s="421">
        <f t="shared" si="22"/>
        <v>1870.3714716213542</v>
      </c>
      <c r="V17" s="422">
        <f>+SUM(R17:U17)</f>
        <v>126561.80291304497</v>
      </c>
      <c r="W17" s="423"/>
      <c r="X17" s="421">
        <f>+R17*J17</f>
        <v>559858.77399603557</v>
      </c>
      <c r="Y17" s="421">
        <f>+Z17-X17</f>
        <v>1338568.2696996389</v>
      </c>
      <c r="Z17" s="422">
        <f>+V17*J17</f>
        <v>1898427.0436956745</v>
      </c>
      <c r="AA17" s="371"/>
      <c r="AB17" s="425" t="s">
        <v>4124</v>
      </c>
      <c r="AC17" s="427">
        <v>1</v>
      </c>
      <c r="AD17" s="427">
        <v>0</v>
      </c>
      <c r="AE17" s="428">
        <f>AC17+AD17</f>
        <v>1</v>
      </c>
      <c r="AF17" s="437" t="str">
        <f>IF($AE17=1,"🔴","⚪")</f>
        <v>🔴</v>
      </c>
      <c r="AG17" s="430">
        <f>AC17*Z17</f>
        <v>1898427.0436956745</v>
      </c>
      <c r="AH17" s="375">
        <f>AD17*Z17</f>
        <v>0</v>
      </c>
      <c r="AI17" s="431">
        <f>AE17*Z17</f>
        <v>1898427.0436956745</v>
      </c>
      <c r="AJ17" s="375"/>
      <c r="AK17" s="430">
        <f>AE17*X17</f>
        <v>559858.77399603557</v>
      </c>
      <c r="AL17" s="375">
        <f>AE17*S17*J17</f>
        <v>0</v>
      </c>
      <c r="AM17" s="432">
        <f>AE17*T17*J17</f>
        <v>1310512.6976253188</v>
      </c>
      <c r="AN17" s="432">
        <f>AE17*U17*J17</f>
        <v>28055.572074320313</v>
      </c>
      <c r="AO17" s="433">
        <f>AK17+AL17+AM17+AN17</f>
        <v>1898427.0436956747</v>
      </c>
      <c r="AQ17" s="563">
        <f>+O17</f>
        <v>88163.48948822057</v>
      </c>
      <c r="AR17" s="563">
        <f>+O17*J17</f>
        <v>1322452.3423233086</v>
      </c>
    </row>
    <row r="18" spans="1:44" ht="10.5" customHeight="1" x14ac:dyDescent="0.35">
      <c r="A18" s="412" t="s">
        <v>25</v>
      </c>
      <c r="B18" s="412" t="s">
        <v>25</v>
      </c>
      <c r="C18" s="412" t="s">
        <v>25</v>
      </c>
      <c r="D18" s="412" t="s">
        <v>25</v>
      </c>
      <c r="F18" s="444">
        <v>2.04</v>
      </c>
      <c r="G18" s="445" t="s">
        <v>4128</v>
      </c>
      <c r="H18" s="446" t="s">
        <v>4129</v>
      </c>
      <c r="I18" s="447" t="s">
        <v>988</v>
      </c>
      <c r="J18" s="448">
        <v>0</v>
      </c>
      <c r="K18" s="418">
        <v>0</v>
      </c>
      <c r="L18" s="418">
        <v>0</v>
      </c>
      <c r="M18" s="418">
        <v>0</v>
      </c>
      <c r="N18" s="418">
        <v>0</v>
      </c>
      <c r="O18" s="419">
        <f>+SUM(K18:N18)</f>
        <v>0</v>
      </c>
      <c r="P18" s="420">
        <f>+O18*$P$2</f>
        <v>0</v>
      </c>
      <c r="Q18" s="403"/>
      <c r="R18" s="421">
        <f t="shared" si="22"/>
        <v>0</v>
      </c>
      <c r="S18" s="421">
        <f t="shared" si="22"/>
        <v>0</v>
      </c>
      <c r="T18" s="421">
        <f t="shared" si="22"/>
        <v>0</v>
      </c>
      <c r="U18" s="421">
        <f t="shared" si="22"/>
        <v>0</v>
      </c>
      <c r="V18" s="422">
        <f>+SUM(R18:U18)</f>
        <v>0</v>
      </c>
      <c r="W18" s="423"/>
      <c r="X18" s="421">
        <f>+R18*J18</f>
        <v>0</v>
      </c>
      <c r="Y18" s="421">
        <f>+Z18-X18</f>
        <v>0</v>
      </c>
      <c r="Z18" s="422">
        <f>+V18*J18</f>
        <v>0</v>
      </c>
      <c r="AA18" s="371"/>
      <c r="AB18" s="425" t="s">
        <v>4124</v>
      </c>
      <c r="AC18" s="427">
        <v>0</v>
      </c>
      <c r="AD18" s="427">
        <v>0</v>
      </c>
      <c r="AE18" s="428">
        <f>AC18+AD18</f>
        <v>0</v>
      </c>
      <c r="AF18" s="437" t="str">
        <f>IF($AE18=1,"🔴","⚪")</f>
        <v>⚪</v>
      </c>
      <c r="AG18" s="430">
        <f>AC18*Z18</f>
        <v>0</v>
      </c>
      <c r="AH18" s="375">
        <f>AD18*Z18</f>
        <v>0</v>
      </c>
      <c r="AI18" s="431">
        <f>AE18*Z18</f>
        <v>0</v>
      </c>
      <c r="AJ18" s="375"/>
      <c r="AK18" s="430">
        <f>AE18*X18</f>
        <v>0</v>
      </c>
      <c r="AL18" s="375">
        <f>AE18*S18*J18</f>
        <v>0</v>
      </c>
      <c r="AM18" s="432">
        <f>AE18*T18*J18</f>
        <v>0</v>
      </c>
      <c r="AN18" s="432">
        <f>AE18*U18*J18</f>
        <v>0</v>
      </c>
      <c r="AO18" s="433">
        <f>AK18+AL18+AM18+AN18</f>
        <v>0</v>
      </c>
      <c r="AQ18" s="563">
        <f>+O18</f>
        <v>0</v>
      </c>
      <c r="AR18" s="563">
        <f>+O18*J18</f>
        <v>0</v>
      </c>
    </row>
    <row r="19" spans="1:44" ht="10.5" customHeight="1" x14ac:dyDescent="0.35">
      <c r="A19" s="412" t="s">
        <v>25</v>
      </c>
      <c r="B19" s="412" t="s">
        <v>25</v>
      </c>
      <c r="C19" s="412" t="s">
        <v>25</v>
      </c>
      <c r="D19" s="412" t="s">
        <v>25</v>
      </c>
      <c r="F19" s="449">
        <v>2.0499999999999998</v>
      </c>
      <c r="G19" s="450" t="s">
        <v>4112</v>
      </c>
      <c r="H19" s="451" t="s">
        <v>4130</v>
      </c>
      <c r="I19" s="452" t="s">
        <v>98</v>
      </c>
      <c r="J19" s="453">
        <v>0</v>
      </c>
      <c r="K19" s="418">
        <v>0</v>
      </c>
      <c r="L19" s="418">
        <v>0</v>
      </c>
      <c r="M19" s="418">
        <v>0</v>
      </c>
      <c r="N19" s="418">
        <v>0</v>
      </c>
      <c r="O19" s="419">
        <f>+SUM(K19:N19)</f>
        <v>0</v>
      </c>
      <c r="P19" s="420">
        <f>+O19*$P$2</f>
        <v>0</v>
      </c>
      <c r="Q19" s="403"/>
      <c r="R19" s="421">
        <f t="shared" si="22"/>
        <v>0</v>
      </c>
      <c r="S19" s="421">
        <f t="shared" si="22"/>
        <v>0</v>
      </c>
      <c r="T19" s="421">
        <f t="shared" si="22"/>
        <v>0</v>
      </c>
      <c r="U19" s="421">
        <f t="shared" si="22"/>
        <v>0</v>
      </c>
      <c r="V19" s="422">
        <f>+SUM(R19:U19)</f>
        <v>0</v>
      </c>
      <c r="W19" s="423"/>
      <c r="X19" s="421">
        <f>+R19*J19</f>
        <v>0</v>
      </c>
      <c r="Y19" s="421">
        <f>+Z19-X19</f>
        <v>0</v>
      </c>
      <c r="Z19" s="422">
        <f>+V19*J19</f>
        <v>0</v>
      </c>
      <c r="AA19" s="371"/>
      <c r="AB19" s="425" t="s">
        <v>4124</v>
      </c>
      <c r="AC19" s="427">
        <v>0</v>
      </c>
      <c r="AD19" s="427">
        <v>0</v>
      </c>
      <c r="AE19" s="428">
        <f>AC19+AD19</f>
        <v>0</v>
      </c>
      <c r="AF19" s="437" t="str">
        <f>IF($AE19=1,"🔴","⚪")</f>
        <v>⚪</v>
      </c>
      <c r="AG19" s="430">
        <f>AC19*Z19</f>
        <v>0</v>
      </c>
      <c r="AH19" s="375">
        <f>AD19*Z19</f>
        <v>0</v>
      </c>
      <c r="AI19" s="431">
        <f>AE19*Z19</f>
        <v>0</v>
      </c>
      <c r="AJ19" s="375"/>
      <c r="AK19" s="430">
        <f>AE19*X19</f>
        <v>0</v>
      </c>
      <c r="AL19" s="375">
        <f>AE19*S19*J19</f>
        <v>0</v>
      </c>
      <c r="AM19" s="432">
        <f>AE19*T19*J19</f>
        <v>0</v>
      </c>
      <c r="AN19" s="432">
        <f>AE19*U19*J19</f>
        <v>0</v>
      </c>
      <c r="AO19" s="433">
        <f>AK19+AL19+AM19+AN19</f>
        <v>0</v>
      </c>
      <c r="AQ19" s="563">
        <f>+O19</f>
        <v>0</v>
      </c>
      <c r="AR19" s="563">
        <f>+O19*J19</f>
        <v>0</v>
      </c>
    </row>
    <row r="20" spans="1:44" ht="10.5" customHeight="1" x14ac:dyDescent="0.25">
      <c r="A20" s="412" t="s">
        <v>25</v>
      </c>
      <c r="B20" s="412" t="s">
        <v>25</v>
      </c>
      <c r="C20" s="412" t="s">
        <v>25</v>
      </c>
      <c r="D20" s="412" t="s">
        <v>25</v>
      </c>
      <c r="F20" s="396">
        <v>3</v>
      </c>
      <c r="G20" s="397"/>
      <c r="H20" s="398" t="s">
        <v>4131</v>
      </c>
      <c r="I20" s="399"/>
      <c r="J20" s="400"/>
      <c r="K20" s="400"/>
      <c r="L20" s="400"/>
      <c r="M20" s="400"/>
      <c r="N20" s="400"/>
      <c r="O20" s="401"/>
      <c r="P20" s="402"/>
      <c r="Q20" s="403"/>
      <c r="R20" s="400"/>
      <c r="S20" s="400"/>
      <c r="T20" s="400"/>
      <c r="U20" s="400"/>
      <c r="V20" s="402"/>
      <c r="X20" s="400"/>
      <c r="Y20" s="400"/>
      <c r="Z20" s="402"/>
      <c r="AA20" s="404">
        <f>+SUM(Z21:Z41)</f>
        <v>486188360.14833701</v>
      </c>
      <c r="AB20" s="405" t="s">
        <v>4131</v>
      </c>
      <c r="AC20" s="406"/>
      <c r="AD20" s="440"/>
      <c r="AE20" s="441"/>
      <c r="AF20" s="441"/>
      <c r="AG20" s="408"/>
      <c r="AH20" s="409"/>
      <c r="AI20" s="410"/>
      <c r="AJ20" s="411"/>
      <c r="AK20" s="408"/>
      <c r="AL20" s="409"/>
      <c r="AM20" s="442"/>
      <c r="AN20" s="442"/>
      <c r="AO20" s="410"/>
    </row>
    <row r="21" spans="1:44" ht="10.5" customHeight="1" x14ac:dyDescent="0.35">
      <c r="A21" s="412" t="s">
        <v>1478</v>
      </c>
      <c r="B21" s="412" t="s">
        <v>25</v>
      </c>
      <c r="C21" s="412" t="s">
        <v>25</v>
      </c>
      <c r="D21" s="412" t="s">
        <v>1478</v>
      </c>
      <c r="F21" s="434">
        <v>3.01</v>
      </c>
      <c r="G21" s="414" t="s">
        <v>4112</v>
      </c>
      <c r="H21" s="454" t="s">
        <v>4132</v>
      </c>
      <c r="I21" s="438" t="s">
        <v>83</v>
      </c>
      <c r="J21" s="439">
        <v>13</v>
      </c>
      <c r="K21" s="418">
        <v>115100</v>
      </c>
      <c r="L21" s="418">
        <v>0</v>
      </c>
      <c r="M21" s="418">
        <v>101603.5818831877</v>
      </c>
      <c r="N21" s="418">
        <v>3250.5537282478149</v>
      </c>
      <c r="O21" s="419">
        <f t="shared" ref="O21:O41" si="23">+SUM(K21:N21)</f>
        <v>219954.13561143551</v>
      </c>
      <c r="P21" s="420">
        <f t="shared" ref="P21:P41" si="24">+O21*$P$2</f>
        <v>315751.92999686161</v>
      </c>
      <c r="Q21" s="403"/>
      <c r="R21" s="421">
        <f t="shared" ref="R21:R41" si="25">+K21*$P$2</f>
        <v>165230.1150947274</v>
      </c>
      <c r="S21" s="421">
        <f t="shared" ref="S21:S41" si="26">+L21*$P$2</f>
        <v>0</v>
      </c>
      <c r="T21" s="421">
        <f t="shared" ref="T21:T41" si="27">+M21*$P$2</f>
        <v>145855.53022237762</v>
      </c>
      <c r="U21" s="421">
        <f t="shared" ref="U21:U41" si="28">+N21*$P$2</f>
        <v>4666.2846797565744</v>
      </c>
      <c r="V21" s="422">
        <f t="shared" ref="V21:V41" si="29">+SUM(R21:U21)</f>
        <v>315751.92999686155</v>
      </c>
      <c r="W21" s="423"/>
      <c r="X21" s="421">
        <f t="shared" ref="X21:X41" si="30">+R21*J21</f>
        <v>2147991.4962314563</v>
      </c>
      <c r="Y21" s="421">
        <f t="shared" ref="Y21:Y41" si="31">+Z21-X21</f>
        <v>1956783.5937277437</v>
      </c>
      <c r="Z21" s="422">
        <f t="shared" ref="Z21:Z41" si="32">+V21*J21</f>
        <v>4104775.0899592</v>
      </c>
      <c r="AA21" s="371"/>
      <c r="AB21" s="425" t="s">
        <v>4131</v>
      </c>
      <c r="AC21" s="427">
        <v>1</v>
      </c>
      <c r="AD21" s="427">
        <v>0</v>
      </c>
      <c r="AE21" s="428">
        <f t="shared" ref="AE21:AE41" si="33">AC21+AD21</f>
        <v>1</v>
      </c>
      <c r="AF21" s="437" t="str">
        <f t="shared" ref="AF21:AF41" si="34">IF($AE21=1,"🔴","⚪")</f>
        <v>🔴</v>
      </c>
      <c r="AG21" s="430">
        <f t="shared" ref="AG21:AG41" si="35">AC21*Z21</f>
        <v>4104775.0899592</v>
      </c>
      <c r="AH21" s="375">
        <f t="shared" ref="AH21:AH41" si="36">AD21*Z21</f>
        <v>0</v>
      </c>
      <c r="AI21" s="431">
        <f t="shared" ref="AI21:AI41" si="37">AE21*Z21</f>
        <v>4104775.0899592</v>
      </c>
      <c r="AJ21" s="375"/>
      <c r="AK21" s="430">
        <f t="shared" ref="AK21:AK41" si="38">AE21*X21</f>
        <v>2147991.4962314563</v>
      </c>
      <c r="AL21" s="375">
        <f t="shared" ref="AL21:AL41" si="39">AE21*S21*J21</f>
        <v>0</v>
      </c>
      <c r="AM21" s="432">
        <f t="shared" ref="AM21:AM41" si="40">AE21*T21*J21</f>
        <v>1896121.8928909092</v>
      </c>
      <c r="AN21" s="432">
        <f t="shared" ref="AN21:AN41" si="41">AE21*U21*J21</f>
        <v>60661.700836835465</v>
      </c>
      <c r="AO21" s="433">
        <f t="shared" ref="AO21:AO41" si="42">AK21+AL21+AM21+AN21</f>
        <v>4104775.0899592009</v>
      </c>
      <c r="AQ21" s="563">
        <f t="shared" ref="AQ21:AQ41" si="43">+O21</f>
        <v>219954.13561143551</v>
      </c>
      <c r="AR21" s="563">
        <f t="shared" ref="AR21:AR41" si="44">+O21*J21</f>
        <v>2859403.7629486616</v>
      </c>
    </row>
    <row r="22" spans="1:44" ht="10.5" customHeight="1" x14ac:dyDescent="0.35">
      <c r="A22" s="412" t="s">
        <v>1478</v>
      </c>
      <c r="B22" s="412" t="s">
        <v>25</v>
      </c>
      <c r="C22" s="412" t="s">
        <v>1478</v>
      </c>
      <c r="D22" s="412" t="s">
        <v>25</v>
      </c>
      <c r="F22" s="434">
        <v>3.02</v>
      </c>
      <c r="G22" s="414" t="s">
        <v>4112</v>
      </c>
      <c r="H22" s="454" t="s">
        <v>4133</v>
      </c>
      <c r="I22" s="438" t="s">
        <v>35</v>
      </c>
      <c r="J22" s="439">
        <v>18</v>
      </c>
      <c r="K22" s="418">
        <v>90570.796344000002</v>
      </c>
      <c r="L22" s="418">
        <v>250000</v>
      </c>
      <c r="M22" s="418">
        <v>0</v>
      </c>
      <c r="N22" s="418">
        <v>5108.5619451600014</v>
      </c>
      <c r="O22" s="419">
        <f t="shared" si="23"/>
        <v>345679.35828916001</v>
      </c>
      <c r="P22" s="420">
        <f t="shared" si="24"/>
        <v>496234.92750642414</v>
      </c>
      <c r="Q22" s="403"/>
      <c r="R22" s="421">
        <f t="shared" si="25"/>
        <v>130017.57692563195</v>
      </c>
      <c r="S22" s="421">
        <f t="shared" si="26"/>
        <v>358883.82948463818</v>
      </c>
      <c r="T22" s="421">
        <f t="shared" si="27"/>
        <v>0</v>
      </c>
      <c r="U22" s="421">
        <f t="shared" si="28"/>
        <v>7333.5210961540533</v>
      </c>
      <c r="V22" s="422">
        <f t="shared" si="29"/>
        <v>496234.9275064242</v>
      </c>
      <c r="W22" s="423"/>
      <c r="X22" s="421">
        <f t="shared" si="30"/>
        <v>2340316.3846613751</v>
      </c>
      <c r="Y22" s="421">
        <f t="shared" si="31"/>
        <v>6591912.3104542606</v>
      </c>
      <c r="Z22" s="422">
        <f t="shared" si="32"/>
        <v>8932228.6951156352</v>
      </c>
      <c r="AA22" s="371"/>
      <c r="AB22" s="425" t="s">
        <v>4131</v>
      </c>
      <c r="AC22" s="427">
        <v>1</v>
      </c>
      <c r="AD22" s="427">
        <v>0</v>
      </c>
      <c r="AE22" s="428">
        <f t="shared" si="33"/>
        <v>1</v>
      </c>
      <c r="AF22" s="437" t="str">
        <f t="shared" si="34"/>
        <v>🔴</v>
      </c>
      <c r="AG22" s="430">
        <f t="shared" si="35"/>
        <v>8932228.6951156352</v>
      </c>
      <c r="AH22" s="375">
        <f t="shared" si="36"/>
        <v>0</v>
      </c>
      <c r="AI22" s="431">
        <f t="shared" si="37"/>
        <v>8932228.6951156352</v>
      </c>
      <c r="AJ22" s="375"/>
      <c r="AK22" s="430">
        <f t="shared" si="38"/>
        <v>2340316.3846613751</v>
      </c>
      <c r="AL22" s="375">
        <f t="shared" si="39"/>
        <v>6459908.9307234874</v>
      </c>
      <c r="AM22" s="432">
        <f t="shared" si="40"/>
        <v>0</v>
      </c>
      <c r="AN22" s="432">
        <f t="shared" si="41"/>
        <v>132003.37973077295</v>
      </c>
      <c r="AO22" s="433">
        <f t="shared" si="42"/>
        <v>8932228.6951156352</v>
      </c>
      <c r="AQ22" s="563">
        <f t="shared" si="43"/>
        <v>345679.35828916001</v>
      </c>
      <c r="AR22" s="563">
        <f t="shared" si="44"/>
        <v>6222228.4492048798</v>
      </c>
    </row>
    <row r="23" spans="1:44" ht="10.5" customHeight="1" x14ac:dyDescent="0.35">
      <c r="A23" s="412" t="s">
        <v>1478</v>
      </c>
      <c r="B23" s="412" t="s">
        <v>25</v>
      </c>
      <c r="C23" s="412" t="s">
        <v>1478</v>
      </c>
      <c r="D23" s="412" t="s">
        <v>25</v>
      </c>
      <c r="F23" s="434">
        <v>3.03</v>
      </c>
      <c r="G23" s="414" t="s">
        <v>4112</v>
      </c>
      <c r="H23" s="454" t="s">
        <v>1549</v>
      </c>
      <c r="I23" s="438" t="s">
        <v>83</v>
      </c>
      <c r="J23" s="439">
        <v>12</v>
      </c>
      <c r="K23" s="418">
        <v>402072.54172518168</v>
      </c>
      <c r="L23" s="418">
        <v>357640.89987449913</v>
      </c>
      <c r="M23" s="418">
        <v>0</v>
      </c>
      <c r="N23" s="418">
        <v>11395.70162399525</v>
      </c>
      <c r="O23" s="419">
        <f t="shared" si="23"/>
        <v>771109.14322367602</v>
      </c>
      <c r="P23" s="420">
        <f t="shared" si="24"/>
        <v>1106954.4090829247</v>
      </c>
      <c r="Q23" s="403"/>
      <c r="R23" s="421">
        <f t="shared" si="25"/>
        <v>577189.33401982067</v>
      </c>
      <c r="S23" s="421">
        <f t="shared" si="26"/>
        <v>513406.14290916914</v>
      </c>
      <c r="T23" s="421">
        <f t="shared" si="27"/>
        <v>0</v>
      </c>
      <c r="U23" s="421">
        <f t="shared" si="28"/>
        <v>16358.932153934902</v>
      </c>
      <c r="V23" s="422">
        <f t="shared" si="29"/>
        <v>1106954.4090829247</v>
      </c>
      <c r="W23" s="423"/>
      <c r="X23" s="421">
        <f t="shared" si="30"/>
        <v>6926272.0082378481</v>
      </c>
      <c r="Y23" s="421">
        <f t="shared" si="31"/>
        <v>6357180.9007572476</v>
      </c>
      <c r="Z23" s="422">
        <f t="shared" si="32"/>
        <v>13283452.908995096</v>
      </c>
      <c r="AA23" s="371"/>
      <c r="AB23" s="425" t="s">
        <v>4131</v>
      </c>
      <c r="AC23" s="427">
        <v>1</v>
      </c>
      <c r="AD23" s="427">
        <v>0</v>
      </c>
      <c r="AE23" s="428">
        <f t="shared" si="33"/>
        <v>1</v>
      </c>
      <c r="AF23" s="437" t="str">
        <f t="shared" si="34"/>
        <v>🔴</v>
      </c>
      <c r="AG23" s="430">
        <f t="shared" si="35"/>
        <v>13283452.908995096</v>
      </c>
      <c r="AH23" s="375">
        <f t="shared" si="36"/>
        <v>0</v>
      </c>
      <c r="AI23" s="431">
        <f t="shared" si="37"/>
        <v>13283452.908995096</v>
      </c>
      <c r="AJ23" s="375"/>
      <c r="AK23" s="430">
        <f t="shared" si="38"/>
        <v>6926272.0082378481</v>
      </c>
      <c r="AL23" s="375">
        <f t="shared" si="39"/>
        <v>6160873.7149100294</v>
      </c>
      <c r="AM23" s="432">
        <f t="shared" si="40"/>
        <v>0</v>
      </c>
      <c r="AN23" s="432">
        <f t="shared" si="41"/>
        <v>196307.18584721882</v>
      </c>
      <c r="AO23" s="433">
        <f t="shared" si="42"/>
        <v>13283452.908995096</v>
      </c>
      <c r="AQ23" s="563">
        <f t="shared" si="43"/>
        <v>771109.14322367602</v>
      </c>
      <c r="AR23" s="563">
        <f t="shared" si="44"/>
        <v>9253309.7186841127</v>
      </c>
    </row>
    <row r="24" spans="1:44" ht="10.5" customHeight="1" x14ac:dyDescent="0.35">
      <c r="A24" s="412" t="s">
        <v>1478</v>
      </c>
      <c r="B24" s="412" t="s">
        <v>25</v>
      </c>
      <c r="C24" s="412" t="s">
        <v>1478</v>
      </c>
      <c r="D24" s="412" t="s">
        <v>25</v>
      </c>
      <c r="F24" s="434">
        <v>3.04</v>
      </c>
      <c r="G24" s="414" t="s">
        <v>4112</v>
      </c>
      <c r="H24" s="454" t="s">
        <v>1562</v>
      </c>
      <c r="I24" s="438" t="s">
        <v>83</v>
      </c>
      <c r="J24" s="439">
        <v>7</v>
      </c>
      <c r="K24" s="418">
        <v>428196.58025620278</v>
      </c>
      <c r="L24" s="418">
        <v>281633.96217538568</v>
      </c>
      <c r="M24" s="418">
        <v>0</v>
      </c>
      <c r="N24" s="418">
        <v>10647.45813647383</v>
      </c>
      <c r="O24" s="419">
        <f t="shared" si="23"/>
        <v>720478.0005680623</v>
      </c>
      <c r="P24" s="420">
        <f t="shared" si="24"/>
        <v>1034271.6156132059</v>
      </c>
      <c r="Q24" s="403"/>
      <c r="R24" s="421">
        <f t="shared" si="25"/>
        <v>614691.31397828902</v>
      </c>
      <c r="S24" s="421">
        <f t="shared" si="26"/>
        <v>404295.49943373655</v>
      </c>
      <c r="T24" s="421">
        <f t="shared" si="27"/>
        <v>0</v>
      </c>
      <c r="U24" s="421">
        <f t="shared" si="28"/>
        <v>15284.802201180388</v>
      </c>
      <c r="V24" s="422">
        <f t="shared" si="29"/>
        <v>1034271.6156132059</v>
      </c>
      <c r="W24" s="423"/>
      <c r="X24" s="421">
        <f t="shared" si="30"/>
        <v>4302839.1978480229</v>
      </c>
      <c r="Y24" s="421">
        <f t="shared" si="31"/>
        <v>2937062.1114444183</v>
      </c>
      <c r="Z24" s="422">
        <f t="shared" si="32"/>
        <v>7239901.3092924412</v>
      </c>
      <c r="AA24" s="371"/>
      <c r="AB24" s="425" t="s">
        <v>4131</v>
      </c>
      <c r="AC24" s="427">
        <v>1</v>
      </c>
      <c r="AD24" s="427">
        <v>0</v>
      </c>
      <c r="AE24" s="428">
        <f t="shared" si="33"/>
        <v>1</v>
      </c>
      <c r="AF24" s="437" t="str">
        <f t="shared" si="34"/>
        <v>🔴</v>
      </c>
      <c r="AG24" s="430">
        <f t="shared" si="35"/>
        <v>7239901.3092924412</v>
      </c>
      <c r="AH24" s="375">
        <f t="shared" si="36"/>
        <v>0</v>
      </c>
      <c r="AI24" s="431">
        <f t="shared" si="37"/>
        <v>7239901.3092924412</v>
      </c>
      <c r="AJ24" s="375"/>
      <c r="AK24" s="430">
        <f t="shared" si="38"/>
        <v>4302839.1978480229</v>
      </c>
      <c r="AL24" s="375">
        <f t="shared" si="39"/>
        <v>2830068.4960361561</v>
      </c>
      <c r="AM24" s="432">
        <f t="shared" si="40"/>
        <v>0</v>
      </c>
      <c r="AN24" s="432">
        <f t="shared" si="41"/>
        <v>106993.61540826272</v>
      </c>
      <c r="AO24" s="433">
        <f t="shared" si="42"/>
        <v>7239901.3092924422</v>
      </c>
      <c r="AQ24" s="563">
        <f t="shared" si="43"/>
        <v>720478.0005680623</v>
      </c>
      <c r="AR24" s="563">
        <f t="shared" si="44"/>
        <v>5043346.0039764363</v>
      </c>
    </row>
    <row r="25" spans="1:44" ht="10.5" customHeight="1" x14ac:dyDescent="0.35">
      <c r="A25" s="412" t="s">
        <v>1478</v>
      </c>
      <c r="B25" s="412" t="s">
        <v>25</v>
      </c>
      <c r="C25" s="412" t="s">
        <v>1478</v>
      </c>
      <c r="D25" s="412" t="s">
        <v>25</v>
      </c>
      <c r="F25" s="434">
        <v>3.05</v>
      </c>
      <c r="G25" s="414" t="s">
        <v>4112</v>
      </c>
      <c r="H25" s="454" t="s">
        <v>1575</v>
      </c>
      <c r="I25" s="438" t="s">
        <v>83</v>
      </c>
      <c r="J25" s="439">
        <v>38</v>
      </c>
      <c r="K25" s="418">
        <v>333700.50579037901</v>
      </c>
      <c r="L25" s="418">
        <v>194327.43390101631</v>
      </c>
      <c r="M25" s="418">
        <v>0</v>
      </c>
      <c r="N25" s="418">
        <v>7920.4190953709212</v>
      </c>
      <c r="O25" s="419">
        <f t="shared" si="23"/>
        <v>535948.35878676618</v>
      </c>
      <c r="P25" s="420">
        <f t="shared" si="24"/>
        <v>769372.79762960586</v>
      </c>
      <c r="Q25" s="403"/>
      <c r="R25" s="421">
        <f t="shared" si="25"/>
        <v>479038.86167604756</v>
      </c>
      <c r="S25" s="421">
        <f t="shared" si="26"/>
        <v>278963.89460927853</v>
      </c>
      <c r="T25" s="421">
        <f t="shared" si="27"/>
        <v>0</v>
      </c>
      <c r="U25" s="421">
        <f t="shared" si="28"/>
        <v>11370.041344279878</v>
      </c>
      <c r="V25" s="422">
        <f t="shared" si="29"/>
        <v>769372.79762960598</v>
      </c>
      <c r="W25" s="423"/>
      <c r="X25" s="421">
        <f t="shared" si="30"/>
        <v>18203476.743689805</v>
      </c>
      <c r="Y25" s="421">
        <f t="shared" si="31"/>
        <v>11032689.566235222</v>
      </c>
      <c r="Z25" s="422">
        <f t="shared" si="32"/>
        <v>29236166.309925027</v>
      </c>
      <c r="AA25" s="371"/>
      <c r="AB25" s="425" t="s">
        <v>4131</v>
      </c>
      <c r="AC25" s="427">
        <v>1</v>
      </c>
      <c r="AD25" s="427">
        <v>0</v>
      </c>
      <c r="AE25" s="428">
        <f t="shared" si="33"/>
        <v>1</v>
      </c>
      <c r="AF25" s="437" t="str">
        <f t="shared" si="34"/>
        <v>🔴</v>
      </c>
      <c r="AG25" s="430">
        <f t="shared" si="35"/>
        <v>29236166.309925027</v>
      </c>
      <c r="AH25" s="375">
        <f t="shared" si="36"/>
        <v>0</v>
      </c>
      <c r="AI25" s="431">
        <f t="shared" si="37"/>
        <v>29236166.309925027</v>
      </c>
      <c r="AJ25" s="375"/>
      <c r="AK25" s="430">
        <f t="shared" si="38"/>
        <v>18203476.743689805</v>
      </c>
      <c r="AL25" s="375">
        <f t="shared" si="39"/>
        <v>10600627.995152585</v>
      </c>
      <c r="AM25" s="432">
        <f t="shared" si="40"/>
        <v>0</v>
      </c>
      <c r="AN25" s="432">
        <f t="shared" si="41"/>
        <v>432061.57108263538</v>
      </c>
      <c r="AO25" s="433">
        <f t="shared" si="42"/>
        <v>29236166.309925027</v>
      </c>
      <c r="AQ25" s="563">
        <f t="shared" si="43"/>
        <v>535948.35878676618</v>
      </c>
      <c r="AR25" s="563">
        <f t="shared" si="44"/>
        <v>20366037.633897115</v>
      </c>
    </row>
    <row r="26" spans="1:44" ht="10.5" customHeight="1" x14ac:dyDescent="0.35">
      <c r="A26" s="412" t="s">
        <v>1478</v>
      </c>
      <c r="B26" s="412" t="s">
        <v>25</v>
      </c>
      <c r="C26" s="412" t="s">
        <v>1478</v>
      </c>
      <c r="D26" s="412" t="s">
        <v>25</v>
      </c>
      <c r="F26" s="434">
        <v>3.06</v>
      </c>
      <c r="G26" s="414" t="s">
        <v>4112</v>
      </c>
      <c r="H26" s="454" t="s">
        <v>1588</v>
      </c>
      <c r="I26" s="438" t="s">
        <v>83</v>
      </c>
      <c r="J26" s="439">
        <v>51</v>
      </c>
      <c r="K26" s="418">
        <v>275042.37829037837</v>
      </c>
      <c r="L26" s="418">
        <v>194327.43390101631</v>
      </c>
      <c r="M26" s="418">
        <v>0</v>
      </c>
      <c r="N26" s="418">
        <v>7040.5471828709206</v>
      </c>
      <c r="O26" s="419">
        <f t="shared" si="23"/>
        <v>476410.35937426559</v>
      </c>
      <c r="P26" s="420">
        <f t="shared" si="24"/>
        <v>683903.89671355649</v>
      </c>
      <c r="Q26" s="403"/>
      <c r="R26" s="421">
        <f t="shared" si="25"/>
        <v>394833.047965654</v>
      </c>
      <c r="S26" s="421">
        <f t="shared" si="26"/>
        <v>278963.89460927853</v>
      </c>
      <c r="T26" s="421">
        <f t="shared" si="27"/>
        <v>0</v>
      </c>
      <c r="U26" s="421">
        <f t="shared" si="28"/>
        <v>10106.954138623987</v>
      </c>
      <c r="V26" s="422">
        <f t="shared" si="29"/>
        <v>683903.89671355649</v>
      </c>
      <c r="W26" s="423"/>
      <c r="X26" s="421">
        <f t="shared" si="30"/>
        <v>20136485.446248353</v>
      </c>
      <c r="Y26" s="421">
        <f t="shared" si="31"/>
        <v>14742613.286143027</v>
      </c>
      <c r="Z26" s="422">
        <f t="shared" si="32"/>
        <v>34879098.73239138</v>
      </c>
      <c r="AA26" s="371"/>
      <c r="AB26" s="425" t="s">
        <v>4131</v>
      </c>
      <c r="AC26" s="427">
        <v>1</v>
      </c>
      <c r="AD26" s="427">
        <v>0</v>
      </c>
      <c r="AE26" s="428">
        <f t="shared" si="33"/>
        <v>1</v>
      </c>
      <c r="AF26" s="437" t="str">
        <f t="shared" si="34"/>
        <v>🔴</v>
      </c>
      <c r="AG26" s="430">
        <f t="shared" si="35"/>
        <v>34879098.73239138</v>
      </c>
      <c r="AH26" s="375">
        <f t="shared" si="36"/>
        <v>0</v>
      </c>
      <c r="AI26" s="431">
        <f t="shared" si="37"/>
        <v>34879098.73239138</v>
      </c>
      <c r="AJ26" s="375"/>
      <c r="AK26" s="430">
        <f t="shared" si="38"/>
        <v>20136485.446248353</v>
      </c>
      <c r="AL26" s="375">
        <f t="shared" si="39"/>
        <v>14227158.625073206</v>
      </c>
      <c r="AM26" s="432">
        <f t="shared" si="40"/>
        <v>0</v>
      </c>
      <c r="AN26" s="432">
        <f t="shared" si="41"/>
        <v>515454.66106982331</v>
      </c>
      <c r="AO26" s="433">
        <f t="shared" si="42"/>
        <v>34879098.732391387</v>
      </c>
      <c r="AQ26" s="563">
        <f t="shared" si="43"/>
        <v>476410.35937426559</v>
      </c>
      <c r="AR26" s="563">
        <f t="shared" si="44"/>
        <v>24296928.328087546</v>
      </c>
    </row>
    <row r="27" spans="1:44" ht="10.5" customHeight="1" x14ac:dyDescent="0.35">
      <c r="A27" s="412" t="s">
        <v>1478</v>
      </c>
      <c r="B27" s="412" t="s">
        <v>25</v>
      </c>
      <c r="C27" s="412" t="s">
        <v>1478</v>
      </c>
      <c r="D27" s="412" t="s">
        <v>25</v>
      </c>
      <c r="F27" s="434">
        <v>3.07</v>
      </c>
      <c r="G27" s="414" t="s">
        <v>4112</v>
      </c>
      <c r="H27" s="454" t="s">
        <v>1601</v>
      </c>
      <c r="I27" s="438" t="s">
        <v>83</v>
      </c>
      <c r="J27" s="439">
        <v>16</v>
      </c>
      <c r="K27" s="418">
        <v>635192.71722614369</v>
      </c>
      <c r="L27" s="418">
        <v>317914.04751247441</v>
      </c>
      <c r="M27" s="418">
        <v>0</v>
      </c>
      <c r="N27" s="418">
        <v>14296.60147107925</v>
      </c>
      <c r="O27" s="419">
        <f t="shared" si="23"/>
        <v>967403.36620969744</v>
      </c>
      <c r="P27" s="420">
        <f t="shared" si="24"/>
        <v>1388741.6988866641</v>
      </c>
      <c r="Q27" s="403"/>
      <c r="R27" s="421">
        <f t="shared" si="25"/>
        <v>911841.57927548536</v>
      </c>
      <c r="S27" s="421">
        <f t="shared" si="26"/>
        <v>456376.84327295207</v>
      </c>
      <c r="T27" s="421">
        <f t="shared" si="27"/>
        <v>0</v>
      </c>
      <c r="U27" s="421">
        <f t="shared" si="28"/>
        <v>20523.276338226529</v>
      </c>
      <c r="V27" s="422">
        <f t="shared" si="29"/>
        <v>1388741.6988866641</v>
      </c>
      <c r="W27" s="423"/>
      <c r="X27" s="421">
        <f t="shared" si="30"/>
        <v>14589465.268407766</v>
      </c>
      <c r="Y27" s="421">
        <f t="shared" si="31"/>
        <v>7630401.9137788601</v>
      </c>
      <c r="Z27" s="422">
        <f t="shared" si="32"/>
        <v>22219867.182186626</v>
      </c>
      <c r="AA27" s="371"/>
      <c r="AB27" s="425" t="s">
        <v>4131</v>
      </c>
      <c r="AC27" s="427">
        <v>1</v>
      </c>
      <c r="AD27" s="427">
        <v>0</v>
      </c>
      <c r="AE27" s="428">
        <f t="shared" si="33"/>
        <v>1</v>
      </c>
      <c r="AF27" s="437" t="str">
        <f t="shared" si="34"/>
        <v>🔴</v>
      </c>
      <c r="AG27" s="430">
        <f t="shared" si="35"/>
        <v>22219867.182186626</v>
      </c>
      <c r="AH27" s="375">
        <f t="shared" si="36"/>
        <v>0</v>
      </c>
      <c r="AI27" s="431">
        <f t="shared" si="37"/>
        <v>22219867.182186626</v>
      </c>
      <c r="AJ27" s="375"/>
      <c r="AK27" s="430">
        <f t="shared" si="38"/>
        <v>14589465.268407766</v>
      </c>
      <c r="AL27" s="375">
        <f t="shared" si="39"/>
        <v>7302029.4923672331</v>
      </c>
      <c r="AM27" s="432">
        <f t="shared" si="40"/>
        <v>0</v>
      </c>
      <c r="AN27" s="432">
        <f t="shared" si="41"/>
        <v>328372.42141162447</v>
      </c>
      <c r="AO27" s="433">
        <f t="shared" si="42"/>
        <v>22219867.182186626</v>
      </c>
      <c r="AQ27" s="563">
        <f t="shared" si="43"/>
        <v>967403.36620969744</v>
      </c>
      <c r="AR27" s="563">
        <f t="shared" si="44"/>
        <v>15478453.859355159</v>
      </c>
    </row>
    <row r="28" spans="1:44" ht="10.5" customHeight="1" x14ac:dyDescent="0.35">
      <c r="A28" s="412" t="s">
        <v>1478</v>
      </c>
      <c r="B28" s="412" t="s">
        <v>25</v>
      </c>
      <c r="C28" s="412" t="s">
        <v>1478</v>
      </c>
      <c r="D28" s="412" t="s">
        <v>25</v>
      </c>
      <c r="F28" s="434">
        <v>3.08</v>
      </c>
      <c r="G28" s="414" t="s">
        <v>4112</v>
      </c>
      <c r="H28" s="454" t="s">
        <v>1614</v>
      </c>
      <c r="I28" s="438" t="s">
        <v>83</v>
      </c>
      <c r="J28" s="439">
        <v>7</v>
      </c>
      <c r="K28" s="418">
        <v>528753.37025620288</v>
      </c>
      <c r="L28" s="418">
        <v>281633.96217538568</v>
      </c>
      <c r="M28" s="418">
        <v>0</v>
      </c>
      <c r="N28" s="418">
        <v>12155.809986473831</v>
      </c>
      <c r="O28" s="419">
        <f t="shared" si="23"/>
        <v>822543.14241806243</v>
      </c>
      <c r="P28" s="420">
        <f t="shared" si="24"/>
        <v>1180789.7314692894</v>
      </c>
      <c r="Q28" s="403"/>
      <c r="R28" s="421">
        <f t="shared" si="25"/>
        <v>759044.13748181937</v>
      </c>
      <c r="S28" s="421">
        <f t="shared" si="26"/>
        <v>404295.49943373655</v>
      </c>
      <c r="T28" s="421">
        <f t="shared" si="27"/>
        <v>0</v>
      </c>
      <c r="U28" s="421">
        <f t="shared" si="28"/>
        <v>17450.094553733343</v>
      </c>
      <c r="V28" s="422">
        <f t="shared" si="29"/>
        <v>1180789.7314692892</v>
      </c>
      <c r="W28" s="423"/>
      <c r="X28" s="421">
        <f t="shared" si="30"/>
        <v>5313308.9623727351</v>
      </c>
      <c r="Y28" s="421">
        <f t="shared" si="31"/>
        <v>2952219.1579122888</v>
      </c>
      <c r="Z28" s="422">
        <f t="shared" si="32"/>
        <v>8265528.1202850239</v>
      </c>
      <c r="AA28" s="371"/>
      <c r="AB28" s="425" t="s">
        <v>4131</v>
      </c>
      <c r="AC28" s="427">
        <v>1</v>
      </c>
      <c r="AD28" s="427">
        <v>0</v>
      </c>
      <c r="AE28" s="428">
        <f t="shared" si="33"/>
        <v>1</v>
      </c>
      <c r="AF28" s="437" t="str">
        <f t="shared" si="34"/>
        <v>🔴</v>
      </c>
      <c r="AG28" s="430">
        <f t="shared" si="35"/>
        <v>8265528.1202850239</v>
      </c>
      <c r="AH28" s="375">
        <f t="shared" si="36"/>
        <v>0</v>
      </c>
      <c r="AI28" s="431">
        <f t="shared" si="37"/>
        <v>8265528.1202850239</v>
      </c>
      <c r="AJ28" s="375"/>
      <c r="AK28" s="430">
        <f t="shared" si="38"/>
        <v>5313308.9623727351</v>
      </c>
      <c r="AL28" s="375">
        <f t="shared" si="39"/>
        <v>2830068.4960361561</v>
      </c>
      <c r="AM28" s="432">
        <f t="shared" si="40"/>
        <v>0</v>
      </c>
      <c r="AN28" s="432">
        <f t="shared" si="41"/>
        <v>122150.6618761334</v>
      </c>
      <c r="AO28" s="433">
        <f t="shared" si="42"/>
        <v>8265528.1202850249</v>
      </c>
      <c r="AQ28" s="563">
        <f t="shared" si="43"/>
        <v>822543.14241806243</v>
      </c>
      <c r="AR28" s="563">
        <f t="shared" si="44"/>
        <v>5757801.9969264371</v>
      </c>
    </row>
    <row r="29" spans="1:44" ht="10.5" customHeight="1" x14ac:dyDescent="0.35">
      <c r="A29" s="412" t="s">
        <v>1478</v>
      </c>
      <c r="B29" s="412" t="s">
        <v>25</v>
      </c>
      <c r="C29" s="412" t="s">
        <v>1478</v>
      </c>
      <c r="D29" s="412" t="s">
        <v>25</v>
      </c>
      <c r="F29" s="434">
        <v>3.09</v>
      </c>
      <c r="G29" s="414" t="s">
        <v>4112</v>
      </c>
      <c r="H29" s="435" t="s">
        <v>1627</v>
      </c>
      <c r="I29" s="436" t="s">
        <v>83</v>
      </c>
      <c r="J29" s="421">
        <v>90</v>
      </c>
      <c r="K29" s="418">
        <v>372584.32994905562</v>
      </c>
      <c r="L29" s="418">
        <v>221790.79493264109</v>
      </c>
      <c r="M29" s="418">
        <v>0</v>
      </c>
      <c r="N29" s="418">
        <v>8915.6268732254448</v>
      </c>
      <c r="O29" s="419">
        <f t="shared" si="23"/>
        <v>603290.75175492209</v>
      </c>
      <c r="P29" s="420">
        <f t="shared" si="24"/>
        <v>866045.18112989049</v>
      </c>
      <c r="Q29" s="403"/>
      <c r="R29" s="421">
        <f t="shared" si="25"/>
        <v>534857.9645523401</v>
      </c>
      <c r="S29" s="421">
        <f t="shared" si="26"/>
        <v>318388.51931947324</v>
      </c>
      <c r="T29" s="421">
        <f t="shared" si="27"/>
        <v>0</v>
      </c>
      <c r="U29" s="421">
        <f t="shared" si="28"/>
        <v>12798.697258077193</v>
      </c>
      <c r="V29" s="422">
        <f t="shared" si="29"/>
        <v>866045.18112989061</v>
      </c>
      <c r="W29" s="423"/>
      <c r="X29" s="421">
        <f t="shared" si="30"/>
        <v>48137216.809710607</v>
      </c>
      <c r="Y29" s="421">
        <f t="shared" si="31"/>
        <v>29806849.491979554</v>
      </c>
      <c r="Z29" s="422">
        <f t="shared" si="32"/>
        <v>77944066.301690161</v>
      </c>
      <c r="AA29" s="424"/>
      <c r="AB29" s="425" t="s">
        <v>4131</v>
      </c>
      <c r="AC29" s="427">
        <v>0.15909999999999999</v>
      </c>
      <c r="AD29" s="427">
        <v>0</v>
      </c>
      <c r="AE29" s="428">
        <f t="shared" si="33"/>
        <v>0.15909999999999999</v>
      </c>
      <c r="AF29" s="437" t="str">
        <f t="shared" si="34"/>
        <v>⚪</v>
      </c>
      <c r="AG29" s="430">
        <f t="shared" si="35"/>
        <v>12400900.948598905</v>
      </c>
      <c r="AH29" s="375">
        <f t="shared" si="36"/>
        <v>0</v>
      </c>
      <c r="AI29" s="431">
        <f t="shared" si="37"/>
        <v>12400900.948598905</v>
      </c>
      <c r="AJ29" s="375"/>
      <c r="AK29" s="430">
        <f t="shared" si="38"/>
        <v>7658631.194424957</v>
      </c>
      <c r="AL29" s="375">
        <f t="shared" si="39"/>
        <v>4559005.2081355369</v>
      </c>
      <c r="AM29" s="432">
        <f t="shared" si="40"/>
        <v>0</v>
      </c>
      <c r="AN29" s="432">
        <f t="shared" si="41"/>
        <v>183264.54603840731</v>
      </c>
      <c r="AO29" s="433">
        <f t="shared" si="42"/>
        <v>12400900.948598903</v>
      </c>
      <c r="AQ29" s="563">
        <f t="shared" si="43"/>
        <v>603290.75175492209</v>
      </c>
      <c r="AR29" s="563">
        <f t="shared" si="44"/>
        <v>54296167.657942988</v>
      </c>
    </row>
    <row r="30" spans="1:44" ht="10.5" customHeight="1" x14ac:dyDescent="0.35">
      <c r="A30" s="412" t="s">
        <v>1478</v>
      </c>
      <c r="B30" s="412" t="s">
        <v>25</v>
      </c>
      <c r="C30" s="412" t="s">
        <v>1478</v>
      </c>
      <c r="D30" s="412" t="s">
        <v>1478</v>
      </c>
      <c r="F30" s="434">
        <v>3.1</v>
      </c>
      <c r="G30" s="414" t="s">
        <v>4112</v>
      </c>
      <c r="H30" s="435" t="s">
        <v>1640</v>
      </c>
      <c r="I30" s="436" t="s">
        <v>83</v>
      </c>
      <c r="J30" s="421">
        <v>32</v>
      </c>
      <c r="K30" s="418">
        <v>379758.83388002502</v>
      </c>
      <c r="L30" s="418">
        <v>221790.79493264129</v>
      </c>
      <c r="M30" s="418">
        <v>55447.698733160323</v>
      </c>
      <c r="N30" s="418">
        <v>9854.9599131873747</v>
      </c>
      <c r="O30" s="419">
        <f t="shared" si="23"/>
        <v>666852.28745901398</v>
      </c>
      <c r="P30" s="420">
        <f t="shared" si="24"/>
        <v>957290.01049552672</v>
      </c>
      <c r="Q30" s="403"/>
      <c r="R30" s="421">
        <f t="shared" si="25"/>
        <v>545157.21833393571</v>
      </c>
      <c r="S30" s="421">
        <f t="shared" si="26"/>
        <v>318388.51931947353</v>
      </c>
      <c r="T30" s="421">
        <f t="shared" si="27"/>
        <v>79597.129829868383</v>
      </c>
      <c r="U30" s="421">
        <f t="shared" si="28"/>
        <v>14147.143012249129</v>
      </c>
      <c r="V30" s="422">
        <f t="shared" si="29"/>
        <v>957290.01049552672</v>
      </c>
      <c r="W30" s="423"/>
      <c r="X30" s="421">
        <f t="shared" si="30"/>
        <v>17445030.986685943</v>
      </c>
      <c r="Y30" s="421">
        <f t="shared" si="31"/>
        <v>13188249.349170912</v>
      </c>
      <c r="Z30" s="422">
        <f t="shared" si="32"/>
        <v>30633280.335856855</v>
      </c>
      <c r="AA30" s="424"/>
      <c r="AB30" s="425" t="s">
        <v>4131</v>
      </c>
      <c r="AC30" s="427">
        <v>1</v>
      </c>
      <c r="AD30" s="427">
        <v>0</v>
      </c>
      <c r="AE30" s="428">
        <f t="shared" si="33"/>
        <v>1</v>
      </c>
      <c r="AF30" s="437" t="str">
        <f t="shared" si="34"/>
        <v>🔴</v>
      </c>
      <c r="AG30" s="430">
        <f t="shared" si="35"/>
        <v>30633280.335856855</v>
      </c>
      <c r="AH30" s="375">
        <f t="shared" si="36"/>
        <v>0</v>
      </c>
      <c r="AI30" s="431">
        <f t="shared" si="37"/>
        <v>30633280.335856855</v>
      </c>
      <c r="AJ30" s="375"/>
      <c r="AK30" s="430">
        <f t="shared" si="38"/>
        <v>17445030.986685943</v>
      </c>
      <c r="AL30" s="375">
        <f t="shared" si="39"/>
        <v>10188432.618223153</v>
      </c>
      <c r="AM30" s="432">
        <f t="shared" si="40"/>
        <v>2547108.1545557883</v>
      </c>
      <c r="AN30" s="432">
        <f t="shared" si="41"/>
        <v>452708.57639197214</v>
      </c>
      <c r="AO30" s="433">
        <f t="shared" si="42"/>
        <v>30633280.335856855</v>
      </c>
      <c r="AQ30" s="563">
        <f t="shared" si="43"/>
        <v>666852.28745901398</v>
      </c>
      <c r="AR30" s="563">
        <f t="shared" si="44"/>
        <v>21339273.198688447</v>
      </c>
    </row>
    <row r="31" spans="1:44" ht="10.5" customHeight="1" x14ac:dyDescent="0.35">
      <c r="A31" s="412" t="s">
        <v>1478</v>
      </c>
      <c r="B31" s="412" t="s">
        <v>25</v>
      </c>
      <c r="C31" s="412" t="s">
        <v>1478</v>
      </c>
      <c r="D31" s="412" t="s">
        <v>25</v>
      </c>
      <c r="F31" s="434">
        <v>3.11</v>
      </c>
      <c r="G31" s="414" t="s">
        <v>4112</v>
      </c>
      <c r="H31" s="435" t="s">
        <v>1653</v>
      </c>
      <c r="I31" s="436" t="s">
        <v>83</v>
      </c>
      <c r="J31" s="421">
        <v>46</v>
      </c>
      <c r="K31" s="418">
        <v>567913.50664448482</v>
      </c>
      <c r="L31" s="418">
        <v>537036.80674123263</v>
      </c>
      <c r="M31" s="418">
        <v>0</v>
      </c>
      <c r="N31" s="418">
        <v>16574.254700785761</v>
      </c>
      <c r="O31" s="419">
        <f t="shared" si="23"/>
        <v>1121524.5680865033</v>
      </c>
      <c r="P31" s="420">
        <f t="shared" si="24"/>
        <v>1609988.1274239565</v>
      </c>
      <c r="Q31" s="403"/>
      <c r="R31" s="421">
        <f t="shared" si="25"/>
        <v>815259.89632248878</v>
      </c>
      <c r="S31" s="421">
        <f t="shared" si="26"/>
        <v>770935.30310998042</v>
      </c>
      <c r="T31" s="421">
        <f t="shared" si="27"/>
        <v>0</v>
      </c>
      <c r="U31" s="421">
        <f t="shared" si="28"/>
        <v>23792.927991487039</v>
      </c>
      <c r="V31" s="422">
        <f t="shared" si="29"/>
        <v>1609988.1274239563</v>
      </c>
      <c r="W31" s="423"/>
      <c r="X31" s="421">
        <f t="shared" si="30"/>
        <v>37501955.230834484</v>
      </c>
      <c r="Y31" s="421">
        <f t="shared" si="31"/>
        <v>36557498.630667508</v>
      </c>
      <c r="Z31" s="422">
        <f t="shared" si="32"/>
        <v>74059453.861501992</v>
      </c>
      <c r="AA31" s="424"/>
      <c r="AB31" s="425" t="s">
        <v>4131</v>
      </c>
      <c r="AC31" s="427">
        <v>0.69840000000000002</v>
      </c>
      <c r="AD31" s="427">
        <v>0</v>
      </c>
      <c r="AE31" s="428">
        <f t="shared" si="33"/>
        <v>0.69840000000000002</v>
      </c>
      <c r="AF31" s="437" t="str">
        <f t="shared" si="34"/>
        <v>⚪</v>
      </c>
      <c r="AG31" s="430">
        <f t="shared" si="35"/>
        <v>51723122.57687299</v>
      </c>
      <c r="AH31" s="375">
        <f t="shared" si="36"/>
        <v>0</v>
      </c>
      <c r="AI31" s="431">
        <f t="shared" si="37"/>
        <v>51723122.57687299</v>
      </c>
      <c r="AJ31" s="375"/>
      <c r="AK31" s="430">
        <f t="shared" si="38"/>
        <v>26191365.533214804</v>
      </c>
      <c r="AL31" s="375">
        <f t="shared" si="39"/>
        <v>24767375.921832476</v>
      </c>
      <c r="AM31" s="432">
        <f t="shared" si="40"/>
        <v>0</v>
      </c>
      <c r="AN31" s="432">
        <f t="shared" si="41"/>
        <v>764381.12182570924</v>
      </c>
      <c r="AO31" s="433">
        <f t="shared" si="42"/>
        <v>51723122.57687299</v>
      </c>
      <c r="AQ31" s="563">
        <f t="shared" si="43"/>
        <v>1121524.5680865033</v>
      </c>
      <c r="AR31" s="563">
        <f t="shared" si="44"/>
        <v>51590130.131979153</v>
      </c>
    </row>
    <row r="32" spans="1:44" ht="10.5" customHeight="1" x14ac:dyDescent="0.35">
      <c r="A32" s="412" t="s">
        <v>1478</v>
      </c>
      <c r="B32" s="412" t="s">
        <v>25</v>
      </c>
      <c r="C32" s="412" t="s">
        <v>1478</v>
      </c>
      <c r="D32" s="412" t="s">
        <v>1478</v>
      </c>
      <c r="F32" s="434">
        <v>3.12</v>
      </c>
      <c r="G32" s="414" t="s">
        <v>4112</v>
      </c>
      <c r="H32" s="435" t="s">
        <v>1666</v>
      </c>
      <c r="I32" s="436" t="s">
        <v>83</v>
      </c>
      <c r="J32" s="421">
        <v>31</v>
      </c>
      <c r="K32" s="418">
        <v>565756.86506570643</v>
      </c>
      <c r="L32" s="418">
        <v>537036.80674123229</v>
      </c>
      <c r="M32" s="418">
        <v>134259.20168530839</v>
      </c>
      <c r="N32" s="418">
        <v>18555.793102383712</v>
      </c>
      <c r="O32" s="419">
        <f t="shared" si="23"/>
        <v>1255608.6665946308</v>
      </c>
      <c r="P32" s="420">
        <f t="shared" si="24"/>
        <v>1802470.5864063255</v>
      </c>
      <c r="Q32" s="403"/>
      <c r="R32" s="421">
        <f t="shared" si="25"/>
        <v>812163.9611680177</v>
      </c>
      <c r="S32" s="421">
        <f t="shared" si="26"/>
        <v>770935.30310997996</v>
      </c>
      <c r="T32" s="421">
        <f t="shared" si="27"/>
        <v>192733.82577749543</v>
      </c>
      <c r="U32" s="421">
        <f t="shared" si="28"/>
        <v>26637.496350832404</v>
      </c>
      <c r="V32" s="422">
        <f t="shared" si="29"/>
        <v>1802470.5864063257</v>
      </c>
      <c r="W32" s="423"/>
      <c r="X32" s="421">
        <f t="shared" si="30"/>
        <v>25177082.796208549</v>
      </c>
      <c r="Y32" s="421">
        <f t="shared" si="31"/>
        <v>30699505.382387545</v>
      </c>
      <c r="Z32" s="422">
        <f t="shared" si="32"/>
        <v>55876588.178596094</v>
      </c>
      <c r="AA32" s="424"/>
      <c r="AB32" s="425" t="s">
        <v>4131</v>
      </c>
      <c r="AC32" s="427">
        <v>1</v>
      </c>
      <c r="AD32" s="427">
        <v>0</v>
      </c>
      <c r="AE32" s="428">
        <f t="shared" si="33"/>
        <v>1</v>
      </c>
      <c r="AF32" s="437" t="str">
        <f t="shared" si="34"/>
        <v>🔴</v>
      </c>
      <c r="AG32" s="430">
        <f t="shared" si="35"/>
        <v>55876588.178596094</v>
      </c>
      <c r="AH32" s="375">
        <f t="shared" si="36"/>
        <v>0</v>
      </c>
      <c r="AI32" s="431">
        <f t="shared" si="37"/>
        <v>55876588.178596094</v>
      </c>
      <c r="AJ32" s="375"/>
      <c r="AK32" s="430">
        <f t="shared" si="38"/>
        <v>25177082.796208549</v>
      </c>
      <c r="AL32" s="375">
        <f t="shared" si="39"/>
        <v>23898994.396409377</v>
      </c>
      <c r="AM32" s="432">
        <f t="shared" si="40"/>
        <v>5974748.5991023583</v>
      </c>
      <c r="AN32" s="432">
        <f t="shared" si="41"/>
        <v>825762.38687580451</v>
      </c>
      <c r="AO32" s="433">
        <f t="shared" si="42"/>
        <v>55876588.178596079</v>
      </c>
      <c r="AQ32" s="563">
        <f t="shared" si="43"/>
        <v>1255608.6665946308</v>
      </c>
      <c r="AR32" s="563">
        <f t="shared" si="44"/>
        <v>38923868.664433554</v>
      </c>
    </row>
    <row r="33" spans="1:44" ht="10.5" customHeight="1" x14ac:dyDescent="0.35">
      <c r="A33" s="412" t="s">
        <v>1478</v>
      </c>
      <c r="B33" s="412" t="s">
        <v>25</v>
      </c>
      <c r="C33" s="412" t="s">
        <v>1478</v>
      </c>
      <c r="D33" s="412" t="s">
        <v>25</v>
      </c>
      <c r="F33" s="434">
        <v>3.13</v>
      </c>
      <c r="G33" s="414" t="s">
        <v>4112</v>
      </c>
      <c r="H33" s="435" t="s">
        <v>1679</v>
      </c>
      <c r="I33" s="436" t="s">
        <v>83</v>
      </c>
      <c r="J33" s="421">
        <v>24</v>
      </c>
      <c r="K33" s="418">
        <v>410452.27422518173</v>
      </c>
      <c r="L33" s="418">
        <v>357640.89987449959</v>
      </c>
      <c r="M33" s="418">
        <v>0</v>
      </c>
      <c r="N33" s="418">
        <v>11521.397611495209</v>
      </c>
      <c r="O33" s="419">
        <f t="shared" si="23"/>
        <v>779614.57171117654</v>
      </c>
      <c r="P33" s="420">
        <f t="shared" si="24"/>
        <v>1119164.2520709324</v>
      </c>
      <c r="Q33" s="403"/>
      <c r="R33" s="421">
        <f t="shared" si="25"/>
        <v>589218.73597844818</v>
      </c>
      <c r="S33" s="421">
        <f t="shared" si="26"/>
        <v>513406.14290916984</v>
      </c>
      <c r="T33" s="421">
        <f t="shared" si="27"/>
        <v>0</v>
      </c>
      <c r="U33" s="421">
        <f t="shared" si="28"/>
        <v>16539.373183314256</v>
      </c>
      <c r="V33" s="422">
        <f t="shared" si="29"/>
        <v>1119164.2520709322</v>
      </c>
      <c r="W33" s="423"/>
      <c r="X33" s="421">
        <f t="shared" si="30"/>
        <v>14141249.663482755</v>
      </c>
      <c r="Y33" s="421">
        <f t="shared" si="31"/>
        <v>12718692.386219617</v>
      </c>
      <c r="Z33" s="422">
        <f t="shared" si="32"/>
        <v>26859942.049702372</v>
      </c>
      <c r="AA33" s="424"/>
      <c r="AB33" s="425" t="s">
        <v>4131</v>
      </c>
      <c r="AC33" s="427">
        <v>1</v>
      </c>
      <c r="AD33" s="427">
        <v>0</v>
      </c>
      <c r="AE33" s="428">
        <f t="shared" si="33"/>
        <v>1</v>
      </c>
      <c r="AF33" s="437" t="str">
        <f t="shared" si="34"/>
        <v>🔴</v>
      </c>
      <c r="AG33" s="430">
        <f t="shared" si="35"/>
        <v>26859942.049702372</v>
      </c>
      <c r="AH33" s="375">
        <f t="shared" si="36"/>
        <v>0</v>
      </c>
      <c r="AI33" s="431">
        <f t="shared" si="37"/>
        <v>26859942.049702372</v>
      </c>
      <c r="AJ33" s="375"/>
      <c r="AK33" s="430">
        <f t="shared" si="38"/>
        <v>14141249.663482755</v>
      </c>
      <c r="AL33" s="375">
        <f t="shared" si="39"/>
        <v>12321747.429820076</v>
      </c>
      <c r="AM33" s="432">
        <f t="shared" si="40"/>
        <v>0</v>
      </c>
      <c r="AN33" s="432">
        <f t="shared" si="41"/>
        <v>396944.95639954216</v>
      </c>
      <c r="AO33" s="433">
        <f t="shared" si="42"/>
        <v>26859942.049702372</v>
      </c>
      <c r="AQ33" s="563">
        <f t="shared" si="43"/>
        <v>779614.57171117654</v>
      </c>
      <c r="AR33" s="563">
        <f t="shared" si="44"/>
        <v>18710749.721068237</v>
      </c>
    </row>
    <row r="34" spans="1:44" ht="10.5" customHeight="1" x14ac:dyDescent="0.35">
      <c r="A34" s="412" t="s">
        <v>1478</v>
      </c>
      <c r="B34" s="412" t="s">
        <v>25</v>
      </c>
      <c r="C34" s="412" t="s">
        <v>1478</v>
      </c>
      <c r="D34" s="412" t="s">
        <v>25</v>
      </c>
      <c r="F34" s="434">
        <v>3.14</v>
      </c>
      <c r="G34" s="414" t="s">
        <v>4112</v>
      </c>
      <c r="H34" s="435" t="s">
        <v>1692</v>
      </c>
      <c r="I34" s="436" t="s">
        <v>83</v>
      </c>
      <c r="J34" s="421">
        <v>39</v>
      </c>
      <c r="K34" s="418">
        <v>534635.92722614098</v>
      </c>
      <c r="L34" s="418">
        <v>317914.04751247441</v>
      </c>
      <c r="M34" s="418">
        <v>0</v>
      </c>
      <c r="N34" s="418">
        <v>12788.249621079231</v>
      </c>
      <c r="O34" s="419">
        <f t="shared" si="23"/>
        <v>865338.22435969452</v>
      </c>
      <c r="P34" s="420">
        <f t="shared" si="24"/>
        <v>1242223.5830305766</v>
      </c>
      <c r="Q34" s="403"/>
      <c r="R34" s="421">
        <f t="shared" si="25"/>
        <v>767488.75577195117</v>
      </c>
      <c r="S34" s="421">
        <f t="shared" si="26"/>
        <v>456376.84327295207</v>
      </c>
      <c r="T34" s="421">
        <f t="shared" si="27"/>
        <v>0</v>
      </c>
      <c r="U34" s="421">
        <f t="shared" si="28"/>
        <v>18357.983985673549</v>
      </c>
      <c r="V34" s="422">
        <f t="shared" si="29"/>
        <v>1242223.5830305768</v>
      </c>
      <c r="W34" s="423"/>
      <c r="X34" s="421">
        <f t="shared" si="30"/>
        <v>29932061.475106094</v>
      </c>
      <c r="Y34" s="421">
        <f t="shared" si="31"/>
        <v>18514658.263086405</v>
      </c>
      <c r="Z34" s="422">
        <f t="shared" si="32"/>
        <v>48446719.738192499</v>
      </c>
      <c r="AA34" s="424"/>
      <c r="AB34" s="425" t="s">
        <v>4131</v>
      </c>
      <c r="AC34" s="427">
        <v>1</v>
      </c>
      <c r="AD34" s="427">
        <v>0</v>
      </c>
      <c r="AE34" s="428">
        <f t="shared" si="33"/>
        <v>1</v>
      </c>
      <c r="AF34" s="437" t="str">
        <f t="shared" si="34"/>
        <v>🔴</v>
      </c>
      <c r="AG34" s="430">
        <f t="shared" si="35"/>
        <v>48446719.738192499</v>
      </c>
      <c r="AH34" s="375">
        <f t="shared" si="36"/>
        <v>0</v>
      </c>
      <c r="AI34" s="431">
        <f t="shared" si="37"/>
        <v>48446719.738192499</v>
      </c>
      <c r="AJ34" s="375"/>
      <c r="AK34" s="430">
        <f t="shared" si="38"/>
        <v>29932061.475106094</v>
      </c>
      <c r="AL34" s="375">
        <f t="shared" si="39"/>
        <v>17798696.887645129</v>
      </c>
      <c r="AM34" s="432">
        <f t="shared" si="40"/>
        <v>0</v>
      </c>
      <c r="AN34" s="432">
        <f t="shared" si="41"/>
        <v>715961.37544126844</v>
      </c>
      <c r="AO34" s="433">
        <f t="shared" si="42"/>
        <v>48446719.738192491</v>
      </c>
      <c r="AQ34" s="563">
        <f t="shared" si="43"/>
        <v>865338.22435969452</v>
      </c>
      <c r="AR34" s="563">
        <f t="shared" si="44"/>
        <v>33748190.750028089</v>
      </c>
    </row>
    <row r="35" spans="1:44" ht="10.5" customHeight="1" x14ac:dyDescent="0.35">
      <c r="A35" s="412" t="s">
        <v>1478</v>
      </c>
      <c r="B35" s="412" t="s">
        <v>25</v>
      </c>
      <c r="C35" s="412" t="s">
        <v>1478</v>
      </c>
      <c r="D35" s="412" t="s">
        <v>1478</v>
      </c>
      <c r="F35" s="434">
        <v>3.16</v>
      </c>
      <c r="G35" s="414" t="s">
        <v>4112</v>
      </c>
      <c r="H35" s="435" t="s">
        <v>1701</v>
      </c>
      <c r="I35" s="436" t="s">
        <v>83</v>
      </c>
      <c r="J35" s="421">
        <v>4</v>
      </c>
      <c r="K35" s="418">
        <v>543657.96059143252</v>
      </c>
      <c r="L35" s="418">
        <v>317914.04751247499</v>
      </c>
      <c r="M35" s="418">
        <v>79478.511878118748</v>
      </c>
      <c r="N35" s="418">
        <v>0</v>
      </c>
      <c r="O35" s="419">
        <f t="shared" si="23"/>
        <v>941050.51998202631</v>
      </c>
      <c r="P35" s="420">
        <f t="shared" si="24"/>
        <v>1350911.2573986384</v>
      </c>
      <c r="Q35" s="403"/>
      <c r="R35" s="421">
        <f t="shared" si="25"/>
        <v>780440.20330744714</v>
      </c>
      <c r="S35" s="421">
        <f t="shared" si="26"/>
        <v>456376.84327295289</v>
      </c>
      <c r="T35" s="421">
        <f t="shared" si="27"/>
        <v>114094.21081823822</v>
      </c>
      <c r="U35" s="421">
        <f t="shared" si="28"/>
        <v>0</v>
      </c>
      <c r="V35" s="422">
        <f t="shared" si="29"/>
        <v>1350911.2573986384</v>
      </c>
      <c r="W35" s="423"/>
      <c r="X35" s="421">
        <f t="shared" si="30"/>
        <v>3121760.8132297886</v>
      </c>
      <c r="Y35" s="421">
        <f t="shared" si="31"/>
        <v>2281884.2163647651</v>
      </c>
      <c r="Z35" s="422">
        <f t="shared" si="32"/>
        <v>5403645.0295945536</v>
      </c>
      <c r="AA35" s="424"/>
      <c r="AB35" s="425" t="s">
        <v>4131</v>
      </c>
      <c r="AC35" s="427">
        <v>1</v>
      </c>
      <c r="AD35" s="427">
        <v>0</v>
      </c>
      <c r="AE35" s="428">
        <f t="shared" si="33"/>
        <v>1</v>
      </c>
      <c r="AF35" s="437" t="str">
        <f t="shared" si="34"/>
        <v>🔴</v>
      </c>
      <c r="AG35" s="430">
        <f t="shared" si="35"/>
        <v>5403645.0295945536</v>
      </c>
      <c r="AH35" s="375">
        <f t="shared" si="36"/>
        <v>0</v>
      </c>
      <c r="AI35" s="431">
        <f t="shared" si="37"/>
        <v>5403645.0295945536</v>
      </c>
      <c r="AJ35" s="375"/>
      <c r="AK35" s="430">
        <f t="shared" si="38"/>
        <v>3121760.8132297886</v>
      </c>
      <c r="AL35" s="375">
        <f t="shared" si="39"/>
        <v>1825507.3730918115</v>
      </c>
      <c r="AM35" s="432">
        <f t="shared" si="40"/>
        <v>456376.84327295289</v>
      </c>
      <c r="AN35" s="432">
        <f t="shared" si="41"/>
        <v>0</v>
      </c>
      <c r="AO35" s="433">
        <f t="shared" si="42"/>
        <v>5403645.0295945536</v>
      </c>
      <c r="AQ35" s="563">
        <f t="shared" si="43"/>
        <v>941050.51998202631</v>
      </c>
      <c r="AR35" s="563">
        <f t="shared" si="44"/>
        <v>3764202.0799281052</v>
      </c>
    </row>
    <row r="36" spans="1:44" ht="10.5" customHeight="1" x14ac:dyDescent="0.35">
      <c r="A36" s="412" t="s">
        <v>1478</v>
      </c>
      <c r="B36" s="412" t="s">
        <v>25</v>
      </c>
      <c r="C36" s="412" t="s">
        <v>1478</v>
      </c>
      <c r="D36" s="412" t="s">
        <v>1478</v>
      </c>
      <c r="F36" s="434">
        <v>3.17</v>
      </c>
      <c r="G36" s="414" t="s">
        <v>4112</v>
      </c>
      <c r="H36" s="435" t="s">
        <v>1714</v>
      </c>
      <c r="I36" s="436" t="s">
        <v>83</v>
      </c>
      <c r="J36" s="421">
        <v>10</v>
      </c>
      <c r="K36" s="418">
        <v>416173.60204176803</v>
      </c>
      <c r="L36" s="418">
        <v>324424.43495983502</v>
      </c>
      <c r="M36" s="418">
        <v>81106.108739958698</v>
      </c>
      <c r="N36" s="418">
        <v>12325.562186123399</v>
      </c>
      <c r="O36" s="419">
        <f t="shared" si="23"/>
        <v>834029.70792768523</v>
      </c>
      <c r="P36" s="420">
        <f t="shared" si="24"/>
        <v>1197279.1019401678</v>
      </c>
      <c r="Q36" s="403"/>
      <c r="R36" s="421">
        <f t="shared" si="25"/>
        <v>597431.90412466216</v>
      </c>
      <c r="S36" s="421">
        <f t="shared" si="26"/>
        <v>465722.73438710207</v>
      </c>
      <c r="T36" s="421">
        <f t="shared" si="27"/>
        <v>116430.68359677543</v>
      </c>
      <c r="U36" s="421">
        <f t="shared" si="28"/>
        <v>17693.779831628057</v>
      </c>
      <c r="V36" s="422">
        <f t="shared" si="29"/>
        <v>1197279.1019401678</v>
      </c>
      <c r="W36" s="423"/>
      <c r="X36" s="421">
        <f t="shared" si="30"/>
        <v>5974319.0412466219</v>
      </c>
      <c r="Y36" s="421">
        <f t="shared" si="31"/>
        <v>5998471.9781550569</v>
      </c>
      <c r="Z36" s="422">
        <f t="shared" si="32"/>
        <v>11972791.019401679</v>
      </c>
      <c r="AA36" s="424"/>
      <c r="AB36" s="425" t="s">
        <v>4131</v>
      </c>
      <c r="AC36" s="427">
        <v>1</v>
      </c>
      <c r="AD36" s="427">
        <v>0</v>
      </c>
      <c r="AE36" s="428">
        <f t="shared" si="33"/>
        <v>1</v>
      </c>
      <c r="AF36" s="437" t="str">
        <f t="shared" si="34"/>
        <v>🔴</v>
      </c>
      <c r="AG36" s="430">
        <f t="shared" si="35"/>
        <v>11972791.019401679</v>
      </c>
      <c r="AH36" s="375">
        <f t="shared" si="36"/>
        <v>0</v>
      </c>
      <c r="AI36" s="431">
        <f t="shared" si="37"/>
        <v>11972791.019401679</v>
      </c>
      <c r="AJ36" s="375"/>
      <c r="AK36" s="430">
        <f t="shared" si="38"/>
        <v>5974319.0412466219</v>
      </c>
      <c r="AL36" s="375">
        <f t="shared" si="39"/>
        <v>4657227.3438710207</v>
      </c>
      <c r="AM36" s="432">
        <f t="shared" si="40"/>
        <v>1164306.8359677542</v>
      </c>
      <c r="AN36" s="432">
        <f t="shared" si="41"/>
        <v>176937.79831628056</v>
      </c>
      <c r="AO36" s="433">
        <f t="shared" si="42"/>
        <v>11972791.019401679</v>
      </c>
      <c r="AQ36" s="563">
        <f t="shared" si="43"/>
        <v>834029.70792768523</v>
      </c>
      <c r="AR36" s="563">
        <f t="shared" si="44"/>
        <v>8340297.0792768523</v>
      </c>
    </row>
    <row r="37" spans="1:44" ht="10.5" customHeight="1" x14ac:dyDescent="0.35">
      <c r="A37" s="412" t="s">
        <v>1478</v>
      </c>
      <c r="B37" s="412" t="s">
        <v>25</v>
      </c>
      <c r="C37" s="412" t="s">
        <v>1478</v>
      </c>
      <c r="D37" s="412" t="s">
        <v>25</v>
      </c>
      <c r="F37" s="434">
        <v>3.18</v>
      </c>
      <c r="G37" s="414" t="s">
        <v>4112</v>
      </c>
      <c r="H37" s="435" t="s">
        <v>1727</v>
      </c>
      <c r="I37" s="436" t="s">
        <v>83</v>
      </c>
      <c r="J37" s="421">
        <v>6</v>
      </c>
      <c r="K37" s="418">
        <v>410452.27422518173</v>
      </c>
      <c r="L37" s="418">
        <v>357640.8998745</v>
      </c>
      <c r="M37" s="418">
        <v>0</v>
      </c>
      <c r="N37" s="418">
        <v>11521.39761149522</v>
      </c>
      <c r="O37" s="419">
        <f t="shared" si="23"/>
        <v>779614.57171117689</v>
      </c>
      <c r="P37" s="420">
        <f t="shared" si="24"/>
        <v>1119164.2520709329</v>
      </c>
      <c r="Q37" s="403"/>
      <c r="R37" s="421">
        <f t="shared" si="25"/>
        <v>589218.73597844818</v>
      </c>
      <c r="S37" s="421">
        <f t="shared" si="26"/>
        <v>513406.14290917042</v>
      </c>
      <c r="T37" s="421">
        <f t="shared" si="27"/>
        <v>0</v>
      </c>
      <c r="U37" s="421">
        <f t="shared" si="28"/>
        <v>16539.37318331427</v>
      </c>
      <c r="V37" s="422">
        <f t="shared" si="29"/>
        <v>1119164.2520709329</v>
      </c>
      <c r="W37" s="423"/>
      <c r="X37" s="421">
        <f t="shared" si="30"/>
        <v>3535312.4158706889</v>
      </c>
      <c r="Y37" s="421">
        <f t="shared" si="31"/>
        <v>3179673.0965549089</v>
      </c>
      <c r="Z37" s="422">
        <f t="shared" si="32"/>
        <v>6714985.5124255978</v>
      </c>
      <c r="AA37" s="424"/>
      <c r="AB37" s="425" t="s">
        <v>4131</v>
      </c>
      <c r="AC37" s="427">
        <v>0</v>
      </c>
      <c r="AD37" s="427">
        <v>0</v>
      </c>
      <c r="AE37" s="428">
        <f t="shared" si="33"/>
        <v>0</v>
      </c>
      <c r="AF37" s="437" t="str">
        <f t="shared" si="34"/>
        <v>⚪</v>
      </c>
      <c r="AG37" s="430">
        <f t="shared" si="35"/>
        <v>0</v>
      </c>
      <c r="AH37" s="375">
        <f t="shared" si="36"/>
        <v>0</v>
      </c>
      <c r="AI37" s="431">
        <f t="shared" si="37"/>
        <v>0</v>
      </c>
      <c r="AJ37" s="375"/>
      <c r="AK37" s="430">
        <f t="shared" si="38"/>
        <v>0</v>
      </c>
      <c r="AL37" s="375">
        <f t="shared" si="39"/>
        <v>0</v>
      </c>
      <c r="AM37" s="432">
        <f t="shared" si="40"/>
        <v>0</v>
      </c>
      <c r="AN37" s="432">
        <f t="shared" si="41"/>
        <v>0</v>
      </c>
      <c r="AO37" s="433">
        <f t="shared" si="42"/>
        <v>0</v>
      </c>
      <c r="AQ37" s="563">
        <f t="shared" si="43"/>
        <v>779614.57171117689</v>
      </c>
      <c r="AR37" s="563">
        <f t="shared" si="44"/>
        <v>4677687.4302670611</v>
      </c>
    </row>
    <row r="38" spans="1:44" ht="10.5" customHeight="1" x14ac:dyDescent="0.35">
      <c r="A38" s="412" t="s">
        <v>1478</v>
      </c>
      <c r="B38" s="412" t="s">
        <v>25</v>
      </c>
      <c r="C38" s="412" t="s">
        <v>25</v>
      </c>
      <c r="D38" s="412" t="s">
        <v>25</v>
      </c>
      <c r="F38" s="434">
        <v>3.19</v>
      </c>
      <c r="G38" s="414" t="s">
        <v>4112</v>
      </c>
      <c r="H38" s="455" t="s">
        <v>4134</v>
      </c>
      <c r="I38" s="436" t="s">
        <v>98</v>
      </c>
      <c r="J38" s="456">
        <v>1</v>
      </c>
      <c r="K38" s="418">
        <v>0</v>
      </c>
      <c r="L38" s="418">
        <v>0</v>
      </c>
      <c r="M38" s="418">
        <v>0</v>
      </c>
      <c r="N38" s="418">
        <v>8458556.625</v>
      </c>
      <c r="O38" s="419">
        <f t="shared" si="23"/>
        <v>8458556.625</v>
      </c>
      <c r="P38" s="420">
        <f t="shared" si="24"/>
        <v>12142556.773970626</v>
      </c>
      <c r="Q38" s="403"/>
      <c r="R38" s="421">
        <f t="shared" si="25"/>
        <v>0</v>
      </c>
      <c r="S38" s="421">
        <f t="shared" si="26"/>
        <v>0</v>
      </c>
      <c r="T38" s="421">
        <f t="shared" si="27"/>
        <v>0</v>
      </c>
      <c r="U38" s="421">
        <f t="shared" si="28"/>
        <v>12142556.773970626</v>
      </c>
      <c r="V38" s="422">
        <f t="shared" si="29"/>
        <v>12142556.773970626</v>
      </c>
      <c r="W38" s="423"/>
      <c r="X38" s="421">
        <f t="shared" si="30"/>
        <v>0</v>
      </c>
      <c r="Y38" s="421">
        <f t="shared" si="31"/>
        <v>12142556.773970626</v>
      </c>
      <c r="Z38" s="422">
        <f t="shared" si="32"/>
        <v>12142556.773970626</v>
      </c>
      <c r="AA38" s="457"/>
      <c r="AB38" s="425" t="s">
        <v>4131</v>
      </c>
      <c r="AC38" s="427">
        <v>1</v>
      </c>
      <c r="AD38" s="427">
        <v>0</v>
      </c>
      <c r="AE38" s="428">
        <f t="shared" si="33"/>
        <v>1</v>
      </c>
      <c r="AF38" s="437" t="str">
        <f t="shared" si="34"/>
        <v>🔴</v>
      </c>
      <c r="AG38" s="430">
        <f t="shared" si="35"/>
        <v>12142556.773970626</v>
      </c>
      <c r="AH38" s="375">
        <f t="shared" si="36"/>
        <v>0</v>
      </c>
      <c r="AI38" s="431">
        <f t="shared" si="37"/>
        <v>12142556.773970626</v>
      </c>
      <c r="AJ38" s="375"/>
      <c r="AK38" s="430">
        <f t="shared" si="38"/>
        <v>0</v>
      </c>
      <c r="AL38" s="375">
        <f t="shared" si="39"/>
        <v>0</v>
      </c>
      <c r="AM38" s="432">
        <f t="shared" si="40"/>
        <v>0</v>
      </c>
      <c r="AN38" s="432">
        <f t="shared" si="41"/>
        <v>12142556.773970626</v>
      </c>
      <c r="AO38" s="433">
        <f t="shared" si="42"/>
        <v>12142556.773970626</v>
      </c>
      <c r="AQ38" s="563">
        <f t="shared" si="43"/>
        <v>8458556.625</v>
      </c>
      <c r="AR38" s="563">
        <f t="shared" si="44"/>
        <v>8458556.625</v>
      </c>
    </row>
    <row r="39" spans="1:44" ht="10.5" customHeight="1" x14ac:dyDescent="0.35">
      <c r="A39" s="412" t="s">
        <v>1478</v>
      </c>
      <c r="B39" s="412" t="s">
        <v>25</v>
      </c>
      <c r="C39" s="412" t="s">
        <v>1478</v>
      </c>
      <c r="D39" s="412" t="s">
        <v>25</v>
      </c>
      <c r="F39" s="434">
        <v>3.2</v>
      </c>
      <c r="G39" s="414" t="s">
        <v>4112</v>
      </c>
      <c r="H39" s="455" t="s">
        <v>4135</v>
      </c>
      <c r="I39" s="436" t="s">
        <v>35</v>
      </c>
      <c r="J39" s="439">
        <v>15</v>
      </c>
      <c r="K39" s="418">
        <v>0</v>
      </c>
      <c r="L39" s="418">
        <v>228712</v>
      </c>
      <c r="M39" s="418">
        <v>0</v>
      </c>
      <c r="N39" s="418">
        <v>0</v>
      </c>
      <c r="O39" s="419">
        <f t="shared" si="23"/>
        <v>228712</v>
      </c>
      <c r="P39" s="420">
        <f t="shared" si="24"/>
        <v>328324.15363636223</v>
      </c>
      <c r="Q39" s="403"/>
      <c r="R39" s="421">
        <f t="shared" si="25"/>
        <v>0</v>
      </c>
      <c r="S39" s="421">
        <f t="shared" si="26"/>
        <v>328324.15363636223</v>
      </c>
      <c r="T39" s="421">
        <f t="shared" si="27"/>
        <v>0</v>
      </c>
      <c r="U39" s="421">
        <f t="shared" si="28"/>
        <v>0</v>
      </c>
      <c r="V39" s="422">
        <f t="shared" si="29"/>
        <v>328324.15363636223</v>
      </c>
      <c r="W39" s="423"/>
      <c r="X39" s="421">
        <f t="shared" si="30"/>
        <v>0</v>
      </c>
      <c r="Y39" s="421">
        <f t="shared" si="31"/>
        <v>4924862.3045454333</v>
      </c>
      <c r="Z39" s="422">
        <f t="shared" si="32"/>
        <v>4924862.3045454333</v>
      </c>
      <c r="AA39" s="371"/>
      <c r="AB39" s="425" t="s">
        <v>4131</v>
      </c>
      <c r="AC39" s="427">
        <v>1</v>
      </c>
      <c r="AD39" s="427">
        <v>0</v>
      </c>
      <c r="AE39" s="428">
        <f t="shared" si="33"/>
        <v>1</v>
      </c>
      <c r="AF39" s="437" t="str">
        <f t="shared" si="34"/>
        <v>🔴</v>
      </c>
      <c r="AG39" s="430">
        <f t="shared" si="35"/>
        <v>4924862.3045454333</v>
      </c>
      <c r="AH39" s="375">
        <f t="shared" si="36"/>
        <v>0</v>
      </c>
      <c r="AI39" s="431">
        <f t="shared" si="37"/>
        <v>4924862.3045454333</v>
      </c>
      <c r="AJ39" s="375"/>
      <c r="AK39" s="430">
        <f t="shared" si="38"/>
        <v>0</v>
      </c>
      <c r="AL39" s="375">
        <f t="shared" si="39"/>
        <v>4924862.3045454333</v>
      </c>
      <c r="AM39" s="432">
        <f t="shared" si="40"/>
        <v>0</v>
      </c>
      <c r="AN39" s="432">
        <f t="shared" si="41"/>
        <v>0</v>
      </c>
      <c r="AO39" s="433">
        <f t="shared" si="42"/>
        <v>4924862.3045454333</v>
      </c>
      <c r="AQ39" s="563">
        <f t="shared" si="43"/>
        <v>228712</v>
      </c>
      <c r="AR39" s="563">
        <f t="shared" si="44"/>
        <v>3430680</v>
      </c>
    </row>
    <row r="40" spans="1:44" ht="10.5" customHeight="1" x14ac:dyDescent="0.35">
      <c r="A40" s="412" t="s">
        <v>1478</v>
      </c>
      <c r="B40" s="412" t="s">
        <v>25</v>
      </c>
      <c r="C40" s="412" t="s">
        <v>25</v>
      </c>
      <c r="D40" s="412" t="s">
        <v>25</v>
      </c>
      <c r="F40" s="434">
        <v>3.21</v>
      </c>
      <c r="G40" s="414" t="s">
        <v>4112</v>
      </c>
      <c r="H40" s="458" t="s">
        <v>1746</v>
      </c>
      <c r="I40" s="447" t="s">
        <v>98</v>
      </c>
      <c r="J40" s="448">
        <v>3</v>
      </c>
      <c r="K40" s="418">
        <v>51239.669421487662</v>
      </c>
      <c r="L40" s="418">
        <v>0</v>
      </c>
      <c r="M40" s="418">
        <v>0</v>
      </c>
      <c r="N40" s="418">
        <v>0</v>
      </c>
      <c r="O40" s="419">
        <f t="shared" si="23"/>
        <v>51239.669421487662</v>
      </c>
      <c r="P40" s="420">
        <f t="shared" si="24"/>
        <v>73556.355134041616</v>
      </c>
      <c r="Q40" s="403"/>
      <c r="R40" s="421">
        <f t="shared" si="25"/>
        <v>73556.355134041616</v>
      </c>
      <c r="S40" s="421">
        <f t="shared" si="26"/>
        <v>0</v>
      </c>
      <c r="T40" s="421">
        <f t="shared" si="27"/>
        <v>0</v>
      </c>
      <c r="U40" s="421">
        <f t="shared" si="28"/>
        <v>0</v>
      </c>
      <c r="V40" s="422">
        <f t="shared" si="29"/>
        <v>73556.355134041616</v>
      </c>
      <c r="W40" s="423"/>
      <c r="X40" s="421">
        <f t="shared" si="30"/>
        <v>220669.06540212483</v>
      </c>
      <c r="Y40" s="421">
        <f t="shared" si="31"/>
        <v>0</v>
      </c>
      <c r="Z40" s="422">
        <f t="shared" si="32"/>
        <v>220669.06540212483</v>
      </c>
      <c r="AA40" s="371"/>
      <c r="AB40" s="425" t="s">
        <v>4131</v>
      </c>
      <c r="AC40" s="427">
        <v>1</v>
      </c>
      <c r="AD40" s="427">
        <v>0</v>
      </c>
      <c r="AE40" s="428">
        <f t="shared" si="33"/>
        <v>1</v>
      </c>
      <c r="AF40" s="437" t="str">
        <f t="shared" si="34"/>
        <v>🔴</v>
      </c>
      <c r="AG40" s="430">
        <f t="shared" si="35"/>
        <v>220669.06540212483</v>
      </c>
      <c r="AH40" s="375">
        <f t="shared" si="36"/>
        <v>0</v>
      </c>
      <c r="AI40" s="431">
        <f t="shared" si="37"/>
        <v>220669.06540212483</v>
      </c>
      <c r="AJ40" s="375"/>
      <c r="AK40" s="430">
        <f t="shared" si="38"/>
        <v>220669.06540212483</v>
      </c>
      <c r="AL40" s="375">
        <f t="shared" si="39"/>
        <v>0</v>
      </c>
      <c r="AM40" s="432">
        <f t="shared" si="40"/>
        <v>0</v>
      </c>
      <c r="AN40" s="432">
        <f t="shared" si="41"/>
        <v>0</v>
      </c>
      <c r="AO40" s="433">
        <f t="shared" si="42"/>
        <v>220669.06540212483</v>
      </c>
      <c r="AQ40" s="563">
        <f t="shared" si="43"/>
        <v>51239.669421487662</v>
      </c>
      <c r="AR40" s="563">
        <f t="shared" si="44"/>
        <v>153719.00826446299</v>
      </c>
    </row>
    <row r="41" spans="1:44" ht="10.5" customHeight="1" x14ac:dyDescent="0.35">
      <c r="A41" s="412" t="s">
        <v>1478</v>
      </c>
      <c r="B41" s="412" t="s">
        <v>25</v>
      </c>
      <c r="C41" s="412" t="s">
        <v>25</v>
      </c>
      <c r="D41" s="412" t="s">
        <v>1478</v>
      </c>
      <c r="F41" s="434">
        <v>3.22</v>
      </c>
      <c r="G41" s="414" t="s">
        <v>4112</v>
      </c>
      <c r="H41" s="459" t="s">
        <v>4136</v>
      </c>
      <c r="I41" s="452" t="s">
        <v>988</v>
      </c>
      <c r="J41" s="453">
        <v>78</v>
      </c>
      <c r="K41" s="418">
        <v>7051.2820512820517</v>
      </c>
      <c r="L41" s="418">
        <v>0</v>
      </c>
      <c r="M41" s="418">
        <v>17829.919087410381</v>
      </c>
      <c r="N41" s="418">
        <v>373.2180170803872</v>
      </c>
      <c r="O41" s="419">
        <f t="shared" si="23"/>
        <v>25254.419155772819</v>
      </c>
      <c r="P41" s="420">
        <f t="shared" si="24"/>
        <v>36253.610632135809</v>
      </c>
      <c r="Q41" s="403"/>
      <c r="R41" s="421">
        <f t="shared" si="25"/>
        <v>10122.36442136159</v>
      </c>
      <c r="S41" s="421">
        <f t="shared" si="26"/>
        <v>0</v>
      </c>
      <c r="T41" s="421">
        <f t="shared" si="27"/>
        <v>25595.478565964328</v>
      </c>
      <c r="U41" s="421">
        <f t="shared" si="28"/>
        <v>535.76764480988982</v>
      </c>
      <c r="V41" s="422">
        <f t="shared" si="29"/>
        <v>36253.610632135802</v>
      </c>
      <c r="W41" s="423"/>
      <c r="X41" s="421">
        <f t="shared" si="30"/>
        <v>789544.42486620403</v>
      </c>
      <c r="Y41" s="421">
        <f t="shared" si="31"/>
        <v>2038237.2044403884</v>
      </c>
      <c r="Z41" s="422">
        <f t="shared" si="32"/>
        <v>2827781.6293065925</v>
      </c>
      <c r="AA41" s="371"/>
      <c r="AB41" s="425" t="s">
        <v>4131</v>
      </c>
      <c r="AC41" s="427">
        <v>1</v>
      </c>
      <c r="AD41" s="427">
        <v>0</v>
      </c>
      <c r="AE41" s="428">
        <f t="shared" si="33"/>
        <v>1</v>
      </c>
      <c r="AF41" s="437" t="str">
        <f t="shared" si="34"/>
        <v>🔴</v>
      </c>
      <c r="AG41" s="430">
        <f t="shared" si="35"/>
        <v>2827781.6293065925</v>
      </c>
      <c r="AH41" s="375">
        <f t="shared" si="36"/>
        <v>0</v>
      </c>
      <c r="AI41" s="431">
        <f t="shared" si="37"/>
        <v>2827781.6293065925</v>
      </c>
      <c r="AJ41" s="375"/>
      <c r="AK41" s="430">
        <f t="shared" si="38"/>
        <v>789544.42486620403</v>
      </c>
      <c r="AL41" s="375">
        <f t="shared" si="39"/>
        <v>0</v>
      </c>
      <c r="AM41" s="432">
        <f t="shared" si="40"/>
        <v>1996447.3281452176</v>
      </c>
      <c r="AN41" s="432">
        <f t="shared" si="41"/>
        <v>41789.876295171409</v>
      </c>
      <c r="AO41" s="433">
        <f t="shared" si="42"/>
        <v>2827781.629306593</v>
      </c>
      <c r="AQ41" s="563">
        <f t="shared" si="43"/>
        <v>25254.419155772819</v>
      </c>
      <c r="AR41" s="563">
        <f t="shared" si="44"/>
        <v>1969844.69415028</v>
      </c>
    </row>
    <row r="42" spans="1:44" ht="10.5" customHeight="1" x14ac:dyDescent="0.25">
      <c r="A42" s="412" t="s">
        <v>25</v>
      </c>
      <c r="B42" s="412" t="s">
        <v>25</v>
      </c>
      <c r="C42" s="412" t="s">
        <v>25</v>
      </c>
      <c r="D42" s="412" t="s">
        <v>25</v>
      </c>
      <c r="F42" s="396">
        <v>4</v>
      </c>
      <c r="G42" s="397"/>
      <c r="H42" s="398" t="s">
        <v>4137</v>
      </c>
      <c r="I42" s="399"/>
      <c r="J42" s="400"/>
      <c r="K42" s="400"/>
      <c r="L42" s="400"/>
      <c r="M42" s="400"/>
      <c r="N42" s="400"/>
      <c r="O42" s="401"/>
      <c r="P42" s="402"/>
      <c r="Q42" s="403"/>
      <c r="R42" s="400"/>
      <c r="S42" s="400"/>
      <c r="T42" s="400"/>
      <c r="U42" s="400"/>
      <c r="V42" s="402"/>
      <c r="X42" s="400"/>
      <c r="Y42" s="400"/>
      <c r="Z42" s="402"/>
      <c r="AA42" s="404">
        <f>+SUM(Z43:Z56)</f>
        <v>64182206.936547853</v>
      </c>
      <c r="AB42" s="405" t="s">
        <v>4137</v>
      </c>
      <c r="AC42" s="406"/>
      <c r="AD42" s="440"/>
      <c r="AE42" s="441"/>
      <c r="AF42" s="441"/>
      <c r="AG42" s="408"/>
      <c r="AH42" s="409"/>
      <c r="AI42" s="410"/>
      <c r="AJ42" s="411"/>
      <c r="AK42" s="408"/>
      <c r="AL42" s="409"/>
      <c r="AM42" s="442"/>
      <c r="AN42" s="442"/>
      <c r="AO42" s="410"/>
    </row>
    <row r="43" spans="1:44" ht="10.5" customHeight="1" x14ac:dyDescent="0.35">
      <c r="A43" s="412" t="s">
        <v>106</v>
      </c>
      <c r="B43" s="412" t="s">
        <v>25</v>
      </c>
      <c r="C43" s="412" t="s">
        <v>25</v>
      </c>
      <c r="D43" s="412" t="s">
        <v>106</v>
      </c>
      <c r="F43" s="413">
        <v>4.01</v>
      </c>
      <c r="G43" s="460" t="s">
        <v>4112</v>
      </c>
      <c r="H43" s="415" t="s">
        <v>4138</v>
      </c>
      <c r="I43" s="416" t="s">
        <v>988</v>
      </c>
      <c r="J43" s="461">
        <v>621</v>
      </c>
      <c r="K43" s="418">
        <v>10253.95187307601</v>
      </c>
      <c r="L43" s="418">
        <v>0</v>
      </c>
      <c r="M43" s="418">
        <v>16311.97492069098</v>
      </c>
      <c r="N43" s="418">
        <v>365.95526443858131</v>
      </c>
      <c r="O43" s="419">
        <f t="shared" ref="O43:O56" si="45">+SUM(K43:N43)</f>
        <v>26931.882058205571</v>
      </c>
      <c r="P43" s="420">
        <f t="shared" ref="P43:P56" si="46">+O43*$P$2</f>
        <v>38661.667873109735</v>
      </c>
      <c r="Q43" s="403"/>
      <c r="R43" s="421">
        <f t="shared" ref="R43:R56" si="47">+K43*$P$2</f>
        <v>14719.910062242787</v>
      </c>
      <c r="S43" s="421">
        <f t="shared" ref="S43:S56" si="48">+L43*$P$2</f>
        <v>0</v>
      </c>
      <c r="T43" s="421">
        <f t="shared" ref="T43:T56" si="49">+M43*$P$2</f>
        <v>23416.416103979824</v>
      </c>
      <c r="U43" s="421">
        <f t="shared" ref="U43:U56" si="50">+N43*$P$2</f>
        <v>525.34170688712595</v>
      </c>
      <c r="V43" s="422">
        <f t="shared" ref="V43:V56" si="51">+SUM(R43:U43)</f>
        <v>38661.667873109742</v>
      </c>
      <c r="W43" s="423"/>
      <c r="X43" s="421">
        <f t="shared" ref="X43:X56" si="52">+R43*J43</f>
        <v>9141064.1486527715</v>
      </c>
      <c r="Y43" s="421">
        <f t="shared" ref="Y43:Y56" si="53">+Z43-X43</f>
        <v>14867831.600548377</v>
      </c>
      <c r="Z43" s="422">
        <f t="shared" ref="Z43:Z56" si="54">+V43*J43</f>
        <v>24008895.749201149</v>
      </c>
      <c r="AA43" s="371"/>
      <c r="AB43" s="425" t="s">
        <v>4137</v>
      </c>
      <c r="AC43" s="427">
        <v>0.85</v>
      </c>
      <c r="AD43" s="427">
        <v>0</v>
      </c>
      <c r="AE43" s="428">
        <f t="shared" ref="AE43:AE56" si="55">AC43+AD43</f>
        <v>0.85</v>
      </c>
      <c r="AF43" s="437" t="str">
        <f t="shared" ref="AF43:AF56" si="56">IF($AE43=1,"🔴","⚪")</f>
        <v>⚪</v>
      </c>
      <c r="AG43" s="430">
        <f t="shared" ref="AG43:AG56" si="57">AC43*Z43</f>
        <v>20407561.386820976</v>
      </c>
      <c r="AH43" s="375">
        <f t="shared" ref="AH43:AH56" si="58">AD43*Z43</f>
        <v>0</v>
      </c>
      <c r="AI43" s="431">
        <f t="shared" ref="AI43:AI56" si="59">AE43*Z43</f>
        <v>20407561.386820976</v>
      </c>
      <c r="AJ43" s="375"/>
      <c r="AK43" s="430">
        <f t="shared" ref="AK43:AK56" si="60">AE43*X43</f>
        <v>7769904.5263548559</v>
      </c>
      <c r="AL43" s="375">
        <f t="shared" ref="AL43:AL56" si="61">AE43*S43*J43</f>
        <v>0</v>
      </c>
      <c r="AM43" s="432">
        <f t="shared" ref="AM43:AM56" si="62">AE43*T43*J43</f>
        <v>12360355.24048575</v>
      </c>
      <c r="AN43" s="432">
        <f t="shared" ref="AN43:AN56" si="63">AE43*U43*J43</f>
        <v>277301.6199803694</v>
      </c>
      <c r="AO43" s="433">
        <f t="shared" ref="AO43:AO56" si="64">AK43+AL43+AM43+AN43</f>
        <v>20407561.386820976</v>
      </c>
      <c r="AQ43" s="563">
        <f t="shared" ref="AQ43:AQ56" si="65">+O43</f>
        <v>26931.882058205571</v>
      </c>
      <c r="AR43" s="563">
        <f t="shared" ref="AR43:AR56" si="66">+O43*J43</f>
        <v>16724698.75814566</v>
      </c>
    </row>
    <row r="44" spans="1:44" ht="10.5" customHeight="1" x14ac:dyDescent="0.35">
      <c r="A44" s="412" t="s">
        <v>106</v>
      </c>
      <c r="B44" s="412" t="s">
        <v>25</v>
      </c>
      <c r="C44" s="412" t="s">
        <v>25</v>
      </c>
      <c r="D44" s="412" t="s">
        <v>106</v>
      </c>
      <c r="F44" s="434">
        <v>4.0199999999999996</v>
      </c>
      <c r="G44" s="414" t="s">
        <v>4112</v>
      </c>
      <c r="H44" s="462" t="s">
        <v>4139</v>
      </c>
      <c r="I44" s="436" t="s">
        <v>988</v>
      </c>
      <c r="J44" s="439">
        <v>780</v>
      </c>
      <c r="K44" s="418">
        <v>8314.4980560000004</v>
      </c>
      <c r="L44" s="418">
        <v>0</v>
      </c>
      <c r="M44" s="418">
        <v>9785.8451955429355</v>
      </c>
      <c r="N44" s="418">
        <v>235.33191244914229</v>
      </c>
      <c r="O44" s="419">
        <f t="shared" si="45"/>
        <v>18335.67516399208</v>
      </c>
      <c r="P44" s="420">
        <f t="shared" si="46"/>
        <v>26321.509276159395</v>
      </c>
      <c r="Q44" s="403"/>
      <c r="R44" s="421">
        <f t="shared" si="47"/>
        <v>11935.755610319438</v>
      </c>
      <c r="S44" s="421">
        <f t="shared" si="48"/>
        <v>0</v>
      </c>
      <c r="T44" s="421">
        <f t="shared" si="49"/>
        <v>14047.926394081185</v>
      </c>
      <c r="U44" s="421">
        <f t="shared" si="50"/>
        <v>337.8272717587671</v>
      </c>
      <c r="V44" s="422">
        <f t="shared" si="51"/>
        <v>26321.509276159391</v>
      </c>
      <c r="W44" s="423"/>
      <c r="X44" s="421">
        <f t="shared" si="52"/>
        <v>9309889.3760491628</v>
      </c>
      <c r="Y44" s="421">
        <f t="shared" si="53"/>
        <v>11220887.859355161</v>
      </c>
      <c r="Z44" s="422">
        <f t="shared" si="54"/>
        <v>20530777.235404324</v>
      </c>
      <c r="AA44" s="371"/>
      <c r="AB44" s="425" t="s">
        <v>4137</v>
      </c>
      <c r="AC44" s="427">
        <v>0.85</v>
      </c>
      <c r="AD44" s="427">
        <v>0</v>
      </c>
      <c r="AE44" s="428">
        <f t="shared" si="55"/>
        <v>0.85</v>
      </c>
      <c r="AF44" s="437" t="str">
        <f t="shared" si="56"/>
        <v>⚪</v>
      </c>
      <c r="AG44" s="430">
        <f t="shared" si="57"/>
        <v>17451160.650093675</v>
      </c>
      <c r="AH44" s="375">
        <f t="shared" si="58"/>
        <v>0</v>
      </c>
      <c r="AI44" s="431">
        <f t="shared" si="59"/>
        <v>17451160.650093675</v>
      </c>
      <c r="AJ44" s="375"/>
      <c r="AK44" s="430">
        <f t="shared" si="60"/>
        <v>7913405.9696417879</v>
      </c>
      <c r="AL44" s="375">
        <f t="shared" si="61"/>
        <v>0</v>
      </c>
      <c r="AM44" s="432">
        <f t="shared" si="62"/>
        <v>9313775.1992758252</v>
      </c>
      <c r="AN44" s="432">
        <f t="shared" si="63"/>
        <v>223979.4811760626</v>
      </c>
      <c r="AO44" s="433">
        <f t="shared" si="64"/>
        <v>17451160.650093675</v>
      </c>
      <c r="AQ44" s="563">
        <f t="shared" si="65"/>
        <v>18335.67516399208</v>
      </c>
      <c r="AR44" s="563">
        <f t="shared" si="66"/>
        <v>14301826.627913823</v>
      </c>
    </row>
    <row r="45" spans="1:44" ht="10.5" customHeight="1" x14ac:dyDescent="0.35">
      <c r="A45" s="412" t="s">
        <v>106</v>
      </c>
      <c r="B45" s="412" t="s">
        <v>25</v>
      </c>
      <c r="C45" s="412" t="s">
        <v>25</v>
      </c>
      <c r="D45" s="412" t="s">
        <v>106</v>
      </c>
      <c r="F45" s="434">
        <v>4.03</v>
      </c>
      <c r="G45" s="414" t="s">
        <v>4112</v>
      </c>
      <c r="H45" s="435" t="s">
        <v>4140</v>
      </c>
      <c r="I45" s="436" t="s">
        <v>988</v>
      </c>
      <c r="J45" s="439">
        <v>56</v>
      </c>
      <c r="K45" s="418">
        <v>6454.69013916325</v>
      </c>
      <c r="L45" s="418">
        <v>0</v>
      </c>
      <c r="M45" s="418">
        <v>10484.834138081709</v>
      </c>
      <c r="N45" s="418">
        <v>504.2826695338768</v>
      </c>
      <c r="O45" s="419">
        <f t="shared" si="45"/>
        <v>17443.806946778837</v>
      </c>
      <c r="P45" s="420">
        <f t="shared" si="46"/>
        <v>25041.20095140289</v>
      </c>
      <c r="Q45" s="403"/>
      <c r="R45" s="421">
        <f t="shared" si="47"/>
        <v>9265.9356611185558</v>
      </c>
      <c r="S45" s="421">
        <f t="shared" si="48"/>
        <v>0</v>
      </c>
      <c r="T45" s="421">
        <f t="shared" si="49"/>
        <v>15051.349707944117</v>
      </c>
      <c r="U45" s="421">
        <f t="shared" si="50"/>
        <v>723.91558234021591</v>
      </c>
      <c r="V45" s="422">
        <f t="shared" si="51"/>
        <v>25041.200951402887</v>
      </c>
      <c r="W45" s="423"/>
      <c r="X45" s="421">
        <f t="shared" si="52"/>
        <v>518892.39702263911</v>
      </c>
      <c r="Y45" s="421">
        <f t="shared" si="53"/>
        <v>883414.85625592247</v>
      </c>
      <c r="Z45" s="422">
        <f t="shared" si="54"/>
        <v>1402307.2532785616</v>
      </c>
      <c r="AA45" s="371"/>
      <c r="AB45" s="425" t="s">
        <v>4137</v>
      </c>
      <c r="AC45" s="427">
        <v>1</v>
      </c>
      <c r="AD45" s="427">
        <v>0</v>
      </c>
      <c r="AE45" s="428">
        <f t="shared" si="55"/>
        <v>1</v>
      </c>
      <c r="AF45" s="437" t="str">
        <f t="shared" si="56"/>
        <v>🔴</v>
      </c>
      <c r="AG45" s="430">
        <f t="shared" si="57"/>
        <v>1402307.2532785616</v>
      </c>
      <c r="AH45" s="375">
        <f t="shared" si="58"/>
        <v>0</v>
      </c>
      <c r="AI45" s="431">
        <f t="shared" si="59"/>
        <v>1402307.2532785616</v>
      </c>
      <c r="AJ45" s="375"/>
      <c r="AK45" s="430">
        <f t="shared" si="60"/>
        <v>518892.39702263911</v>
      </c>
      <c r="AL45" s="375">
        <f t="shared" si="61"/>
        <v>0</v>
      </c>
      <c r="AM45" s="432">
        <f t="shared" si="62"/>
        <v>842875.58364487055</v>
      </c>
      <c r="AN45" s="432">
        <f t="shared" si="63"/>
        <v>40539.272611052089</v>
      </c>
      <c r="AO45" s="433">
        <f t="shared" si="64"/>
        <v>1402307.2532785616</v>
      </c>
      <c r="AQ45" s="563">
        <f t="shared" si="65"/>
        <v>17443.806946778837</v>
      </c>
      <c r="AR45" s="563">
        <f t="shared" si="66"/>
        <v>976853.18901961483</v>
      </c>
    </row>
    <row r="46" spans="1:44" ht="10.5" customHeight="1" x14ac:dyDescent="0.35">
      <c r="A46" s="412" t="s">
        <v>106</v>
      </c>
      <c r="B46" s="412" t="s">
        <v>25</v>
      </c>
      <c r="C46" s="412" t="s">
        <v>25</v>
      </c>
      <c r="D46" s="412" t="s">
        <v>106</v>
      </c>
      <c r="F46" s="434">
        <v>4.04</v>
      </c>
      <c r="G46" s="414" t="s">
        <v>4112</v>
      </c>
      <c r="H46" s="435" t="s">
        <v>4141</v>
      </c>
      <c r="I46" s="436" t="s">
        <v>988</v>
      </c>
      <c r="J46" s="439">
        <v>42</v>
      </c>
      <c r="K46" s="418">
        <v>11547.89373547681</v>
      </c>
      <c r="L46" s="418">
        <v>0</v>
      </c>
      <c r="M46" s="418">
        <v>9785.8451955429282</v>
      </c>
      <c r="N46" s="418">
        <v>235.3319124491421</v>
      </c>
      <c r="O46" s="419">
        <f t="shared" si="45"/>
        <v>21569.070843468882</v>
      </c>
      <c r="P46" s="420">
        <f t="shared" si="46"/>
        <v>30963.162970918267</v>
      </c>
      <c r="Q46" s="403"/>
      <c r="R46" s="421">
        <f t="shared" si="47"/>
        <v>16577.409305078323</v>
      </c>
      <c r="S46" s="421">
        <f t="shared" si="48"/>
        <v>0</v>
      </c>
      <c r="T46" s="421">
        <f t="shared" si="49"/>
        <v>14047.926394081174</v>
      </c>
      <c r="U46" s="421">
        <f t="shared" si="50"/>
        <v>337.82727175876681</v>
      </c>
      <c r="V46" s="422">
        <f t="shared" si="51"/>
        <v>30963.162970918267</v>
      </c>
      <c r="W46" s="423"/>
      <c r="X46" s="421">
        <f t="shared" si="52"/>
        <v>696251.19081328961</v>
      </c>
      <c r="Y46" s="421">
        <f t="shared" si="53"/>
        <v>604201.65396527771</v>
      </c>
      <c r="Z46" s="422">
        <f t="shared" si="54"/>
        <v>1300452.8447785673</v>
      </c>
      <c r="AA46" s="371"/>
      <c r="AB46" s="425" t="s">
        <v>4137</v>
      </c>
      <c r="AC46" s="427">
        <v>0.7</v>
      </c>
      <c r="AD46" s="427">
        <v>0</v>
      </c>
      <c r="AE46" s="428">
        <f t="shared" si="55"/>
        <v>0.7</v>
      </c>
      <c r="AF46" s="437" t="str">
        <f t="shared" si="56"/>
        <v>⚪</v>
      </c>
      <c r="AG46" s="430">
        <f t="shared" si="57"/>
        <v>910316.99134499708</v>
      </c>
      <c r="AH46" s="375">
        <f t="shared" si="58"/>
        <v>0</v>
      </c>
      <c r="AI46" s="431">
        <f t="shared" si="59"/>
        <v>910316.99134499708</v>
      </c>
      <c r="AJ46" s="375"/>
      <c r="AK46" s="430">
        <f t="shared" si="60"/>
        <v>487375.83356930269</v>
      </c>
      <c r="AL46" s="375">
        <f t="shared" si="61"/>
        <v>0</v>
      </c>
      <c r="AM46" s="432">
        <f t="shared" si="62"/>
        <v>413009.03598598653</v>
      </c>
      <c r="AN46" s="432">
        <f t="shared" si="63"/>
        <v>9932.121789707744</v>
      </c>
      <c r="AO46" s="433">
        <f t="shared" si="64"/>
        <v>910316.99134499696</v>
      </c>
      <c r="AQ46" s="563">
        <f t="shared" si="65"/>
        <v>21569.070843468882</v>
      </c>
      <c r="AR46" s="563">
        <f t="shared" si="66"/>
        <v>905900.97542569309</v>
      </c>
    </row>
    <row r="47" spans="1:44" ht="10.5" customHeight="1" x14ac:dyDescent="0.35">
      <c r="A47" s="412" t="s">
        <v>106</v>
      </c>
      <c r="B47" s="412" t="s">
        <v>25</v>
      </c>
      <c r="C47" s="412" t="s">
        <v>25</v>
      </c>
      <c r="D47" s="412" t="s">
        <v>106</v>
      </c>
      <c r="F47" s="434">
        <v>4.05</v>
      </c>
      <c r="G47" s="414" t="s">
        <v>4128</v>
      </c>
      <c r="H47" s="435" t="s">
        <v>4142</v>
      </c>
      <c r="I47" s="436" t="s">
        <v>988</v>
      </c>
      <c r="J47" s="439">
        <v>70</v>
      </c>
      <c r="K47" s="418">
        <v>16817.940685714289</v>
      </c>
      <c r="L47" s="418">
        <v>0</v>
      </c>
      <c r="M47" s="418">
        <v>10484.834138081709</v>
      </c>
      <c r="N47" s="418">
        <v>409.54162235694002</v>
      </c>
      <c r="O47" s="419">
        <f t="shared" si="45"/>
        <v>27712.316446152938</v>
      </c>
      <c r="P47" s="420">
        <f t="shared" si="46"/>
        <v>39782.009000341939</v>
      </c>
      <c r="Q47" s="403"/>
      <c r="R47" s="421">
        <f t="shared" si="47"/>
        <v>24142.747829338583</v>
      </c>
      <c r="S47" s="421">
        <f t="shared" si="48"/>
        <v>0</v>
      </c>
      <c r="T47" s="421">
        <f t="shared" si="49"/>
        <v>15051.349707944117</v>
      </c>
      <c r="U47" s="421">
        <f t="shared" si="50"/>
        <v>587.91146305924053</v>
      </c>
      <c r="V47" s="422">
        <f t="shared" si="51"/>
        <v>39782.009000341939</v>
      </c>
      <c r="W47" s="423"/>
      <c r="X47" s="421">
        <f t="shared" si="52"/>
        <v>1689992.3480537008</v>
      </c>
      <c r="Y47" s="421">
        <f t="shared" si="53"/>
        <v>1094748.2819702351</v>
      </c>
      <c r="Z47" s="422">
        <f t="shared" si="54"/>
        <v>2784740.6300239358</v>
      </c>
      <c r="AA47" s="371"/>
      <c r="AB47" s="425" t="s">
        <v>4137</v>
      </c>
      <c r="AC47" s="427">
        <v>0.1</v>
      </c>
      <c r="AD47" s="427">
        <v>0</v>
      </c>
      <c r="AE47" s="428">
        <f t="shared" si="55"/>
        <v>0.1</v>
      </c>
      <c r="AF47" s="437" t="str">
        <f t="shared" si="56"/>
        <v>⚪</v>
      </c>
      <c r="AG47" s="430">
        <f t="shared" si="57"/>
        <v>278474.06300239358</v>
      </c>
      <c r="AH47" s="375">
        <f t="shared" si="58"/>
        <v>0</v>
      </c>
      <c r="AI47" s="431">
        <f t="shared" si="59"/>
        <v>278474.06300239358</v>
      </c>
      <c r="AJ47" s="375"/>
      <c r="AK47" s="430">
        <f t="shared" si="60"/>
        <v>168999.2348053701</v>
      </c>
      <c r="AL47" s="375">
        <f t="shared" si="61"/>
        <v>0</v>
      </c>
      <c r="AM47" s="432">
        <f t="shared" si="62"/>
        <v>105359.44795560883</v>
      </c>
      <c r="AN47" s="432">
        <f t="shared" si="63"/>
        <v>4115.380241414684</v>
      </c>
      <c r="AO47" s="433">
        <f t="shared" si="64"/>
        <v>278474.06300239364</v>
      </c>
      <c r="AQ47" s="563">
        <f t="shared" si="65"/>
        <v>27712.316446152938</v>
      </c>
      <c r="AR47" s="563">
        <f t="shared" si="66"/>
        <v>1939862.1512307057</v>
      </c>
    </row>
    <row r="48" spans="1:44" ht="10.5" customHeight="1" x14ac:dyDescent="0.35">
      <c r="A48" s="412" t="s">
        <v>106</v>
      </c>
      <c r="B48" s="412" t="s">
        <v>25</v>
      </c>
      <c r="C48" s="412" t="s">
        <v>25</v>
      </c>
      <c r="D48" s="412" t="s">
        <v>106</v>
      </c>
      <c r="F48" s="434">
        <v>4.0599999999999996</v>
      </c>
      <c r="G48" s="414" t="s">
        <v>4112</v>
      </c>
      <c r="H48" s="435" t="s">
        <v>4143</v>
      </c>
      <c r="I48" s="436" t="s">
        <v>988</v>
      </c>
      <c r="J48" s="439">
        <v>5</v>
      </c>
      <c r="K48" s="418">
        <v>11492.4403708914</v>
      </c>
      <c r="L48" s="418">
        <v>0</v>
      </c>
      <c r="M48" s="418">
        <v>9785.8451955429391</v>
      </c>
      <c r="N48" s="418">
        <v>235.33191244914201</v>
      </c>
      <c r="O48" s="419">
        <f t="shared" si="45"/>
        <v>21513.61747888348</v>
      </c>
      <c r="P48" s="420">
        <f t="shared" si="46"/>
        <v>30883.5577075574</v>
      </c>
      <c r="Q48" s="403"/>
      <c r="R48" s="421">
        <f t="shared" si="47"/>
        <v>16497.804041717442</v>
      </c>
      <c r="S48" s="421">
        <f t="shared" si="48"/>
        <v>0</v>
      </c>
      <c r="T48" s="421">
        <f t="shared" si="49"/>
        <v>14047.926394081191</v>
      </c>
      <c r="U48" s="421">
        <f t="shared" si="50"/>
        <v>337.8272717587667</v>
      </c>
      <c r="V48" s="422">
        <f t="shared" si="51"/>
        <v>30883.5577075574</v>
      </c>
      <c r="W48" s="423"/>
      <c r="X48" s="421">
        <f t="shared" si="52"/>
        <v>82489.020208587201</v>
      </c>
      <c r="Y48" s="421">
        <f t="shared" si="53"/>
        <v>71928.768329199811</v>
      </c>
      <c r="Z48" s="422">
        <f t="shared" si="54"/>
        <v>154417.78853778701</v>
      </c>
      <c r="AA48" s="371"/>
      <c r="AB48" s="425" t="s">
        <v>4137</v>
      </c>
      <c r="AC48" s="427">
        <v>0.1</v>
      </c>
      <c r="AD48" s="427">
        <v>0</v>
      </c>
      <c r="AE48" s="428">
        <f t="shared" si="55"/>
        <v>0.1</v>
      </c>
      <c r="AF48" s="437" t="str">
        <f t="shared" si="56"/>
        <v>⚪</v>
      </c>
      <c r="AG48" s="430">
        <f t="shared" si="57"/>
        <v>15441.778853778702</v>
      </c>
      <c r="AH48" s="375">
        <f t="shared" si="58"/>
        <v>0</v>
      </c>
      <c r="AI48" s="431">
        <f t="shared" si="59"/>
        <v>15441.778853778702</v>
      </c>
      <c r="AJ48" s="375"/>
      <c r="AK48" s="430">
        <f t="shared" si="60"/>
        <v>8248.9020208587208</v>
      </c>
      <c r="AL48" s="375">
        <f t="shared" si="61"/>
        <v>0</v>
      </c>
      <c r="AM48" s="432">
        <f t="shared" si="62"/>
        <v>7023.9631970405953</v>
      </c>
      <c r="AN48" s="432">
        <f t="shared" si="63"/>
        <v>168.91363587938338</v>
      </c>
      <c r="AO48" s="433">
        <f t="shared" si="64"/>
        <v>15441.7788537787</v>
      </c>
      <c r="AQ48" s="563">
        <f t="shared" si="65"/>
        <v>21513.61747888348</v>
      </c>
      <c r="AR48" s="563">
        <f t="shared" si="66"/>
        <v>107568.08739441739</v>
      </c>
    </row>
    <row r="49" spans="1:44" ht="10.5" customHeight="1" x14ac:dyDescent="0.35">
      <c r="A49" s="412" t="s">
        <v>106</v>
      </c>
      <c r="B49" s="412" t="s">
        <v>25</v>
      </c>
      <c r="C49" s="412" t="s">
        <v>25</v>
      </c>
      <c r="D49" s="412" t="s">
        <v>106</v>
      </c>
      <c r="F49" s="434">
        <v>4.07</v>
      </c>
      <c r="G49" s="414" t="s">
        <v>4112</v>
      </c>
      <c r="H49" s="435" t="s">
        <v>4144</v>
      </c>
      <c r="I49" s="436" t="s">
        <v>988</v>
      </c>
      <c r="J49" s="456">
        <v>193</v>
      </c>
      <c r="K49" s="418">
        <v>3227.3450695816268</v>
      </c>
      <c r="L49" s="418">
        <v>0</v>
      </c>
      <c r="M49" s="418">
        <v>10484.834138081709</v>
      </c>
      <c r="N49" s="418">
        <v>252.14133476693829</v>
      </c>
      <c r="O49" s="419">
        <f t="shared" si="45"/>
        <v>13964.320542430274</v>
      </c>
      <c r="P49" s="420">
        <f t="shared" si="46"/>
        <v>20046.275329673506</v>
      </c>
      <c r="Q49" s="403"/>
      <c r="R49" s="421">
        <f t="shared" si="47"/>
        <v>4632.9678305592806</v>
      </c>
      <c r="S49" s="421">
        <f t="shared" si="48"/>
        <v>0</v>
      </c>
      <c r="T49" s="421">
        <f t="shared" si="49"/>
        <v>15051.349707944117</v>
      </c>
      <c r="U49" s="421">
        <f t="shared" si="50"/>
        <v>361.95779117010778</v>
      </c>
      <c r="V49" s="422">
        <f t="shared" si="51"/>
        <v>20046.275329673506</v>
      </c>
      <c r="W49" s="423"/>
      <c r="X49" s="421">
        <f t="shared" si="52"/>
        <v>894162.79129794112</v>
      </c>
      <c r="Y49" s="421">
        <f t="shared" si="53"/>
        <v>2974768.3473290456</v>
      </c>
      <c r="Z49" s="422">
        <f t="shared" si="54"/>
        <v>3868931.1386269866</v>
      </c>
      <c r="AA49" s="457"/>
      <c r="AB49" s="425" t="s">
        <v>4137</v>
      </c>
      <c r="AC49" s="427">
        <v>0</v>
      </c>
      <c r="AD49" s="427">
        <v>0</v>
      </c>
      <c r="AE49" s="428">
        <f t="shared" si="55"/>
        <v>0</v>
      </c>
      <c r="AF49" s="437" t="str">
        <f t="shared" si="56"/>
        <v>⚪</v>
      </c>
      <c r="AG49" s="430">
        <f t="shared" si="57"/>
        <v>0</v>
      </c>
      <c r="AH49" s="375">
        <f t="shared" si="58"/>
        <v>0</v>
      </c>
      <c r="AI49" s="431">
        <f t="shared" si="59"/>
        <v>0</v>
      </c>
      <c r="AJ49" s="375"/>
      <c r="AK49" s="430">
        <f t="shared" si="60"/>
        <v>0</v>
      </c>
      <c r="AL49" s="375">
        <f t="shared" si="61"/>
        <v>0</v>
      </c>
      <c r="AM49" s="432">
        <f t="shared" si="62"/>
        <v>0</v>
      </c>
      <c r="AN49" s="432">
        <f t="shared" si="63"/>
        <v>0</v>
      </c>
      <c r="AO49" s="433">
        <f t="shared" si="64"/>
        <v>0</v>
      </c>
      <c r="AQ49" s="563">
        <f t="shared" si="65"/>
        <v>13964.320542430274</v>
      </c>
      <c r="AR49" s="563">
        <f t="shared" si="66"/>
        <v>2695113.8646890428</v>
      </c>
    </row>
    <row r="50" spans="1:44" ht="10.5" customHeight="1" x14ac:dyDescent="0.35">
      <c r="A50" s="412" t="s">
        <v>106</v>
      </c>
      <c r="B50" s="412" t="s">
        <v>25</v>
      </c>
      <c r="C50" s="412" t="s">
        <v>25</v>
      </c>
      <c r="D50" s="412" t="s">
        <v>106</v>
      </c>
      <c r="F50" s="434">
        <v>4.08</v>
      </c>
      <c r="G50" s="414" t="s">
        <v>4128</v>
      </c>
      <c r="H50" s="435" t="s">
        <v>4145</v>
      </c>
      <c r="I50" s="436" t="s">
        <v>744</v>
      </c>
      <c r="J50" s="456">
        <v>61</v>
      </c>
      <c r="K50" s="418">
        <v>9093.986286885247</v>
      </c>
      <c r="L50" s="418">
        <v>0</v>
      </c>
      <c r="M50" s="418">
        <v>12031.776879765899</v>
      </c>
      <c r="N50" s="418">
        <v>316.8864474997672</v>
      </c>
      <c r="O50" s="419">
        <f t="shared" si="45"/>
        <v>21442.649614150912</v>
      </c>
      <c r="P50" s="420">
        <f t="shared" si="46"/>
        <v>30781.680831295111</v>
      </c>
      <c r="Q50" s="403"/>
      <c r="R50" s="421">
        <f t="shared" si="47"/>
        <v>13054.738495672651</v>
      </c>
      <c r="S50" s="421">
        <f t="shared" si="48"/>
        <v>0</v>
      </c>
      <c r="T50" s="421">
        <f t="shared" si="49"/>
        <v>17272.040648460468</v>
      </c>
      <c r="U50" s="421">
        <f t="shared" si="50"/>
        <v>454.90168716199679</v>
      </c>
      <c r="V50" s="422">
        <f t="shared" si="51"/>
        <v>30781.680831295118</v>
      </c>
      <c r="W50" s="423"/>
      <c r="X50" s="421">
        <f t="shared" si="52"/>
        <v>796339.04823603167</v>
      </c>
      <c r="Y50" s="421">
        <f t="shared" si="53"/>
        <v>1081343.4824729706</v>
      </c>
      <c r="Z50" s="422">
        <f t="shared" si="54"/>
        <v>1877682.5307090022</v>
      </c>
      <c r="AA50" s="457"/>
      <c r="AB50" s="425" t="s">
        <v>4137</v>
      </c>
      <c r="AC50" s="427">
        <v>0.6</v>
      </c>
      <c r="AD50" s="427">
        <v>0</v>
      </c>
      <c r="AE50" s="428">
        <f t="shared" si="55"/>
        <v>0.6</v>
      </c>
      <c r="AF50" s="437" t="str">
        <f t="shared" si="56"/>
        <v>⚪</v>
      </c>
      <c r="AG50" s="430">
        <f t="shared" si="57"/>
        <v>1126609.5184254013</v>
      </c>
      <c r="AH50" s="375">
        <f t="shared" si="58"/>
        <v>0</v>
      </c>
      <c r="AI50" s="431">
        <f t="shared" si="59"/>
        <v>1126609.5184254013</v>
      </c>
      <c r="AJ50" s="375"/>
      <c r="AK50" s="430">
        <f t="shared" si="60"/>
        <v>477803.428941619</v>
      </c>
      <c r="AL50" s="375">
        <f t="shared" si="61"/>
        <v>0</v>
      </c>
      <c r="AM50" s="432">
        <f t="shared" si="62"/>
        <v>632156.68773365312</v>
      </c>
      <c r="AN50" s="432">
        <f t="shared" si="63"/>
        <v>16649.401750129084</v>
      </c>
      <c r="AO50" s="433">
        <f t="shared" si="64"/>
        <v>1126609.5184254013</v>
      </c>
      <c r="AQ50" s="563">
        <f t="shared" si="65"/>
        <v>21442.649614150912</v>
      </c>
      <c r="AR50" s="563">
        <f t="shared" si="66"/>
        <v>1308001.6264632056</v>
      </c>
    </row>
    <row r="51" spans="1:44" ht="10.5" customHeight="1" x14ac:dyDescent="0.35">
      <c r="A51" s="412" t="s">
        <v>106</v>
      </c>
      <c r="B51" s="412" t="s">
        <v>25</v>
      </c>
      <c r="C51" s="412" t="s">
        <v>25</v>
      </c>
      <c r="D51" s="412" t="s">
        <v>106</v>
      </c>
      <c r="F51" s="434">
        <v>4.09</v>
      </c>
      <c r="G51" s="414" t="s">
        <v>4128</v>
      </c>
      <c r="H51" s="435" t="s">
        <v>4146</v>
      </c>
      <c r="I51" s="436" t="s">
        <v>98</v>
      </c>
      <c r="J51" s="456">
        <v>1</v>
      </c>
      <c r="K51" s="418">
        <v>60811.031153399999</v>
      </c>
      <c r="L51" s="418">
        <v>0</v>
      </c>
      <c r="M51" s="418">
        <v>146787.677933144</v>
      </c>
      <c r="N51" s="418">
        <v>3113.9806362981599</v>
      </c>
      <c r="O51" s="419">
        <f t="shared" si="45"/>
        <v>210712.68972284216</v>
      </c>
      <c r="P51" s="420">
        <f t="shared" si="46"/>
        <v>302485.50803496782</v>
      </c>
      <c r="Q51" s="403"/>
      <c r="R51" s="421">
        <f t="shared" si="47"/>
        <v>87296.382940967291</v>
      </c>
      <c r="S51" s="421">
        <f t="shared" si="48"/>
        <v>0</v>
      </c>
      <c r="T51" s="421">
        <f t="shared" si="49"/>
        <v>210718.89591121775</v>
      </c>
      <c r="U51" s="421">
        <f t="shared" si="50"/>
        <v>4470.2291827827748</v>
      </c>
      <c r="V51" s="422">
        <f t="shared" si="51"/>
        <v>302485.50803496782</v>
      </c>
      <c r="W51" s="423"/>
      <c r="X51" s="421">
        <f t="shared" si="52"/>
        <v>87296.382940967291</v>
      </c>
      <c r="Y51" s="421">
        <f t="shared" si="53"/>
        <v>215189.12509400054</v>
      </c>
      <c r="Z51" s="422">
        <f t="shared" si="54"/>
        <v>302485.50803496782</v>
      </c>
      <c r="AA51" s="457"/>
      <c r="AB51" s="425" t="s">
        <v>4137</v>
      </c>
      <c r="AC51" s="427">
        <v>0</v>
      </c>
      <c r="AD51" s="427">
        <v>0</v>
      </c>
      <c r="AE51" s="428">
        <f t="shared" si="55"/>
        <v>0</v>
      </c>
      <c r="AF51" s="437" t="str">
        <f t="shared" si="56"/>
        <v>⚪</v>
      </c>
      <c r="AG51" s="430">
        <f t="shared" si="57"/>
        <v>0</v>
      </c>
      <c r="AH51" s="375">
        <f t="shared" si="58"/>
        <v>0</v>
      </c>
      <c r="AI51" s="431">
        <f t="shared" si="59"/>
        <v>0</v>
      </c>
      <c r="AJ51" s="375"/>
      <c r="AK51" s="430">
        <f t="shared" si="60"/>
        <v>0</v>
      </c>
      <c r="AL51" s="375">
        <f t="shared" si="61"/>
        <v>0</v>
      </c>
      <c r="AM51" s="432">
        <f t="shared" si="62"/>
        <v>0</v>
      </c>
      <c r="AN51" s="432">
        <f t="shared" si="63"/>
        <v>0</v>
      </c>
      <c r="AO51" s="433">
        <f t="shared" si="64"/>
        <v>0</v>
      </c>
      <c r="AQ51" s="563">
        <f t="shared" si="65"/>
        <v>210712.68972284216</v>
      </c>
      <c r="AR51" s="563">
        <f t="shared" si="66"/>
        <v>210712.68972284216</v>
      </c>
    </row>
    <row r="52" spans="1:44" ht="10.5" customHeight="1" x14ac:dyDescent="0.35">
      <c r="A52" s="412" t="s">
        <v>106</v>
      </c>
      <c r="B52" s="412" t="s">
        <v>25</v>
      </c>
      <c r="C52" s="412" t="s">
        <v>25</v>
      </c>
      <c r="D52" s="412" t="s">
        <v>106</v>
      </c>
      <c r="F52" s="434">
        <v>4.0999999999999996</v>
      </c>
      <c r="G52" s="414" t="s">
        <v>4128</v>
      </c>
      <c r="H52" s="435" t="s">
        <v>4147</v>
      </c>
      <c r="I52" s="436" t="s">
        <v>98</v>
      </c>
      <c r="J52" s="456">
        <v>1</v>
      </c>
      <c r="K52" s="418">
        <v>151935.62173019999</v>
      </c>
      <c r="L52" s="418">
        <v>0</v>
      </c>
      <c r="M52" s="418">
        <v>440363.03379943199</v>
      </c>
      <c r="N52" s="418">
        <v>8884.4798329444802</v>
      </c>
      <c r="O52" s="419">
        <f t="shared" si="45"/>
        <v>601183.13536257646</v>
      </c>
      <c r="P52" s="420">
        <f t="shared" si="46"/>
        <v>863019.62336201209</v>
      </c>
      <c r="Q52" s="403"/>
      <c r="R52" s="421">
        <f t="shared" si="47"/>
        <v>218108.95104665429</v>
      </c>
      <c r="S52" s="421">
        <f t="shared" si="48"/>
        <v>0</v>
      </c>
      <c r="T52" s="421">
        <f t="shared" si="49"/>
        <v>632156.68773365323</v>
      </c>
      <c r="U52" s="421">
        <f t="shared" si="50"/>
        <v>12753.984581704613</v>
      </c>
      <c r="V52" s="422">
        <f t="shared" si="51"/>
        <v>863019.62336201209</v>
      </c>
      <c r="W52" s="423"/>
      <c r="X52" s="421">
        <f t="shared" si="52"/>
        <v>218108.95104665429</v>
      </c>
      <c r="Y52" s="421">
        <f t="shared" si="53"/>
        <v>644910.67231535784</v>
      </c>
      <c r="Z52" s="422">
        <f t="shared" si="54"/>
        <v>863019.62336201209</v>
      </c>
      <c r="AA52" s="457"/>
      <c r="AB52" s="425" t="s">
        <v>4137</v>
      </c>
      <c r="AC52" s="427">
        <v>0</v>
      </c>
      <c r="AD52" s="427">
        <v>0</v>
      </c>
      <c r="AE52" s="428">
        <f t="shared" si="55"/>
        <v>0</v>
      </c>
      <c r="AF52" s="437" t="str">
        <f t="shared" si="56"/>
        <v>⚪</v>
      </c>
      <c r="AG52" s="430">
        <f t="shared" si="57"/>
        <v>0</v>
      </c>
      <c r="AH52" s="375">
        <f t="shared" si="58"/>
        <v>0</v>
      </c>
      <c r="AI52" s="431">
        <f t="shared" si="59"/>
        <v>0</v>
      </c>
      <c r="AJ52" s="375"/>
      <c r="AK52" s="430">
        <f t="shared" si="60"/>
        <v>0</v>
      </c>
      <c r="AL52" s="375">
        <f t="shared" si="61"/>
        <v>0</v>
      </c>
      <c r="AM52" s="432">
        <f t="shared" si="62"/>
        <v>0</v>
      </c>
      <c r="AN52" s="432">
        <f t="shared" si="63"/>
        <v>0</v>
      </c>
      <c r="AO52" s="433">
        <f t="shared" si="64"/>
        <v>0</v>
      </c>
      <c r="AQ52" s="563">
        <f t="shared" si="65"/>
        <v>601183.13536257646</v>
      </c>
      <c r="AR52" s="563">
        <f t="shared" si="66"/>
        <v>601183.13536257646</v>
      </c>
    </row>
    <row r="53" spans="1:44" ht="10.5" customHeight="1" x14ac:dyDescent="0.35">
      <c r="A53" s="412" t="s">
        <v>106</v>
      </c>
      <c r="B53" s="412" t="s">
        <v>25</v>
      </c>
      <c r="C53" s="412" t="s">
        <v>25</v>
      </c>
      <c r="D53" s="412" t="s">
        <v>106</v>
      </c>
      <c r="F53" s="434">
        <v>4.1100000000000003</v>
      </c>
      <c r="G53" s="414" t="s">
        <v>4112</v>
      </c>
      <c r="H53" s="435" t="s">
        <v>4148</v>
      </c>
      <c r="I53" s="436" t="s">
        <v>98</v>
      </c>
      <c r="J53" s="456">
        <v>1</v>
      </c>
      <c r="K53" s="418">
        <v>128742.895</v>
      </c>
      <c r="L53" s="418">
        <v>0</v>
      </c>
      <c r="M53" s="418">
        <v>259536.82203628801</v>
      </c>
      <c r="N53" s="418">
        <v>5824.1957555443196</v>
      </c>
      <c r="O53" s="419">
        <f t="shared" si="45"/>
        <v>394103.91279183229</v>
      </c>
      <c r="P53" s="420">
        <f t="shared" si="46"/>
        <v>565750.08575045061</v>
      </c>
      <c r="Q53" s="403"/>
      <c r="R53" s="421">
        <f t="shared" si="47"/>
        <v>184814.97270615469</v>
      </c>
      <c r="S53" s="421">
        <f t="shared" si="48"/>
        <v>0</v>
      </c>
      <c r="T53" s="421">
        <f t="shared" si="49"/>
        <v>372574.27433862427</v>
      </c>
      <c r="U53" s="421">
        <f t="shared" si="50"/>
        <v>8360.8387056716838</v>
      </c>
      <c r="V53" s="422">
        <f t="shared" si="51"/>
        <v>565750.08575045061</v>
      </c>
      <c r="W53" s="423"/>
      <c r="X53" s="421">
        <f t="shared" si="52"/>
        <v>184814.97270615469</v>
      </c>
      <c r="Y53" s="421">
        <f t="shared" si="53"/>
        <v>380935.11304429593</v>
      </c>
      <c r="Z53" s="422">
        <f t="shared" si="54"/>
        <v>565750.08575045061</v>
      </c>
      <c r="AA53" s="457"/>
      <c r="AB53" s="425" t="s">
        <v>4137</v>
      </c>
      <c r="AC53" s="427">
        <v>0</v>
      </c>
      <c r="AD53" s="427">
        <v>0</v>
      </c>
      <c r="AE53" s="428">
        <f t="shared" si="55"/>
        <v>0</v>
      </c>
      <c r="AF53" s="437" t="str">
        <f t="shared" si="56"/>
        <v>⚪</v>
      </c>
      <c r="AG53" s="430">
        <f t="shared" si="57"/>
        <v>0</v>
      </c>
      <c r="AH53" s="375">
        <f t="shared" si="58"/>
        <v>0</v>
      </c>
      <c r="AI53" s="431">
        <f t="shared" si="59"/>
        <v>0</v>
      </c>
      <c r="AJ53" s="375"/>
      <c r="AK53" s="430">
        <f t="shared" si="60"/>
        <v>0</v>
      </c>
      <c r="AL53" s="375">
        <f t="shared" si="61"/>
        <v>0</v>
      </c>
      <c r="AM53" s="432">
        <f t="shared" si="62"/>
        <v>0</v>
      </c>
      <c r="AN53" s="432">
        <f t="shared" si="63"/>
        <v>0</v>
      </c>
      <c r="AO53" s="433">
        <f t="shared" si="64"/>
        <v>0</v>
      </c>
      <c r="AQ53" s="563">
        <f t="shared" si="65"/>
        <v>394103.91279183229</v>
      </c>
      <c r="AR53" s="563">
        <f t="shared" si="66"/>
        <v>394103.91279183229</v>
      </c>
    </row>
    <row r="54" spans="1:44" ht="10.5" customHeight="1" x14ac:dyDescent="0.35">
      <c r="A54" s="412" t="s">
        <v>106</v>
      </c>
      <c r="B54" s="412" t="s">
        <v>25</v>
      </c>
      <c r="C54" s="412" t="s">
        <v>25</v>
      </c>
      <c r="D54" s="412" t="s">
        <v>106</v>
      </c>
      <c r="F54" s="434">
        <v>4.12</v>
      </c>
      <c r="G54" s="414" t="s">
        <v>4112</v>
      </c>
      <c r="H54" s="435" t="s">
        <v>4149</v>
      </c>
      <c r="I54" s="436" t="s">
        <v>35</v>
      </c>
      <c r="J54" s="456">
        <v>3</v>
      </c>
      <c r="K54" s="418">
        <v>121487.603305785</v>
      </c>
      <c r="L54" s="418">
        <v>0</v>
      </c>
      <c r="M54" s="418">
        <v>54294.058954381333</v>
      </c>
      <c r="N54" s="418">
        <v>2636.724933902497</v>
      </c>
      <c r="O54" s="419">
        <f t="shared" si="45"/>
        <v>178418.38719406884</v>
      </c>
      <c r="P54" s="420">
        <f t="shared" si="46"/>
        <v>256125.89618672139</v>
      </c>
      <c r="Q54" s="403"/>
      <c r="R54" s="421">
        <f t="shared" si="47"/>
        <v>174399.74523716283</v>
      </c>
      <c r="S54" s="421">
        <f t="shared" si="48"/>
        <v>0</v>
      </c>
      <c r="T54" s="421">
        <f t="shared" si="49"/>
        <v>77941.039183252331</v>
      </c>
      <c r="U54" s="421">
        <f t="shared" si="50"/>
        <v>3785.11176630623</v>
      </c>
      <c r="V54" s="422">
        <f t="shared" si="51"/>
        <v>256125.89618672139</v>
      </c>
      <c r="W54" s="423"/>
      <c r="X54" s="421">
        <f t="shared" si="52"/>
        <v>523199.23571148852</v>
      </c>
      <c r="Y54" s="421">
        <f t="shared" si="53"/>
        <v>245178.45284867566</v>
      </c>
      <c r="Z54" s="422">
        <f t="shared" si="54"/>
        <v>768377.68856016418</v>
      </c>
      <c r="AA54" s="457"/>
      <c r="AB54" s="425" t="s">
        <v>4137</v>
      </c>
      <c r="AC54" s="427">
        <v>0</v>
      </c>
      <c r="AD54" s="427">
        <v>0</v>
      </c>
      <c r="AE54" s="428">
        <f t="shared" si="55"/>
        <v>0</v>
      </c>
      <c r="AF54" s="437" t="str">
        <f t="shared" si="56"/>
        <v>⚪</v>
      </c>
      <c r="AG54" s="430">
        <f t="shared" si="57"/>
        <v>0</v>
      </c>
      <c r="AH54" s="375">
        <f t="shared" si="58"/>
        <v>0</v>
      </c>
      <c r="AI54" s="431">
        <f t="shared" si="59"/>
        <v>0</v>
      </c>
      <c r="AJ54" s="375"/>
      <c r="AK54" s="430">
        <f t="shared" si="60"/>
        <v>0</v>
      </c>
      <c r="AL54" s="375">
        <f t="shared" si="61"/>
        <v>0</v>
      </c>
      <c r="AM54" s="432">
        <f t="shared" si="62"/>
        <v>0</v>
      </c>
      <c r="AN54" s="432">
        <f t="shared" si="63"/>
        <v>0</v>
      </c>
      <c r="AO54" s="433">
        <f t="shared" si="64"/>
        <v>0</v>
      </c>
      <c r="AQ54" s="563">
        <f t="shared" si="65"/>
        <v>178418.38719406884</v>
      </c>
      <c r="AR54" s="563">
        <f t="shared" si="66"/>
        <v>535255.16158220649</v>
      </c>
    </row>
    <row r="55" spans="1:44" ht="10.5" customHeight="1" x14ac:dyDescent="0.35">
      <c r="A55" s="412" t="s">
        <v>106</v>
      </c>
      <c r="B55" s="412" t="s">
        <v>25</v>
      </c>
      <c r="C55" s="412" t="s">
        <v>25</v>
      </c>
      <c r="D55" s="412" t="s">
        <v>106</v>
      </c>
      <c r="F55" s="434">
        <v>4.13</v>
      </c>
      <c r="G55" s="414" t="s">
        <v>4128</v>
      </c>
      <c r="H55" s="435" t="s">
        <v>4150</v>
      </c>
      <c r="I55" s="436" t="s">
        <v>744</v>
      </c>
      <c r="J55" s="456">
        <v>40</v>
      </c>
      <c r="K55" s="418">
        <v>36748.8825</v>
      </c>
      <c r="L55" s="418">
        <v>0</v>
      </c>
      <c r="M55" s="418">
        <v>35716.756336364502</v>
      </c>
      <c r="N55" s="418">
        <v>1086.984582545467</v>
      </c>
      <c r="O55" s="419">
        <f t="shared" si="45"/>
        <v>73552.623418909963</v>
      </c>
      <c r="P55" s="420">
        <f t="shared" si="46"/>
        <v>105587.38864487954</v>
      </c>
      <c r="Q55" s="403"/>
      <c r="R55" s="421">
        <f t="shared" si="47"/>
        <v>52754.318723524011</v>
      </c>
      <c r="S55" s="421">
        <f t="shared" si="48"/>
        <v>0</v>
      </c>
      <c r="T55" s="421">
        <f t="shared" si="49"/>
        <v>51272.66516305683</v>
      </c>
      <c r="U55" s="421">
        <f t="shared" si="50"/>
        <v>1560.4047582987118</v>
      </c>
      <c r="V55" s="422">
        <f t="shared" si="51"/>
        <v>105587.38864487955</v>
      </c>
      <c r="W55" s="423"/>
      <c r="X55" s="421">
        <f t="shared" si="52"/>
        <v>2110172.7489409605</v>
      </c>
      <c r="Y55" s="421">
        <f t="shared" si="53"/>
        <v>2113322.7968542213</v>
      </c>
      <c r="Z55" s="422">
        <f t="shared" si="54"/>
        <v>4223495.5457951818</v>
      </c>
      <c r="AA55" s="457"/>
      <c r="AB55" s="425" t="s">
        <v>4137</v>
      </c>
      <c r="AC55" s="427">
        <v>0</v>
      </c>
      <c r="AD55" s="427">
        <v>0</v>
      </c>
      <c r="AE55" s="428">
        <f t="shared" si="55"/>
        <v>0</v>
      </c>
      <c r="AF55" s="437" t="str">
        <f t="shared" si="56"/>
        <v>⚪</v>
      </c>
      <c r="AG55" s="430">
        <f t="shared" si="57"/>
        <v>0</v>
      </c>
      <c r="AH55" s="375">
        <f t="shared" si="58"/>
        <v>0</v>
      </c>
      <c r="AI55" s="431">
        <f t="shared" si="59"/>
        <v>0</v>
      </c>
      <c r="AJ55" s="375"/>
      <c r="AK55" s="430">
        <f t="shared" si="60"/>
        <v>0</v>
      </c>
      <c r="AL55" s="375">
        <f t="shared" si="61"/>
        <v>0</v>
      </c>
      <c r="AM55" s="432">
        <f t="shared" si="62"/>
        <v>0</v>
      </c>
      <c r="AN55" s="432">
        <f t="shared" si="63"/>
        <v>0</v>
      </c>
      <c r="AO55" s="433">
        <f t="shared" si="64"/>
        <v>0</v>
      </c>
      <c r="AQ55" s="563">
        <f t="shared" si="65"/>
        <v>73552.623418909963</v>
      </c>
      <c r="AR55" s="563">
        <f t="shared" si="66"/>
        <v>2942104.9367563985</v>
      </c>
    </row>
    <row r="56" spans="1:44" ht="10.5" customHeight="1" x14ac:dyDescent="0.35">
      <c r="A56" s="412" t="s">
        <v>106</v>
      </c>
      <c r="B56" s="412" t="s">
        <v>25</v>
      </c>
      <c r="C56" s="412" t="s">
        <v>25</v>
      </c>
      <c r="D56" s="412" t="s">
        <v>106</v>
      </c>
      <c r="F56" s="434">
        <v>4.1399999999999997</v>
      </c>
      <c r="G56" s="450" t="s">
        <v>4128</v>
      </c>
      <c r="H56" s="459" t="s">
        <v>4151</v>
      </c>
      <c r="I56" s="452" t="s">
        <v>35</v>
      </c>
      <c r="J56" s="463">
        <v>8</v>
      </c>
      <c r="K56" s="418">
        <v>23946.262090863129</v>
      </c>
      <c r="L56" s="418">
        <v>0</v>
      </c>
      <c r="M56" s="418">
        <v>107385.37009485799</v>
      </c>
      <c r="N56" s="418">
        <v>1969.9744827858131</v>
      </c>
      <c r="O56" s="419">
        <f t="shared" si="45"/>
        <v>133301.60666850695</v>
      </c>
      <c r="P56" s="420">
        <f t="shared" si="46"/>
        <v>191359.16431059502</v>
      </c>
      <c r="Q56" s="403"/>
      <c r="R56" s="421">
        <f t="shared" si="47"/>
        <v>34375.704964047109</v>
      </c>
      <c r="S56" s="421">
        <f t="shared" si="48"/>
        <v>0</v>
      </c>
      <c r="T56" s="421">
        <f t="shared" si="49"/>
        <v>154155.49140107111</v>
      </c>
      <c r="U56" s="421">
        <f t="shared" si="50"/>
        <v>2827.9679454767679</v>
      </c>
      <c r="V56" s="422">
        <f t="shared" si="51"/>
        <v>191359.16431059496</v>
      </c>
      <c r="W56" s="423"/>
      <c r="X56" s="421">
        <f t="shared" si="52"/>
        <v>275005.63971237687</v>
      </c>
      <c r="Y56" s="421">
        <f t="shared" si="53"/>
        <v>1255867.6747723827</v>
      </c>
      <c r="Z56" s="422">
        <f t="shared" si="54"/>
        <v>1530873.3144847597</v>
      </c>
      <c r="AA56" s="457"/>
      <c r="AB56" s="425" t="s">
        <v>4137</v>
      </c>
      <c r="AC56" s="427">
        <v>0</v>
      </c>
      <c r="AD56" s="427">
        <v>0</v>
      </c>
      <c r="AE56" s="428">
        <f t="shared" si="55"/>
        <v>0</v>
      </c>
      <c r="AF56" s="437" t="str">
        <f t="shared" si="56"/>
        <v>⚪</v>
      </c>
      <c r="AG56" s="430">
        <f t="shared" si="57"/>
        <v>0</v>
      </c>
      <c r="AH56" s="375">
        <f t="shared" si="58"/>
        <v>0</v>
      </c>
      <c r="AI56" s="431">
        <f t="shared" si="59"/>
        <v>0</v>
      </c>
      <c r="AJ56" s="375"/>
      <c r="AK56" s="430">
        <f t="shared" si="60"/>
        <v>0</v>
      </c>
      <c r="AL56" s="375">
        <f t="shared" si="61"/>
        <v>0</v>
      </c>
      <c r="AM56" s="432">
        <f t="shared" si="62"/>
        <v>0</v>
      </c>
      <c r="AN56" s="432">
        <f t="shared" si="63"/>
        <v>0</v>
      </c>
      <c r="AO56" s="433">
        <f t="shared" si="64"/>
        <v>0</v>
      </c>
      <c r="AQ56" s="563">
        <f t="shared" si="65"/>
        <v>133301.60666850695</v>
      </c>
      <c r="AR56" s="563">
        <f t="shared" si="66"/>
        <v>1066412.8533480556</v>
      </c>
    </row>
    <row r="57" spans="1:44" ht="10.5" customHeight="1" x14ac:dyDescent="0.25">
      <c r="A57" s="412" t="s">
        <v>25</v>
      </c>
      <c r="B57" s="412" t="s">
        <v>25</v>
      </c>
      <c r="C57" s="412" t="s">
        <v>25</v>
      </c>
      <c r="D57" s="412" t="s">
        <v>25</v>
      </c>
      <c r="F57" s="396">
        <v>5</v>
      </c>
      <c r="G57" s="397"/>
      <c r="H57" s="398" t="s">
        <v>4152</v>
      </c>
      <c r="I57" s="399"/>
      <c r="J57" s="400"/>
      <c r="K57" s="400"/>
      <c r="L57" s="400"/>
      <c r="M57" s="400"/>
      <c r="N57" s="400"/>
      <c r="O57" s="402"/>
      <c r="P57" s="402"/>
      <c r="Q57" s="403"/>
      <c r="R57" s="400"/>
      <c r="S57" s="400"/>
      <c r="T57" s="400"/>
      <c r="U57" s="400"/>
      <c r="V57" s="402"/>
      <c r="X57" s="400"/>
      <c r="Y57" s="400"/>
      <c r="Z57" s="402"/>
      <c r="AA57" s="404">
        <f>+SUM(Z58:Z64)</f>
        <v>20723409.652478661</v>
      </c>
      <c r="AB57" s="405" t="s">
        <v>4152</v>
      </c>
      <c r="AC57" s="406"/>
      <c r="AD57" s="440"/>
      <c r="AE57" s="441"/>
      <c r="AF57" s="441"/>
      <c r="AG57" s="408"/>
      <c r="AH57" s="409"/>
      <c r="AI57" s="410"/>
      <c r="AJ57" s="411"/>
      <c r="AK57" s="408"/>
      <c r="AL57" s="409"/>
      <c r="AM57" s="442"/>
      <c r="AN57" s="442"/>
      <c r="AO57" s="410"/>
    </row>
    <row r="58" spans="1:44" ht="10.5" customHeight="1" x14ac:dyDescent="0.35">
      <c r="A58" s="412" t="s">
        <v>106</v>
      </c>
      <c r="B58" s="412" t="s">
        <v>25</v>
      </c>
      <c r="C58" s="412" t="s">
        <v>25</v>
      </c>
      <c r="D58" s="412" t="s">
        <v>106</v>
      </c>
      <c r="F58" s="413">
        <v>5.01</v>
      </c>
      <c r="G58" s="460" t="s">
        <v>4112</v>
      </c>
      <c r="H58" s="415" t="s">
        <v>4153</v>
      </c>
      <c r="I58" s="416" t="s">
        <v>744</v>
      </c>
      <c r="J58" s="464">
        <v>136</v>
      </c>
      <c r="K58" s="418">
        <v>809.61503399999992</v>
      </c>
      <c r="L58" s="418">
        <v>0</v>
      </c>
      <c r="M58" s="418">
        <v>3938.2617666857432</v>
      </c>
      <c r="N58" s="418">
        <v>126.0706673834691</v>
      </c>
      <c r="O58" s="419">
        <f t="shared" ref="O58:O64" si="67">+SUM(K58:N58)</f>
        <v>4873.9474680692119</v>
      </c>
      <c r="P58" s="420">
        <f t="shared" ref="P58:P64" si="68">+O58*$P$2</f>
        <v>6996.72372819054</v>
      </c>
      <c r="Q58" s="403"/>
      <c r="R58" s="421">
        <f t="shared" ref="R58:U64" si="69">+K58*$P$2</f>
        <v>1162.230975241022</v>
      </c>
      <c r="S58" s="421">
        <f t="shared" si="69"/>
        <v>0</v>
      </c>
      <c r="T58" s="421">
        <f t="shared" si="69"/>
        <v>5653.5138573644645</v>
      </c>
      <c r="U58" s="421">
        <f t="shared" si="69"/>
        <v>180.97889558505383</v>
      </c>
      <c r="V58" s="422">
        <f t="shared" ref="V58:V64" si="70">+SUM(R58:U58)</f>
        <v>6996.72372819054</v>
      </c>
      <c r="W58" s="423"/>
      <c r="X58" s="421">
        <f t="shared" ref="X58:X64" si="71">+R58*J58</f>
        <v>158063.41263277899</v>
      </c>
      <c r="Y58" s="421">
        <f t="shared" ref="Y58:Y64" si="72">+Z58-X58</f>
        <v>793491.01440113445</v>
      </c>
      <c r="Z58" s="422">
        <f t="shared" ref="Z58:Z64" si="73">+V58*J58</f>
        <v>951554.42703391344</v>
      </c>
      <c r="AA58" s="457"/>
      <c r="AB58" s="425" t="s">
        <v>4152</v>
      </c>
      <c r="AC58" s="427">
        <v>0</v>
      </c>
      <c r="AD58" s="427">
        <v>0</v>
      </c>
      <c r="AE58" s="428">
        <f t="shared" ref="AE58:AE64" si="74">AC58+AD58</f>
        <v>0</v>
      </c>
      <c r="AF58" s="437" t="str">
        <f t="shared" ref="AF58:AF64" si="75">IF($AE58=1,"🔴","⚪")</f>
        <v>⚪</v>
      </c>
      <c r="AG58" s="430">
        <f t="shared" ref="AG58:AG64" si="76">AC58*Z58</f>
        <v>0</v>
      </c>
      <c r="AH58" s="375">
        <f t="shared" ref="AH58:AH64" si="77">AD58*Z58</f>
        <v>0</v>
      </c>
      <c r="AI58" s="431">
        <f t="shared" ref="AI58:AI64" si="78">AE58*Z58</f>
        <v>0</v>
      </c>
      <c r="AJ58" s="375"/>
      <c r="AK58" s="430">
        <f t="shared" ref="AK58:AK64" si="79">AE58*X58</f>
        <v>0</v>
      </c>
      <c r="AL58" s="375">
        <f t="shared" ref="AL58:AL64" si="80">AE58*S58*J58</f>
        <v>0</v>
      </c>
      <c r="AM58" s="432">
        <f t="shared" ref="AM58:AM64" si="81">AE58*T58*J58</f>
        <v>0</v>
      </c>
      <c r="AN58" s="432">
        <f t="shared" ref="AN58:AN64" si="82">AE58*U58*J58</f>
        <v>0</v>
      </c>
      <c r="AO58" s="433">
        <f t="shared" ref="AO58:AO64" si="83">AK58+AL58+AM58+AN58</f>
        <v>0</v>
      </c>
      <c r="AQ58" s="563">
        <f t="shared" ref="AQ58:AQ64" si="84">+O58</f>
        <v>4873.9474680692119</v>
      </c>
      <c r="AR58" s="563">
        <f t="shared" ref="AR58:AR64" si="85">+O58*J58</f>
        <v>662856.85565741279</v>
      </c>
    </row>
    <row r="59" spans="1:44" ht="10.5" customHeight="1" x14ac:dyDescent="0.35">
      <c r="A59" s="412" t="s">
        <v>106</v>
      </c>
      <c r="B59" s="412" t="s">
        <v>25</v>
      </c>
      <c r="C59" s="412" t="s">
        <v>106</v>
      </c>
      <c r="D59" s="412" t="s">
        <v>106</v>
      </c>
      <c r="F59" s="434">
        <v>5.0199999999999996</v>
      </c>
      <c r="G59" s="414" t="s">
        <v>4112</v>
      </c>
      <c r="H59" s="465" t="s">
        <v>4154</v>
      </c>
      <c r="I59" s="436" t="s">
        <v>988</v>
      </c>
      <c r="J59" s="439">
        <v>77</v>
      </c>
      <c r="K59" s="418">
        <v>13188.357601741691</v>
      </c>
      <c r="L59" s="418">
        <v>5871.5071173257529</v>
      </c>
      <c r="M59" s="418">
        <v>5871.5071173257529</v>
      </c>
      <c r="N59" s="418">
        <v>32.180227486448047</v>
      </c>
      <c r="O59" s="419">
        <f t="shared" si="67"/>
        <v>24963.552063879648</v>
      </c>
      <c r="P59" s="420">
        <f t="shared" si="68"/>
        <v>35836.060648897081</v>
      </c>
      <c r="Q59" s="403"/>
      <c r="R59" s="421">
        <f t="shared" si="69"/>
        <v>18932.353122903583</v>
      </c>
      <c r="S59" s="421">
        <f t="shared" si="69"/>
        <v>8428.7558364486995</v>
      </c>
      <c r="T59" s="421">
        <f t="shared" si="69"/>
        <v>8428.7558364486995</v>
      </c>
      <c r="U59" s="421">
        <f t="shared" si="69"/>
        <v>46.195853096093145</v>
      </c>
      <c r="V59" s="422">
        <f t="shared" si="70"/>
        <v>35836.060648897073</v>
      </c>
      <c r="W59" s="423"/>
      <c r="X59" s="421">
        <f t="shared" si="71"/>
        <v>1457791.190463576</v>
      </c>
      <c r="Y59" s="421">
        <f t="shared" si="72"/>
        <v>1301585.4795014989</v>
      </c>
      <c r="Z59" s="422">
        <f t="shared" si="73"/>
        <v>2759376.6699650749</v>
      </c>
      <c r="AA59" s="371"/>
      <c r="AB59" s="425" t="s">
        <v>4152</v>
      </c>
      <c r="AC59" s="427">
        <v>0</v>
      </c>
      <c r="AD59" s="427">
        <v>0</v>
      </c>
      <c r="AE59" s="428">
        <f t="shared" si="74"/>
        <v>0</v>
      </c>
      <c r="AF59" s="437" t="str">
        <f t="shared" si="75"/>
        <v>⚪</v>
      </c>
      <c r="AG59" s="430">
        <f t="shared" si="76"/>
        <v>0</v>
      </c>
      <c r="AH59" s="375">
        <f t="shared" si="77"/>
        <v>0</v>
      </c>
      <c r="AI59" s="431">
        <f t="shared" si="78"/>
        <v>0</v>
      </c>
      <c r="AJ59" s="375"/>
      <c r="AK59" s="430">
        <f t="shared" si="79"/>
        <v>0</v>
      </c>
      <c r="AL59" s="375">
        <f t="shared" si="80"/>
        <v>0</v>
      </c>
      <c r="AM59" s="432">
        <f t="shared" si="81"/>
        <v>0</v>
      </c>
      <c r="AN59" s="432">
        <f t="shared" si="82"/>
        <v>0</v>
      </c>
      <c r="AO59" s="433">
        <f t="shared" si="83"/>
        <v>0</v>
      </c>
      <c r="AQ59" s="563">
        <f t="shared" si="84"/>
        <v>24963.552063879648</v>
      </c>
      <c r="AR59" s="563">
        <f t="shared" si="85"/>
        <v>1922193.5089187329</v>
      </c>
    </row>
    <row r="60" spans="1:44" ht="10.5" customHeight="1" x14ac:dyDescent="0.35">
      <c r="A60" s="412" t="s">
        <v>106</v>
      </c>
      <c r="B60" s="412" t="s">
        <v>25</v>
      </c>
      <c r="C60" s="412" t="s">
        <v>25</v>
      </c>
      <c r="D60" s="412" t="s">
        <v>106</v>
      </c>
      <c r="F60" s="434">
        <v>5.03</v>
      </c>
      <c r="G60" s="414" t="s">
        <v>4112</v>
      </c>
      <c r="H60" s="435" t="s">
        <v>4155</v>
      </c>
      <c r="I60" s="436" t="s">
        <v>988</v>
      </c>
      <c r="J60" s="439">
        <v>107</v>
      </c>
      <c r="K60" s="418">
        <v>809.61503400000004</v>
      </c>
      <c r="L60" s="418">
        <v>0</v>
      </c>
      <c r="M60" s="418">
        <v>3938.2617666857382</v>
      </c>
      <c r="N60" s="418">
        <v>126.0706673834692</v>
      </c>
      <c r="O60" s="419">
        <f t="shared" si="67"/>
        <v>4873.9474680692074</v>
      </c>
      <c r="P60" s="420">
        <f t="shared" si="68"/>
        <v>6996.7237281905327</v>
      </c>
      <c r="Q60" s="403"/>
      <c r="R60" s="421">
        <f t="shared" si="69"/>
        <v>1162.2309752410222</v>
      </c>
      <c r="S60" s="421">
        <f t="shared" si="69"/>
        <v>0</v>
      </c>
      <c r="T60" s="421">
        <f t="shared" si="69"/>
        <v>5653.5138573644572</v>
      </c>
      <c r="U60" s="421">
        <f t="shared" si="69"/>
        <v>180.97889558505398</v>
      </c>
      <c r="V60" s="422">
        <f t="shared" si="70"/>
        <v>6996.7237281905327</v>
      </c>
      <c r="W60" s="423"/>
      <c r="X60" s="421">
        <f t="shared" si="71"/>
        <v>124358.71435078938</v>
      </c>
      <c r="Y60" s="421">
        <f t="shared" si="72"/>
        <v>624290.72456559772</v>
      </c>
      <c r="Z60" s="422">
        <f t="shared" si="73"/>
        <v>748649.43891638704</v>
      </c>
      <c r="AA60" s="371"/>
      <c r="AB60" s="425" t="s">
        <v>4152</v>
      </c>
      <c r="AC60" s="427">
        <v>0</v>
      </c>
      <c r="AD60" s="427">
        <v>0</v>
      </c>
      <c r="AE60" s="428">
        <f t="shared" si="74"/>
        <v>0</v>
      </c>
      <c r="AF60" s="437" t="str">
        <f t="shared" si="75"/>
        <v>⚪</v>
      </c>
      <c r="AG60" s="430">
        <f t="shared" si="76"/>
        <v>0</v>
      </c>
      <c r="AH60" s="375">
        <f t="shared" si="77"/>
        <v>0</v>
      </c>
      <c r="AI60" s="431">
        <f t="shared" si="78"/>
        <v>0</v>
      </c>
      <c r="AJ60" s="375"/>
      <c r="AK60" s="430">
        <f t="shared" si="79"/>
        <v>0</v>
      </c>
      <c r="AL60" s="375">
        <f t="shared" si="80"/>
        <v>0</v>
      </c>
      <c r="AM60" s="432">
        <f t="shared" si="81"/>
        <v>0</v>
      </c>
      <c r="AN60" s="432">
        <f t="shared" si="82"/>
        <v>0</v>
      </c>
      <c r="AO60" s="433">
        <f t="shared" si="83"/>
        <v>0</v>
      </c>
      <c r="AQ60" s="563">
        <f t="shared" si="84"/>
        <v>4873.9474680692074</v>
      </c>
      <c r="AR60" s="563">
        <f t="shared" si="85"/>
        <v>521512.37908340519</v>
      </c>
    </row>
    <row r="61" spans="1:44" ht="10.5" customHeight="1" x14ac:dyDescent="0.35">
      <c r="A61" s="412" t="s">
        <v>106</v>
      </c>
      <c r="B61" s="412" t="s">
        <v>25</v>
      </c>
      <c r="C61" s="412" t="s">
        <v>25</v>
      </c>
      <c r="D61" s="412" t="s">
        <v>25</v>
      </c>
      <c r="F61" s="434">
        <v>5.04</v>
      </c>
      <c r="G61" s="414" t="s">
        <v>4112</v>
      </c>
      <c r="H61" s="435" t="s">
        <v>4156</v>
      </c>
      <c r="I61" s="436" t="s">
        <v>988</v>
      </c>
      <c r="J61" s="439">
        <v>186</v>
      </c>
      <c r="K61" s="418">
        <v>3625.4</v>
      </c>
      <c r="L61" s="418">
        <v>0</v>
      </c>
      <c r="M61" s="418">
        <v>0</v>
      </c>
      <c r="N61" s="418">
        <v>0</v>
      </c>
      <c r="O61" s="419">
        <f t="shared" si="67"/>
        <v>3625.4</v>
      </c>
      <c r="P61" s="420">
        <f t="shared" si="68"/>
        <v>5204.3897416544287</v>
      </c>
      <c r="Q61" s="403"/>
      <c r="R61" s="421">
        <f t="shared" si="69"/>
        <v>5204.3897416544287</v>
      </c>
      <c r="S61" s="421">
        <f t="shared" si="69"/>
        <v>0</v>
      </c>
      <c r="T61" s="421">
        <f t="shared" si="69"/>
        <v>0</v>
      </c>
      <c r="U61" s="421">
        <f t="shared" si="69"/>
        <v>0</v>
      </c>
      <c r="V61" s="422">
        <f t="shared" si="70"/>
        <v>5204.3897416544287</v>
      </c>
      <c r="W61" s="423"/>
      <c r="X61" s="421">
        <f t="shared" si="71"/>
        <v>968016.49194772379</v>
      </c>
      <c r="Y61" s="421">
        <f t="shared" si="72"/>
        <v>0</v>
      </c>
      <c r="Z61" s="422">
        <f t="shared" si="73"/>
        <v>968016.49194772379</v>
      </c>
      <c r="AA61" s="371"/>
      <c r="AB61" s="425" t="s">
        <v>4152</v>
      </c>
      <c r="AC61" s="427">
        <v>0</v>
      </c>
      <c r="AD61" s="427">
        <v>0</v>
      </c>
      <c r="AE61" s="428">
        <f t="shared" si="74"/>
        <v>0</v>
      </c>
      <c r="AF61" s="437" t="str">
        <f t="shared" si="75"/>
        <v>⚪</v>
      </c>
      <c r="AG61" s="430">
        <f t="shared" si="76"/>
        <v>0</v>
      </c>
      <c r="AH61" s="375">
        <f t="shared" si="77"/>
        <v>0</v>
      </c>
      <c r="AI61" s="431">
        <f t="shared" si="78"/>
        <v>0</v>
      </c>
      <c r="AJ61" s="375"/>
      <c r="AK61" s="430">
        <f t="shared" si="79"/>
        <v>0</v>
      </c>
      <c r="AL61" s="375">
        <f t="shared" si="80"/>
        <v>0</v>
      </c>
      <c r="AM61" s="432">
        <f t="shared" si="81"/>
        <v>0</v>
      </c>
      <c r="AN61" s="432">
        <f t="shared" si="82"/>
        <v>0</v>
      </c>
      <c r="AO61" s="433">
        <f t="shared" si="83"/>
        <v>0</v>
      </c>
      <c r="AQ61" s="563">
        <f t="shared" si="84"/>
        <v>3625.4</v>
      </c>
      <c r="AR61" s="563">
        <f t="shared" si="85"/>
        <v>674324.4</v>
      </c>
    </row>
    <row r="62" spans="1:44" ht="10.5" customHeight="1" x14ac:dyDescent="0.35">
      <c r="A62" s="412" t="s">
        <v>106</v>
      </c>
      <c r="B62" s="412" t="s">
        <v>25</v>
      </c>
      <c r="C62" s="412" t="s">
        <v>25</v>
      </c>
      <c r="D62" s="412" t="s">
        <v>106</v>
      </c>
      <c r="F62" s="434">
        <v>5.05</v>
      </c>
      <c r="G62" s="414" t="s">
        <v>4112</v>
      </c>
      <c r="H62" s="435" t="s">
        <v>4157</v>
      </c>
      <c r="I62" s="436" t="s">
        <v>988</v>
      </c>
      <c r="J62" s="439">
        <v>186</v>
      </c>
      <c r="K62" s="418">
        <v>1256.612528555554</v>
      </c>
      <c r="L62" s="418">
        <v>0</v>
      </c>
      <c r="M62" s="418">
        <v>1834.845974164301</v>
      </c>
      <c r="N62" s="418">
        <v>10.056321089515</v>
      </c>
      <c r="O62" s="419">
        <f t="shared" si="67"/>
        <v>3101.5148238093702</v>
      </c>
      <c r="P62" s="420">
        <f t="shared" si="68"/>
        <v>4452.3340686883184</v>
      </c>
      <c r="Q62" s="403"/>
      <c r="R62" s="421">
        <f t="shared" si="69"/>
        <v>1803.9116657055658</v>
      </c>
      <c r="S62" s="421">
        <f t="shared" si="69"/>
        <v>0</v>
      </c>
      <c r="T62" s="421">
        <f t="shared" si="69"/>
        <v>2633.986198890223</v>
      </c>
      <c r="U62" s="421">
        <f t="shared" si="69"/>
        <v>14.436204092529088</v>
      </c>
      <c r="V62" s="422">
        <f t="shared" si="70"/>
        <v>4452.3340686883175</v>
      </c>
      <c r="W62" s="423"/>
      <c r="X62" s="421">
        <f t="shared" si="71"/>
        <v>335527.56982123526</v>
      </c>
      <c r="Y62" s="421">
        <f t="shared" si="72"/>
        <v>492606.56695479178</v>
      </c>
      <c r="Z62" s="422">
        <f t="shared" si="73"/>
        <v>828134.13677602704</v>
      </c>
      <c r="AA62" s="371"/>
      <c r="AB62" s="425" t="s">
        <v>4152</v>
      </c>
      <c r="AC62" s="427">
        <v>1</v>
      </c>
      <c r="AD62" s="427">
        <v>0</v>
      </c>
      <c r="AE62" s="428">
        <f t="shared" si="74"/>
        <v>1</v>
      </c>
      <c r="AF62" s="437" t="str">
        <f t="shared" si="75"/>
        <v>🔴</v>
      </c>
      <c r="AG62" s="430">
        <f t="shared" si="76"/>
        <v>828134.13677602704</v>
      </c>
      <c r="AH62" s="375">
        <f t="shared" si="77"/>
        <v>0</v>
      </c>
      <c r="AI62" s="431">
        <f t="shared" si="78"/>
        <v>828134.13677602704</v>
      </c>
      <c r="AJ62" s="375"/>
      <c r="AK62" s="430">
        <f t="shared" si="79"/>
        <v>335527.56982123526</v>
      </c>
      <c r="AL62" s="375">
        <f t="shared" si="80"/>
        <v>0</v>
      </c>
      <c r="AM62" s="432">
        <f t="shared" si="81"/>
        <v>489921.43299358146</v>
      </c>
      <c r="AN62" s="432">
        <f t="shared" si="82"/>
        <v>2685.1339612104102</v>
      </c>
      <c r="AO62" s="433">
        <f t="shared" si="83"/>
        <v>828134.13677602715</v>
      </c>
      <c r="AQ62" s="563">
        <f t="shared" si="84"/>
        <v>3101.5148238093702</v>
      </c>
      <c r="AR62" s="563">
        <f t="shared" si="85"/>
        <v>576881.75722854282</v>
      </c>
    </row>
    <row r="63" spans="1:44" ht="10.5" customHeight="1" x14ac:dyDescent="0.35">
      <c r="A63" s="412" t="s">
        <v>106</v>
      </c>
      <c r="B63" s="412" t="s">
        <v>25</v>
      </c>
      <c r="C63" s="412" t="s">
        <v>106</v>
      </c>
      <c r="D63" s="412" t="s">
        <v>106</v>
      </c>
      <c r="F63" s="434">
        <v>5.0599999999999996</v>
      </c>
      <c r="G63" s="414" t="s">
        <v>4112</v>
      </c>
      <c r="H63" s="435" t="s">
        <v>4158</v>
      </c>
      <c r="I63" s="414" t="s">
        <v>988</v>
      </c>
      <c r="J63" s="439">
        <v>390</v>
      </c>
      <c r="K63" s="418">
        <v>11722.98453488154</v>
      </c>
      <c r="L63" s="418">
        <v>3522.904270395461</v>
      </c>
      <c r="M63" s="418">
        <v>5871.5071173257693</v>
      </c>
      <c r="N63" s="418">
        <v>32.180227486447947</v>
      </c>
      <c r="O63" s="419">
        <f t="shared" si="67"/>
        <v>21149.576150089222</v>
      </c>
      <c r="P63" s="420">
        <f t="shared" si="68"/>
        <v>30360.963522883962</v>
      </c>
      <c r="Q63" s="403"/>
      <c r="R63" s="421">
        <f t="shared" si="69"/>
        <v>16828.758331469908</v>
      </c>
      <c r="S63" s="421">
        <f t="shared" si="69"/>
        <v>5057.2535018692324</v>
      </c>
      <c r="T63" s="421">
        <f t="shared" si="69"/>
        <v>8428.7558364487231</v>
      </c>
      <c r="U63" s="421">
        <f t="shared" si="69"/>
        <v>46.195853096093003</v>
      </c>
      <c r="V63" s="422">
        <f t="shared" si="70"/>
        <v>30360.963522883958</v>
      </c>
      <c r="W63" s="423"/>
      <c r="X63" s="421">
        <f t="shared" si="71"/>
        <v>6563215.7492732638</v>
      </c>
      <c r="Y63" s="421">
        <f t="shared" si="72"/>
        <v>5277560.0246514799</v>
      </c>
      <c r="Z63" s="422">
        <f t="shared" si="73"/>
        <v>11840775.773924744</v>
      </c>
      <c r="AA63" s="371"/>
      <c r="AB63" s="425" t="s">
        <v>4152</v>
      </c>
      <c r="AC63" s="427">
        <v>0</v>
      </c>
      <c r="AD63" s="427">
        <v>0</v>
      </c>
      <c r="AE63" s="428">
        <f t="shared" si="74"/>
        <v>0</v>
      </c>
      <c r="AF63" s="437" t="str">
        <f t="shared" si="75"/>
        <v>⚪</v>
      </c>
      <c r="AG63" s="430">
        <f t="shared" si="76"/>
        <v>0</v>
      </c>
      <c r="AH63" s="375">
        <f t="shared" si="77"/>
        <v>0</v>
      </c>
      <c r="AI63" s="431">
        <f t="shared" si="78"/>
        <v>0</v>
      </c>
      <c r="AJ63" s="375"/>
      <c r="AK63" s="430">
        <f t="shared" si="79"/>
        <v>0</v>
      </c>
      <c r="AL63" s="375">
        <f t="shared" si="80"/>
        <v>0</v>
      </c>
      <c r="AM63" s="432">
        <f t="shared" si="81"/>
        <v>0</v>
      </c>
      <c r="AN63" s="432">
        <f t="shared" si="82"/>
        <v>0</v>
      </c>
      <c r="AO63" s="433">
        <f t="shared" si="83"/>
        <v>0</v>
      </c>
      <c r="AQ63" s="563">
        <f t="shared" si="84"/>
        <v>21149.576150089222</v>
      </c>
      <c r="AR63" s="563">
        <f t="shared" si="85"/>
        <v>8248334.6985347969</v>
      </c>
    </row>
    <row r="64" spans="1:44" ht="10.5" customHeight="1" x14ac:dyDescent="0.35">
      <c r="A64" s="412" t="s">
        <v>106</v>
      </c>
      <c r="B64" s="412" t="s">
        <v>25</v>
      </c>
      <c r="C64" s="412" t="s">
        <v>106</v>
      </c>
      <c r="D64" s="412" t="s">
        <v>25</v>
      </c>
      <c r="F64" s="434">
        <v>5.07</v>
      </c>
      <c r="G64" s="414" t="s">
        <v>4112</v>
      </c>
      <c r="H64" s="435" t="s">
        <v>4159</v>
      </c>
      <c r="I64" s="414" t="s">
        <v>98</v>
      </c>
      <c r="J64" s="439">
        <v>1</v>
      </c>
      <c r="K64" s="418">
        <v>0</v>
      </c>
      <c r="L64" s="418">
        <v>1829911.58844288</v>
      </c>
      <c r="M64" s="418">
        <v>0</v>
      </c>
      <c r="N64" s="418">
        <v>0</v>
      </c>
      <c r="O64" s="419">
        <f t="shared" si="67"/>
        <v>1829911.58844288</v>
      </c>
      <c r="P64" s="420">
        <f t="shared" si="68"/>
        <v>2626902.7139147916</v>
      </c>
      <c r="Q64" s="403"/>
      <c r="R64" s="421">
        <f t="shared" si="69"/>
        <v>0</v>
      </c>
      <c r="S64" s="421">
        <f t="shared" si="69"/>
        <v>2626902.7139147916</v>
      </c>
      <c r="T64" s="421">
        <f t="shared" si="69"/>
        <v>0</v>
      </c>
      <c r="U64" s="421">
        <f t="shared" si="69"/>
        <v>0</v>
      </c>
      <c r="V64" s="422">
        <f t="shared" si="70"/>
        <v>2626902.7139147916</v>
      </c>
      <c r="W64" s="423"/>
      <c r="X64" s="421">
        <f t="shared" si="71"/>
        <v>0</v>
      </c>
      <c r="Y64" s="421">
        <f t="shared" si="72"/>
        <v>2626902.7139147916</v>
      </c>
      <c r="Z64" s="422">
        <f t="shared" si="73"/>
        <v>2626902.7139147916</v>
      </c>
      <c r="AA64" s="371"/>
      <c r="AB64" s="425" t="s">
        <v>4152</v>
      </c>
      <c r="AC64" s="427">
        <v>0</v>
      </c>
      <c r="AD64" s="427">
        <v>0</v>
      </c>
      <c r="AE64" s="428">
        <f t="shared" si="74"/>
        <v>0</v>
      </c>
      <c r="AF64" s="437" t="str">
        <f t="shared" si="75"/>
        <v>⚪</v>
      </c>
      <c r="AG64" s="430">
        <f t="shared" si="76"/>
        <v>0</v>
      </c>
      <c r="AH64" s="375">
        <f t="shared" si="77"/>
        <v>0</v>
      </c>
      <c r="AI64" s="431">
        <f t="shared" si="78"/>
        <v>0</v>
      </c>
      <c r="AJ64" s="375"/>
      <c r="AK64" s="430">
        <f t="shared" si="79"/>
        <v>0</v>
      </c>
      <c r="AL64" s="375">
        <f t="shared" si="80"/>
        <v>0</v>
      </c>
      <c r="AM64" s="432">
        <f t="shared" si="81"/>
        <v>0</v>
      </c>
      <c r="AN64" s="432">
        <f t="shared" si="82"/>
        <v>0</v>
      </c>
      <c r="AO64" s="433">
        <f t="shared" si="83"/>
        <v>0</v>
      </c>
      <c r="AQ64" s="563">
        <f t="shared" si="84"/>
        <v>1829911.58844288</v>
      </c>
      <c r="AR64" s="563">
        <f t="shared" si="85"/>
        <v>1829911.58844288</v>
      </c>
    </row>
    <row r="65" spans="1:44" ht="10.5" customHeight="1" x14ac:dyDescent="0.25">
      <c r="A65" s="412" t="s">
        <v>25</v>
      </c>
      <c r="B65" s="412" t="s">
        <v>25</v>
      </c>
      <c r="C65" s="412" t="s">
        <v>25</v>
      </c>
      <c r="D65" s="412" t="s">
        <v>25</v>
      </c>
      <c r="F65" s="396">
        <v>6</v>
      </c>
      <c r="G65" s="397"/>
      <c r="H65" s="398" t="s">
        <v>4160</v>
      </c>
      <c r="I65" s="399"/>
      <c r="J65" s="400"/>
      <c r="K65" s="400"/>
      <c r="L65" s="400"/>
      <c r="M65" s="400"/>
      <c r="N65" s="400"/>
      <c r="O65" s="401"/>
      <c r="P65" s="402"/>
      <c r="Q65" s="403"/>
      <c r="R65" s="400"/>
      <c r="S65" s="400"/>
      <c r="T65" s="400"/>
      <c r="U65" s="400"/>
      <c r="V65" s="402"/>
      <c r="X65" s="400"/>
      <c r="Y65" s="400"/>
      <c r="Z65" s="402"/>
      <c r="AA65" s="404">
        <f>+Z66</f>
        <v>1855757.4252671902</v>
      </c>
      <c r="AB65" s="405" t="s">
        <v>4160</v>
      </c>
      <c r="AC65" s="406"/>
      <c r="AD65" s="440"/>
      <c r="AE65" s="441"/>
      <c r="AF65" s="441"/>
      <c r="AG65" s="408"/>
      <c r="AH65" s="409"/>
      <c r="AI65" s="410"/>
      <c r="AJ65" s="411"/>
      <c r="AK65" s="408"/>
      <c r="AL65" s="409"/>
      <c r="AM65" s="442"/>
      <c r="AN65" s="442"/>
      <c r="AO65" s="410"/>
    </row>
    <row r="66" spans="1:44" ht="10.5" customHeight="1" x14ac:dyDescent="0.35">
      <c r="A66" s="412" t="s">
        <v>106</v>
      </c>
      <c r="B66" s="412" t="s">
        <v>25</v>
      </c>
      <c r="C66" s="412" t="s">
        <v>25</v>
      </c>
      <c r="D66" s="412" t="s">
        <v>106</v>
      </c>
      <c r="F66" s="414">
        <v>6.02</v>
      </c>
      <c r="G66" s="414" t="s">
        <v>4112</v>
      </c>
      <c r="H66" s="459" t="s">
        <v>4161</v>
      </c>
      <c r="I66" s="450" t="s">
        <v>744</v>
      </c>
      <c r="J66" s="466">
        <v>55</v>
      </c>
      <c r="K66" s="418">
        <v>14897.520661157019</v>
      </c>
      <c r="L66" s="418">
        <v>0</v>
      </c>
      <c r="M66" s="418">
        <v>8259.2819341714912</v>
      </c>
      <c r="N66" s="418">
        <v>347.35203892992729</v>
      </c>
      <c r="O66" s="419">
        <f>+SUM(K66:N66)</f>
        <v>23504.154634258437</v>
      </c>
      <c r="P66" s="420">
        <f>+O66*$P$2</f>
        <v>33741.044095767087</v>
      </c>
      <c r="Q66" s="403"/>
      <c r="R66" s="421">
        <f>+K66*$P$2</f>
        <v>21385.917058810199</v>
      </c>
      <c r="S66" s="421">
        <f>+L66*$P$2</f>
        <v>0</v>
      </c>
      <c r="T66" s="421">
        <f>+M66*$P$2</f>
        <v>11856.490917315015</v>
      </c>
      <c r="U66" s="421">
        <f>+N66*$P$2</f>
        <v>498.63611964187766</v>
      </c>
      <c r="V66" s="422">
        <f>+SUM(R66:U66)</f>
        <v>33741.044095767094</v>
      </c>
      <c r="W66" s="423"/>
      <c r="X66" s="421">
        <f>+R66*J66</f>
        <v>1176225.4382345609</v>
      </c>
      <c r="Y66" s="421">
        <f>+Z66-X66</f>
        <v>679531.98703262932</v>
      </c>
      <c r="Z66" s="422">
        <f>+V66*J66</f>
        <v>1855757.4252671902</v>
      </c>
      <c r="AA66" s="424"/>
      <c r="AB66" s="425" t="s">
        <v>4160</v>
      </c>
      <c r="AC66" s="427">
        <v>0</v>
      </c>
      <c r="AD66" s="427">
        <v>0</v>
      </c>
      <c r="AE66" s="428">
        <f>AC66+AD66</f>
        <v>0</v>
      </c>
      <c r="AF66" s="437" t="str">
        <f>IF($AE66=1,"🔴","⚪")</f>
        <v>⚪</v>
      </c>
      <c r="AG66" s="430">
        <f>AC66*Z66</f>
        <v>0</v>
      </c>
      <c r="AH66" s="375">
        <f>AD66*Z66</f>
        <v>0</v>
      </c>
      <c r="AI66" s="431">
        <f>AE66*Z66</f>
        <v>0</v>
      </c>
      <c r="AJ66" s="375"/>
      <c r="AK66" s="430">
        <f>AE66*X66</f>
        <v>0</v>
      </c>
      <c r="AL66" s="375">
        <f>AE66*S66*J66</f>
        <v>0</v>
      </c>
      <c r="AM66" s="432">
        <f>AE66*T66*J66</f>
        <v>0</v>
      </c>
      <c r="AN66" s="432">
        <f>AE66*U66*J66</f>
        <v>0</v>
      </c>
      <c r="AO66" s="433">
        <f>AK66+AL66+AM66+AN66</f>
        <v>0</v>
      </c>
      <c r="AQ66" s="563">
        <f>+O66</f>
        <v>23504.154634258437</v>
      </c>
      <c r="AR66" s="563">
        <f>+O66*J66</f>
        <v>1292728.5048842141</v>
      </c>
    </row>
    <row r="67" spans="1:44" ht="10.5" customHeight="1" x14ac:dyDescent="0.25">
      <c r="A67" s="412" t="s">
        <v>25</v>
      </c>
      <c r="B67" s="412" t="s">
        <v>25</v>
      </c>
      <c r="C67" s="412" t="s">
        <v>25</v>
      </c>
      <c r="D67" s="412" t="s">
        <v>25</v>
      </c>
      <c r="F67" s="396">
        <v>7</v>
      </c>
      <c r="G67" s="397"/>
      <c r="H67" s="398" t="s">
        <v>4162</v>
      </c>
      <c r="I67" s="399"/>
      <c r="J67" s="400"/>
      <c r="K67" s="400"/>
      <c r="L67" s="400"/>
      <c r="M67" s="400"/>
      <c r="N67" s="400"/>
      <c r="O67" s="401"/>
      <c r="P67" s="402"/>
      <c r="Q67" s="403"/>
      <c r="R67" s="400"/>
      <c r="S67" s="400"/>
      <c r="T67" s="400"/>
      <c r="U67" s="400"/>
      <c r="V67" s="402"/>
      <c r="X67" s="400"/>
      <c r="Y67" s="400"/>
      <c r="Z67" s="402"/>
      <c r="AA67" s="404">
        <f>+SUM(Z68:Z73)</f>
        <v>99444243.673145652</v>
      </c>
      <c r="AB67" s="405" t="s">
        <v>4162</v>
      </c>
      <c r="AC67" s="406"/>
      <c r="AD67" s="440"/>
      <c r="AE67" s="441"/>
      <c r="AF67" s="441"/>
      <c r="AG67" s="408"/>
      <c r="AH67" s="409"/>
      <c r="AI67" s="410"/>
      <c r="AJ67" s="411"/>
      <c r="AK67" s="408"/>
      <c r="AL67" s="409"/>
      <c r="AM67" s="442"/>
      <c r="AN67" s="442"/>
      <c r="AO67" s="410"/>
    </row>
    <row r="68" spans="1:44" ht="10.5" customHeight="1" x14ac:dyDescent="0.35">
      <c r="A68" s="412" t="s">
        <v>106</v>
      </c>
      <c r="B68" s="412" t="s">
        <v>25</v>
      </c>
      <c r="C68" s="412" t="s">
        <v>25</v>
      </c>
      <c r="D68" s="412" t="s">
        <v>106</v>
      </c>
      <c r="F68" s="413">
        <v>7.01</v>
      </c>
      <c r="G68" s="460" t="s">
        <v>4112</v>
      </c>
      <c r="H68" s="467" t="s">
        <v>4163</v>
      </c>
      <c r="I68" s="416" t="s">
        <v>988</v>
      </c>
      <c r="J68" s="461">
        <v>879</v>
      </c>
      <c r="K68" s="418">
        <v>4009.2266140000002</v>
      </c>
      <c r="L68" s="418">
        <v>0</v>
      </c>
      <c r="M68" s="418">
        <v>10647.25614108827</v>
      </c>
      <c r="N68" s="418">
        <v>306.9546684119249</v>
      </c>
      <c r="O68" s="419">
        <f t="shared" ref="O68:O73" si="86">+SUM(K68:N68)</f>
        <v>14963.437423500194</v>
      </c>
      <c r="P68" s="420">
        <f t="shared" ref="P68:P73" si="87">+O68*$P$2</f>
        <v>21480.542899197986</v>
      </c>
      <c r="Q68" s="403"/>
      <c r="R68" s="421">
        <f t="shared" ref="R68:U73" si="88">+K68*$P$2</f>
        <v>5755.3864020161973</v>
      </c>
      <c r="S68" s="421">
        <f t="shared" si="88"/>
        <v>0</v>
      </c>
      <c r="T68" s="421">
        <f t="shared" si="88"/>
        <v>15284.512229670356</v>
      </c>
      <c r="U68" s="421">
        <f t="shared" si="88"/>
        <v>440.6442675114356</v>
      </c>
      <c r="V68" s="422">
        <f t="shared" ref="V68:V73" si="89">+SUM(R68:U68)</f>
        <v>21480.542899197986</v>
      </c>
      <c r="W68" s="423"/>
      <c r="X68" s="421">
        <f t="shared" ref="X68:X73" si="90">+R68*J68</f>
        <v>5058984.6473722374</v>
      </c>
      <c r="Y68" s="421">
        <f t="shared" ref="Y68:Y73" si="91">+Z68-X68</f>
        <v>13822412.561022792</v>
      </c>
      <c r="Z68" s="422">
        <f t="shared" ref="Z68:Z73" si="92">+V68*J68</f>
        <v>18881397.20839503</v>
      </c>
      <c r="AA68" s="371"/>
      <c r="AB68" s="425" t="s">
        <v>4162</v>
      </c>
      <c r="AC68" s="427">
        <v>0</v>
      </c>
      <c r="AD68" s="427">
        <v>0</v>
      </c>
      <c r="AE68" s="428">
        <f t="shared" ref="AE68:AE73" si="93">AC68+AD68</f>
        <v>0</v>
      </c>
      <c r="AF68" s="437" t="str">
        <f t="shared" ref="AF68:AF73" si="94">IF($AE68=1,"🔴","⚪")</f>
        <v>⚪</v>
      </c>
      <c r="AG68" s="430">
        <f t="shared" ref="AG68:AG73" si="95">AC68*Z68</f>
        <v>0</v>
      </c>
      <c r="AH68" s="375">
        <f t="shared" ref="AH68:AH73" si="96">AD68*Z68</f>
        <v>0</v>
      </c>
      <c r="AI68" s="431">
        <f t="shared" ref="AI68:AI73" si="97">AE68*Z68</f>
        <v>0</v>
      </c>
      <c r="AJ68" s="375"/>
      <c r="AK68" s="430">
        <f t="shared" ref="AK68:AK73" si="98">AE68*X68</f>
        <v>0</v>
      </c>
      <c r="AL68" s="375">
        <f t="shared" ref="AL68:AL73" si="99">AE68*S68*J68</f>
        <v>0</v>
      </c>
      <c r="AM68" s="432">
        <f t="shared" ref="AM68:AM73" si="100">AE68*T68*J68</f>
        <v>0</v>
      </c>
      <c r="AN68" s="432">
        <f t="shared" ref="AN68:AN73" si="101">AE68*U68*J68</f>
        <v>0</v>
      </c>
      <c r="AO68" s="433">
        <f t="shared" ref="AO68:AO73" si="102">AK68+AL68+AM68+AN68</f>
        <v>0</v>
      </c>
      <c r="AQ68" s="563">
        <f t="shared" ref="AQ68:AQ73" si="103">+O68</f>
        <v>14963.437423500194</v>
      </c>
      <c r="AR68" s="563">
        <f t="shared" ref="AR68:AR73" si="104">+O68*J68</f>
        <v>13152861.49525667</v>
      </c>
    </row>
    <row r="69" spans="1:44" ht="10.5" customHeight="1" x14ac:dyDescent="0.35">
      <c r="A69" s="412" t="s">
        <v>106</v>
      </c>
      <c r="B69" s="412" t="s">
        <v>25</v>
      </c>
      <c r="C69" s="412" t="s">
        <v>25</v>
      </c>
      <c r="D69" s="412" t="s">
        <v>106</v>
      </c>
      <c r="F69" s="434">
        <v>7.02</v>
      </c>
      <c r="G69" s="414" t="s">
        <v>4112</v>
      </c>
      <c r="H69" s="468" t="s">
        <v>4164</v>
      </c>
      <c r="I69" s="436" t="s">
        <v>988</v>
      </c>
      <c r="J69" s="439">
        <v>716</v>
      </c>
      <c r="K69" s="418">
        <v>4009.2266140000002</v>
      </c>
      <c r="L69" s="418">
        <v>0</v>
      </c>
      <c r="M69" s="418">
        <v>15305.430702814379</v>
      </c>
      <c r="N69" s="418">
        <v>769.31526348917737</v>
      </c>
      <c r="O69" s="419">
        <f t="shared" si="86"/>
        <v>20083.972580303558</v>
      </c>
      <c r="P69" s="420">
        <f t="shared" si="87"/>
        <v>28831.25196353524</v>
      </c>
      <c r="Q69" s="403"/>
      <c r="R69" s="421">
        <f t="shared" si="88"/>
        <v>5755.3864020161973</v>
      </c>
      <c r="S69" s="421">
        <f t="shared" si="88"/>
        <v>0</v>
      </c>
      <c r="T69" s="421">
        <f t="shared" si="88"/>
        <v>21971.486330151125</v>
      </c>
      <c r="U69" s="421">
        <f t="shared" si="88"/>
        <v>1104.3792313679176</v>
      </c>
      <c r="V69" s="422">
        <f t="shared" si="89"/>
        <v>28831.25196353524</v>
      </c>
      <c r="W69" s="423"/>
      <c r="X69" s="421">
        <f t="shared" si="90"/>
        <v>4120856.6638435973</v>
      </c>
      <c r="Y69" s="421">
        <f t="shared" si="91"/>
        <v>16522319.742047634</v>
      </c>
      <c r="Z69" s="422">
        <f t="shared" si="92"/>
        <v>20643176.405891232</v>
      </c>
      <c r="AA69" s="371"/>
      <c r="AB69" s="425" t="s">
        <v>4162</v>
      </c>
      <c r="AC69" s="427">
        <v>0.4</v>
      </c>
      <c r="AD69" s="427">
        <v>0</v>
      </c>
      <c r="AE69" s="428">
        <f t="shared" si="93"/>
        <v>0.4</v>
      </c>
      <c r="AF69" s="437" t="str">
        <f t="shared" si="94"/>
        <v>⚪</v>
      </c>
      <c r="AG69" s="430">
        <f t="shared" si="95"/>
        <v>8257270.5623564934</v>
      </c>
      <c r="AH69" s="375">
        <f t="shared" si="96"/>
        <v>0</v>
      </c>
      <c r="AI69" s="431">
        <f t="shared" si="97"/>
        <v>8257270.5623564934</v>
      </c>
      <c r="AJ69" s="375"/>
      <c r="AK69" s="430">
        <f t="shared" si="98"/>
        <v>1648342.6655374391</v>
      </c>
      <c r="AL69" s="375">
        <f t="shared" si="99"/>
        <v>0</v>
      </c>
      <c r="AM69" s="432">
        <f t="shared" si="100"/>
        <v>6292633.6849552821</v>
      </c>
      <c r="AN69" s="432">
        <f t="shared" si="101"/>
        <v>316294.2118637716</v>
      </c>
      <c r="AO69" s="433">
        <f t="shared" si="102"/>
        <v>8257270.5623564934</v>
      </c>
      <c r="AQ69" s="563">
        <f t="shared" si="103"/>
        <v>20083.972580303558</v>
      </c>
      <c r="AR69" s="563">
        <f t="shared" si="104"/>
        <v>14380124.367497347</v>
      </c>
    </row>
    <row r="70" spans="1:44" ht="10.5" customHeight="1" x14ac:dyDescent="0.35">
      <c r="A70" s="412" t="s">
        <v>4165</v>
      </c>
      <c r="B70" s="412" t="s">
        <v>25</v>
      </c>
      <c r="C70" s="412" t="s">
        <v>4165</v>
      </c>
      <c r="D70" s="412" t="s">
        <v>25</v>
      </c>
      <c r="F70" s="434">
        <v>7.03</v>
      </c>
      <c r="G70" s="414" t="s">
        <v>4112</v>
      </c>
      <c r="H70" s="435" t="s">
        <v>4166</v>
      </c>
      <c r="I70" s="436" t="s">
        <v>988</v>
      </c>
      <c r="J70" s="439">
        <v>1439</v>
      </c>
      <c r="K70" s="418">
        <v>5324.1714662960394</v>
      </c>
      <c r="L70" s="418">
        <v>11651.218312085961</v>
      </c>
      <c r="M70" s="418">
        <v>0</v>
      </c>
      <c r="N70" s="418">
        <v>254.63084667572971</v>
      </c>
      <c r="O70" s="419">
        <f t="shared" si="86"/>
        <v>17230.020625057728</v>
      </c>
      <c r="P70" s="420">
        <f t="shared" si="87"/>
        <v>24734.303136080063</v>
      </c>
      <c r="Q70" s="403"/>
      <c r="R70" s="421">
        <f t="shared" si="88"/>
        <v>7643.0361786286549</v>
      </c>
      <c r="S70" s="421">
        <f t="shared" si="88"/>
        <v>16725.735384011805</v>
      </c>
      <c r="T70" s="421">
        <f t="shared" si="88"/>
        <v>0</v>
      </c>
      <c r="U70" s="421">
        <f t="shared" si="88"/>
        <v>365.53157343960652</v>
      </c>
      <c r="V70" s="422">
        <f t="shared" si="89"/>
        <v>24734.303136080067</v>
      </c>
      <c r="W70" s="423"/>
      <c r="X70" s="421">
        <f t="shared" si="90"/>
        <v>10998329.061046634</v>
      </c>
      <c r="Y70" s="421">
        <f t="shared" si="91"/>
        <v>24594333.151772585</v>
      </c>
      <c r="Z70" s="422">
        <f t="shared" si="92"/>
        <v>35592662.212819219</v>
      </c>
      <c r="AA70" s="371"/>
      <c r="AB70" s="425" t="s">
        <v>4162</v>
      </c>
      <c r="AC70" s="427">
        <v>0.1</v>
      </c>
      <c r="AD70" s="427">
        <v>0</v>
      </c>
      <c r="AE70" s="428">
        <f t="shared" si="93"/>
        <v>0.1</v>
      </c>
      <c r="AF70" s="437" t="str">
        <f t="shared" si="94"/>
        <v>⚪</v>
      </c>
      <c r="AG70" s="430">
        <f t="shared" si="95"/>
        <v>3559266.221281922</v>
      </c>
      <c r="AH70" s="375">
        <f t="shared" si="96"/>
        <v>0</v>
      </c>
      <c r="AI70" s="431">
        <f t="shared" si="97"/>
        <v>3559266.221281922</v>
      </c>
      <c r="AJ70" s="375"/>
      <c r="AK70" s="430">
        <f t="shared" si="98"/>
        <v>1099832.9061046634</v>
      </c>
      <c r="AL70" s="375">
        <f t="shared" si="99"/>
        <v>2406833.3217592989</v>
      </c>
      <c r="AM70" s="432">
        <f t="shared" si="100"/>
        <v>0</v>
      </c>
      <c r="AN70" s="432">
        <f t="shared" si="101"/>
        <v>52599.993417959384</v>
      </c>
      <c r="AO70" s="433">
        <f t="shared" si="102"/>
        <v>3559266.2212819215</v>
      </c>
      <c r="AQ70" s="563">
        <f t="shared" si="103"/>
        <v>17230.020625057728</v>
      </c>
      <c r="AR70" s="563">
        <f t="shared" si="104"/>
        <v>24793999.679458071</v>
      </c>
    </row>
    <row r="71" spans="1:44" ht="10.5" customHeight="1" x14ac:dyDescent="0.35">
      <c r="A71" s="412" t="s">
        <v>4165</v>
      </c>
      <c r="B71" s="412" t="s">
        <v>25</v>
      </c>
      <c r="C71" s="412" t="s">
        <v>4165</v>
      </c>
      <c r="D71" s="412" t="s">
        <v>25</v>
      </c>
      <c r="F71" s="414">
        <v>7.04</v>
      </c>
      <c r="G71" s="414" t="s">
        <v>4112</v>
      </c>
      <c r="H71" s="469" t="s">
        <v>2128</v>
      </c>
      <c r="I71" s="436" t="s">
        <v>744</v>
      </c>
      <c r="J71" s="439">
        <v>347</v>
      </c>
      <c r="K71" s="418">
        <v>0</v>
      </c>
      <c r="L71" s="418">
        <v>12499.47315710669</v>
      </c>
      <c r="M71" s="418">
        <v>0</v>
      </c>
      <c r="N71" s="418">
        <v>187.49209735660031</v>
      </c>
      <c r="O71" s="419">
        <f t="shared" si="86"/>
        <v>12686.96525446329</v>
      </c>
      <c r="P71" s="420">
        <f t="shared" si="87"/>
        <v>18212.586700241329</v>
      </c>
      <c r="Q71" s="403"/>
      <c r="R71" s="421">
        <f t="shared" si="88"/>
        <v>0</v>
      </c>
      <c r="S71" s="421">
        <f t="shared" si="88"/>
        <v>17943.435172651556</v>
      </c>
      <c r="T71" s="421">
        <f t="shared" si="88"/>
        <v>0</v>
      </c>
      <c r="U71" s="421">
        <f t="shared" si="88"/>
        <v>269.15152758977331</v>
      </c>
      <c r="V71" s="422">
        <f t="shared" si="89"/>
        <v>18212.586700241329</v>
      </c>
      <c r="W71" s="423"/>
      <c r="X71" s="421">
        <f t="shared" si="90"/>
        <v>0</v>
      </c>
      <c r="Y71" s="421">
        <f t="shared" si="91"/>
        <v>6319767.5849837409</v>
      </c>
      <c r="Z71" s="422">
        <f t="shared" si="92"/>
        <v>6319767.5849837409</v>
      </c>
      <c r="AA71" s="371"/>
      <c r="AB71" s="425" t="s">
        <v>4162</v>
      </c>
      <c r="AC71" s="427">
        <v>0.1</v>
      </c>
      <c r="AD71" s="427">
        <v>0</v>
      </c>
      <c r="AE71" s="428">
        <f t="shared" si="93"/>
        <v>0.1</v>
      </c>
      <c r="AF71" s="437" t="str">
        <f t="shared" si="94"/>
        <v>⚪</v>
      </c>
      <c r="AG71" s="430">
        <f t="shared" si="95"/>
        <v>631976.75849837414</v>
      </c>
      <c r="AH71" s="375">
        <f t="shared" si="96"/>
        <v>0</v>
      </c>
      <c r="AI71" s="431">
        <f t="shared" si="97"/>
        <v>631976.75849837414</v>
      </c>
      <c r="AJ71" s="375"/>
      <c r="AK71" s="430">
        <f t="shared" si="98"/>
        <v>0</v>
      </c>
      <c r="AL71" s="375">
        <f t="shared" si="99"/>
        <v>622637.20049100905</v>
      </c>
      <c r="AM71" s="432">
        <f t="shared" si="100"/>
        <v>0</v>
      </c>
      <c r="AN71" s="432">
        <f t="shared" si="101"/>
        <v>9339.5580073651345</v>
      </c>
      <c r="AO71" s="433">
        <f t="shared" si="102"/>
        <v>631976.75849837414</v>
      </c>
      <c r="AQ71" s="563">
        <f t="shared" si="103"/>
        <v>12686.96525446329</v>
      </c>
      <c r="AR71" s="563">
        <f t="shared" si="104"/>
        <v>4402376.9432987617</v>
      </c>
    </row>
    <row r="72" spans="1:44" ht="10.5" customHeight="1" x14ac:dyDescent="0.35">
      <c r="A72" s="412" t="s">
        <v>106</v>
      </c>
      <c r="B72" s="412" t="s">
        <v>25</v>
      </c>
      <c r="C72" s="412" t="s">
        <v>106</v>
      </c>
      <c r="D72" s="412" t="s">
        <v>25</v>
      </c>
      <c r="F72" s="434">
        <v>7.05</v>
      </c>
      <c r="G72" s="414" t="s">
        <v>4112</v>
      </c>
      <c r="H72" s="469" t="s">
        <v>4167</v>
      </c>
      <c r="I72" s="436" t="s">
        <v>748</v>
      </c>
      <c r="J72" s="439">
        <v>132</v>
      </c>
      <c r="K72" s="418">
        <v>1167.273560606061</v>
      </c>
      <c r="L72" s="418">
        <v>13162.3240063472</v>
      </c>
      <c r="M72" s="418">
        <v>0</v>
      </c>
      <c r="N72" s="418">
        <v>214.94396350429929</v>
      </c>
      <c r="O72" s="419">
        <f t="shared" si="86"/>
        <v>14544.541530457562</v>
      </c>
      <c r="P72" s="420">
        <f t="shared" si="87"/>
        <v>20879.20305019588</v>
      </c>
      <c r="Q72" s="403"/>
      <c r="R72" s="421">
        <f t="shared" si="88"/>
        <v>1675.6624219458881</v>
      </c>
      <c r="S72" s="421">
        <f t="shared" si="88"/>
        <v>18894.980977261872</v>
      </c>
      <c r="T72" s="421">
        <f t="shared" si="88"/>
        <v>0</v>
      </c>
      <c r="U72" s="421">
        <f t="shared" si="88"/>
        <v>308.55965098811691</v>
      </c>
      <c r="V72" s="422">
        <f t="shared" si="89"/>
        <v>20879.203050195876</v>
      </c>
      <c r="W72" s="423"/>
      <c r="X72" s="421">
        <f t="shared" si="90"/>
        <v>221187.43969685724</v>
      </c>
      <c r="Y72" s="421">
        <f t="shared" si="91"/>
        <v>2534867.3629289982</v>
      </c>
      <c r="Z72" s="422">
        <f t="shared" si="92"/>
        <v>2756054.8026258554</v>
      </c>
      <c r="AA72" s="371"/>
      <c r="AB72" s="425" t="s">
        <v>4162</v>
      </c>
      <c r="AC72" s="427">
        <v>0.1</v>
      </c>
      <c r="AD72" s="427">
        <v>0</v>
      </c>
      <c r="AE72" s="428">
        <f t="shared" si="93"/>
        <v>0.1</v>
      </c>
      <c r="AF72" s="437" t="str">
        <f t="shared" si="94"/>
        <v>⚪</v>
      </c>
      <c r="AG72" s="430">
        <f t="shared" si="95"/>
        <v>275605.48026258557</v>
      </c>
      <c r="AH72" s="375">
        <f t="shared" si="96"/>
        <v>0</v>
      </c>
      <c r="AI72" s="431">
        <f t="shared" si="97"/>
        <v>275605.48026258557</v>
      </c>
      <c r="AJ72" s="375"/>
      <c r="AK72" s="430">
        <f t="shared" si="98"/>
        <v>22118.743969685725</v>
      </c>
      <c r="AL72" s="375">
        <f t="shared" si="99"/>
        <v>249413.74889985673</v>
      </c>
      <c r="AM72" s="432">
        <f t="shared" si="100"/>
        <v>0</v>
      </c>
      <c r="AN72" s="432">
        <f t="shared" si="101"/>
        <v>4072.9873930431436</v>
      </c>
      <c r="AO72" s="433">
        <f t="shared" si="102"/>
        <v>275605.48026258557</v>
      </c>
      <c r="AQ72" s="563">
        <f t="shared" si="103"/>
        <v>14544.541530457562</v>
      </c>
      <c r="AR72" s="563">
        <f t="shared" si="104"/>
        <v>1919879.4820203981</v>
      </c>
    </row>
    <row r="73" spans="1:44" ht="10.5" customHeight="1" x14ac:dyDescent="0.35">
      <c r="A73" s="412" t="s">
        <v>106</v>
      </c>
      <c r="B73" s="412" t="s">
        <v>25</v>
      </c>
      <c r="C73" s="412" t="s">
        <v>25</v>
      </c>
      <c r="D73" s="412" t="s">
        <v>106</v>
      </c>
      <c r="F73" s="414">
        <v>7.06</v>
      </c>
      <c r="G73" s="414" t="s">
        <v>4112</v>
      </c>
      <c r="H73" s="435" t="s">
        <v>4168</v>
      </c>
      <c r="I73" s="436" t="s">
        <v>988</v>
      </c>
      <c r="J73" s="439">
        <v>710</v>
      </c>
      <c r="K73" s="418">
        <v>4009.2266140000002</v>
      </c>
      <c r="L73" s="418">
        <v>0</v>
      </c>
      <c r="M73" s="418">
        <v>10647.256141088281</v>
      </c>
      <c r="N73" s="418">
        <v>306.95466841192541</v>
      </c>
      <c r="O73" s="419">
        <f t="shared" si="86"/>
        <v>14963.437423500205</v>
      </c>
      <c r="P73" s="420">
        <f t="shared" si="87"/>
        <v>21480.542899198004</v>
      </c>
      <c r="Q73" s="403"/>
      <c r="R73" s="421">
        <f t="shared" si="88"/>
        <v>5755.3864020161973</v>
      </c>
      <c r="S73" s="421">
        <f t="shared" si="88"/>
        <v>0</v>
      </c>
      <c r="T73" s="421">
        <f t="shared" si="88"/>
        <v>15284.512229670372</v>
      </c>
      <c r="U73" s="421">
        <f t="shared" si="88"/>
        <v>440.64426751143634</v>
      </c>
      <c r="V73" s="422">
        <f t="shared" si="89"/>
        <v>21480.542899198008</v>
      </c>
      <c r="W73" s="423"/>
      <c r="X73" s="421">
        <f t="shared" si="90"/>
        <v>4086324.3454315001</v>
      </c>
      <c r="Y73" s="421">
        <f t="shared" si="91"/>
        <v>11164861.112999085</v>
      </c>
      <c r="Z73" s="422">
        <f t="shared" si="92"/>
        <v>15251185.458430586</v>
      </c>
      <c r="AA73" s="371"/>
      <c r="AB73" s="425" t="s">
        <v>4162</v>
      </c>
      <c r="AC73" s="427">
        <v>0.05</v>
      </c>
      <c r="AD73" s="427">
        <v>0</v>
      </c>
      <c r="AE73" s="428">
        <f t="shared" si="93"/>
        <v>0.05</v>
      </c>
      <c r="AF73" s="437" t="str">
        <f t="shared" si="94"/>
        <v>⚪</v>
      </c>
      <c r="AG73" s="430">
        <f t="shared" si="95"/>
        <v>762559.27292152937</v>
      </c>
      <c r="AH73" s="375">
        <f t="shared" si="96"/>
        <v>0</v>
      </c>
      <c r="AI73" s="431">
        <f t="shared" si="97"/>
        <v>762559.27292152937</v>
      </c>
      <c r="AJ73" s="375"/>
      <c r="AK73" s="430">
        <f t="shared" si="98"/>
        <v>204316.21727157501</v>
      </c>
      <c r="AL73" s="375">
        <f t="shared" si="99"/>
        <v>0</v>
      </c>
      <c r="AM73" s="432">
        <f t="shared" si="100"/>
        <v>542600.18415329827</v>
      </c>
      <c r="AN73" s="432">
        <f t="shared" si="101"/>
        <v>15642.871496655991</v>
      </c>
      <c r="AO73" s="433">
        <f t="shared" si="102"/>
        <v>762559.27292152925</v>
      </c>
      <c r="AQ73" s="563">
        <f t="shared" si="103"/>
        <v>14963.437423500205</v>
      </c>
      <c r="AR73" s="563">
        <f t="shared" si="104"/>
        <v>10624040.570685146</v>
      </c>
    </row>
    <row r="74" spans="1:44" ht="10.5" customHeight="1" x14ac:dyDescent="0.25">
      <c r="A74" s="412" t="s">
        <v>25</v>
      </c>
      <c r="B74" s="412" t="s">
        <v>25</v>
      </c>
      <c r="C74" s="412" t="s">
        <v>25</v>
      </c>
      <c r="D74" s="412" t="s">
        <v>25</v>
      </c>
      <c r="F74" s="396">
        <v>8</v>
      </c>
      <c r="G74" s="397"/>
      <c r="H74" s="398" t="s">
        <v>4169</v>
      </c>
      <c r="I74" s="399"/>
      <c r="J74" s="400"/>
      <c r="K74" s="400"/>
      <c r="L74" s="400"/>
      <c r="M74" s="400"/>
      <c r="N74" s="400"/>
      <c r="O74" s="401"/>
      <c r="P74" s="402"/>
      <c r="Q74" s="403"/>
      <c r="R74" s="400"/>
      <c r="S74" s="400"/>
      <c r="T74" s="400"/>
      <c r="U74" s="400"/>
      <c r="V74" s="402"/>
      <c r="X74" s="400"/>
      <c r="Y74" s="400"/>
      <c r="Z74" s="402"/>
      <c r="AA74" s="404">
        <f>+SUM(Z75:Z82)</f>
        <v>53340003.869058937</v>
      </c>
      <c r="AB74" s="405" t="s">
        <v>4169</v>
      </c>
      <c r="AC74" s="406"/>
      <c r="AD74" s="440"/>
      <c r="AE74" s="441"/>
      <c r="AF74" s="441"/>
      <c r="AG74" s="408"/>
      <c r="AH74" s="409"/>
      <c r="AI74" s="410"/>
      <c r="AJ74" s="411"/>
      <c r="AK74" s="408"/>
      <c r="AL74" s="409"/>
      <c r="AM74" s="442"/>
      <c r="AN74" s="442"/>
      <c r="AO74" s="410"/>
    </row>
    <row r="75" spans="1:44" ht="10.5" customHeight="1" x14ac:dyDescent="0.35">
      <c r="A75" s="412" t="s">
        <v>106</v>
      </c>
      <c r="B75" s="412" t="s">
        <v>25</v>
      </c>
      <c r="C75" s="412" t="s">
        <v>25</v>
      </c>
      <c r="D75" s="412" t="s">
        <v>106</v>
      </c>
      <c r="F75" s="413">
        <v>8.01</v>
      </c>
      <c r="G75" s="470" t="s">
        <v>4128</v>
      </c>
      <c r="H75" s="415" t="s">
        <v>4170</v>
      </c>
      <c r="I75" s="416" t="s">
        <v>988</v>
      </c>
      <c r="J75" s="461">
        <v>107</v>
      </c>
      <c r="K75" s="418">
        <v>30940.006841121489</v>
      </c>
      <c r="L75" s="418">
        <v>0</v>
      </c>
      <c r="M75" s="418">
        <v>12364.893372256451</v>
      </c>
      <c r="N75" s="418">
        <v>649.57350320066905</v>
      </c>
      <c r="O75" s="419">
        <f t="shared" ref="O75:O82" si="105">+SUM(K75:N75)</f>
        <v>43954.473716578614</v>
      </c>
      <c r="P75" s="420">
        <f t="shared" ref="P75:P82" si="106">+O75*$P$2</f>
        <v>63098.199401550432</v>
      </c>
      <c r="Q75" s="403"/>
      <c r="R75" s="421">
        <f t="shared" ref="R75:U82" si="107">+K75*$P$2</f>
        <v>44415.472557690329</v>
      </c>
      <c r="S75" s="421">
        <f t="shared" si="107"/>
        <v>0</v>
      </c>
      <c r="T75" s="421">
        <f t="shared" si="107"/>
        <v>17750.241138418467</v>
      </c>
      <c r="U75" s="421">
        <f t="shared" si="107"/>
        <v>932.48570544163181</v>
      </c>
      <c r="V75" s="422">
        <f t="shared" ref="V75:V82" si="108">+SUM(R75:U75)</f>
        <v>63098.199401550432</v>
      </c>
      <c r="W75" s="423"/>
      <c r="X75" s="421">
        <f t="shared" ref="X75:X82" si="109">+R75*J75</f>
        <v>4752455.5636728648</v>
      </c>
      <c r="Y75" s="421">
        <f t="shared" ref="Y75:Y82" si="110">+Z75-X75</f>
        <v>1999051.7722930312</v>
      </c>
      <c r="Z75" s="422">
        <f t="shared" ref="Z75:Z82" si="111">+V75*J75</f>
        <v>6751507.335965896</v>
      </c>
      <c r="AA75" s="371"/>
      <c r="AB75" s="425" t="s">
        <v>4169</v>
      </c>
      <c r="AC75" s="427">
        <v>0</v>
      </c>
      <c r="AD75" s="427">
        <v>0</v>
      </c>
      <c r="AE75" s="428">
        <f t="shared" ref="AE75:AE82" si="112">AC75+AD75</f>
        <v>0</v>
      </c>
      <c r="AF75" s="437" t="str">
        <f t="shared" ref="AF75:AF82" si="113">IF($AE75=1,"🔴","⚪")</f>
        <v>⚪</v>
      </c>
      <c r="AG75" s="430">
        <f t="shared" ref="AG75:AG82" si="114">AC75*Z75</f>
        <v>0</v>
      </c>
      <c r="AH75" s="375">
        <f t="shared" ref="AH75:AH82" si="115">AD75*Z75</f>
        <v>0</v>
      </c>
      <c r="AI75" s="431">
        <f t="shared" ref="AI75:AI82" si="116">AE75*Z75</f>
        <v>0</v>
      </c>
      <c r="AJ75" s="375"/>
      <c r="AK75" s="430">
        <f t="shared" ref="AK75:AK82" si="117">AE75*X75</f>
        <v>0</v>
      </c>
      <c r="AL75" s="375">
        <f t="shared" ref="AL75:AL82" si="118">AE75*S75*J75</f>
        <v>0</v>
      </c>
      <c r="AM75" s="432">
        <f t="shared" ref="AM75:AM82" si="119">AE75*T75*J75</f>
        <v>0</v>
      </c>
      <c r="AN75" s="432">
        <f t="shared" ref="AN75:AN82" si="120">AE75*U75*J75</f>
        <v>0</v>
      </c>
      <c r="AO75" s="433">
        <f t="shared" ref="AO75:AO82" si="121">AK75+AL75+AM75+AN75</f>
        <v>0</v>
      </c>
      <c r="AQ75" s="563">
        <f t="shared" ref="AQ75:AQ82" si="122">+O75</f>
        <v>43954.473716578614</v>
      </c>
      <c r="AR75" s="563">
        <f t="shared" ref="AR75:AR82" si="123">+O75*J75</f>
        <v>4703128.6876739115</v>
      </c>
    </row>
    <row r="76" spans="1:44" ht="10.5" customHeight="1" x14ac:dyDescent="0.35">
      <c r="A76" s="412" t="s">
        <v>106</v>
      </c>
      <c r="B76" s="412" t="s">
        <v>25</v>
      </c>
      <c r="C76" s="412" t="s">
        <v>106</v>
      </c>
      <c r="D76" s="412" t="s">
        <v>106</v>
      </c>
      <c r="F76" s="471">
        <v>8.02</v>
      </c>
      <c r="G76" s="472" t="s">
        <v>4128</v>
      </c>
      <c r="H76" s="473" t="s">
        <v>4171</v>
      </c>
      <c r="I76" s="474" t="s">
        <v>988</v>
      </c>
      <c r="J76" s="448">
        <v>258</v>
      </c>
      <c r="K76" s="418">
        <v>22041.277519379841</v>
      </c>
      <c r="L76" s="418">
        <v>891.47286821705427</v>
      </c>
      <c r="M76" s="418">
        <v>5697.0204215681388</v>
      </c>
      <c r="N76" s="418">
        <v>429.44656213747669</v>
      </c>
      <c r="O76" s="419">
        <f t="shared" si="105"/>
        <v>29059.217371302511</v>
      </c>
      <c r="P76" s="420">
        <f t="shared" si="106"/>
        <v>41715.532848158262</v>
      </c>
      <c r="Q76" s="403"/>
      <c r="R76" s="421">
        <f t="shared" si="107"/>
        <v>31641.032331554812</v>
      </c>
      <c r="S76" s="421">
        <f t="shared" si="107"/>
        <v>1279.7407873095624</v>
      </c>
      <c r="T76" s="421">
        <f t="shared" si="107"/>
        <v>8178.2740221782451</v>
      </c>
      <c r="U76" s="421">
        <f t="shared" si="107"/>
        <v>616.48570711564093</v>
      </c>
      <c r="V76" s="422">
        <f t="shared" si="108"/>
        <v>41715.532848158262</v>
      </c>
      <c r="W76" s="423"/>
      <c r="X76" s="421">
        <f t="shared" si="109"/>
        <v>8163386.3415411413</v>
      </c>
      <c r="Y76" s="421">
        <f t="shared" si="110"/>
        <v>2599221.1332836896</v>
      </c>
      <c r="Z76" s="422">
        <f t="shared" si="111"/>
        <v>10762607.474824831</v>
      </c>
      <c r="AA76" s="371"/>
      <c r="AB76" s="425" t="s">
        <v>4169</v>
      </c>
      <c r="AC76" s="427">
        <v>0</v>
      </c>
      <c r="AD76" s="427">
        <v>0</v>
      </c>
      <c r="AE76" s="428">
        <f t="shared" si="112"/>
        <v>0</v>
      </c>
      <c r="AF76" s="437" t="str">
        <f t="shared" si="113"/>
        <v>⚪</v>
      </c>
      <c r="AG76" s="430">
        <f t="shared" si="114"/>
        <v>0</v>
      </c>
      <c r="AH76" s="375">
        <f t="shared" si="115"/>
        <v>0</v>
      </c>
      <c r="AI76" s="431">
        <f t="shared" si="116"/>
        <v>0</v>
      </c>
      <c r="AJ76" s="375"/>
      <c r="AK76" s="430">
        <f t="shared" si="117"/>
        <v>0</v>
      </c>
      <c r="AL76" s="375">
        <f t="shared" si="118"/>
        <v>0</v>
      </c>
      <c r="AM76" s="432">
        <f t="shared" si="119"/>
        <v>0</v>
      </c>
      <c r="AN76" s="432">
        <f t="shared" si="120"/>
        <v>0</v>
      </c>
      <c r="AO76" s="433">
        <f t="shared" si="121"/>
        <v>0</v>
      </c>
      <c r="AQ76" s="563">
        <f t="shared" si="122"/>
        <v>29059.217371302511</v>
      </c>
      <c r="AR76" s="563">
        <f t="shared" si="123"/>
        <v>7497278.0817960482</v>
      </c>
    </row>
    <row r="77" spans="1:44" ht="10.5" customHeight="1" x14ac:dyDescent="0.35">
      <c r="A77" s="412" t="s">
        <v>106</v>
      </c>
      <c r="B77" s="412" t="s">
        <v>25</v>
      </c>
      <c r="C77" s="412" t="s">
        <v>25</v>
      </c>
      <c r="D77" s="412" t="s">
        <v>106</v>
      </c>
      <c r="F77" s="434">
        <v>8.0299999999999994</v>
      </c>
      <c r="G77" s="475" t="s">
        <v>4112</v>
      </c>
      <c r="H77" s="435" t="s">
        <v>4172</v>
      </c>
      <c r="I77" s="436" t="s">
        <v>988</v>
      </c>
      <c r="J77" s="439">
        <v>425</v>
      </c>
      <c r="K77" s="418">
        <v>6968.030629144635</v>
      </c>
      <c r="L77" s="418">
        <v>0</v>
      </c>
      <c r="M77" s="418">
        <v>10126.741046938851</v>
      </c>
      <c r="N77" s="418">
        <v>120.0469182113344</v>
      </c>
      <c r="O77" s="419">
        <f t="shared" si="105"/>
        <v>17214.818594294818</v>
      </c>
      <c r="P77" s="420">
        <f t="shared" si="106"/>
        <v>24712.480084015519</v>
      </c>
      <c r="Q77" s="403"/>
      <c r="R77" s="421">
        <f t="shared" si="107"/>
        <v>10002.854064614716</v>
      </c>
      <c r="S77" s="421">
        <f t="shared" si="107"/>
        <v>0</v>
      </c>
      <c r="T77" s="421">
        <f t="shared" si="107"/>
        <v>14537.294428498753</v>
      </c>
      <c r="U77" s="421">
        <f t="shared" si="107"/>
        <v>172.33159090205135</v>
      </c>
      <c r="V77" s="422">
        <f t="shared" si="108"/>
        <v>24712.480084015522</v>
      </c>
      <c r="W77" s="423"/>
      <c r="X77" s="421">
        <f t="shared" si="109"/>
        <v>4251212.9774612542</v>
      </c>
      <c r="Y77" s="421">
        <f t="shared" si="110"/>
        <v>6251591.0582453422</v>
      </c>
      <c r="Z77" s="422">
        <f t="shared" si="111"/>
        <v>10502804.035706596</v>
      </c>
      <c r="AA77" s="371"/>
      <c r="AB77" s="425" t="s">
        <v>4169</v>
      </c>
      <c r="AC77" s="427">
        <v>0</v>
      </c>
      <c r="AD77" s="427">
        <v>0</v>
      </c>
      <c r="AE77" s="428">
        <f t="shared" si="112"/>
        <v>0</v>
      </c>
      <c r="AF77" s="437" t="str">
        <f t="shared" si="113"/>
        <v>⚪</v>
      </c>
      <c r="AG77" s="430">
        <f t="shared" si="114"/>
        <v>0</v>
      </c>
      <c r="AH77" s="375">
        <f t="shared" si="115"/>
        <v>0</v>
      </c>
      <c r="AI77" s="431">
        <f t="shared" si="116"/>
        <v>0</v>
      </c>
      <c r="AJ77" s="375"/>
      <c r="AK77" s="430">
        <f t="shared" si="117"/>
        <v>0</v>
      </c>
      <c r="AL77" s="375">
        <f t="shared" si="118"/>
        <v>0</v>
      </c>
      <c r="AM77" s="432">
        <f t="shared" si="119"/>
        <v>0</v>
      </c>
      <c r="AN77" s="432">
        <f t="shared" si="120"/>
        <v>0</v>
      </c>
      <c r="AO77" s="433">
        <f t="shared" si="121"/>
        <v>0</v>
      </c>
      <c r="AQ77" s="563">
        <f t="shared" si="122"/>
        <v>17214.818594294818</v>
      </c>
      <c r="AR77" s="563">
        <f t="shared" si="123"/>
        <v>7316297.9025752982</v>
      </c>
    </row>
    <row r="78" spans="1:44" ht="10.5" customHeight="1" x14ac:dyDescent="0.35">
      <c r="A78" s="412" t="s">
        <v>106</v>
      </c>
      <c r="B78" s="412" t="s">
        <v>25</v>
      </c>
      <c r="C78" s="412" t="s">
        <v>25</v>
      </c>
      <c r="D78" s="412" t="s">
        <v>106</v>
      </c>
      <c r="F78" s="471">
        <v>8.0399999999999991</v>
      </c>
      <c r="G78" s="475" t="s">
        <v>4128</v>
      </c>
      <c r="H78" s="435" t="s">
        <v>4173</v>
      </c>
      <c r="I78" s="436" t="s">
        <v>988</v>
      </c>
      <c r="J78" s="439">
        <v>200</v>
      </c>
      <c r="K78" s="418">
        <v>24469.45</v>
      </c>
      <c r="L78" s="418">
        <v>0</v>
      </c>
      <c r="M78" s="418">
        <v>5362.3939312257498</v>
      </c>
      <c r="N78" s="418">
        <v>447.47765896838649</v>
      </c>
      <c r="O78" s="419">
        <f t="shared" si="105"/>
        <v>30279.321590194137</v>
      </c>
      <c r="P78" s="420">
        <f t="shared" si="106"/>
        <v>43467.035545943021</v>
      </c>
      <c r="Q78" s="403"/>
      <c r="R78" s="421">
        <f t="shared" si="107"/>
        <v>35126.759685531521</v>
      </c>
      <c r="S78" s="421">
        <f t="shared" si="107"/>
        <v>0</v>
      </c>
      <c r="T78" s="421">
        <f t="shared" si="107"/>
        <v>7697.9058769739222</v>
      </c>
      <c r="U78" s="421">
        <f t="shared" si="107"/>
        <v>642.36998343758194</v>
      </c>
      <c r="V78" s="422">
        <f t="shared" si="108"/>
        <v>43467.035545943021</v>
      </c>
      <c r="W78" s="423"/>
      <c r="X78" s="421">
        <f t="shared" si="109"/>
        <v>7025351.9371063039</v>
      </c>
      <c r="Y78" s="421">
        <f t="shared" si="110"/>
        <v>1668055.1720823012</v>
      </c>
      <c r="Z78" s="422">
        <f t="shared" si="111"/>
        <v>8693407.1091886051</v>
      </c>
      <c r="AA78" s="371"/>
      <c r="AB78" s="425" t="s">
        <v>4169</v>
      </c>
      <c r="AC78" s="427">
        <v>0</v>
      </c>
      <c r="AD78" s="427">
        <v>0</v>
      </c>
      <c r="AE78" s="428">
        <f t="shared" si="112"/>
        <v>0</v>
      </c>
      <c r="AF78" s="437" t="str">
        <f t="shared" si="113"/>
        <v>⚪</v>
      </c>
      <c r="AG78" s="430">
        <f t="shared" si="114"/>
        <v>0</v>
      </c>
      <c r="AH78" s="375">
        <f t="shared" si="115"/>
        <v>0</v>
      </c>
      <c r="AI78" s="431">
        <f t="shared" si="116"/>
        <v>0</v>
      </c>
      <c r="AJ78" s="375"/>
      <c r="AK78" s="430">
        <f t="shared" si="117"/>
        <v>0</v>
      </c>
      <c r="AL78" s="375">
        <f t="shared" si="118"/>
        <v>0</v>
      </c>
      <c r="AM78" s="432">
        <f t="shared" si="119"/>
        <v>0</v>
      </c>
      <c r="AN78" s="432">
        <f t="shared" si="120"/>
        <v>0</v>
      </c>
      <c r="AO78" s="433">
        <f t="shared" si="121"/>
        <v>0</v>
      </c>
      <c r="AQ78" s="563">
        <f t="shared" si="122"/>
        <v>30279.321590194137</v>
      </c>
      <c r="AR78" s="563">
        <f t="shared" si="123"/>
        <v>6055864.3180388277</v>
      </c>
    </row>
    <row r="79" spans="1:44" ht="10.5" customHeight="1" x14ac:dyDescent="0.35">
      <c r="A79" s="412" t="s">
        <v>106</v>
      </c>
      <c r="B79" s="412" t="s">
        <v>25</v>
      </c>
      <c r="C79" s="412" t="s">
        <v>25</v>
      </c>
      <c r="D79" s="412" t="s">
        <v>106</v>
      </c>
      <c r="F79" s="434">
        <v>8.0500000000000007</v>
      </c>
      <c r="G79" s="475" t="s">
        <v>4128</v>
      </c>
      <c r="H79" s="435" t="s">
        <v>4174</v>
      </c>
      <c r="I79" s="436" t="s">
        <v>988</v>
      </c>
      <c r="J79" s="439">
        <v>77</v>
      </c>
      <c r="K79" s="418">
        <v>8233.9594805194811</v>
      </c>
      <c r="L79" s="418">
        <v>0</v>
      </c>
      <c r="M79" s="418">
        <v>15063.226619458441</v>
      </c>
      <c r="N79" s="418">
        <v>349.45779149966751</v>
      </c>
      <c r="O79" s="419">
        <f t="shared" si="105"/>
        <v>23646.64389147759</v>
      </c>
      <c r="P79" s="420">
        <f t="shared" si="106"/>
        <v>33945.592456932012</v>
      </c>
      <c r="Q79" s="403"/>
      <c r="R79" s="421">
        <f t="shared" si="107"/>
        <v>11820.139640760694</v>
      </c>
      <c r="S79" s="421">
        <f t="shared" si="107"/>
        <v>0</v>
      </c>
      <c r="T79" s="421">
        <f t="shared" si="107"/>
        <v>21623.793814344743</v>
      </c>
      <c r="U79" s="421">
        <f t="shared" si="107"/>
        <v>501.65900182657964</v>
      </c>
      <c r="V79" s="422">
        <f t="shared" si="108"/>
        <v>33945.592456932012</v>
      </c>
      <c r="W79" s="423"/>
      <c r="X79" s="421">
        <f t="shared" si="109"/>
        <v>910150.75233857345</v>
      </c>
      <c r="Y79" s="421">
        <f t="shared" si="110"/>
        <v>1703659.8668451915</v>
      </c>
      <c r="Z79" s="422">
        <f t="shared" si="111"/>
        <v>2613810.6191837648</v>
      </c>
      <c r="AA79" s="371"/>
      <c r="AB79" s="425" t="s">
        <v>4169</v>
      </c>
      <c r="AC79" s="427">
        <v>0</v>
      </c>
      <c r="AD79" s="427">
        <v>0</v>
      </c>
      <c r="AE79" s="428">
        <f t="shared" si="112"/>
        <v>0</v>
      </c>
      <c r="AF79" s="437" t="str">
        <f t="shared" si="113"/>
        <v>⚪</v>
      </c>
      <c r="AG79" s="430">
        <f t="shared" si="114"/>
        <v>0</v>
      </c>
      <c r="AH79" s="375">
        <f t="shared" si="115"/>
        <v>0</v>
      </c>
      <c r="AI79" s="431">
        <f t="shared" si="116"/>
        <v>0</v>
      </c>
      <c r="AJ79" s="375"/>
      <c r="AK79" s="430">
        <f t="shared" si="117"/>
        <v>0</v>
      </c>
      <c r="AL79" s="375">
        <f t="shared" si="118"/>
        <v>0</v>
      </c>
      <c r="AM79" s="432">
        <f t="shared" si="119"/>
        <v>0</v>
      </c>
      <c r="AN79" s="432">
        <f t="shared" si="120"/>
        <v>0</v>
      </c>
      <c r="AO79" s="433">
        <f t="shared" si="121"/>
        <v>0</v>
      </c>
      <c r="AQ79" s="563">
        <f t="shared" si="122"/>
        <v>23646.64389147759</v>
      </c>
      <c r="AR79" s="563">
        <f t="shared" si="123"/>
        <v>1820791.5796437743</v>
      </c>
    </row>
    <row r="80" spans="1:44" ht="10.5" customHeight="1" x14ac:dyDescent="0.35">
      <c r="A80" s="412" t="s">
        <v>106</v>
      </c>
      <c r="B80" s="412" t="s">
        <v>25</v>
      </c>
      <c r="C80" s="412" t="s">
        <v>25</v>
      </c>
      <c r="D80" s="412" t="s">
        <v>106</v>
      </c>
      <c r="F80" s="471">
        <v>8.06</v>
      </c>
      <c r="G80" s="475" t="s">
        <v>4128</v>
      </c>
      <c r="H80" s="435" t="s">
        <v>4175</v>
      </c>
      <c r="I80" s="436" t="s">
        <v>988</v>
      </c>
      <c r="J80" s="439">
        <v>77</v>
      </c>
      <c r="K80" s="418">
        <v>7390.7910271546752</v>
      </c>
      <c r="L80" s="418">
        <v>0</v>
      </c>
      <c r="M80" s="418">
        <v>7159.2550900334554</v>
      </c>
      <c r="N80" s="418">
        <v>218.2506917578221</v>
      </c>
      <c r="O80" s="419">
        <f t="shared" si="105"/>
        <v>14768.296808945954</v>
      </c>
      <c r="P80" s="420">
        <f t="shared" si="106"/>
        <v>21200.411655041142</v>
      </c>
      <c r="Q80" s="403"/>
      <c r="R80" s="421">
        <f t="shared" si="107"/>
        <v>10609.741546983889</v>
      </c>
      <c r="S80" s="421">
        <f t="shared" si="107"/>
        <v>0</v>
      </c>
      <c r="T80" s="421">
        <f t="shared" si="107"/>
        <v>10277.363531874378</v>
      </c>
      <c r="U80" s="421">
        <f t="shared" si="107"/>
        <v>313.30657618287421</v>
      </c>
      <c r="V80" s="422">
        <f t="shared" si="108"/>
        <v>21200.411655041138</v>
      </c>
      <c r="W80" s="423"/>
      <c r="X80" s="421">
        <f t="shared" si="109"/>
        <v>816950.09911775938</v>
      </c>
      <c r="Y80" s="421">
        <f t="shared" si="110"/>
        <v>815481.59832040826</v>
      </c>
      <c r="Z80" s="422">
        <f t="shared" si="111"/>
        <v>1632431.6974381676</v>
      </c>
      <c r="AA80" s="371"/>
      <c r="AB80" s="425" t="s">
        <v>4169</v>
      </c>
      <c r="AC80" s="427">
        <v>0</v>
      </c>
      <c r="AD80" s="427">
        <v>0</v>
      </c>
      <c r="AE80" s="428">
        <f t="shared" si="112"/>
        <v>0</v>
      </c>
      <c r="AF80" s="437" t="str">
        <f t="shared" si="113"/>
        <v>⚪</v>
      </c>
      <c r="AG80" s="430">
        <f t="shared" si="114"/>
        <v>0</v>
      </c>
      <c r="AH80" s="375">
        <f t="shared" si="115"/>
        <v>0</v>
      </c>
      <c r="AI80" s="431">
        <f t="shared" si="116"/>
        <v>0</v>
      </c>
      <c r="AJ80" s="375"/>
      <c r="AK80" s="430">
        <f t="shared" si="117"/>
        <v>0</v>
      </c>
      <c r="AL80" s="375">
        <f t="shared" si="118"/>
        <v>0</v>
      </c>
      <c r="AM80" s="432">
        <f t="shared" si="119"/>
        <v>0</v>
      </c>
      <c r="AN80" s="432">
        <f t="shared" si="120"/>
        <v>0</v>
      </c>
      <c r="AO80" s="433">
        <f t="shared" si="121"/>
        <v>0</v>
      </c>
      <c r="AQ80" s="563">
        <f t="shared" si="122"/>
        <v>14768.296808945954</v>
      </c>
      <c r="AR80" s="563">
        <f t="shared" si="123"/>
        <v>1137158.8542888383</v>
      </c>
    </row>
    <row r="81" spans="1:44" ht="10.5" customHeight="1" x14ac:dyDescent="0.35">
      <c r="A81" s="412" t="s">
        <v>106</v>
      </c>
      <c r="B81" s="412" t="s">
        <v>25</v>
      </c>
      <c r="C81" s="412" t="s">
        <v>25</v>
      </c>
      <c r="D81" s="412" t="s">
        <v>106</v>
      </c>
      <c r="F81" s="434">
        <v>8.07</v>
      </c>
      <c r="G81" s="475" t="s">
        <v>4112</v>
      </c>
      <c r="H81" s="435" t="s">
        <v>4176</v>
      </c>
      <c r="I81" s="436" t="s">
        <v>988</v>
      </c>
      <c r="J81" s="439">
        <v>442</v>
      </c>
      <c r="K81" s="418">
        <v>2717.5178580000002</v>
      </c>
      <c r="L81" s="418">
        <v>0</v>
      </c>
      <c r="M81" s="418">
        <v>7814.7833452434161</v>
      </c>
      <c r="N81" s="418">
        <v>223.75096146529319</v>
      </c>
      <c r="O81" s="419">
        <f t="shared" si="105"/>
        <v>10756.05216470871</v>
      </c>
      <c r="P81" s="420">
        <f t="shared" si="106"/>
        <v>15440.692764028774</v>
      </c>
      <c r="Q81" s="403"/>
      <c r="R81" s="421">
        <f t="shared" si="107"/>
        <v>3901.0928622877245</v>
      </c>
      <c r="S81" s="421">
        <f t="shared" si="107"/>
        <v>0</v>
      </c>
      <c r="T81" s="421">
        <f t="shared" si="107"/>
        <v>11218.397494134913</v>
      </c>
      <c r="U81" s="421">
        <f t="shared" si="107"/>
        <v>321.20240760613649</v>
      </c>
      <c r="V81" s="422">
        <f t="shared" si="108"/>
        <v>15440.692764028774</v>
      </c>
      <c r="W81" s="423"/>
      <c r="X81" s="421">
        <f t="shared" si="109"/>
        <v>1724283.0451311741</v>
      </c>
      <c r="Y81" s="421">
        <f t="shared" si="110"/>
        <v>5100503.1565695442</v>
      </c>
      <c r="Z81" s="422">
        <f t="shared" si="111"/>
        <v>6824786.2017007181</v>
      </c>
      <c r="AA81" s="371"/>
      <c r="AB81" s="425" t="s">
        <v>4169</v>
      </c>
      <c r="AC81" s="427">
        <v>0</v>
      </c>
      <c r="AD81" s="427">
        <v>0</v>
      </c>
      <c r="AE81" s="428">
        <f t="shared" si="112"/>
        <v>0</v>
      </c>
      <c r="AF81" s="437" t="str">
        <f t="shared" si="113"/>
        <v>⚪</v>
      </c>
      <c r="AG81" s="430">
        <f t="shared" si="114"/>
        <v>0</v>
      </c>
      <c r="AH81" s="375">
        <f t="shared" si="115"/>
        <v>0</v>
      </c>
      <c r="AI81" s="431">
        <f t="shared" si="116"/>
        <v>0</v>
      </c>
      <c r="AJ81" s="375"/>
      <c r="AK81" s="430">
        <f t="shared" si="117"/>
        <v>0</v>
      </c>
      <c r="AL81" s="375">
        <f t="shared" si="118"/>
        <v>0</v>
      </c>
      <c r="AM81" s="432">
        <f t="shared" si="119"/>
        <v>0</v>
      </c>
      <c r="AN81" s="432">
        <f t="shared" si="120"/>
        <v>0</v>
      </c>
      <c r="AO81" s="433">
        <f t="shared" si="121"/>
        <v>0</v>
      </c>
      <c r="AQ81" s="563">
        <f t="shared" si="122"/>
        <v>10756.05216470871</v>
      </c>
      <c r="AR81" s="563">
        <f t="shared" si="123"/>
        <v>4754175.0568012502</v>
      </c>
    </row>
    <row r="82" spans="1:44" ht="10.5" customHeight="1" x14ac:dyDescent="0.35">
      <c r="A82" s="412" t="s">
        <v>106</v>
      </c>
      <c r="B82" s="412" t="s">
        <v>25</v>
      </c>
      <c r="C82" s="412" t="s">
        <v>25</v>
      </c>
      <c r="D82" s="412" t="s">
        <v>106</v>
      </c>
      <c r="F82" s="471">
        <v>8.08</v>
      </c>
      <c r="G82" s="475" t="s">
        <v>4112</v>
      </c>
      <c r="H82" s="435" t="s">
        <v>4177</v>
      </c>
      <c r="I82" s="436" t="s">
        <v>988</v>
      </c>
      <c r="J82" s="439">
        <v>360</v>
      </c>
      <c r="K82" s="418">
        <v>2717.5178580000002</v>
      </c>
      <c r="L82" s="418">
        <v>0</v>
      </c>
      <c r="M82" s="418">
        <v>7814.7833452434161</v>
      </c>
      <c r="N82" s="418">
        <v>223.7509614652933</v>
      </c>
      <c r="O82" s="419">
        <f t="shared" si="105"/>
        <v>10756.05216470871</v>
      </c>
      <c r="P82" s="420">
        <f t="shared" si="106"/>
        <v>15440.692764028774</v>
      </c>
      <c r="Q82" s="403"/>
      <c r="R82" s="421">
        <f t="shared" si="107"/>
        <v>3901.0928622877245</v>
      </c>
      <c r="S82" s="421">
        <f t="shared" si="107"/>
        <v>0</v>
      </c>
      <c r="T82" s="421">
        <f t="shared" si="107"/>
        <v>11218.397494134913</v>
      </c>
      <c r="U82" s="421">
        <f t="shared" si="107"/>
        <v>321.20240760613666</v>
      </c>
      <c r="V82" s="422">
        <f t="shared" si="108"/>
        <v>15440.692764028774</v>
      </c>
      <c r="W82" s="423"/>
      <c r="X82" s="421">
        <f t="shared" si="109"/>
        <v>1404393.4304235808</v>
      </c>
      <c r="Y82" s="421">
        <f t="shared" si="110"/>
        <v>4154255.9646267779</v>
      </c>
      <c r="Z82" s="422">
        <f t="shared" si="111"/>
        <v>5558649.395050359</v>
      </c>
      <c r="AA82" s="371"/>
      <c r="AB82" s="425" t="s">
        <v>4169</v>
      </c>
      <c r="AC82" s="427">
        <v>0</v>
      </c>
      <c r="AD82" s="427">
        <v>0</v>
      </c>
      <c r="AE82" s="428">
        <f t="shared" si="112"/>
        <v>0</v>
      </c>
      <c r="AF82" s="437" t="str">
        <f t="shared" si="113"/>
        <v>⚪</v>
      </c>
      <c r="AG82" s="430">
        <f t="shared" si="114"/>
        <v>0</v>
      </c>
      <c r="AH82" s="375">
        <f t="shared" si="115"/>
        <v>0</v>
      </c>
      <c r="AI82" s="431">
        <f t="shared" si="116"/>
        <v>0</v>
      </c>
      <c r="AJ82" s="375"/>
      <c r="AK82" s="430">
        <f t="shared" si="117"/>
        <v>0</v>
      </c>
      <c r="AL82" s="375">
        <f t="shared" si="118"/>
        <v>0</v>
      </c>
      <c r="AM82" s="432">
        <f t="shared" si="119"/>
        <v>0</v>
      </c>
      <c r="AN82" s="432">
        <f t="shared" si="120"/>
        <v>0</v>
      </c>
      <c r="AO82" s="433">
        <f t="shared" si="121"/>
        <v>0</v>
      </c>
      <c r="AQ82" s="563">
        <f t="shared" si="122"/>
        <v>10756.05216470871</v>
      </c>
      <c r="AR82" s="563">
        <f t="shared" si="123"/>
        <v>3872178.7792951358</v>
      </c>
    </row>
    <row r="83" spans="1:44" ht="10.5" customHeight="1" x14ac:dyDescent="0.25">
      <c r="A83" s="412" t="s">
        <v>25</v>
      </c>
      <c r="B83" s="412" t="s">
        <v>25</v>
      </c>
      <c r="C83" s="412" t="s">
        <v>25</v>
      </c>
      <c r="D83" s="412" t="s">
        <v>25</v>
      </c>
      <c r="F83" s="396">
        <v>9</v>
      </c>
      <c r="G83" s="397"/>
      <c r="H83" s="398" t="s">
        <v>4178</v>
      </c>
      <c r="I83" s="399"/>
      <c r="J83" s="400"/>
      <c r="K83" s="400"/>
      <c r="L83" s="400"/>
      <c r="M83" s="400"/>
      <c r="N83" s="400"/>
      <c r="O83" s="401"/>
      <c r="P83" s="402"/>
      <c r="Q83" s="403"/>
      <c r="R83" s="400"/>
      <c r="S83" s="400"/>
      <c r="T83" s="400"/>
      <c r="U83" s="400"/>
      <c r="V83" s="402"/>
      <c r="X83" s="400"/>
      <c r="Y83" s="400"/>
      <c r="Z83" s="402"/>
      <c r="AA83" s="404">
        <f>+SUM(Z84:Z86)</f>
        <v>5227135.5339705851</v>
      </c>
      <c r="AB83" s="405" t="s">
        <v>4178</v>
      </c>
      <c r="AC83" s="406"/>
      <c r="AD83" s="440"/>
      <c r="AE83" s="441"/>
      <c r="AF83" s="441"/>
      <c r="AG83" s="408"/>
      <c r="AH83" s="409"/>
      <c r="AI83" s="410"/>
      <c r="AJ83" s="411"/>
      <c r="AK83" s="408"/>
      <c r="AL83" s="409"/>
      <c r="AM83" s="442"/>
      <c r="AN83" s="442"/>
      <c r="AO83" s="410"/>
    </row>
    <row r="84" spans="1:44" ht="10.5" customHeight="1" x14ac:dyDescent="0.35">
      <c r="A84" s="412" t="s">
        <v>106</v>
      </c>
      <c r="B84" s="412" t="s">
        <v>25</v>
      </c>
      <c r="C84" s="412" t="s">
        <v>25</v>
      </c>
      <c r="D84" s="412" t="s">
        <v>106</v>
      </c>
      <c r="F84" s="413">
        <v>9.01</v>
      </c>
      <c r="G84" s="460" t="s">
        <v>4112</v>
      </c>
      <c r="H84" s="415" t="s">
        <v>4179</v>
      </c>
      <c r="I84" s="476" t="s">
        <v>98</v>
      </c>
      <c r="J84" s="461">
        <v>1</v>
      </c>
      <c r="K84" s="418">
        <v>181154.98207619999</v>
      </c>
      <c r="L84" s="418">
        <v>0</v>
      </c>
      <c r="M84" s="418">
        <v>1378156.6048314399</v>
      </c>
      <c r="N84" s="418">
        <v>23389.673803614602</v>
      </c>
      <c r="O84" s="419">
        <f>+SUM(K84:N84)</f>
        <v>1582701.2607112546</v>
      </c>
      <c r="P84" s="420">
        <f>+O84*$P$2</f>
        <v>2272023.5574968788</v>
      </c>
      <c r="Q84" s="403"/>
      <c r="R84" s="421">
        <f t="shared" ref="R84:U86" si="124">+K84*$P$2</f>
        <v>260054.37479091054</v>
      </c>
      <c r="S84" s="421">
        <f t="shared" si="124"/>
        <v>0</v>
      </c>
      <c r="T84" s="421">
        <f t="shared" si="124"/>
        <v>1978392.4798858173</v>
      </c>
      <c r="U84" s="421">
        <f t="shared" si="124"/>
        <v>33576.702820150924</v>
      </c>
      <c r="V84" s="422">
        <f>+SUM(R84:U84)</f>
        <v>2272023.5574968788</v>
      </c>
      <c r="W84" s="423"/>
      <c r="X84" s="421">
        <f>+R84*J84</f>
        <v>260054.37479091054</v>
      </c>
      <c r="Y84" s="421">
        <f>+Z84-X84</f>
        <v>2011969.1827059682</v>
      </c>
      <c r="Z84" s="422">
        <f>+V84*J84</f>
        <v>2272023.5574968788</v>
      </c>
      <c r="AA84" s="371"/>
      <c r="AB84" s="425" t="s">
        <v>4178</v>
      </c>
      <c r="AC84" s="427">
        <v>0</v>
      </c>
      <c r="AD84" s="427">
        <v>0</v>
      </c>
      <c r="AE84" s="428">
        <f>AC84+AD84</f>
        <v>0</v>
      </c>
      <c r="AF84" s="437" t="str">
        <f>IF($AE84=1,"🔴","⚪")</f>
        <v>⚪</v>
      </c>
      <c r="AG84" s="430">
        <f>AC84*Z84</f>
        <v>0</v>
      </c>
      <c r="AH84" s="375">
        <f>AD84*Z84</f>
        <v>0</v>
      </c>
      <c r="AI84" s="431">
        <f>AE84*Z84</f>
        <v>0</v>
      </c>
      <c r="AJ84" s="375"/>
      <c r="AK84" s="430">
        <f>AE84*X84</f>
        <v>0</v>
      </c>
      <c r="AL84" s="375">
        <f>AE84*S84*J84</f>
        <v>0</v>
      </c>
      <c r="AM84" s="432">
        <f>AE84*T84*J84</f>
        <v>0</v>
      </c>
      <c r="AN84" s="432">
        <f>AE84*U84*J84</f>
        <v>0</v>
      </c>
      <c r="AO84" s="433">
        <f>AK84+AL84+AM84+AN84</f>
        <v>0</v>
      </c>
      <c r="AQ84" s="563">
        <f>+O84</f>
        <v>1582701.2607112546</v>
      </c>
      <c r="AR84" s="563">
        <f>+O84*J84</f>
        <v>1582701.2607112546</v>
      </c>
    </row>
    <row r="85" spans="1:44" ht="10.5" customHeight="1" x14ac:dyDescent="0.35">
      <c r="A85" s="412" t="s">
        <v>106</v>
      </c>
      <c r="B85" s="412" t="s">
        <v>25</v>
      </c>
      <c r="C85" s="412" t="s">
        <v>25</v>
      </c>
      <c r="D85" s="412" t="s">
        <v>106</v>
      </c>
      <c r="F85" s="434">
        <v>9.02</v>
      </c>
      <c r="G85" s="414" t="s">
        <v>4112</v>
      </c>
      <c r="H85" s="435" t="s">
        <v>4180</v>
      </c>
      <c r="I85" s="438" t="s">
        <v>748</v>
      </c>
      <c r="J85" s="439">
        <v>81</v>
      </c>
      <c r="K85" s="418">
        <v>2592.977349250074</v>
      </c>
      <c r="L85" s="418">
        <v>0</v>
      </c>
      <c r="M85" s="418">
        <v>18121.935547301731</v>
      </c>
      <c r="N85" s="418">
        <v>310.72369344827649</v>
      </c>
      <c r="O85" s="419">
        <f>+SUM(K85:N85)</f>
        <v>21025.636590000082</v>
      </c>
      <c r="P85" s="420">
        <f>+O85*$P$2</f>
        <v>30183.043907086234</v>
      </c>
      <c r="Q85" s="403"/>
      <c r="R85" s="421">
        <f t="shared" si="124"/>
        <v>3722.3105634631702</v>
      </c>
      <c r="S85" s="421">
        <f t="shared" si="124"/>
        <v>0</v>
      </c>
      <c r="T85" s="421">
        <f t="shared" si="124"/>
        <v>26014.67850755775</v>
      </c>
      <c r="U85" s="421">
        <f t="shared" si="124"/>
        <v>446.05483606531294</v>
      </c>
      <c r="V85" s="422">
        <f>+SUM(R85:U85)</f>
        <v>30183.043907086234</v>
      </c>
      <c r="W85" s="423"/>
      <c r="X85" s="421">
        <f>+R85*J85</f>
        <v>301507.15564051678</v>
      </c>
      <c r="Y85" s="421">
        <f>+Z85-X85</f>
        <v>2143319.400833468</v>
      </c>
      <c r="Z85" s="422">
        <f>+V85*J85</f>
        <v>2444826.5564739848</v>
      </c>
      <c r="AA85" s="371"/>
      <c r="AB85" s="425" t="s">
        <v>4178</v>
      </c>
      <c r="AC85" s="427">
        <v>0</v>
      </c>
      <c r="AD85" s="427">
        <v>0</v>
      </c>
      <c r="AE85" s="428">
        <f>AC85+AD85</f>
        <v>0</v>
      </c>
      <c r="AF85" s="437" t="str">
        <f>IF($AE85=1,"🔴","⚪")</f>
        <v>⚪</v>
      </c>
      <c r="AG85" s="430">
        <f>AC85*Z85</f>
        <v>0</v>
      </c>
      <c r="AH85" s="375">
        <f>AD85*Z85</f>
        <v>0</v>
      </c>
      <c r="AI85" s="431">
        <f>AE85*Z85</f>
        <v>0</v>
      </c>
      <c r="AJ85" s="375"/>
      <c r="AK85" s="430">
        <f>AE85*X85</f>
        <v>0</v>
      </c>
      <c r="AL85" s="375">
        <f>AE85*S85*J85</f>
        <v>0</v>
      </c>
      <c r="AM85" s="432">
        <f>AE85*T85*J85</f>
        <v>0</v>
      </c>
      <c r="AN85" s="432">
        <f>AE85*U85*J85</f>
        <v>0</v>
      </c>
      <c r="AO85" s="433">
        <f>AK85+AL85+AM85+AN85</f>
        <v>0</v>
      </c>
      <c r="AQ85" s="563">
        <f>+O85</f>
        <v>21025.636590000082</v>
      </c>
      <c r="AR85" s="563">
        <f>+O85*J85</f>
        <v>1703076.5637900066</v>
      </c>
    </row>
    <row r="86" spans="1:44" ht="10.5" customHeight="1" x14ac:dyDescent="0.35">
      <c r="A86" s="412" t="s">
        <v>106</v>
      </c>
      <c r="B86" s="412" t="s">
        <v>25</v>
      </c>
      <c r="C86" s="412" t="s">
        <v>25</v>
      </c>
      <c r="D86" s="412" t="s">
        <v>106</v>
      </c>
      <c r="F86" s="449">
        <v>9.0299999999999994</v>
      </c>
      <c r="G86" s="450" t="s">
        <v>4112</v>
      </c>
      <c r="H86" s="459" t="s">
        <v>4181</v>
      </c>
      <c r="I86" s="477" t="s">
        <v>744</v>
      </c>
      <c r="J86" s="453">
        <v>46</v>
      </c>
      <c r="K86" s="418">
        <v>609.94943460000002</v>
      </c>
      <c r="L86" s="418">
        <v>0</v>
      </c>
      <c r="M86" s="418">
        <v>7003.393701838565</v>
      </c>
      <c r="N86" s="418">
        <v>114.20014704657849</v>
      </c>
      <c r="O86" s="419">
        <f>+SUM(K86:N86)</f>
        <v>7727.5432834851435</v>
      </c>
      <c r="P86" s="420">
        <f>+O86*$P$2</f>
        <v>11093.161304341773</v>
      </c>
      <c r="Q86" s="403"/>
      <c r="R86" s="421">
        <f t="shared" si="124"/>
        <v>875.6039555249514</v>
      </c>
      <c r="S86" s="421">
        <f t="shared" si="124"/>
        <v>0</v>
      </c>
      <c r="T86" s="421">
        <f t="shared" si="124"/>
        <v>10053.619004417682</v>
      </c>
      <c r="U86" s="421">
        <f t="shared" si="124"/>
        <v>163.93834439913951</v>
      </c>
      <c r="V86" s="422">
        <f>+SUM(R86:U86)</f>
        <v>11093.161304341773</v>
      </c>
      <c r="W86" s="423"/>
      <c r="X86" s="421">
        <f>+R86*J86</f>
        <v>40277.781954147766</v>
      </c>
      <c r="Y86" s="421">
        <f>+Z86-X86</f>
        <v>470007.63804557384</v>
      </c>
      <c r="Z86" s="422">
        <f>+V86*J86</f>
        <v>510285.41999972158</v>
      </c>
      <c r="AA86" s="371"/>
      <c r="AB86" s="425" t="s">
        <v>4178</v>
      </c>
      <c r="AC86" s="427">
        <v>0</v>
      </c>
      <c r="AD86" s="427">
        <v>0</v>
      </c>
      <c r="AE86" s="428">
        <f>AC86+AD86</f>
        <v>0</v>
      </c>
      <c r="AF86" s="437" t="str">
        <f>IF($AE86=1,"🔴","⚪")</f>
        <v>⚪</v>
      </c>
      <c r="AG86" s="430">
        <f>AC86*Z86</f>
        <v>0</v>
      </c>
      <c r="AH86" s="375">
        <f>AD86*Z86</f>
        <v>0</v>
      </c>
      <c r="AI86" s="431">
        <f>AE86*Z86</f>
        <v>0</v>
      </c>
      <c r="AJ86" s="375"/>
      <c r="AK86" s="430">
        <f>AE86*X86</f>
        <v>0</v>
      </c>
      <c r="AL86" s="375">
        <f>AE86*S86*J86</f>
        <v>0</v>
      </c>
      <c r="AM86" s="432">
        <f>AE86*T86*J86</f>
        <v>0</v>
      </c>
      <c r="AN86" s="432">
        <f>AE86*U86*J86</f>
        <v>0</v>
      </c>
      <c r="AO86" s="433">
        <f>AK86+AL86+AM86+AN86</f>
        <v>0</v>
      </c>
      <c r="AQ86" s="563">
        <f>+O86</f>
        <v>7727.5432834851435</v>
      </c>
      <c r="AR86" s="563">
        <f>+O86*J86</f>
        <v>355466.99104031658</v>
      </c>
    </row>
    <row r="87" spans="1:44" ht="10.5" customHeight="1" x14ac:dyDescent="0.25">
      <c r="A87" s="412" t="s">
        <v>25</v>
      </c>
      <c r="B87" s="412" t="s">
        <v>25</v>
      </c>
      <c r="C87" s="412" t="s">
        <v>25</v>
      </c>
      <c r="D87" s="412" t="s">
        <v>25</v>
      </c>
      <c r="F87" s="396">
        <v>10</v>
      </c>
      <c r="G87" s="397"/>
      <c r="H87" s="398" t="s">
        <v>4182</v>
      </c>
      <c r="I87" s="399"/>
      <c r="J87" s="400"/>
      <c r="K87" s="400"/>
      <c r="L87" s="400"/>
      <c r="M87" s="400"/>
      <c r="N87" s="400"/>
      <c r="O87" s="401"/>
      <c r="P87" s="402"/>
      <c r="Q87" s="403"/>
      <c r="R87" s="400"/>
      <c r="S87" s="400"/>
      <c r="T87" s="400"/>
      <c r="U87" s="400"/>
      <c r="V87" s="402"/>
      <c r="X87" s="400"/>
      <c r="Y87" s="400"/>
      <c r="Z87" s="402"/>
      <c r="AA87" s="404">
        <f>+SUM(Z88:Z91)</f>
        <v>4507448.4206947768</v>
      </c>
      <c r="AB87" s="405" t="s">
        <v>4182</v>
      </c>
      <c r="AC87" s="406"/>
      <c r="AD87" s="440"/>
      <c r="AE87" s="441"/>
      <c r="AF87" s="441"/>
      <c r="AG87" s="408"/>
      <c r="AH87" s="409"/>
      <c r="AI87" s="410"/>
      <c r="AJ87" s="411"/>
      <c r="AK87" s="408"/>
      <c r="AL87" s="409"/>
      <c r="AM87" s="442"/>
      <c r="AN87" s="442"/>
      <c r="AO87" s="410"/>
    </row>
    <row r="88" spans="1:44" ht="10.5" customHeight="1" x14ac:dyDescent="0.35">
      <c r="A88" s="412" t="s">
        <v>106</v>
      </c>
      <c r="B88" s="412" t="s">
        <v>25</v>
      </c>
      <c r="C88" s="412" t="s">
        <v>25</v>
      </c>
      <c r="D88" s="412" t="s">
        <v>106</v>
      </c>
      <c r="F88" s="434">
        <v>10.01</v>
      </c>
      <c r="G88" s="414" t="s">
        <v>4128</v>
      </c>
      <c r="H88" s="435" t="s">
        <v>4183</v>
      </c>
      <c r="I88" s="478" t="s">
        <v>98</v>
      </c>
      <c r="J88" s="421">
        <v>1</v>
      </c>
      <c r="K88" s="418">
        <v>200000</v>
      </c>
      <c r="L88" s="418">
        <v>0</v>
      </c>
      <c r="M88" s="418">
        <v>1163573.8754485799</v>
      </c>
      <c r="N88" s="418">
        <v>20453.608131728699</v>
      </c>
      <c r="O88" s="419">
        <f>+SUM(K88:N88)</f>
        <v>1384027.4835803085</v>
      </c>
      <c r="P88" s="420">
        <f>+O88*$P$2</f>
        <v>1986820.3336771531</v>
      </c>
      <c r="Q88" s="403"/>
      <c r="R88" s="421">
        <f t="shared" ref="R88:U91" si="125">+K88*$P$2</f>
        <v>287107.06358771049</v>
      </c>
      <c r="S88" s="421">
        <f t="shared" si="125"/>
        <v>0</v>
      </c>
      <c r="T88" s="421">
        <f t="shared" si="125"/>
        <v>1670351.3932370709</v>
      </c>
      <c r="U88" s="421">
        <f t="shared" si="125"/>
        <v>29361.876852371723</v>
      </c>
      <c r="V88" s="422">
        <f>+SUM(R88:U88)</f>
        <v>1986820.3336771531</v>
      </c>
      <c r="W88" s="423"/>
      <c r="X88" s="421">
        <f>+R88*J88</f>
        <v>287107.06358771049</v>
      </c>
      <c r="Y88" s="421">
        <f>+Z88-X88</f>
        <v>1699713.2700894426</v>
      </c>
      <c r="Z88" s="422">
        <f>+V88*J88</f>
        <v>1986820.3336771531</v>
      </c>
      <c r="AA88" s="424"/>
      <c r="AB88" s="425" t="s">
        <v>4182</v>
      </c>
      <c r="AC88" s="427">
        <v>0</v>
      </c>
      <c r="AD88" s="427">
        <v>0</v>
      </c>
      <c r="AE88" s="428">
        <f>AC88+AD88</f>
        <v>0</v>
      </c>
      <c r="AF88" s="437" t="str">
        <f>IF($AE88=1,"🔴","⚪")</f>
        <v>⚪</v>
      </c>
      <c r="AG88" s="430">
        <f>AC88*Z88</f>
        <v>0</v>
      </c>
      <c r="AH88" s="375">
        <f>AD88*Z88</f>
        <v>0</v>
      </c>
      <c r="AI88" s="431">
        <f>AE88*Z88</f>
        <v>0</v>
      </c>
      <c r="AJ88" s="375"/>
      <c r="AK88" s="430">
        <f>AE88*X88</f>
        <v>0</v>
      </c>
      <c r="AL88" s="375">
        <f>AE88*S88*J88</f>
        <v>0</v>
      </c>
      <c r="AM88" s="432">
        <f>AE88*T88*J88</f>
        <v>0</v>
      </c>
      <c r="AN88" s="432">
        <f>AE88*U88*J88</f>
        <v>0</v>
      </c>
      <c r="AO88" s="433">
        <f>AK88+AL88+AM88+AN88</f>
        <v>0</v>
      </c>
      <c r="AQ88" s="563">
        <f>+O88</f>
        <v>1384027.4835803085</v>
      </c>
      <c r="AR88" s="563">
        <f>+O88*J88</f>
        <v>1384027.4835803085</v>
      </c>
    </row>
    <row r="89" spans="1:44" ht="10.5" customHeight="1" x14ac:dyDescent="0.35">
      <c r="A89" s="412" t="s">
        <v>106</v>
      </c>
      <c r="B89" s="412" t="s">
        <v>25</v>
      </c>
      <c r="C89" s="412" t="s">
        <v>25</v>
      </c>
      <c r="D89" s="412" t="s">
        <v>106</v>
      </c>
      <c r="F89" s="434">
        <v>10.02</v>
      </c>
      <c r="G89" s="414" t="s">
        <v>4128</v>
      </c>
      <c r="H89" s="435" t="s">
        <v>4184</v>
      </c>
      <c r="I89" s="478" t="s">
        <v>98</v>
      </c>
      <c r="J89" s="421">
        <v>1</v>
      </c>
      <c r="K89" s="418">
        <v>200000</v>
      </c>
      <c r="L89" s="418">
        <v>0</v>
      </c>
      <c r="M89" s="418">
        <v>698144.32526914799</v>
      </c>
      <c r="N89" s="418">
        <v>13472.1648790372</v>
      </c>
      <c r="O89" s="419">
        <f>+SUM(K89:N89)</f>
        <v>911616.49014818517</v>
      </c>
      <c r="P89" s="420">
        <f>+O89*$P$2</f>
        <v>1308657.6680229024</v>
      </c>
      <c r="Q89" s="403"/>
      <c r="R89" s="421">
        <f t="shared" si="125"/>
        <v>287107.06358771049</v>
      </c>
      <c r="S89" s="421">
        <f t="shared" si="125"/>
        <v>0</v>
      </c>
      <c r="T89" s="421">
        <f t="shared" si="125"/>
        <v>1002210.8359422426</v>
      </c>
      <c r="U89" s="421">
        <f t="shared" si="125"/>
        <v>19339.768492949268</v>
      </c>
      <c r="V89" s="422">
        <f>+SUM(R89:U89)</f>
        <v>1308657.6680229022</v>
      </c>
      <c r="W89" s="423"/>
      <c r="X89" s="421">
        <f>+R89*J89</f>
        <v>287107.06358771049</v>
      </c>
      <c r="Y89" s="421">
        <f>+Z89-X89</f>
        <v>1021550.6044351917</v>
      </c>
      <c r="Z89" s="422">
        <f>+V89*J89</f>
        <v>1308657.6680229022</v>
      </c>
      <c r="AA89" s="424"/>
      <c r="AB89" s="425" t="s">
        <v>4182</v>
      </c>
      <c r="AC89" s="427">
        <v>0</v>
      </c>
      <c r="AD89" s="427">
        <v>0</v>
      </c>
      <c r="AE89" s="428">
        <f>AC89+AD89</f>
        <v>0</v>
      </c>
      <c r="AF89" s="437" t="str">
        <f>IF($AE89=1,"🔴","⚪")</f>
        <v>⚪</v>
      </c>
      <c r="AG89" s="430">
        <f>AC89*Z89</f>
        <v>0</v>
      </c>
      <c r="AH89" s="375">
        <f>AD89*Z89</f>
        <v>0</v>
      </c>
      <c r="AI89" s="431">
        <f>AE89*Z89</f>
        <v>0</v>
      </c>
      <c r="AJ89" s="375"/>
      <c r="AK89" s="430">
        <f>AE89*X89</f>
        <v>0</v>
      </c>
      <c r="AL89" s="375">
        <f>AE89*S89*J89</f>
        <v>0</v>
      </c>
      <c r="AM89" s="432">
        <f>AE89*T89*J89</f>
        <v>0</v>
      </c>
      <c r="AN89" s="432">
        <f>AE89*U89*J89</f>
        <v>0</v>
      </c>
      <c r="AO89" s="433">
        <f>AK89+AL89+AM89+AN89</f>
        <v>0</v>
      </c>
      <c r="AQ89" s="563">
        <f>+O89</f>
        <v>911616.49014818517</v>
      </c>
      <c r="AR89" s="563">
        <f>+O89*J89</f>
        <v>911616.49014818517</v>
      </c>
    </row>
    <row r="90" spans="1:44" ht="10.5" customHeight="1" x14ac:dyDescent="0.35">
      <c r="A90" s="412" t="s">
        <v>106</v>
      </c>
      <c r="B90" s="412" t="s">
        <v>25</v>
      </c>
      <c r="C90" s="412" t="s">
        <v>25</v>
      </c>
      <c r="D90" s="412" t="s">
        <v>106</v>
      </c>
      <c r="F90" s="434">
        <v>10.029999999999999</v>
      </c>
      <c r="G90" s="414" t="s">
        <v>4128</v>
      </c>
      <c r="H90" s="435" t="s">
        <v>4185</v>
      </c>
      <c r="I90" s="478" t="s">
        <v>98</v>
      </c>
      <c r="J90" s="421">
        <v>1</v>
      </c>
      <c r="K90" s="418">
        <v>50000</v>
      </c>
      <c r="L90" s="418">
        <v>0</v>
      </c>
      <c r="M90" s="418">
        <v>349072.16263457399</v>
      </c>
      <c r="N90" s="418">
        <v>5986.08243951861</v>
      </c>
      <c r="O90" s="419">
        <f>+SUM(K90:N90)</f>
        <v>405058.24507409259</v>
      </c>
      <c r="P90" s="420">
        <f>+O90*$P$2</f>
        <v>581475.41662606969</v>
      </c>
      <c r="Q90" s="403"/>
      <c r="R90" s="421">
        <f t="shared" si="125"/>
        <v>71776.765896927624</v>
      </c>
      <c r="S90" s="421">
        <f t="shared" si="125"/>
        <v>0</v>
      </c>
      <c r="T90" s="421">
        <f t="shared" si="125"/>
        <v>501105.41797112132</v>
      </c>
      <c r="U90" s="421">
        <f t="shared" si="125"/>
        <v>8593.2327580207348</v>
      </c>
      <c r="V90" s="422">
        <f>+SUM(R90:U90)</f>
        <v>581475.41662606969</v>
      </c>
      <c r="W90" s="423"/>
      <c r="X90" s="421">
        <f>+R90*J90</f>
        <v>71776.765896927624</v>
      </c>
      <c r="Y90" s="421">
        <f>+Z90-X90</f>
        <v>509698.65072914207</v>
      </c>
      <c r="Z90" s="422">
        <f>+V90*J90</f>
        <v>581475.41662606969</v>
      </c>
      <c r="AA90" s="424"/>
      <c r="AB90" s="425" t="s">
        <v>4182</v>
      </c>
      <c r="AC90" s="427">
        <v>0</v>
      </c>
      <c r="AD90" s="427">
        <v>0</v>
      </c>
      <c r="AE90" s="428">
        <f>AC90+AD90</f>
        <v>0</v>
      </c>
      <c r="AF90" s="437" t="str">
        <f>IF($AE90=1,"🔴","⚪")</f>
        <v>⚪</v>
      </c>
      <c r="AG90" s="430">
        <f>AC90*Z90</f>
        <v>0</v>
      </c>
      <c r="AH90" s="375">
        <f>AD90*Z90</f>
        <v>0</v>
      </c>
      <c r="AI90" s="431">
        <f>AE90*Z90</f>
        <v>0</v>
      </c>
      <c r="AJ90" s="375"/>
      <c r="AK90" s="430">
        <f>AE90*X90</f>
        <v>0</v>
      </c>
      <c r="AL90" s="375">
        <f>AE90*S90*J90</f>
        <v>0</v>
      </c>
      <c r="AM90" s="432">
        <f>AE90*T90*J90</f>
        <v>0</v>
      </c>
      <c r="AN90" s="432">
        <f>AE90*U90*J90</f>
        <v>0</v>
      </c>
      <c r="AO90" s="433">
        <f>AK90+AL90+AM90+AN90</f>
        <v>0</v>
      </c>
      <c r="AQ90" s="563">
        <f>+O90</f>
        <v>405058.24507409259</v>
      </c>
      <c r="AR90" s="563">
        <f>+O90*J90</f>
        <v>405058.24507409259</v>
      </c>
    </row>
    <row r="91" spans="1:44" ht="10.5" customHeight="1" x14ac:dyDescent="0.35">
      <c r="A91" s="412" t="s">
        <v>106</v>
      </c>
      <c r="B91" s="412" t="s">
        <v>25</v>
      </c>
      <c r="C91" s="412" t="s">
        <v>25</v>
      </c>
      <c r="D91" s="412" t="s">
        <v>106</v>
      </c>
      <c r="F91" s="434">
        <v>10.039999999999999</v>
      </c>
      <c r="G91" s="414" t="s">
        <v>4128</v>
      </c>
      <c r="H91" s="435" t="s">
        <v>4186</v>
      </c>
      <c r="I91" s="436" t="s">
        <v>35</v>
      </c>
      <c r="J91" s="439">
        <v>10</v>
      </c>
      <c r="K91" s="418">
        <v>20000</v>
      </c>
      <c r="L91" s="418">
        <v>0</v>
      </c>
      <c r="M91" s="418">
        <v>23271.477508971599</v>
      </c>
      <c r="N91" s="418">
        <v>649.07216263457406</v>
      </c>
      <c r="O91" s="419">
        <f>+SUM(K91:N91)</f>
        <v>43920.549671606175</v>
      </c>
      <c r="P91" s="420">
        <f>+O91*$P$2</f>
        <v>63049.500236865162</v>
      </c>
      <c r="Q91" s="403"/>
      <c r="R91" s="421">
        <f t="shared" si="125"/>
        <v>28710.706358771051</v>
      </c>
      <c r="S91" s="421">
        <f t="shared" si="125"/>
        <v>0</v>
      </c>
      <c r="T91" s="421">
        <f t="shared" si="125"/>
        <v>33407.027864741423</v>
      </c>
      <c r="U91" s="421">
        <f t="shared" si="125"/>
        <v>931.7660133526872</v>
      </c>
      <c r="V91" s="422">
        <f>+SUM(R91:U91)</f>
        <v>63049.500236865162</v>
      </c>
      <c r="W91" s="423"/>
      <c r="X91" s="421">
        <f>+R91*J91</f>
        <v>287107.06358771049</v>
      </c>
      <c r="Y91" s="421">
        <f>+Z91-X91</f>
        <v>343387.93878094107</v>
      </c>
      <c r="Z91" s="422">
        <f>+V91*J91</f>
        <v>630495.00236865156</v>
      </c>
      <c r="AA91" s="371"/>
      <c r="AB91" s="425" t="s">
        <v>4182</v>
      </c>
      <c r="AC91" s="427">
        <v>0</v>
      </c>
      <c r="AD91" s="427">
        <v>0</v>
      </c>
      <c r="AE91" s="428">
        <f>AC91+AD91</f>
        <v>0</v>
      </c>
      <c r="AF91" s="437" t="str">
        <f>IF($AE91=1,"🔴","⚪")</f>
        <v>⚪</v>
      </c>
      <c r="AG91" s="430">
        <f>AC91*Z91</f>
        <v>0</v>
      </c>
      <c r="AH91" s="375">
        <f>AD91*Z91</f>
        <v>0</v>
      </c>
      <c r="AI91" s="431">
        <f>AE91*Z91</f>
        <v>0</v>
      </c>
      <c r="AJ91" s="375"/>
      <c r="AK91" s="430">
        <f>AE91*X91</f>
        <v>0</v>
      </c>
      <c r="AL91" s="375">
        <f>AE91*S91*J91</f>
        <v>0</v>
      </c>
      <c r="AM91" s="432">
        <f>AE91*T91*J91</f>
        <v>0</v>
      </c>
      <c r="AN91" s="432">
        <f>AE91*U91*J91</f>
        <v>0</v>
      </c>
      <c r="AO91" s="433">
        <f>AK91+AL91+AM91+AN91</f>
        <v>0</v>
      </c>
      <c r="AQ91" s="563">
        <f>+O91</f>
        <v>43920.549671606175</v>
      </c>
      <c r="AR91" s="563">
        <f>+O91*J91</f>
        <v>439205.49671606172</v>
      </c>
    </row>
    <row r="92" spans="1:44" ht="10.5" customHeight="1" x14ac:dyDescent="0.25">
      <c r="A92" s="412" t="s">
        <v>25</v>
      </c>
      <c r="B92" s="412" t="s">
        <v>25</v>
      </c>
      <c r="C92" s="412" t="s">
        <v>25</v>
      </c>
      <c r="D92" s="412" t="s">
        <v>25</v>
      </c>
      <c r="F92" s="396">
        <v>11</v>
      </c>
      <c r="G92" s="397"/>
      <c r="H92" s="398" t="s">
        <v>4187</v>
      </c>
      <c r="I92" s="399"/>
      <c r="J92" s="400"/>
      <c r="K92" s="400"/>
      <c r="L92" s="400"/>
      <c r="M92" s="400"/>
      <c r="N92" s="400"/>
      <c r="O92" s="401"/>
      <c r="P92" s="402"/>
      <c r="Q92" s="403"/>
      <c r="R92" s="400"/>
      <c r="S92" s="400"/>
      <c r="T92" s="400"/>
      <c r="U92" s="400"/>
      <c r="V92" s="402"/>
      <c r="X92" s="400"/>
      <c r="Y92" s="400"/>
      <c r="Z92" s="402"/>
      <c r="AA92" s="404">
        <f>+SUM(Z93:Z103)</f>
        <v>33574758.470998526</v>
      </c>
      <c r="AB92" s="405" t="s">
        <v>4187</v>
      </c>
      <c r="AC92" s="406"/>
      <c r="AD92" s="440"/>
      <c r="AE92" s="441"/>
      <c r="AF92" s="441"/>
      <c r="AG92" s="408"/>
      <c r="AH92" s="409"/>
      <c r="AI92" s="410"/>
      <c r="AJ92" s="411"/>
      <c r="AK92" s="408"/>
      <c r="AL92" s="409"/>
      <c r="AM92" s="442"/>
      <c r="AN92" s="442"/>
      <c r="AO92" s="410"/>
    </row>
    <row r="93" spans="1:44" ht="10.5" customHeight="1" x14ac:dyDescent="0.35">
      <c r="A93" s="412" t="s">
        <v>25</v>
      </c>
      <c r="B93" s="412" t="s">
        <v>25</v>
      </c>
      <c r="C93" s="412" t="s">
        <v>25</v>
      </c>
      <c r="D93" s="412" t="s">
        <v>25</v>
      </c>
      <c r="F93" s="413">
        <v>11.01</v>
      </c>
      <c r="G93" s="460" t="s">
        <v>4112</v>
      </c>
      <c r="H93" s="415" t="s">
        <v>4188</v>
      </c>
      <c r="I93" s="476" t="s">
        <v>988</v>
      </c>
      <c r="J93" s="461">
        <v>0</v>
      </c>
      <c r="K93" s="418">
        <v>0</v>
      </c>
      <c r="L93" s="418">
        <v>0</v>
      </c>
      <c r="M93" s="418">
        <v>0</v>
      </c>
      <c r="N93" s="418">
        <v>0</v>
      </c>
      <c r="O93" s="419">
        <f t="shared" ref="O93:O103" si="126">+SUM(K93:N93)</f>
        <v>0</v>
      </c>
      <c r="P93" s="420">
        <f t="shared" ref="P93:P103" si="127">+O93*$P$2</f>
        <v>0</v>
      </c>
      <c r="Q93" s="403"/>
      <c r="R93" s="421">
        <f t="shared" ref="R93:R103" si="128">+K93*$P$2</f>
        <v>0</v>
      </c>
      <c r="S93" s="421">
        <f t="shared" ref="S93:S103" si="129">+L93*$P$2</f>
        <v>0</v>
      </c>
      <c r="T93" s="421">
        <f t="shared" ref="T93:T103" si="130">+M93*$P$2</f>
        <v>0</v>
      </c>
      <c r="U93" s="421">
        <f t="shared" ref="U93:U103" si="131">+N93*$P$2</f>
        <v>0</v>
      </c>
      <c r="V93" s="422">
        <f t="shared" ref="V93:V103" si="132">+SUM(R93:U93)</f>
        <v>0</v>
      </c>
      <c r="W93" s="423"/>
      <c r="X93" s="421">
        <f t="shared" ref="X93:X103" si="133">+R93*J93</f>
        <v>0</v>
      </c>
      <c r="Y93" s="421">
        <f t="shared" ref="Y93:Y103" si="134">+Z93-X93</f>
        <v>0</v>
      </c>
      <c r="Z93" s="422">
        <f t="shared" ref="Z93:Z103" si="135">+V93*J93</f>
        <v>0</v>
      </c>
      <c r="AA93" s="371"/>
      <c r="AB93" s="425" t="s">
        <v>4187</v>
      </c>
      <c r="AC93" s="427">
        <v>0</v>
      </c>
      <c r="AD93" s="427">
        <v>0</v>
      </c>
      <c r="AE93" s="428">
        <f t="shared" ref="AE93:AE103" si="136">AC93+AD93</f>
        <v>0</v>
      </c>
      <c r="AF93" s="437" t="str">
        <f t="shared" ref="AF93:AF103" si="137">IF($AE93=1,"🔴","⚪")</f>
        <v>⚪</v>
      </c>
      <c r="AG93" s="430">
        <f t="shared" ref="AG93:AG103" si="138">AC93*Z93</f>
        <v>0</v>
      </c>
      <c r="AH93" s="375">
        <f t="shared" ref="AH93:AH103" si="139">AD93*Z93</f>
        <v>0</v>
      </c>
      <c r="AI93" s="431">
        <f t="shared" ref="AI93:AI103" si="140">AE93*Z93</f>
        <v>0</v>
      </c>
      <c r="AJ93" s="375"/>
      <c r="AK93" s="430">
        <f t="shared" ref="AK93:AK103" si="141">AE93*X93</f>
        <v>0</v>
      </c>
      <c r="AL93" s="375">
        <f t="shared" ref="AL93:AL103" si="142">AE93*S93*J93</f>
        <v>0</v>
      </c>
      <c r="AM93" s="432">
        <f t="shared" ref="AM93:AM103" si="143">AE93*T93*J93</f>
        <v>0</v>
      </c>
      <c r="AN93" s="432">
        <f t="shared" ref="AN93:AN103" si="144">AE93*U93*J93</f>
        <v>0</v>
      </c>
      <c r="AO93" s="433">
        <f t="shared" ref="AO93:AO103" si="145">AK93+AL93+AM93+AN93</f>
        <v>0</v>
      </c>
      <c r="AQ93" s="563">
        <f t="shared" ref="AQ93:AQ103" si="146">+O93</f>
        <v>0</v>
      </c>
      <c r="AR93" s="563">
        <f t="shared" ref="AR93:AR103" si="147">+O93*J93</f>
        <v>0</v>
      </c>
    </row>
    <row r="94" spans="1:44" ht="10.5" customHeight="1" x14ac:dyDescent="0.35">
      <c r="A94" s="412" t="s">
        <v>476</v>
      </c>
      <c r="B94" s="412" t="s">
        <v>25</v>
      </c>
      <c r="C94" s="412" t="s">
        <v>25</v>
      </c>
      <c r="D94" s="412" t="s">
        <v>476</v>
      </c>
      <c r="F94" s="434">
        <v>11.02</v>
      </c>
      <c r="G94" s="414" t="s">
        <v>4112</v>
      </c>
      <c r="H94" s="435" t="s">
        <v>4189</v>
      </c>
      <c r="I94" s="438" t="s">
        <v>988</v>
      </c>
      <c r="J94" s="439">
        <v>39</v>
      </c>
      <c r="K94" s="418">
        <v>4066.3295640000001</v>
      </c>
      <c r="L94" s="418">
        <v>0</v>
      </c>
      <c r="M94" s="418">
        <v>10118.033699552871</v>
      </c>
      <c r="N94" s="418">
        <v>282.12077749971792</v>
      </c>
      <c r="O94" s="419">
        <f t="shared" si="126"/>
        <v>14466.484041052589</v>
      </c>
      <c r="P94" s="420">
        <f t="shared" si="127"/>
        <v>20767.148767325423</v>
      </c>
      <c r="Q94" s="403"/>
      <c r="R94" s="421">
        <f t="shared" si="128"/>
        <v>5837.3597034996765</v>
      </c>
      <c r="S94" s="421">
        <f t="shared" si="129"/>
        <v>0</v>
      </c>
      <c r="T94" s="421">
        <f t="shared" si="130"/>
        <v>14524.79472380062</v>
      </c>
      <c r="U94" s="421">
        <f t="shared" si="131"/>
        <v>404.99434002512919</v>
      </c>
      <c r="V94" s="422">
        <f t="shared" si="132"/>
        <v>20767.148767325423</v>
      </c>
      <c r="W94" s="423"/>
      <c r="X94" s="421">
        <f t="shared" si="133"/>
        <v>227657.0284364874</v>
      </c>
      <c r="Y94" s="421">
        <f t="shared" si="134"/>
        <v>582261.77348920412</v>
      </c>
      <c r="Z94" s="422">
        <f t="shared" si="135"/>
        <v>809918.80192569154</v>
      </c>
      <c r="AA94" s="371"/>
      <c r="AB94" s="425" t="s">
        <v>4187</v>
      </c>
      <c r="AC94" s="427">
        <v>0</v>
      </c>
      <c r="AD94" s="427">
        <v>0</v>
      </c>
      <c r="AE94" s="428">
        <f t="shared" si="136"/>
        <v>0</v>
      </c>
      <c r="AF94" s="437" t="str">
        <f t="shared" si="137"/>
        <v>⚪</v>
      </c>
      <c r="AG94" s="430">
        <f t="shared" si="138"/>
        <v>0</v>
      </c>
      <c r="AH94" s="375">
        <f t="shared" si="139"/>
        <v>0</v>
      </c>
      <c r="AI94" s="431">
        <f t="shared" si="140"/>
        <v>0</v>
      </c>
      <c r="AJ94" s="375"/>
      <c r="AK94" s="430">
        <f t="shared" si="141"/>
        <v>0</v>
      </c>
      <c r="AL94" s="375">
        <f t="shared" si="142"/>
        <v>0</v>
      </c>
      <c r="AM94" s="432">
        <f t="shared" si="143"/>
        <v>0</v>
      </c>
      <c r="AN94" s="432">
        <f t="shared" si="144"/>
        <v>0</v>
      </c>
      <c r="AO94" s="433">
        <f t="shared" si="145"/>
        <v>0</v>
      </c>
      <c r="AQ94" s="563">
        <f t="shared" si="146"/>
        <v>14466.484041052589</v>
      </c>
      <c r="AR94" s="563">
        <f t="shared" si="147"/>
        <v>564192.877601051</v>
      </c>
    </row>
    <row r="95" spans="1:44" ht="10.5" customHeight="1" x14ac:dyDescent="0.35">
      <c r="A95" s="412" t="s">
        <v>476</v>
      </c>
      <c r="B95" s="412" t="s">
        <v>25</v>
      </c>
      <c r="C95" s="412" t="s">
        <v>25</v>
      </c>
      <c r="D95" s="412" t="s">
        <v>476</v>
      </c>
      <c r="F95" s="434">
        <v>11.03</v>
      </c>
      <c r="G95" s="414" t="s">
        <v>4112</v>
      </c>
      <c r="H95" s="435" t="s">
        <v>4190</v>
      </c>
      <c r="I95" s="438" t="s">
        <v>988</v>
      </c>
      <c r="J95" s="439">
        <v>48</v>
      </c>
      <c r="K95" s="418">
        <v>7156.2986004793338</v>
      </c>
      <c r="L95" s="418">
        <v>0</v>
      </c>
      <c r="M95" s="418">
        <v>11647.70529178031</v>
      </c>
      <c r="N95" s="418">
        <v>225.81274523621039</v>
      </c>
      <c r="O95" s="419">
        <f t="shared" si="126"/>
        <v>19029.816637495853</v>
      </c>
      <c r="P95" s="420">
        <f t="shared" si="127"/>
        <v>27317.973877019966</v>
      </c>
      <c r="Q95" s="403"/>
      <c r="R95" s="421">
        <f t="shared" si="128"/>
        <v>10273.119386702319</v>
      </c>
      <c r="S95" s="421">
        <f t="shared" si="129"/>
        <v>0</v>
      </c>
      <c r="T95" s="421">
        <f t="shared" si="130"/>
        <v>16720.692319290411</v>
      </c>
      <c r="U95" s="421">
        <f t="shared" si="131"/>
        <v>324.16217102724067</v>
      </c>
      <c r="V95" s="422">
        <f t="shared" si="132"/>
        <v>27317.973877019973</v>
      </c>
      <c r="W95" s="423"/>
      <c r="X95" s="421">
        <f t="shared" si="133"/>
        <v>493109.73056171136</v>
      </c>
      <c r="Y95" s="421">
        <f t="shared" si="134"/>
        <v>818153.01553524728</v>
      </c>
      <c r="Z95" s="422">
        <f t="shared" si="135"/>
        <v>1311262.7460969586</v>
      </c>
      <c r="AA95" s="371"/>
      <c r="AB95" s="425" t="s">
        <v>4187</v>
      </c>
      <c r="AC95" s="427">
        <v>0</v>
      </c>
      <c r="AD95" s="427">
        <v>0</v>
      </c>
      <c r="AE95" s="428">
        <f t="shared" si="136"/>
        <v>0</v>
      </c>
      <c r="AF95" s="437" t="str">
        <f t="shared" si="137"/>
        <v>⚪</v>
      </c>
      <c r="AG95" s="430">
        <f t="shared" si="138"/>
        <v>0</v>
      </c>
      <c r="AH95" s="375">
        <f t="shared" si="139"/>
        <v>0</v>
      </c>
      <c r="AI95" s="431">
        <f t="shared" si="140"/>
        <v>0</v>
      </c>
      <c r="AJ95" s="375"/>
      <c r="AK95" s="430">
        <f t="shared" si="141"/>
        <v>0</v>
      </c>
      <c r="AL95" s="375">
        <f t="shared" si="142"/>
        <v>0</v>
      </c>
      <c r="AM95" s="432">
        <f t="shared" si="143"/>
        <v>0</v>
      </c>
      <c r="AN95" s="432">
        <f t="shared" si="144"/>
        <v>0</v>
      </c>
      <c r="AO95" s="433">
        <f t="shared" si="145"/>
        <v>0</v>
      </c>
      <c r="AQ95" s="563">
        <f t="shared" si="146"/>
        <v>19029.816637495853</v>
      </c>
      <c r="AR95" s="563">
        <f t="shared" si="147"/>
        <v>913431.19859980093</v>
      </c>
    </row>
    <row r="96" spans="1:44" ht="10.5" customHeight="1" x14ac:dyDescent="0.35">
      <c r="A96" s="412" t="s">
        <v>476</v>
      </c>
      <c r="B96" s="412" t="s">
        <v>25</v>
      </c>
      <c r="C96" s="412" t="s">
        <v>476</v>
      </c>
      <c r="D96" s="412" t="s">
        <v>476</v>
      </c>
      <c r="F96" s="434">
        <v>11.04</v>
      </c>
      <c r="G96" s="414" t="s">
        <v>4112</v>
      </c>
      <c r="H96" s="435" t="s">
        <v>4191</v>
      </c>
      <c r="I96" s="436" t="s">
        <v>988</v>
      </c>
      <c r="J96" s="439">
        <v>174</v>
      </c>
      <c r="K96" s="418">
        <v>1303.4390229885059</v>
      </c>
      <c r="L96" s="418">
        <v>1609.19540229885</v>
      </c>
      <c r="M96" s="418">
        <v>11254.144468231611</v>
      </c>
      <c r="N96" s="418">
        <v>212.50168340278449</v>
      </c>
      <c r="O96" s="419">
        <f t="shared" si="126"/>
        <v>14379.280576921752</v>
      </c>
      <c r="P96" s="420">
        <f t="shared" si="127"/>
        <v>20641.96511471902</v>
      </c>
      <c r="Q96" s="403"/>
      <c r="R96" s="421">
        <f t="shared" si="128"/>
        <v>1871.1327522793213</v>
      </c>
      <c r="S96" s="421">
        <f t="shared" si="129"/>
        <v>2310.0568334643367</v>
      </c>
      <c r="T96" s="421">
        <f t="shared" si="130"/>
        <v>16155.721857329268</v>
      </c>
      <c r="U96" s="421">
        <f t="shared" si="131"/>
        <v>305.0536716460939</v>
      </c>
      <c r="V96" s="422">
        <f t="shared" si="132"/>
        <v>20641.96511471902</v>
      </c>
      <c r="W96" s="423"/>
      <c r="X96" s="421">
        <f t="shared" si="133"/>
        <v>325577.09889660188</v>
      </c>
      <c r="Y96" s="421">
        <f t="shared" si="134"/>
        <v>3266124.8310645078</v>
      </c>
      <c r="Z96" s="422">
        <f t="shared" si="135"/>
        <v>3591701.9299611095</v>
      </c>
      <c r="AA96" s="371"/>
      <c r="AB96" s="425" t="s">
        <v>4187</v>
      </c>
      <c r="AC96" s="427">
        <v>0</v>
      </c>
      <c r="AD96" s="427">
        <v>0</v>
      </c>
      <c r="AE96" s="428">
        <f t="shared" si="136"/>
        <v>0</v>
      </c>
      <c r="AF96" s="437" t="str">
        <f t="shared" si="137"/>
        <v>⚪</v>
      </c>
      <c r="AG96" s="430">
        <f t="shared" si="138"/>
        <v>0</v>
      </c>
      <c r="AH96" s="375">
        <f t="shared" si="139"/>
        <v>0</v>
      </c>
      <c r="AI96" s="431">
        <f t="shared" si="140"/>
        <v>0</v>
      </c>
      <c r="AJ96" s="375"/>
      <c r="AK96" s="430">
        <f t="shared" si="141"/>
        <v>0</v>
      </c>
      <c r="AL96" s="375">
        <f t="shared" si="142"/>
        <v>0</v>
      </c>
      <c r="AM96" s="432">
        <f t="shared" si="143"/>
        <v>0</v>
      </c>
      <c r="AN96" s="432">
        <f t="shared" si="144"/>
        <v>0</v>
      </c>
      <c r="AO96" s="433">
        <f t="shared" si="145"/>
        <v>0</v>
      </c>
      <c r="AQ96" s="563">
        <f t="shared" si="146"/>
        <v>14379.280576921752</v>
      </c>
      <c r="AR96" s="563">
        <f t="shared" si="147"/>
        <v>2501994.8203843851</v>
      </c>
    </row>
    <row r="97" spans="1:44" ht="10.5" customHeight="1" x14ac:dyDescent="0.35">
      <c r="A97" s="412" t="s">
        <v>476</v>
      </c>
      <c r="B97" s="412" t="s">
        <v>25</v>
      </c>
      <c r="C97" s="412" t="s">
        <v>476</v>
      </c>
      <c r="D97" s="412" t="s">
        <v>476</v>
      </c>
      <c r="F97" s="434">
        <v>11.05</v>
      </c>
      <c r="G97" s="414" t="s">
        <v>4112</v>
      </c>
      <c r="H97" s="435" t="s">
        <v>4192</v>
      </c>
      <c r="I97" s="438" t="s">
        <v>988</v>
      </c>
      <c r="J97" s="439">
        <v>92</v>
      </c>
      <c r="K97" s="418">
        <v>1303.4390229885109</v>
      </c>
      <c r="L97" s="418">
        <v>1609.195402298848</v>
      </c>
      <c r="M97" s="418">
        <v>11254.144468231631</v>
      </c>
      <c r="N97" s="418">
        <v>212.50168340278481</v>
      </c>
      <c r="O97" s="419">
        <f t="shared" si="126"/>
        <v>14379.280576921774</v>
      </c>
      <c r="P97" s="420">
        <f t="shared" si="127"/>
        <v>20641.965114719053</v>
      </c>
      <c r="Q97" s="403"/>
      <c r="R97" s="421">
        <f t="shared" si="128"/>
        <v>1871.1327522793285</v>
      </c>
      <c r="S97" s="421">
        <f t="shared" si="129"/>
        <v>2310.056833464334</v>
      </c>
      <c r="T97" s="421">
        <f t="shared" si="130"/>
        <v>16155.721857329298</v>
      </c>
      <c r="U97" s="421">
        <f t="shared" si="131"/>
        <v>305.05367164609436</v>
      </c>
      <c r="V97" s="422">
        <f t="shared" si="132"/>
        <v>20641.965114719056</v>
      </c>
      <c r="W97" s="423"/>
      <c r="X97" s="421">
        <f t="shared" si="133"/>
        <v>172144.21320969824</v>
      </c>
      <c r="Y97" s="421">
        <f t="shared" si="134"/>
        <v>1726916.5773444551</v>
      </c>
      <c r="Z97" s="422">
        <f t="shared" si="135"/>
        <v>1899060.7905541533</v>
      </c>
      <c r="AA97" s="371"/>
      <c r="AB97" s="425" t="s">
        <v>4187</v>
      </c>
      <c r="AC97" s="427">
        <v>0</v>
      </c>
      <c r="AD97" s="427">
        <v>0</v>
      </c>
      <c r="AE97" s="428">
        <f t="shared" si="136"/>
        <v>0</v>
      </c>
      <c r="AF97" s="437" t="str">
        <f t="shared" si="137"/>
        <v>⚪</v>
      </c>
      <c r="AG97" s="430">
        <f t="shared" si="138"/>
        <v>0</v>
      </c>
      <c r="AH97" s="375">
        <f t="shared" si="139"/>
        <v>0</v>
      </c>
      <c r="AI97" s="431">
        <f t="shared" si="140"/>
        <v>0</v>
      </c>
      <c r="AJ97" s="375"/>
      <c r="AK97" s="430">
        <f t="shared" si="141"/>
        <v>0</v>
      </c>
      <c r="AL97" s="375">
        <f t="shared" si="142"/>
        <v>0</v>
      </c>
      <c r="AM97" s="432">
        <f t="shared" si="143"/>
        <v>0</v>
      </c>
      <c r="AN97" s="432">
        <f t="shared" si="144"/>
        <v>0</v>
      </c>
      <c r="AO97" s="433">
        <f t="shared" si="145"/>
        <v>0</v>
      </c>
      <c r="AQ97" s="563">
        <f t="shared" si="146"/>
        <v>14379.280576921774</v>
      </c>
      <c r="AR97" s="563">
        <f t="shared" si="147"/>
        <v>1322893.8130768032</v>
      </c>
    </row>
    <row r="98" spans="1:44" ht="10.5" customHeight="1" x14ac:dyDescent="0.35">
      <c r="A98" s="412" t="s">
        <v>476</v>
      </c>
      <c r="B98" s="412" t="s">
        <v>25</v>
      </c>
      <c r="C98" s="412" t="s">
        <v>25</v>
      </c>
      <c r="D98" s="412" t="s">
        <v>476</v>
      </c>
      <c r="F98" s="434">
        <v>11.06</v>
      </c>
      <c r="G98" s="414" t="s">
        <v>4112</v>
      </c>
      <c r="H98" s="435" t="s">
        <v>4193</v>
      </c>
      <c r="I98" s="436" t="s">
        <v>988</v>
      </c>
      <c r="J98" s="439">
        <v>8</v>
      </c>
      <c r="K98" s="418">
        <v>2773.0079999999998</v>
      </c>
      <c r="L98" s="418">
        <v>0</v>
      </c>
      <c r="M98" s="418">
        <v>7607.5725970715002</v>
      </c>
      <c r="N98" s="418">
        <v>155.70870895607251</v>
      </c>
      <c r="O98" s="419">
        <f t="shared" si="126"/>
        <v>10536.289306027573</v>
      </c>
      <c r="P98" s="420">
        <f t="shared" si="127"/>
        <v>15125.215418820864</v>
      </c>
      <c r="Q98" s="403"/>
      <c r="R98" s="421">
        <f t="shared" si="128"/>
        <v>3980.7509209261498</v>
      </c>
      <c r="S98" s="421">
        <f t="shared" si="129"/>
        <v>0</v>
      </c>
      <c r="T98" s="421">
        <f t="shared" si="130"/>
        <v>10920.939146877656</v>
      </c>
      <c r="U98" s="421">
        <f t="shared" si="131"/>
        <v>223.52535101705712</v>
      </c>
      <c r="V98" s="422">
        <f t="shared" si="132"/>
        <v>15125.215418820862</v>
      </c>
      <c r="W98" s="423"/>
      <c r="X98" s="421">
        <f t="shared" si="133"/>
        <v>31846.007367409198</v>
      </c>
      <c r="Y98" s="421">
        <f t="shared" si="134"/>
        <v>89155.715983157701</v>
      </c>
      <c r="Z98" s="422">
        <f t="shared" si="135"/>
        <v>121001.7233505669</v>
      </c>
      <c r="AA98" s="371"/>
      <c r="AB98" s="425" t="s">
        <v>4187</v>
      </c>
      <c r="AC98" s="427">
        <v>0</v>
      </c>
      <c r="AD98" s="427">
        <v>0</v>
      </c>
      <c r="AE98" s="428">
        <f t="shared" si="136"/>
        <v>0</v>
      </c>
      <c r="AF98" s="437" t="str">
        <f t="shared" si="137"/>
        <v>⚪</v>
      </c>
      <c r="AG98" s="430">
        <f t="shared" si="138"/>
        <v>0</v>
      </c>
      <c r="AH98" s="375">
        <f t="shared" si="139"/>
        <v>0</v>
      </c>
      <c r="AI98" s="431">
        <f t="shared" si="140"/>
        <v>0</v>
      </c>
      <c r="AJ98" s="375"/>
      <c r="AK98" s="430">
        <f t="shared" si="141"/>
        <v>0</v>
      </c>
      <c r="AL98" s="375">
        <f t="shared" si="142"/>
        <v>0</v>
      </c>
      <c r="AM98" s="432">
        <f t="shared" si="143"/>
        <v>0</v>
      </c>
      <c r="AN98" s="432">
        <f t="shared" si="144"/>
        <v>0</v>
      </c>
      <c r="AO98" s="433">
        <f t="shared" si="145"/>
        <v>0</v>
      </c>
      <c r="AQ98" s="563">
        <f t="shared" si="146"/>
        <v>10536.289306027573</v>
      </c>
      <c r="AR98" s="563">
        <f t="shared" si="147"/>
        <v>84290.314448220583</v>
      </c>
    </row>
    <row r="99" spans="1:44" ht="10.5" customHeight="1" x14ac:dyDescent="0.35">
      <c r="A99" s="412" t="s">
        <v>476</v>
      </c>
      <c r="B99" s="412" t="s">
        <v>25</v>
      </c>
      <c r="C99" s="412" t="s">
        <v>25</v>
      </c>
      <c r="D99" s="412" t="s">
        <v>476</v>
      </c>
      <c r="F99" s="434">
        <v>11.07</v>
      </c>
      <c r="G99" s="414" t="s">
        <v>4112</v>
      </c>
      <c r="H99" s="435" t="s">
        <v>4194</v>
      </c>
      <c r="I99" s="438" t="s">
        <v>988</v>
      </c>
      <c r="J99" s="439">
        <v>46</v>
      </c>
      <c r="K99" s="418">
        <v>7701.7948919999999</v>
      </c>
      <c r="L99" s="418">
        <v>0</v>
      </c>
      <c r="M99" s="418">
        <v>11983.97047679513</v>
      </c>
      <c r="N99" s="418">
        <v>295.28648053192609</v>
      </c>
      <c r="O99" s="419">
        <f t="shared" si="126"/>
        <v>19981.051849327057</v>
      </c>
      <c r="P99" s="420">
        <f t="shared" si="127"/>
        <v>28683.505619270421</v>
      </c>
      <c r="Q99" s="403"/>
      <c r="R99" s="421">
        <f t="shared" si="128"/>
        <v>11056.19857898474</v>
      </c>
      <c r="S99" s="421">
        <f t="shared" si="129"/>
        <v>0</v>
      </c>
      <c r="T99" s="421">
        <f t="shared" si="130"/>
        <v>17203.412868572326</v>
      </c>
      <c r="U99" s="421">
        <f t="shared" si="131"/>
        <v>423.89417171335475</v>
      </c>
      <c r="V99" s="422">
        <f t="shared" si="132"/>
        <v>28683.505619270418</v>
      </c>
      <c r="W99" s="423"/>
      <c r="X99" s="421">
        <f t="shared" si="133"/>
        <v>508585.13463329803</v>
      </c>
      <c r="Y99" s="421">
        <f t="shared" si="134"/>
        <v>810856.12385314121</v>
      </c>
      <c r="Z99" s="422">
        <f t="shared" si="135"/>
        <v>1319441.2584864392</v>
      </c>
      <c r="AA99" s="371"/>
      <c r="AB99" s="425" t="s">
        <v>4187</v>
      </c>
      <c r="AC99" s="427">
        <v>0</v>
      </c>
      <c r="AD99" s="427">
        <v>0</v>
      </c>
      <c r="AE99" s="428">
        <f t="shared" si="136"/>
        <v>0</v>
      </c>
      <c r="AF99" s="437" t="str">
        <f t="shared" si="137"/>
        <v>⚪</v>
      </c>
      <c r="AG99" s="430">
        <f t="shared" si="138"/>
        <v>0</v>
      </c>
      <c r="AH99" s="375">
        <f t="shared" si="139"/>
        <v>0</v>
      </c>
      <c r="AI99" s="431">
        <f t="shared" si="140"/>
        <v>0</v>
      </c>
      <c r="AJ99" s="375"/>
      <c r="AK99" s="430">
        <f t="shared" si="141"/>
        <v>0</v>
      </c>
      <c r="AL99" s="375">
        <f t="shared" si="142"/>
        <v>0</v>
      </c>
      <c r="AM99" s="432">
        <f t="shared" si="143"/>
        <v>0</v>
      </c>
      <c r="AN99" s="432">
        <f t="shared" si="144"/>
        <v>0</v>
      </c>
      <c r="AO99" s="433">
        <f t="shared" si="145"/>
        <v>0</v>
      </c>
      <c r="AQ99" s="563">
        <f t="shared" si="146"/>
        <v>19981.051849327057</v>
      </c>
      <c r="AR99" s="563">
        <f t="shared" si="147"/>
        <v>919128.38506904466</v>
      </c>
    </row>
    <row r="100" spans="1:44" ht="10.5" customHeight="1" x14ac:dyDescent="0.35">
      <c r="A100" s="412" t="s">
        <v>476</v>
      </c>
      <c r="B100" s="412" t="s">
        <v>25</v>
      </c>
      <c r="C100" s="412" t="s">
        <v>25</v>
      </c>
      <c r="D100" s="412" t="s">
        <v>476</v>
      </c>
      <c r="F100" s="434">
        <v>11.08</v>
      </c>
      <c r="G100" s="414" t="s">
        <v>4112</v>
      </c>
      <c r="H100" s="435" t="s">
        <v>4195</v>
      </c>
      <c r="I100" s="438" t="s">
        <v>988</v>
      </c>
      <c r="J100" s="439">
        <v>562</v>
      </c>
      <c r="K100" s="418">
        <v>7156.2986004793411</v>
      </c>
      <c r="L100" s="418">
        <v>0</v>
      </c>
      <c r="M100" s="418">
        <v>11647.705291780299</v>
      </c>
      <c r="N100" s="418">
        <v>225.81274523621181</v>
      </c>
      <c r="O100" s="419">
        <f t="shared" si="126"/>
        <v>19029.816637495853</v>
      </c>
      <c r="P100" s="420">
        <f t="shared" si="127"/>
        <v>27317.973877019966</v>
      </c>
      <c r="Q100" s="403"/>
      <c r="R100" s="421">
        <f t="shared" si="128"/>
        <v>10273.11938670233</v>
      </c>
      <c r="S100" s="421">
        <f t="shared" si="129"/>
        <v>0</v>
      </c>
      <c r="T100" s="421">
        <f t="shared" si="130"/>
        <v>16720.692319290392</v>
      </c>
      <c r="U100" s="421">
        <f t="shared" si="131"/>
        <v>324.16217102724272</v>
      </c>
      <c r="V100" s="422">
        <f t="shared" si="132"/>
        <v>27317.973877019966</v>
      </c>
      <c r="W100" s="423"/>
      <c r="X100" s="421">
        <f t="shared" si="133"/>
        <v>5773493.0953267096</v>
      </c>
      <c r="Y100" s="421">
        <f t="shared" si="134"/>
        <v>9579208.2235585116</v>
      </c>
      <c r="Z100" s="422">
        <f t="shared" si="135"/>
        <v>15352701.31888522</v>
      </c>
      <c r="AA100" s="371"/>
      <c r="AB100" s="425" t="s">
        <v>4187</v>
      </c>
      <c r="AC100" s="427">
        <v>0</v>
      </c>
      <c r="AD100" s="427">
        <v>0</v>
      </c>
      <c r="AE100" s="428">
        <f t="shared" si="136"/>
        <v>0</v>
      </c>
      <c r="AF100" s="437" t="str">
        <f t="shared" si="137"/>
        <v>⚪</v>
      </c>
      <c r="AG100" s="430">
        <f t="shared" si="138"/>
        <v>0</v>
      </c>
      <c r="AH100" s="375">
        <f t="shared" si="139"/>
        <v>0</v>
      </c>
      <c r="AI100" s="431">
        <f t="shared" si="140"/>
        <v>0</v>
      </c>
      <c r="AJ100" s="375"/>
      <c r="AK100" s="430">
        <f t="shared" si="141"/>
        <v>0</v>
      </c>
      <c r="AL100" s="375">
        <f t="shared" si="142"/>
        <v>0</v>
      </c>
      <c r="AM100" s="432">
        <f t="shared" si="143"/>
        <v>0</v>
      </c>
      <c r="AN100" s="432">
        <f t="shared" si="144"/>
        <v>0</v>
      </c>
      <c r="AO100" s="433">
        <f t="shared" si="145"/>
        <v>0</v>
      </c>
      <c r="AQ100" s="563">
        <f t="shared" si="146"/>
        <v>19029.816637495853</v>
      </c>
      <c r="AR100" s="563">
        <f t="shared" si="147"/>
        <v>10694756.95027267</v>
      </c>
    </row>
    <row r="101" spans="1:44" ht="10.5" customHeight="1" x14ac:dyDescent="0.35">
      <c r="A101" s="412" t="s">
        <v>476</v>
      </c>
      <c r="B101" s="412" t="s">
        <v>25</v>
      </c>
      <c r="C101" s="412" t="s">
        <v>25</v>
      </c>
      <c r="D101" s="412" t="s">
        <v>476</v>
      </c>
      <c r="F101" s="434">
        <v>11.09</v>
      </c>
      <c r="G101" s="445" t="s">
        <v>4112</v>
      </c>
      <c r="H101" s="435" t="s">
        <v>4196</v>
      </c>
      <c r="I101" s="479" t="s">
        <v>988</v>
      </c>
      <c r="J101" s="448">
        <v>73</v>
      </c>
      <c r="K101" s="418">
        <v>7156.2986004793429</v>
      </c>
      <c r="L101" s="418">
        <v>0</v>
      </c>
      <c r="M101" s="418">
        <v>15142.01687931438</v>
      </c>
      <c r="N101" s="418">
        <v>293.55656880707397</v>
      </c>
      <c r="O101" s="419">
        <f t="shared" si="126"/>
        <v>22591.872048600799</v>
      </c>
      <c r="P101" s="420">
        <f t="shared" si="127"/>
        <v>32431.430224115247</v>
      </c>
      <c r="Q101" s="403"/>
      <c r="R101" s="421">
        <f t="shared" si="128"/>
        <v>10273.119386702332</v>
      </c>
      <c r="S101" s="421">
        <f t="shared" si="129"/>
        <v>0</v>
      </c>
      <c r="T101" s="421">
        <f t="shared" si="130"/>
        <v>21736.900015077499</v>
      </c>
      <c r="U101" s="421">
        <f t="shared" si="131"/>
        <v>421.41082233541351</v>
      </c>
      <c r="V101" s="422">
        <f t="shared" si="132"/>
        <v>32431.430224115244</v>
      </c>
      <c r="W101" s="423"/>
      <c r="X101" s="421">
        <f t="shared" si="133"/>
        <v>749937.71522927028</v>
      </c>
      <c r="Y101" s="421">
        <f t="shared" si="134"/>
        <v>1617556.6911311427</v>
      </c>
      <c r="Z101" s="422">
        <f t="shared" si="135"/>
        <v>2367494.4063604129</v>
      </c>
      <c r="AA101" s="371"/>
      <c r="AB101" s="425" t="s">
        <v>4187</v>
      </c>
      <c r="AC101" s="427">
        <v>0</v>
      </c>
      <c r="AD101" s="427">
        <v>0</v>
      </c>
      <c r="AE101" s="428">
        <f t="shared" si="136"/>
        <v>0</v>
      </c>
      <c r="AF101" s="437" t="str">
        <f t="shared" si="137"/>
        <v>⚪</v>
      </c>
      <c r="AG101" s="430">
        <f t="shared" si="138"/>
        <v>0</v>
      </c>
      <c r="AH101" s="375">
        <f t="shared" si="139"/>
        <v>0</v>
      </c>
      <c r="AI101" s="431">
        <f t="shared" si="140"/>
        <v>0</v>
      </c>
      <c r="AJ101" s="375"/>
      <c r="AK101" s="430">
        <f t="shared" si="141"/>
        <v>0</v>
      </c>
      <c r="AL101" s="375">
        <f t="shared" si="142"/>
        <v>0</v>
      </c>
      <c r="AM101" s="432">
        <f t="shared" si="143"/>
        <v>0</v>
      </c>
      <c r="AN101" s="432">
        <f t="shared" si="144"/>
        <v>0</v>
      </c>
      <c r="AO101" s="433">
        <f t="shared" si="145"/>
        <v>0</v>
      </c>
      <c r="AQ101" s="563">
        <f t="shared" si="146"/>
        <v>22591.872048600799</v>
      </c>
      <c r="AR101" s="563">
        <f t="shared" si="147"/>
        <v>1649206.6595478584</v>
      </c>
    </row>
    <row r="102" spans="1:44" ht="10.5" customHeight="1" x14ac:dyDescent="0.35">
      <c r="A102" s="412" t="s">
        <v>476</v>
      </c>
      <c r="B102" s="412" t="s">
        <v>25</v>
      </c>
      <c r="C102" s="412" t="s">
        <v>25</v>
      </c>
      <c r="D102" s="412" t="s">
        <v>476</v>
      </c>
      <c r="F102" s="434">
        <v>11.1</v>
      </c>
      <c r="G102" s="445" t="s">
        <v>4112</v>
      </c>
      <c r="H102" s="435" t="s">
        <v>4197</v>
      </c>
      <c r="I102" s="479" t="s">
        <v>988</v>
      </c>
      <c r="J102" s="448">
        <v>143</v>
      </c>
      <c r="K102" s="418">
        <v>7156.2986004793702</v>
      </c>
      <c r="L102" s="418">
        <v>0</v>
      </c>
      <c r="M102" s="418">
        <v>11647.705291780279</v>
      </c>
      <c r="N102" s="418">
        <v>225.81274523621121</v>
      </c>
      <c r="O102" s="419">
        <f t="shared" si="126"/>
        <v>19029.81663749586</v>
      </c>
      <c r="P102" s="420">
        <f t="shared" si="127"/>
        <v>27317.973877019976</v>
      </c>
      <c r="Q102" s="403"/>
      <c r="R102" s="421">
        <f t="shared" si="128"/>
        <v>10273.119386702372</v>
      </c>
      <c r="S102" s="421">
        <f t="shared" si="129"/>
        <v>0</v>
      </c>
      <c r="T102" s="421">
        <f t="shared" si="130"/>
        <v>16720.692319290363</v>
      </c>
      <c r="U102" s="421">
        <f t="shared" si="131"/>
        <v>324.16217102724187</v>
      </c>
      <c r="V102" s="422">
        <f t="shared" si="132"/>
        <v>27317.973877019976</v>
      </c>
      <c r="W102" s="423"/>
      <c r="X102" s="421">
        <f t="shared" si="133"/>
        <v>1469056.0722984392</v>
      </c>
      <c r="Y102" s="421">
        <f t="shared" si="134"/>
        <v>2437414.1921154172</v>
      </c>
      <c r="Z102" s="422">
        <f t="shared" si="135"/>
        <v>3906470.2644138564</v>
      </c>
      <c r="AA102" s="371"/>
      <c r="AB102" s="425" t="s">
        <v>4187</v>
      </c>
      <c r="AC102" s="427">
        <v>0</v>
      </c>
      <c r="AD102" s="427">
        <v>0</v>
      </c>
      <c r="AE102" s="428">
        <f t="shared" si="136"/>
        <v>0</v>
      </c>
      <c r="AF102" s="437" t="str">
        <f t="shared" si="137"/>
        <v>⚪</v>
      </c>
      <c r="AG102" s="430">
        <f t="shared" si="138"/>
        <v>0</v>
      </c>
      <c r="AH102" s="375">
        <f t="shared" si="139"/>
        <v>0</v>
      </c>
      <c r="AI102" s="431">
        <f t="shared" si="140"/>
        <v>0</v>
      </c>
      <c r="AJ102" s="375"/>
      <c r="AK102" s="430">
        <f t="shared" si="141"/>
        <v>0</v>
      </c>
      <c r="AL102" s="375">
        <f t="shared" si="142"/>
        <v>0</v>
      </c>
      <c r="AM102" s="432">
        <f t="shared" si="143"/>
        <v>0</v>
      </c>
      <c r="AN102" s="432">
        <f t="shared" si="144"/>
        <v>0</v>
      </c>
      <c r="AO102" s="433">
        <f t="shared" si="145"/>
        <v>0</v>
      </c>
      <c r="AQ102" s="563">
        <f t="shared" si="146"/>
        <v>19029.81663749586</v>
      </c>
      <c r="AR102" s="563">
        <f t="shared" si="147"/>
        <v>2721263.7791619082</v>
      </c>
    </row>
    <row r="103" spans="1:44" ht="10.5" customHeight="1" x14ac:dyDescent="0.35">
      <c r="A103" s="412" t="s">
        <v>476</v>
      </c>
      <c r="B103" s="412" t="s">
        <v>25</v>
      </c>
      <c r="C103" s="412" t="s">
        <v>25</v>
      </c>
      <c r="D103" s="412" t="s">
        <v>476</v>
      </c>
      <c r="F103" s="434">
        <v>11.11</v>
      </c>
      <c r="G103" s="450" t="s">
        <v>4112</v>
      </c>
      <c r="H103" s="435" t="s">
        <v>4198</v>
      </c>
      <c r="I103" s="477" t="s">
        <v>988</v>
      </c>
      <c r="J103" s="453">
        <v>106</v>
      </c>
      <c r="K103" s="418">
        <v>7156.2986004793402</v>
      </c>
      <c r="L103" s="418">
        <v>0</v>
      </c>
      <c r="M103" s="418">
        <v>11647.705291780279</v>
      </c>
      <c r="N103" s="418">
        <v>225.8127452362113</v>
      </c>
      <c r="O103" s="419">
        <f t="shared" si="126"/>
        <v>19029.816637495831</v>
      </c>
      <c r="P103" s="420">
        <f t="shared" si="127"/>
        <v>27317.973877019936</v>
      </c>
      <c r="Q103" s="403"/>
      <c r="R103" s="421">
        <f t="shared" si="128"/>
        <v>10273.119386702328</v>
      </c>
      <c r="S103" s="421">
        <f t="shared" si="129"/>
        <v>0</v>
      </c>
      <c r="T103" s="421">
        <f t="shared" si="130"/>
        <v>16720.692319290363</v>
      </c>
      <c r="U103" s="421">
        <f t="shared" si="131"/>
        <v>324.16217102724198</v>
      </c>
      <c r="V103" s="422">
        <f t="shared" si="132"/>
        <v>27317.973877019933</v>
      </c>
      <c r="W103" s="423"/>
      <c r="X103" s="421">
        <f t="shared" si="133"/>
        <v>1088950.6549904468</v>
      </c>
      <c r="Y103" s="421">
        <f t="shared" si="134"/>
        <v>1806754.5759736663</v>
      </c>
      <c r="Z103" s="422">
        <f t="shared" si="135"/>
        <v>2895705.230964113</v>
      </c>
      <c r="AA103" s="371"/>
      <c r="AB103" s="425" t="s">
        <v>4187</v>
      </c>
      <c r="AC103" s="427">
        <v>0</v>
      </c>
      <c r="AD103" s="427">
        <v>0</v>
      </c>
      <c r="AE103" s="428">
        <f t="shared" si="136"/>
        <v>0</v>
      </c>
      <c r="AF103" s="437" t="str">
        <f t="shared" si="137"/>
        <v>⚪</v>
      </c>
      <c r="AG103" s="430">
        <f t="shared" si="138"/>
        <v>0</v>
      </c>
      <c r="AH103" s="375">
        <f t="shared" si="139"/>
        <v>0</v>
      </c>
      <c r="AI103" s="431">
        <f t="shared" si="140"/>
        <v>0</v>
      </c>
      <c r="AJ103" s="375"/>
      <c r="AK103" s="430">
        <f t="shared" si="141"/>
        <v>0</v>
      </c>
      <c r="AL103" s="375">
        <f t="shared" si="142"/>
        <v>0</v>
      </c>
      <c r="AM103" s="432">
        <f t="shared" si="143"/>
        <v>0</v>
      </c>
      <c r="AN103" s="432">
        <f t="shared" si="144"/>
        <v>0</v>
      </c>
      <c r="AO103" s="433">
        <f t="shared" si="145"/>
        <v>0</v>
      </c>
      <c r="AQ103" s="563">
        <f t="shared" si="146"/>
        <v>19029.816637495831</v>
      </c>
      <c r="AR103" s="563">
        <f t="shared" si="147"/>
        <v>2017160.5635745581</v>
      </c>
    </row>
    <row r="104" spans="1:44" ht="10.5" customHeight="1" x14ac:dyDescent="0.25">
      <c r="A104" s="412" t="s">
        <v>25</v>
      </c>
      <c r="B104" s="412" t="s">
        <v>25</v>
      </c>
      <c r="C104" s="412" t="s">
        <v>25</v>
      </c>
      <c r="D104" s="412" t="s">
        <v>25</v>
      </c>
      <c r="F104" s="396">
        <v>12</v>
      </c>
      <c r="G104" s="397"/>
      <c r="H104" s="398" t="s">
        <v>4199</v>
      </c>
      <c r="I104" s="399"/>
      <c r="J104" s="400"/>
      <c r="K104" s="400"/>
      <c r="L104" s="400"/>
      <c r="M104" s="400"/>
      <c r="N104" s="400"/>
      <c r="O104" s="401"/>
      <c r="P104" s="402"/>
      <c r="Q104" s="403"/>
      <c r="R104" s="400"/>
      <c r="S104" s="400"/>
      <c r="T104" s="400"/>
      <c r="U104" s="400"/>
      <c r="V104" s="402"/>
      <c r="X104" s="400"/>
      <c r="Y104" s="400"/>
      <c r="Z104" s="402"/>
      <c r="AA104" s="404">
        <f>+SUM(Z105:Z107)</f>
        <v>9682638.1045002677</v>
      </c>
      <c r="AB104" s="405" t="s">
        <v>4199</v>
      </c>
      <c r="AC104" s="406"/>
      <c r="AD104" s="440"/>
      <c r="AE104" s="441"/>
      <c r="AF104" s="441"/>
      <c r="AG104" s="408"/>
      <c r="AH104" s="409"/>
      <c r="AI104" s="410"/>
      <c r="AJ104" s="411"/>
      <c r="AK104" s="408"/>
      <c r="AL104" s="409"/>
      <c r="AM104" s="442"/>
      <c r="AN104" s="442"/>
      <c r="AO104" s="410"/>
    </row>
    <row r="105" spans="1:44" ht="10.5" customHeight="1" x14ac:dyDescent="0.35">
      <c r="A105" s="412" t="s">
        <v>476</v>
      </c>
      <c r="B105" s="412" t="s">
        <v>25</v>
      </c>
      <c r="C105" s="412" t="s">
        <v>25</v>
      </c>
      <c r="D105" s="412" t="s">
        <v>476</v>
      </c>
      <c r="F105" s="413">
        <f>+F104+0.01</f>
        <v>12.01</v>
      </c>
      <c r="G105" s="460" t="s">
        <v>4112</v>
      </c>
      <c r="H105" s="415" t="s">
        <v>4200</v>
      </c>
      <c r="I105" s="476" t="s">
        <v>744</v>
      </c>
      <c r="J105" s="461">
        <v>19</v>
      </c>
      <c r="K105" s="418">
        <v>809.61503400000004</v>
      </c>
      <c r="L105" s="418">
        <v>0</v>
      </c>
      <c r="M105" s="418">
        <v>3938.2617666857418</v>
      </c>
      <c r="N105" s="418">
        <v>126.0706673834689</v>
      </c>
      <c r="O105" s="419">
        <f>+SUM(K105:N105)</f>
        <v>4873.947468069211</v>
      </c>
      <c r="P105" s="420">
        <f>+O105*$P$2</f>
        <v>6996.7237281905382</v>
      </c>
      <c r="Q105" s="403"/>
      <c r="R105" s="421">
        <f t="shared" ref="R105:U107" si="148">+K105*$P$2</f>
        <v>1162.2309752410222</v>
      </c>
      <c r="S105" s="421">
        <f t="shared" si="148"/>
        <v>0</v>
      </c>
      <c r="T105" s="421">
        <f t="shared" si="148"/>
        <v>5653.5138573644626</v>
      </c>
      <c r="U105" s="421">
        <f t="shared" si="148"/>
        <v>180.97889558505355</v>
      </c>
      <c r="V105" s="422">
        <f>+SUM(R105:U105)</f>
        <v>6996.7237281905382</v>
      </c>
      <c r="W105" s="423"/>
      <c r="X105" s="421">
        <f>+R105*J105</f>
        <v>22082.388529579421</v>
      </c>
      <c r="Y105" s="421">
        <f>+Z105-X105</f>
        <v>110855.3623060408</v>
      </c>
      <c r="Z105" s="422">
        <f>+V105*J105</f>
        <v>132937.75083562022</v>
      </c>
      <c r="AA105" s="371"/>
      <c r="AB105" s="425" t="s">
        <v>4199</v>
      </c>
      <c r="AC105" s="427">
        <v>0</v>
      </c>
      <c r="AD105" s="427">
        <v>0</v>
      </c>
      <c r="AE105" s="428">
        <f>AC105+AD105</f>
        <v>0</v>
      </c>
      <c r="AF105" s="437" t="str">
        <f>IF($AE105=1,"🔴","⚪")</f>
        <v>⚪</v>
      </c>
      <c r="AG105" s="430">
        <f>AC105*Z105</f>
        <v>0</v>
      </c>
      <c r="AH105" s="375">
        <f>AD105*Z105</f>
        <v>0</v>
      </c>
      <c r="AI105" s="431">
        <f>AE105*Z105</f>
        <v>0</v>
      </c>
      <c r="AJ105" s="375"/>
      <c r="AK105" s="430">
        <f>AE105*X105</f>
        <v>0</v>
      </c>
      <c r="AL105" s="375">
        <f>AE105*S105*J105</f>
        <v>0</v>
      </c>
      <c r="AM105" s="432">
        <f>AE105*T105*J105</f>
        <v>0</v>
      </c>
      <c r="AN105" s="432">
        <f>AE105*U105*J105</f>
        <v>0</v>
      </c>
      <c r="AO105" s="433">
        <f>AK105+AL105+AM105+AN105</f>
        <v>0</v>
      </c>
      <c r="AQ105" s="563">
        <f>+O105</f>
        <v>4873.947468069211</v>
      </c>
      <c r="AR105" s="563">
        <f>+O105*J105</f>
        <v>92605.001893315013</v>
      </c>
    </row>
    <row r="106" spans="1:44" ht="10.5" customHeight="1" x14ac:dyDescent="0.35">
      <c r="A106" s="412" t="s">
        <v>476</v>
      </c>
      <c r="B106" s="412" t="s">
        <v>25</v>
      </c>
      <c r="C106" s="412" t="s">
        <v>25</v>
      </c>
      <c r="D106" s="412" t="s">
        <v>476</v>
      </c>
      <c r="F106" s="471">
        <v>12.02</v>
      </c>
      <c r="G106" s="480" t="s">
        <v>4112</v>
      </c>
      <c r="H106" s="435" t="s">
        <v>4201</v>
      </c>
      <c r="I106" s="481" t="s">
        <v>744</v>
      </c>
      <c r="J106" s="439">
        <v>626</v>
      </c>
      <c r="K106" s="418">
        <v>3500</v>
      </c>
      <c r="L106" s="418">
        <v>0</v>
      </c>
      <c r="M106" s="418">
        <v>3196.2173680045848</v>
      </c>
      <c r="N106" s="418">
        <v>100.4432605200688</v>
      </c>
      <c r="O106" s="419">
        <f>+SUM(K106:N106)</f>
        <v>6796.6606285246544</v>
      </c>
      <c r="P106" s="420">
        <f>+O106*$P$2</f>
        <v>9756.8463762895826</v>
      </c>
      <c r="Q106" s="403"/>
      <c r="R106" s="421">
        <f t="shared" si="148"/>
        <v>5024.3736127849343</v>
      </c>
      <c r="S106" s="421">
        <f t="shared" si="148"/>
        <v>0</v>
      </c>
      <c r="T106" s="421">
        <f t="shared" si="148"/>
        <v>4588.2829155791851</v>
      </c>
      <c r="U106" s="421">
        <f t="shared" si="148"/>
        <v>144.18984792546183</v>
      </c>
      <c r="V106" s="422">
        <f>+SUM(R106:U106)</f>
        <v>9756.8463762895808</v>
      </c>
      <c r="W106" s="423"/>
      <c r="X106" s="421">
        <f>+R106*J106</f>
        <v>3145257.881603369</v>
      </c>
      <c r="Y106" s="421">
        <f>+Z106-X106</f>
        <v>2962527.9499539086</v>
      </c>
      <c r="Z106" s="422">
        <f>+V106*J106</f>
        <v>6107785.8315572776</v>
      </c>
      <c r="AA106" s="371"/>
      <c r="AB106" s="425" t="s">
        <v>4199</v>
      </c>
      <c r="AC106" s="427">
        <v>0</v>
      </c>
      <c r="AD106" s="427">
        <v>0</v>
      </c>
      <c r="AE106" s="428">
        <f>AC106+AD106</f>
        <v>0</v>
      </c>
      <c r="AF106" s="437" t="str">
        <f>IF($AE106=1,"🔴","⚪")</f>
        <v>⚪</v>
      </c>
      <c r="AG106" s="430">
        <f>AC106*Z106</f>
        <v>0</v>
      </c>
      <c r="AH106" s="375">
        <f>AD106*Z106</f>
        <v>0</v>
      </c>
      <c r="AI106" s="431">
        <f>AE106*Z106</f>
        <v>0</v>
      </c>
      <c r="AJ106" s="375"/>
      <c r="AK106" s="430">
        <f>AE106*X106</f>
        <v>0</v>
      </c>
      <c r="AL106" s="375">
        <f>AE106*S106*J106</f>
        <v>0</v>
      </c>
      <c r="AM106" s="432">
        <f>AE106*T106*J106</f>
        <v>0</v>
      </c>
      <c r="AN106" s="432">
        <f>AE106*U106*J106</f>
        <v>0</v>
      </c>
      <c r="AO106" s="433">
        <f>AK106+AL106+AM106+AN106</f>
        <v>0</v>
      </c>
      <c r="AQ106" s="563">
        <f>+O106</f>
        <v>6796.6606285246544</v>
      </c>
      <c r="AR106" s="563">
        <f>+O106*J106</f>
        <v>4254709.553456434</v>
      </c>
    </row>
    <row r="107" spans="1:44" ht="10.5" customHeight="1" x14ac:dyDescent="0.35">
      <c r="A107" s="412" t="s">
        <v>476</v>
      </c>
      <c r="B107" s="412" t="s">
        <v>25</v>
      </c>
      <c r="C107" s="412" t="s">
        <v>25</v>
      </c>
      <c r="D107" s="412" t="s">
        <v>476</v>
      </c>
      <c r="F107" s="471">
        <v>12.03</v>
      </c>
      <c r="G107" s="480" t="s">
        <v>4112</v>
      </c>
      <c r="H107" s="473" t="s">
        <v>4202</v>
      </c>
      <c r="I107" s="481" t="s">
        <v>744</v>
      </c>
      <c r="J107" s="453">
        <v>386</v>
      </c>
      <c r="K107" s="418">
        <v>1066.3432439999999</v>
      </c>
      <c r="L107" s="418">
        <v>0</v>
      </c>
      <c r="M107" s="418">
        <v>5047.3389597714768</v>
      </c>
      <c r="N107" s="418">
        <v>97.852189602358038</v>
      </c>
      <c r="O107" s="419">
        <f>+SUM(K107:N107)</f>
        <v>6211.5343933738341</v>
      </c>
      <c r="P107" s="420">
        <f>+O107*$P$2</f>
        <v>8916.8770002781621</v>
      </c>
      <c r="Q107" s="403"/>
      <c r="R107" s="421">
        <f t="shared" si="148"/>
        <v>1530.7733878071674</v>
      </c>
      <c r="S107" s="421">
        <f t="shared" si="148"/>
        <v>0</v>
      </c>
      <c r="T107" s="421">
        <f t="shared" si="148"/>
        <v>7245.63333835919</v>
      </c>
      <c r="U107" s="421">
        <f t="shared" si="148"/>
        <v>140.47027411180457</v>
      </c>
      <c r="V107" s="422">
        <f>+SUM(R107:U107)</f>
        <v>8916.8770002781621</v>
      </c>
      <c r="W107" s="423"/>
      <c r="X107" s="421">
        <f>+R107*J107</f>
        <v>590878.52769356663</v>
      </c>
      <c r="Y107" s="421">
        <f>+Z107-X107</f>
        <v>2851035.9944138043</v>
      </c>
      <c r="Z107" s="422">
        <f>+V107*J107</f>
        <v>3441914.5221073707</v>
      </c>
      <c r="AA107" s="371"/>
      <c r="AB107" s="425" t="s">
        <v>4199</v>
      </c>
      <c r="AC107" s="427">
        <v>0</v>
      </c>
      <c r="AD107" s="427">
        <v>0</v>
      </c>
      <c r="AE107" s="428">
        <f>AC107+AD107</f>
        <v>0</v>
      </c>
      <c r="AF107" s="437" t="str">
        <f>IF($AE107=1,"🔴","⚪")</f>
        <v>⚪</v>
      </c>
      <c r="AG107" s="430">
        <f>AC107*Z107</f>
        <v>0</v>
      </c>
      <c r="AH107" s="375">
        <f>AD107*Z107</f>
        <v>0</v>
      </c>
      <c r="AI107" s="431">
        <f>AE107*Z107</f>
        <v>0</v>
      </c>
      <c r="AJ107" s="375"/>
      <c r="AK107" s="430">
        <f>AE107*X107</f>
        <v>0</v>
      </c>
      <c r="AL107" s="375">
        <f>AE107*S107*J107</f>
        <v>0</v>
      </c>
      <c r="AM107" s="432">
        <f>AE107*T107*J107</f>
        <v>0</v>
      </c>
      <c r="AN107" s="432">
        <f>AE107*U107*J107</f>
        <v>0</v>
      </c>
      <c r="AO107" s="433">
        <f>AK107+AL107+AM107+AN107</f>
        <v>0</v>
      </c>
      <c r="AQ107" s="563">
        <f>+O107</f>
        <v>6211.5343933738341</v>
      </c>
      <c r="AR107" s="563">
        <f>+O107*J107</f>
        <v>2397652.2758423002</v>
      </c>
    </row>
    <row r="108" spans="1:44" ht="10.5" customHeight="1" x14ac:dyDescent="0.25">
      <c r="A108" s="412" t="s">
        <v>25</v>
      </c>
      <c r="B108" s="412" t="s">
        <v>25</v>
      </c>
      <c r="C108" s="412" t="s">
        <v>25</v>
      </c>
      <c r="D108" s="412" t="s">
        <v>25</v>
      </c>
      <c r="F108" s="396">
        <v>13</v>
      </c>
      <c r="G108" s="397"/>
      <c r="H108" s="398" t="s">
        <v>4203</v>
      </c>
      <c r="I108" s="399"/>
      <c r="J108" s="400"/>
      <c r="K108" s="400"/>
      <c r="L108" s="400"/>
      <c r="M108" s="400"/>
      <c r="N108" s="400"/>
      <c r="O108" s="401"/>
      <c r="P108" s="402"/>
      <c r="Q108" s="403"/>
      <c r="R108" s="400"/>
      <c r="S108" s="400"/>
      <c r="T108" s="400"/>
      <c r="U108" s="400"/>
      <c r="V108" s="402"/>
      <c r="X108" s="400"/>
      <c r="Y108" s="400"/>
      <c r="Z108" s="402"/>
      <c r="AA108" s="404">
        <f>+SUM(Z109:Z112)</f>
        <v>15980655.019833036</v>
      </c>
      <c r="AB108" s="405" t="s">
        <v>4203</v>
      </c>
      <c r="AC108" s="406"/>
      <c r="AD108" s="440"/>
      <c r="AE108" s="441"/>
      <c r="AF108" s="441"/>
      <c r="AG108" s="408"/>
      <c r="AH108" s="409"/>
      <c r="AI108" s="410"/>
      <c r="AJ108" s="411"/>
      <c r="AK108" s="408"/>
      <c r="AL108" s="409"/>
      <c r="AM108" s="442"/>
      <c r="AN108" s="442"/>
      <c r="AO108" s="410"/>
    </row>
    <row r="109" spans="1:44" ht="10.5" customHeight="1" x14ac:dyDescent="0.35">
      <c r="A109" s="412" t="s">
        <v>476</v>
      </c>
      <c r="B109" s="412" t="s">
        <v>25</v>
      </c>
      <c r="C109" s="412" t="s">
        <v>25</v>
      </c>
      <c r="D109" s="412" t="s">
        <v>476</v>
      </c>
      <c r="F109" s="460">
        <v>13.01</v>
      </c>
      <c r="G109" s="460" t="s">
        <v>4112</v>
      </c>
      <c r="H109" s="415" t="s">
        <v>4204</v>
      </c>
      <c r="I109" s="482" t="s">
        <v>988</v>
      </c>
      <c r="J109" s="417">
        <v>413</v>
      </c>
      <c r="K109" s="418">
        <v>7156.2986004793456</v>
      </c>
      <c r="L109" s="418">
        <v>0</v>
      </c>
      <c r="M109" s="418">
        <v>15142.016879314409</v>
      </c>
      <c r="N109" s="418">
        <v>293.55656880707511</v>
      </c>
      <c r="O109" s="419">
        <f>+SUM(K109:N109)</f>
        <v>22591.872048600828</v>
      </c>
      <c r="P109" s="420">
        <f>+O109*$P$2</f>
        <v>32431.430224115287</v>
      </c>
      <c r="Q109" s="403"/>
      <c r="R109" s="421">
        <f t="shared" ref="R109:U112" si="149">+K109*$P$2</f>
        <v>10273.119386702336</v>
      </c>
      <c r="S109" s="421">
        <f t="shared" si="149"/>
        <v>0</v>
      </c>
      <c r="T109" s="421">
        <f t="shared" si="149"/>
        <v>21736.900015077539</v>
      </c>
      <c r="U109" s="421">
        <f t="shared" si="149"/>
        <v>421.41082233541516</v>
      </c>
      <c r="V109" s="422">
        <f>+SUM(R109:U109)</f>
        <v>32431.430224115291</v>
      </c>
      <c r="W109" s="423"/>
      <c r="X109" s="421">
        <f>+R109*J109</f>
        <v>4242798.3067080649</v>
      </c>
      <c r="Y109" s="421">
        <f>+Z109-X109</f>
        <v>9151382.3758515492</v>
      </c>
      <c r="Z109" s="422">
        <f>+V109*J109</f>
        <v>13394180.682559615</v>
      </c>
      <c r="AA109" s="424"/>
      <c r="AB109" s="425" t="s">
        <v>4203</v>
      </c>
      <c r="AC109" s="427">
        <v>0</v>
      </c>
      <c r="AD109" s="427">
        <v>0</v>
      </c>
      <c r="AE109" s="428">
        <f>AC109+AD109</f>
        <v>0</v>
      </c>
      <c r="AF109" s="437" t="str">
        <f>IF($AE109=1,"🔴","⚪")</f>
        <v>⚪</v>
      </c>
      <c r="AG109" s="430">
        <f>AC109*Z109</f>
        <v>0</v>
      </c>
      <c r="AH109" s="375">
        <f>AD109*Z109</f>
        <v>0</v>
      </c>
      <c r="AI109" s="431">
        <f>AE109*Z109</f>
        <v>0</v>
      </c>
      <c r="AJ109" s="375"/>
      <c r="AK109" s="430">
        <f>AE109*X109</f>
        <v>0</v>
      </c>
      <c r="AL109" s="375">
        <f>AE109*S109*J109</f>
        <v>0</v>
      </c>
      <c r="AM109" s="432">
        <f>AE109*T109*J109</f>
        <v>0</v>
      </c>
      <c r="AN109" s="432">
        <f>AE109*U109*J109</f>
        <v>0</v>
      </c>
      <c r="AO109" s="433">
        <f>AK109+AL109+AM109+AN109</f>
        <v>0</v>
      </c>
      <c r="AQ109" s="563">
        <f>+O109</f>
        <v>22591.872048600828</v>
      </c>
      <c r="AR109" s="563">
        <f>+O109*J109</f>
        <v>9330443.1560721416</v>
      </c>
    </row>
    <row r="110" spans="1:44" ht="10.5" customHeight="1" x14ac:dyDescent="0.35">
      <c r="A110" s="412" t="s">
        <v>476</v>
      </c>
      <c r="B110" s="412" t="s">
        <v>25</v>
      </c>
      <c r="C110" s="412" t="s">
        <v>25</v>
      </c>
      <c r="D110" s="412" t="s">
        <v>476</v>
      </c>
      <c r="F110" s="480">
        <v>13.02</v>
      </c>
      <c r="G110" s="480" t="s">
        <v>4112</v>
      </c>
      <c r="H110" s="473" t="s">
        <v>4205</v>
      </c>
      <c r="I110" s="483" t="s">
        <v>988</v>
      </c>
      <c r="J110" s="484">
        <v>18</v>
      </c>
      <c r="K110" s="418">
        <v>7156.2986004793329</v>
      </c>
      <c r="L110" s="418">
        <v>0</v>
      </c>
      <c r="M110" s="418">
        <v>15142.016879314389</v>
      </c>
      <c r="N110" s="418">
        <v>293.55656880707443</v>
      </c>
      <c r="O110" s="419">
        <f>+SUM(K110:N110)</f>
        <v>22591.872048600799</v>
      </c>
      <c r="P110" s="420">
        <f>+O110*$P$2</f>
        <v>32431.430224115247</v>
      </c>
      <c r="Q110" s="403"/>
      <c r="R110" s="421">
        <f t="shared" si="149"/>
        <v>10273.119386702318</v>
      </c>
      <c r="S110" s="421">
        <f t="shared" si="149"/>
        <v>0</v>
      </c>
      <c r="T110" s="421">
        <f t="shared" si="149"/>
        <v>21736.900015077514</v>
      </c>
      <c r="U110" s="421">
        <f t="shared" si="149"/>
        <v>421.4108223354142</v>
      </c>
      <c r="V110" s="422">
        <f>+SUM(R110:U110)</f>
        <v>32431.430224115247</v>
      </c>
      <c r="W110" s="423"/>
      <c r="X110" s="421">
        <f>+R110*J110</f>
        <v>184916.1489606417</v>
      </c>
      <c r="Y110" s="421">
        <f>+Z110-X110</f>
        <v>398849.59507343278</v>
      </c>
      <c r="Z110" s="422">
        <f>+V110*J110</f>
        <v>583765.74403407448</v>
      </c>
      <c r="AA110" s="424"/>
      <c r="AB110" s="425" t="s">
        <v>4203</v>
      </c>
      <c r="AC110" s="427">
        <v>0</v>
      </c>
      <c r="AD110" s="427">
        <v>0</v>
      </c>
      <c r="AE110" s="428">
        <f>AC110+AD110</f>
        <v>0</v>
      </c>
      <c r="AF110" s="437" t="str">
        <f>IF($AE110=1,"🔴","⚪")</f>
        <v>⚪</v>
      </c>
      <c r="AG110" s="430">
        <f>AC110*Z110</f>
        <v>0</v>
      </c>
      <c r="AH110" s="375">
        <f>AD110*Z110</f>
        <v>0</v>
      </c>
      <c r="AI110" s="431">
        <f>AE110*Z110</f>
        <v>0</v>
      </c>
      <c r="AJ110" s="375"/>
      <c r="AK110" s="430">
        <f>AE110*X110</f>
        <v>0</v>
      </c>
      <c r="AL110" s="375">
        <f>AE110*S110*J110</f>
        <v>0</v>
      </c>
      <c r="AM110" s="432">
        <f>AE110*T110*J110</f>
        <v>0</v>
      </c>
      <c r="AN110" s="432">
        <f>AE110*U110*J110</f>
        <v>0</v>
      </c>
      <c r="AO110" s="433">
        <f>AK110+AL110+AM110+AN110</f>
        <v>0</v>
      </c>
      <c r="AQ110" s="563">
        <f>+O110</f>
        <v>22591.872048600799</v>
      </c>
      <c r="AR110" s="563">
        <f>+O110*J110</f>
        <v>406653.6968748144</v>
      </c>
    </row>
    <row r="111" spans="1:44" ht="10.5" customHeight="1" x14ac:dyDescent="0.35">
      <c r="A111" s="412" t="s">
        <v>476</v>
      </c>
      <c r="B111" s="412" t="s">
        <v>25</v>
      </c>
      <c r="C111" s="412" t="s">
        <v>25</v>
      </c>
      <c r="D111" s="412" t="s">
        <v>476</v>
      </c>
      <c r="F111" s="414">
        <v>13.03</v>
      </c>
      <c r="G111" s="414" t="s">
        <v>4112</v>
      </c>
      <c r="H111" s="473" t="s">
        <v>4206</v>
      </c>
      <c r="I111" s="438" t="s">
        <v>988</v>
      </c>
      <c r="J111" s="439">
        <v>20</v>
      </c>
      <c r="K111" s="418">
        <v>36508.296000000002</v>
      </c>
      <c r="L111" s="418">
        <v>0</v>
      </c>
      <c r="M111" s="418">
        <v>32215.611028457399</v>
      </c>
      <c r="N111" s="418">
        <v>1030.8586054268601</v>
      </c>
      <c r="O111" s="419">
        <f>+SUM(K111:N111)</f>
        <v>69754.765633884264</v>
      </c>
      <c r="P111" s="420">
        <f>+O111*$P$2</f>
        <v>100135.42966196727</v>
      </c>
      <c r="Q111" s="403"/>
      <c r="R111" s="421">
        <f t="shared" si="149"/>
        <v>52408.948305754791</v>
      </c>
      <c r="S111" s="421">
        <f t="shared" si="149"/>
        <v>0</v>
      </c>
      <c r="T111" s="421">
        <f t="shared" si="149"/>
        <v>46246.647420321337</v>
      </c>
      <c r="U111" s="421">
        <f t="shared" si="149"/>
        <v>1479.8339358911405</v>
      </c>
      <c r="V111" s="422">
        <f>+SUM(R111:U111)</f>
        <v>100135.42966196728</v>
      </c>
      <c r="W111" s="423"/>
      <c r="X111" s="421">
        <f>+R111*J111</f>
        <v>1048178.9661150959</v>
      </c>
      <c r="Y111" s="421">
        <f>+Z111-X111</f>
        <v>954529.6271242497</v>
      </c>
      <c r="Z111" s="422">
        <f>+V111*J111</f>
        <v>2002708.5932393456</v>
      </c>
      <c r="AA111" s="371"/>
      <c r="AB111" s="425" t="s">
        <v>4203</v>
      </c>
      <c r="AC111" s="427">
        <v>0</v>
      </c>
      <c r="AD111" s="427">
        <v>0</v>
      </c>
      <c r="AE111" s="428">
        <f>AC111+AD111</f>
        <v>0</v>
      </c>
      <c r="AF111" s="437" t="str">
        <f>IF($AE111=1,"🔴","⚪")</f>
        <v>⚪</v>
      </c>
      <c r="AG111" s="430">
        <f>AC111*Z111</f>
        <v>0</v>
      </c>
      <c r="AH111" s="375">
        <f>AD111*Z111</f>
        <v>0</v>
      </c>
      <c r="AI111" s="431">
        <f>AE111*Z111</f>
        <v>0</v>
      </c>
      <c r="AJ111" s="375"/>
      <c r="AK111" s="430">
        <f>AE111*X111</f>
        <v>0</v>
      </c>
      <c r="AL111" s="375">
        <f>AE111*S111*J111</f>
        <v>0</v>
      </c>
      <c r="AM111" s="432">
        <f>AE111*T111*J111</f>
        <v>0</v>
      </c>
      <c r="AN111" s="432">
        <f>AE111*U111*J111</f>
        <v>0</v>
      </c>
      <c r="AO111" s="433">
        <f>AK111+AL111+AM111+AN111</f>
        <v>0</v>
      </c>
      <c r="AQ111" s="563">
        <f>+O111</f>
        <v>69754.765633884264</v>
      </c>
      <c r="AR111" s="563">
        <f>+O111*J111</f>
        <v>1395095.3126776852</v>
      </c>
    </row>
    <row r="112" spans="1:44" ht="10.5" customHeight="1" x14ac:dyDescent="0.35">
      <c r="A112" s="412" t="s">
        <v>25</v>
      </c>
      <c r="B112" s="412" t="s">
        <v>25</v>
      </c>
      <c r="C112" s="412" t="s">
        <v>25</v>
      </c>
      <c r="D112" s="412" t="s">
        <v>25</v>
      </c>
      <c r="F112" s="414">
        <v>13.04</v>
      </c>
      <c r="G112" s="414" t="s">
        <v>4112</v>
      </c>
      <c r="H112" s="435" t="s">
        <v>4207</v>
      </c>
      <c r="I112" s="438" t="s">
        <v>988</v>
      </c>
      <c r="J112" s="439">
        <v>0</v>
      </c>
      <c r="K112" s="418">
        <v>0</v>
      </c>
      <c r="L112" s="418">
        <v>0</v>
      </c>
      <c r="M112" s="418">
        <v>0</v>
      </c>
      <c r="N112" s="418">
        <v>0</v>
      </c>
      <c r="O112" s="419">
        <f>+SUM(K112:N112)</f>
        <v>0</v>
      </c>
      <c r="P112" s="420">
        <f>+O112*$P$2</f>
        <v>0</v>
      </c>
      <c r="Q112" s="403"/>
      <c r="R112" s="421">
        <f t="shared" si="149"/>
        <v>0</v>
      </c>
      <c r="S112" s="421">
        <f t="shared" si="149"/>
        <v>0</v>
      </c>
      <c r="T112" s="421">
        <f t="shared" si="149"/>
        <v>0</v>
      </c>
      <c r="U112" s="421">
        <f t="shared" si="149"/>
        <v>0</v>
      </c>
      <c r="V112" s="422">
        <f>+SUM(R112:U112)</f>
        <v>0</v>
      </c>
      <c r="W112" s="423"/>
      <c r="X112" s="421">
        <f>+R112*J112</f>
        <v>0</v>
      </c>
      <c r="Y112" s="421">
        <f>+Z112-X112</f>
        <v>0</v>
      </c>
      <c r="Z112" s="422">
        <f>+V112*J112</f>
        <v>0</v>
      </c>
      <c r="AA112" s="371"/>
      <c r="AB112" s="425" t="s">
        <v>4203</v>
      </c>
      <c r="AC112" s="427">
        <v>0</v>
      </c>
      <c r="AD112" s="427">
        <v>0</v>
      </c>
      <c r="AE112" s="428">
        <f>AC112+AD112</f>
        <v>0</v>
      </c>
      <c r="AF112" s="437" t="str">
        <f>IF($AE112=1,"🔴","⚪")</f>
        <v>⚪</v>
      </c>
      <c r="AG112" s="430">
        <f>AC112*Z112</f>
        <v>0</v>
      </c>
      <c r="AH112" s="375">
        <f>AD112*Z112</f>
        <v>0</v>
      </c>
      <c r="AI112" s="431">
        <f>AE112*Z112</f>
        <v>0</v>
      </c>
      <c r="AJ112" s="375"/>
      <c r="AK112" s="430">
        <f>AE112*X112</f>
        <v>0</v>
      </c>
      <c r="AL112" s="375">
        <f>AE112*S112*J112</f>
        <v>0</v>
      </c>
      <c r="AM112" s="432">
        <f>AE112*T112*J112</f>
        <v>0</v>
      </c>
      <c r="AN112" s="432">
        <f>AE112*U112*J112</f>
        <v>0</v>
      </c>
      <c r="AO112" s="433">
        <f>AK112+AL112+AM112+AN112</f>
        <v>0</v>
      </c>
      <c r="AQ112" s="563">
        <f>+O112</f>
        <v>0</v>
      </c>
      <c r="AR112" s="563">
        <f>+O112*J112</f>
        <v>0</v>
      </c>
    </row>
    <row r="113" spans="1:44" ht="10.5" customHeight="1" x14ac:dyDescent="0.25">
      <c r="A113" s="412" t="s">
        <v>25</v>
      </c>
      <c r="B113" s="412" t="s">
        <v>25</v>
      </c>
      <c r="C113" s="412" t="s">
        <v>25</v>
      </c>
      <c r="D113" s="412" t="s">
        <v>25</v>
      </c>
      <c r="F113" s="396">
        <v>14</v>
      </c>
      <c r="G113" s="397"/>
      <c r="H113" s="398" t="s">
        <v>4208</v>
      </c>
      <c r="I113" s="399"/>
      <c r="J113" s="400"/>
      <c r="K113" s="400"/>
      <c r="L113" s="400"/>
      <c r="M113" s="400"/>
      <c r="N113" s="400"/>
      <c r="O113" s="401"/>
      <c r="P113" s="402"/>
      <c r="Q113" s="403"/>
      <c r="R113" s="400"/>
      <c r="S113" s="400"/>
      <c r="T113" s="400"/>
      <c r="U113" s="400"/>
      <c r="V113" s="402"/>
      <c r="X113" s="400"/>
      <c r="Y113" s="400"/>
      <c r="Z113" s="402"/>
      <c r="AA113" s="404">
        <f>+SUM(Z114:Z120)</f>
        <v>36420809.676751427</v>
      </c>
      <c r="AB113" s="405" t="s">
        <v>4208</v>
      </c>
      <c r="AC113" s="406"/>
      <c r="AD113" s="440"/>
      <c r="AE113" s="441"/>
      <c r="AF113" s="441"/>
      <c r="AG113" s="408"/>
      <c r="AH113" s="409"/>
      <c r="AI113" s="410"/>
      <c r="AJ113" s="411"/>
      <c r="AK113" s="408"/>
      <c r="AL113" s="409"/>
      <c r="AM113" s="442"/>
      <c r="AN113" s="442"/>
      <c r="AO113" s="410"/>
    </row>
    <row r="114" spans="1:44" ht="10.5" customHeight="1" x14ac:dyDescent="0.35">
      <c r="A114" s="412" t="s">
        <v>4165</v>
      </c>
      <c r="B114" s="412" t="s">
        <v>25</v>
      </c>
      <c r="C114" s="412" t="s">
        <v>4165</v>
      </c>
      <c r="D114" s="412" t="s">
        <v>25</v>
      </c>
      <c r="F114" s="413">
        <f>+F113+0.01</f>
        <v>14.01</v>
      </c>
      <c r="G114" s="460" t="s">
        <v>4112</v>
      </c>
      <c r="H114" s="415" t="s">
        <v>4209</v>
      </c>
      <c r="I114" s="482" t="s">
        <v>988</v>
      </c>
      <c r="J114" s="417">
        <v>460</v>
      </c>
      <c r="K114" s="418">
        <v>5812.2328695652177</v>
      </c>
      <c r="L114" s="418">
        <v>11651.218312085961</v>
      </c>
      <c r="M114" s="418">
        <v>0</v>
      </c>
      <c r="N114" s="418">
        <v>261.95176772476742</v>
      </c>
      <c r="O114" s="419">
        <f t="shared" ref="O114:O120" si="150">+SUM(K114:N114)</f>
        <v>17725.402949375948</v>
      </c>
      <c r="P114" s="420">
        <f t="shared" ref="P114:P120" si="151">+O114*$P$2</f>
        <v>25445.441958521358</v>
      </c>
      <c r="Q114" s="403"/>
      <c r="R114" s="421">
        <f t="shared" ref="R114:U120" si="152">+K114*$P$2</f>
        <v>8343.6655603442105</v>
      </c>
      <c r="S114" s="421">
        <f t="shared" si="152"/>
        <v>16725.735384011805</v>
      </c>
      <c r="T114" s="421">
        <f t="shared" si="152"/>
        <v>0</v>
      </c>
      <c r="U114" s="421">
        <f t="shared" si="152"/>
        <v>376.0410141653399</v>
      </c>
      <c r="V114" s="422">
        <f t="shared" ref="V114:V120" si="153">+SUM(R114:U114)</f>
        <v>25445.441958521355</v>
      </c>
      <c r="W114" s="423"/>
      <c r="X114" s="421">
        <f t="shared" ref="X114:X120" si="154">+R114*J114</f>
        <v>3838086.157758337</v>
      </c>
      <c r="Y114" s="421">
        <f t="shared" ref="Y114:Y120" si="155">+Z114-X114</f>
        <v>7866817.1431614868</v>
      </c>
      <c r="Z114" s="422">
        <f t="shared" ref="Z114:Z120" si="156">+V114*J114</f>
        <v>11704903.300919823</v>
      </c>
      <c r="AA114" s="424"/>
      <c r="AB114" s="425" t="s">
        <v>4208</v>
      </c>
      <c r="AC114" s="427">
        <v>0</v>
      </c>
      <c r="AD114" s="427">
        <v>0</v>
      </c>
      <c r="AE114" s="428">
        <f t="shared" ref="AE114:AE120" si="157">AC114+AD114</f>
        <v>0</v>
      </c>
      <c r="AF114" s="437" t="str">
        <f t="shared" ref="AF114:AF120" si="158">IF($AE114=1,"🔴","⚪")</f>
        <v>⚪</v>
      </c>
      <c r="AG114" s="430">
        <f t="shared" ref="AG114:AG120" si="159">AC114*Z114</f>
        <v>0</v>
      </c>
      <c r="AH114" s="375">
        <f t="shared" ref="AH114:AH120" si="160">AD114*Z114</f>
        <v>0</v>
      </c>
      <c r="AI114" s="431">
        <f t="shared" ref="AI114:AI120" si="161">AE114*Z114</f>
        <v>0</v>
      </c>
      <c r="AJ114" s="375"/>
      <c r="AK114" s="430">
        <f t="shared" ref="AK114:AK120" si="162">AE114*X114</f>
        <v>0</v>
      </c>
      <c r="AL114" s="375">
        <f t="shared" ref="AL114:AL120" si="163">AE114*S114*J114</f>
        <v>0</v>
      </c>
      <c r="AM114" s="432">
        <f t="shared" ref="AM114:AM120" si="164">AE114*T114*J114</f>
        <v>0</v>
      </c>
      <c r="AN114" s="432">
        <f t="shared" ref="AN114:AN120" si="165">AE114*U114*J114</f>
        <v>0</v>
      </c>
      <c r="AO114" s="433">
        <f t="shared" ref="AO114:AO120" si="166">AK114+AL114+AM114+AN114</f>
        <v>0</v>
      </c>
      <c r="AQ114" s="563">
        <f t="shared" ref="AQ114:AQ120" si="167">+O114</f>
        <v>17725.402949375948</v>
      </c>
      <c r="AR114" s="563">
        <f t="shared" ref="AR114:AR120" si="168">+O114*J114</f>
        <v>8153685.3567129364</v>
      </c>
    </row>
    <row r="115" spans="1:44" ht="10.5" customHeight="1" x14ac:dyDescent="0.35">
      <c r="A115" s="412" t="s">
        <v>4165</v>
      </c>
      <c r="B115" s="412" t="s">
        <v>25</v>
      </c>
      <c r="C115" s="412" t="s">
        <v>4165</v>
      </c>
      <c r="D115" s="412" t="s">
        <v>25</v>
      </c>
      <c r="F115" s="471">
        <v>14.02</v>
      </c>
      <c r="G115" s="480" t="s">
        <v>4112</v>
      </c>
      <c r="H115" s="473" t="s">
        <v>4210</v>
      </c>
      <c r="I115" s="483" t="s">
        <v>744</v>
      </c>
      <c r="J115" s="484">
        <v>434</v>
      </c>
      <c r="K115" s="418">
        <v>0</v>
      </c>
      <c r="L115" s="418">
        <v>12499.47315710668</v>
      </c>
      <c r="M115" s="418">
        <v>0</v>
      </c>
      <c r="N115" s="418">
        <v>0</v>
      </c>
      <c r="O115" s="419">
        <f t="shared" si="150"/>
        <v>12499.47315710668</v>
      </c>
      <c r="P115" s="420">
        <f t="shared" si="151"/>
        <v>17943.435172651542</v>
      </c>
      <c r="Q115" s="403"/>
      <c r="R115" s="421">
        <f t="shared" si="152"/>
        <v>0</v>
      </c>
      <c r="S115" s="421">
        <f t="shared" si="152"/>
        <v>17943.435172651542</v>
      </c>
      <c r="T115" s="421">
        <f t="shared" si="152"/>
        <v>0</v>
      </c>
      <c r="U115" s="421">
        <f t="shared" si="152"/>
        <v>0</v>
      </c>
      <c r="V115" s="422">
        <f t="shared" si="153"/>
        <v>17943.435172651542</v>
      </c>
      <c r="W115" s="423"/>
      <c r="X115" s="421">
        <f t="shared" si="154"/>
        <v>0</v>
      </c>
      <c r="Y115" s="421">
        <f t="shared" si="155"/>
        <v>7787450.8649307694</v>
      </c>
      <c r="Z115" s="422">
        <f t="shared" si="156"/>
        <v>7787450.8649307694</v>
      </c>
      <c r="AA115" s="424"/>
      <c r="AB115" s="425" t="s">
        <v>4208</v>
      </c>
      <c r="AC115" s="427">
        <v>0</v>
      </c>
      <c r="AD115" s="427">
        <v>0</v>
      </c>
      <c r="AE115" s="428">
        <f t="shared" si="157"/>
        <v>0</v>
      </c>
      <c r="AF115" s="437" t="str">
        <f t="shared" si="158"/>
        <v>⚪</v>
      </c>
      <c r="AG115" s="430">
        <f t="shared" si="159"/>
        <v>0</v>
      </c>
      <c r="AH115" s="375">
        <f t="shared" si="160"/>
        <v>0</v>
      </c>
      <c r="AI115" s="431">
        <f t="shared" si="161"/>
        <v>0</v>
      </c>
      <c r="AJ115" s="375"/>
      <c r="AK115" s="430">
        <f t="shared" si="162"/>
        <v>0</v>
      </c>
      <c r="AL115" s="375">
        <f t="shared" si="163"/>
        <v>0</v>
      </c>
      <c r="AM115" s="432">
        <f t="shared" si="164"/>
        <v>0</v>
      </c>
      <c r="AN115" s="432">
        <f t="shared" si="165"/>
        <v>0</v>
      </c>
      <c r="AO115" s="433">
        <f t="shared" si="166"/>
        <v>0</v>
      </c>
      <c r="AQ115" s="563">
        <f t="shared" si="167"/>
        <v>12499.47315710668</v>
      </c>
      <c r="AR115" s="563">
        <f t="shared" si="168"/>
        <v>5424771.3501842991</v>
      </c>
    </row>
    <row r="116" spans="1:44" ht="10.5" customHeight="1" x14ac:dyDescent="0.35">
      <c r="A116" s="412" t="s">
        <v>4165</v>
      </c>
      <c r="B116" s="412" t="s">
        <v>25</v>
      </c>
      <c r="C116" s="412" t="s">
        <v>4165</v>
      </c>
      <c r="D116" s="412" t="s">
        <v>25</v>
      </c>
      <c r="F116" s="434">
        <v>14.03</v>
      </c>
      <c r="G116" s="414" t="s">
        <v>4112</v>
      </c>
      <c r="H116" s="435" t="s">
        <v>4211</v>
      </c>
      <c r="I116" s="478" t="s">
        <v>988</v>
      </c>
      <c r="J116" s="421">
        <v>115</v>
      </c>
      <c r="K116" s="418">
        <v>10671.936802390779</v>
      </c>
      <c r="L116" s="418">
        <v>15938.965136120431</v>
      </c>
      <c r="M116" s="418">
        <v>0</v>
      </c>
      <c r="N116" s="418">
        <v>263.73013064992261</v>
      </c>
      <c r="O116" s="419">
        <f t="shared" si="150"/>
        <v>26874.632069161133</v>
      </c>
      <c r="P116" s="420">
        <f t="shared" si="151"/>
        <v>38579.48349188485</v>
      </c>
      <c r="Q116" s="403"/>
      <c r="R116" s="421">
        <f t="shared" si="152"/>
        <v>15319.942190640188</v>
      </c>
      <c r="S116" s="421">
        <f t="shared" si="152"/>
        <v>22880.947384292147</v>
      </c>
      <c r="T116" s="421">
        <f t="shared" si="152"/>
        <v>0</v>
      </c>
      <c r="U116" s="421">
        <f t="shared" si="152"/>
        <v>378.5939169525127</v>
      </c>
      <c r="V116" s="422">
        <f t="shared" si="153"/>
        <v>38579.48349188485</v>
      </c>
      <c r="W116" s="423"/>
      <c r="X116" s="421">
        <f t="shared" si="154"/>
        <v>1761793.3519236215</v>
      </c>
      <c r="Y116" s="421">
        <f t="shared" si="155"/>
        <v>2674847.2496431367</v>
      </c>
      <c r="Z116" s="422">
        <f t="shared" si="156"/>
        <v>4436640.601566758</v>
      </c>
      <c r="AA116" s="424"/>
      <c r="AB116" s="425" t="s">
        <v>4208</v>
      </c>
      <c r="AC116" s="427">
        <v>0.1</v>
      </c>
      <c r="AD116" s="427">
        <v>0</v>
      </c>
      <c r="AE116" s="428">
        <f t="shared" si="157"/>
        <v>0.1</v>
      </c>
      <c r="AF116" s="437" t="str">
        <f t="shared" si="158"/>
        <v>⚪</v>
      </c>
      <c r="AG116" s="430">
        <f t="shared" si="159"/>
        <v>443664.06015667581</v>
      </c>
      <c r="AH116" s="375">
        <f t="shared" si="160"/>
        <v>0</v>
      </c>
      <c r="AI116" s="431">
        <f t="shared" si="161"/>
        <v>443664.06015667581</v>
      </c>
      <c r="AJ116" s="375"/>
      <c r="AK116" s="430">
        <f t="shared" si="162"/>
        <v>176179.33519236217</v>
      </c>
      <c r="AL116" s="375">
        <f t="shared" si="163"/>
        <v>263130.89491935971</v>
      </c>
      <c r="AM116" s="432">
        <f t="shared" si="164"/>
        <v>0</v>
      </c>
      <c r="AN116" s="432">
        <f t="shared" si="165"/>
        <v>4353.8300449538956</v>
      </c>
      <c r="AO116" s="433">
        <f t="shared" si="166"/>
        <v>443664.06015667581</v>
      </c>
      <c r="AQ116" s="563">
        <f t="shared" si="167"/>
        <v>26874.632069161133</v>
      </c>
      <c r="AR116" s="563">
        <f t="shared" si="168"/>
        <v>3090582.6879535303</v>
      </c>
    </row>
    <row r="117" spans="1:44" ht="10.5" customHeight="1" x14ac:dyDescent="0.35">
      <c r="A117" s="412" t="s">
        <v>4165</v>
      </c>
      <c r="B117" s="412" t="s">
        <v>25</v>
      </c>
      <c r="C117" s="412" t="s">
        <v>4165</v>
      </c>
      <c r="D117" s="412" t="s">
        <v>25</v>
      </c>
      <c r="F117" s="471">
        <v>14.04</v>
      </c>
      <c r="G117" s="414" t="s">
        <v>4112</v>
      </c>
      <c r="H117" s="435" t="s">
        <v>4212</v>
      </c>
      <c r="I117" s="478" t="s">
        <v>988</v>
      </c>
      <c r="J117" s="421">
        <v>89</v>
      </c>
      <c r="K117" s="418">
        <v>14660.054765467639</v>
      </c>
      <c r="L117" s="418">
        <v>15938.965136120451</v>
      </c>
      <c r="M117" s="418">
        <v>0</v>
      </c>
      <c r="N117" s="418">
        <v>263.73013064992239</v>
      </c>
      <c r="O117" s="419">
        <f t="shared" si="150"/>
        <v>30862.750032238011</v>
      </c>
      <c r="P117" s="420">
        <f t="shared" si="151"/>
        <v>44304.567679986867</v>
      </c>
      <c r="Q117" s="403"/>
      <c r="R117" s="421">
        <f t="shared" si="152"/>
        <v>21045.026378742179</v>
      </c>
      <c r="S117" s="421">
        <f t="shared" si="152"/>
        <v>22880.947384292176</v>
      </c>
      <c r="T117" s="421">
        <f t="shared" si="152"/>
        <v>0</v>
      </c>
      <c r="U117" s="421">
        <f t="shared" si="152"/>
        <v>378.59391695251236</v>
      </c>
      <c r="V117" s="422">
        <f t="shared" si="153"/>
        <v>44304.567679986874</v>
      </c>
      <c r="W117" s="423"/>
      <c r="X117" s="421">
        <f t="shared" si="154"/>
        <v>1873007.3477080539</v>
      </c>
      <c r="Y117" s="421">
        <f t="shared" si="155"/>
        <v>2070099.175810778</v>
      </c>
      <c r="Z117" s="422">
        <f t="shared" si="156"/>
        <v>3943106.5235188319</v>
      </c>
      <c r="AA117" s="424"/>
      <c r="AB117" s="425" t="s">
        <v>4208</v>
      </c>
      <c r="AC117" s="427">
        <v>0.1</v>
      </c>
      <c r="AD117" s="427">
        <v>0</v>
      </c>
      <c r="AE117" s="428">
        <f t="shared" si="157"/>
        <v>0.1</v>
      </c>
      <c r="AF117" s="437" t="str">
        <f t="shared" si="158"/>
        <v>⚪</v>
      </c>
      <c r="AG117" s="430">
        <f t="shared" si="159"/>
        <v>394310.65235188324</v>
      </c>
      <c r="AH117" s="375">
        <f t="shared" si="160"/>
        <v>0</v>
      </c>
      <c r="AI117" s="431">
        <f t="shared" si="161"/>
        <v>394310.65235188324</v>
      </c>
      <c r="AJ117" s="375"/>
      <c r="AK117" s="430">
        <f t="shared" si="162"/>
        <v>187300.7347708054</v>
      </c>
      <c r="AL117" s="375">
        <f t="shared" si="163"/>
        <v>203640.43172020037</v>
      </c>
      <c r="AM117" s="432">
        <f t="shared" si="164"/>
        <v>0</v>
      </c>
      <c r="AN117" s="432">
        <f t="shared" si="165"/>
        <v>3369.4858608773602</v>
      </c>
      <c r="AO117" s="433">
        <f t="shared" si="166"/>
        <v>394310.65235188318</v>
      </c>
      <c r="AQ117" s="563">
        <f t="shared" si="167"/>
        <v>30862.750032238011</v>
      </c>
      <c r="AR117" s="563">
        <f t="shared" si="168"/>
        <v>2746784.7528691832</v>
      </c>
    </row>
    <row r="118" spans="1:44" ht="10.5" customHeight="1" x14ac:dyDescent="0.35">
      <c r="A118" s="412" t="s">
        <v>4165</v>
      </c>
      <c r="B118" s="412" t="s">
        <v>25</v>
      </c>
      <c r="C118" s="412" t="s">
        <v>4165</v>
      </c>
      <c r="D118" s="412" t="s">
        <v>25</v>
      </c>
      <c r="F118" s="434">
        <v>14.05</v>
      </c>
      <c r="G118" s="414" t="s">
        <v>4112</v>
      </c>
      <c r="H118" s="435" t="s">
        <v>4213</v>
      </c>
      <c r="I118" s="478" t="s">
        <v>744</v>
      </c>
      <c r="J118" s="421">
        <v>530</v>
      </c>
      <c r="K118" s="418">
        <v>1062.871810826447</v>
      </c>
      <c r="L118" s="418">
        <v>5728.4731437714718</v>
      </c>
      <c r="M118" s="418">
        <v>0</v>
      </c>
      <c r="N118" s="418">
        <v>167.02908274495081</v>
      </c>
      <c r="O118" s="419">
        <f t="shared" si="150"/>
        <v>6958.3740373428691</v>
      </c>
      <c r="P118" s="420">
        <f t="shared" si="151"/>
        <v>9988.9916860323647</v>
      </c>
      <c r="Q118" s="403"/>
      <c r="R118" s="421">
        <f t="shared" si="152"/>
        <v>1525.7900228826688</v>
      </c>
      <c r="S118" s="421">
        <f t="shared" si="152"/>
        <v>8223.4255157464395</v>
      </c>
      <c r="T118" s="421">
        <f t="shared" si="152"/>
        <v>0</v>
      </c>
      <c r="U118" s="421">
        <f t="shared" si="152"/>
        <v>239.77614740325777</v>
      </c>
      <c r="V118" s="422">
        <f t="shared" si="153"/>
        <v>9988.9916860323665</v>
      </c>
      <c r="W118" s="423"/>
      <c r="X118" s="421">
        <f t="shared" si="154"/>
        <v>808668.71212781454</v>
      </c>
      <c r="Y118" s="421">
        <f t="shared" si="155"/>
        <v>4485496.8814693391</v>
      </c>
      <c r="Z118" s="422">
        <f t="shared" si="156"/>
        <v>5294165.5935971541</v>
      </c>
      <c r="AA118" s="424"/>
      <c r="AB118" s="425" t="s">
        <v>4208</v>
      </c>
      <c r="AC118" s="427">
        <v>0</v>
      </c>
      <c r="AD118" s="427">
        <v>0</v>
      </c>
      <c r="AE118" s="428">
        <f t="shared" si="157"/>
        <v>0</v>
      </c>
      <c r="AF118" s="437" t="str">
        <f t="shared" si="158"/>
        <v>⚪</v>
      </c>
      <c r="AG118" s="430">
        <f t="shared" si="159"/>
        <v>0</v>
      </c>
      <c r="AH118" s="375">
        <f t="shared" si="160"/>
        <v>0</v>
      </c>
      <c r="AI118" s="431">
        <f t="shared" si="161"/>
        <v>0</v>
      </c>
      <c r="AJ118" s="375"/>
      <c r="AK118" s="430">
        <f t="shared" si="162"/>
        <v>0</v>
      </c>
      <c r="AL118" s="375">
        <f t="shared" si="163"/>
        <v>0</v>
      </c>
      <c r="AM118" s="432">
        <f t="shared" si="164"/>
        <v>0</v>
      </c>
      <c r="AN118" s="432">
        <f t="shared" si="165"/>
        <v>0</v>
      </c>
      <c r="AO118" s="433">
        <f t="shared" si="166"/>
        <v>0</v>
      </c>
      <c r="AQ118" s="563">
        <f t="shared" si="167"/>
        <v>6958.3740373428691</v>
      </c>
      <c r="AR118" s="563">
        <f t="shared" si="168"/>
        <v>3687938.2397917206</v>
      </c>
    </row>
    <row r="119" spans="1:44" ht="10.5" customHeight="1" x14ac:dyDescent="0.35">
      <c r="A119" s="412" t="s">
        <v>4165</v>
      </c>
      <c r="B119" s="412" t="s">
        <v>25</v>
      </c>
      <c r="C119" s="412" t="s">
        <v>4165</v>
      </c>
      <c r="D119" s="412" t="s">
        <v>25</v>
      </c>
      <c r="F119" s="471">
        <v>14.06</v>
      </c>
      <c r="G119" s="414" t="s">
        <v>4112</v>
      </c>
      <c r="H119" s="435" t="s">
        <v>4214</v>
      </c>
      <c r="I119" s="478" t="s">
        <v>744</v>
      </c>
      <c r="J119" s="421">
        <v>56</v>
      </c>
      <c r="K119" s="418">
        <v>1062.8718108264461</v>
      </c>
      <c r="L119" s="418">
        <v>5728.4731437714636</v>
      </c>
      <c r="M119" s="418">
        <v>0</v>
      </c>
      <c r="N119" s="418">
        <v>167.0290827449507</v>
      </c>
      <c r="O119" s="419">
        <f t="shared" si="150"/>
        <v>6958.37403734286</v>
      </c>
      <c r="P119" s="420">
        <f t="shared" si="151"/>
        <v>9988.9916860323519</v>
      </c>
      <c r="Q119" s="403"/>
      <c r="R119" s="421">
        <f t="shared" si="152"/>
        <v>1525.7900228826675</v>
      </c>
      <c r="S119" s="421">
        <f t="shared" si="152"/>
        <v>8223.4255157464286</v>
      </c>
      <c r="T119" s="421">
        <f t="shared" si="152"/>
        <v>0</v>
      </c>
      <c r="U119" s="421">
        <f t="shared" si="152"/>
        <v>239.77614740325762</v>
      </c>
      <c r="V119" s="422">
        <f t="shared" si="153"/>
        <v>9988.9916860323538</v>
      </c>
      <c r="W119" s="423"/>
      <c r="X119" s="421">
        <f t="shared" si="154"/>
        <v>85444.241281429378</v>
      </c>
      <c r="Y119" s="421">
        <f t="shared" si="155"/>
        <v>473939.29313638242</v>
      </c>
      <c r="Z119" s="422">
        <f t="shared" si="156"/>
        <v>559383.53441781178</v>
      </c>
      <c r="AA119" s="424"/>
      <c r="AB119" s="425" t="s">
        <v>4208</v>
      </c>
      <c r="AC119" s="427">
        <v>0</v>
      </c>
      <c r="AD119" s="427">
        <v>0</v>
      </c>
      <c r="AE119" s="428">
        <f t="shared" si="157"/>
        <v>0</v>
      </c>
      <c r="AF119" s="437" t="str">
        <f t="shared" si="158"/>
        <v>⚪</v>
      </c>
      <c r="AG119" s="430">
        <f t="shared" si="159"/>
        <v>0</v>
      </c>
      <c r="AH119" s="375">
        <f t="shared" si="160"/>
        <v>0</v>
      </c>
      <c r="AI119" s="431">
        <f t="shared" si="161"/>
        <v>0</v>
      </c>
      <c r="AJ119" s="375"/>
      <c r="AK119" s="430">
        <f t="shared" si="162"/>
        <v>0</v>
      </c>
      <c r="AL119" s="375">
        <f t="shared" si="163"/>
        <v>0</v>
      </c>
      <c r="AM119" s="432">
        <f t="shared" si="164"/>
        <v>0</v>
      </c>
      <c r="AN119" s="432">
        <f t="shared" si="165"/>
        <v>0</v>
      </c>
      <c r="AO119" s="433">
        <f t="shared" si="166"/>
        <v>0</v>
      </c>
      <c r="AQ119" s="563">
        <f t="shared" si="167"/>
        <v>6958.37403734286</v>
      </c>
      <c r="AR119" s="563">
        <f t="shared" si="168"/>
        <v>389668.94609120017</v>
      </c>
    </row>
    <row r="120" spans="1:44" ht="10.5" customHeight="1" x14ac:dyDescent="0.35">
      <c r="A120" s="412" t="s">
        <v>106</v>
      </c>
      <c r="B120" s="412" t="s">
        <v>25</v>
      </c>
      <c r="C120" s="412" t="s">
        <v>25</v>
      </c>
      <c r="D120" s="412" t="s">
        <v>106</v>
      </c>
      <c r="F120" s="434">
        <v>14.07</v>
      </c>
      <c r="G120" s="414" t="s">
        <v>4112</v>
      </c>
      <c r="H120" s="435" t="s">
        <v>4215</v>
      </c>
      <c r="I120" s="478" t="s">
        <v>988</v>
      </c>
      <c r="J120" s="421">
        <v>469</v>
      </c>
      <c r="K120" s="418">
        <v>1066.0980810234539</v>
      </c>
      <c r="L120" s="418">
        <v>0</v>
      </c>
      <c r="M120" s="418">
        <v>2877.854331797761</v>
      </c>
      <c r="N120" s="418">
        <v>59.159286192318334</v>
      </c>
      <c r="O120" s="419">
        <f t="shared" si="150"/>
        <v>4003.1116990135333</v>
      </c>
      <c r="P120" s="420">
        <f t="shared" si="151"/>
        <v>5746.6082255869323</v>
      </c>
      <c r="Q120" s="403"/>
      <c r="R120" s="421">
        <f t="shared" si="152"/>
        <v>1530.4214476956847</v>
      </c>
      <c r="S120" s="421">
        <f t="shared" si="152"/>
        <v>0</v>
      </c>
      <c r="T120" s="421">
        <f t="shared" si="152"/>
        <v>4131.2615331781399</v>
      </c>
      <c r="U120" s="421">
        <f t="shared" si="152"/>
        <v>84.925244713107517</v>
      </c>
      <c r="V120" s="422">
        <f t="shared" si="153"/>
        <v>5746.6082255869323</v>
      </c>
      <c r="W120" s="423"/>
      <c r="X120" s="421">
        <f t="shared" si="154"/>
        <v>717767.65896927612</v>
      </c>
      <c r="Y120" s="421">
        <f t="shared" si="155"/>
        <v>1977391.5988309951</v>
      </c>
      <c r="Z120" s="422">
        <f t="shared" si="156"/>
        <v>2695159.2578002713</v>
      </c>
      <c r="AA120" s="424"/>
      <c r="AB120" s="425" t="s">
        <v>4208</v>
      </c>
      <c r="AC120" s="427">
        <v>0.15</v>
      </c>
      <c r="AD120" s="427">
        <v>0</v>
      </c>
      <c r="AE120" s="428">
        <f t="shared" si="157"/>
        <v>0.15</v>
      </c>
      <c r="AF120" s="437" t="str">
        <f t="shared" si="158"/>
        <v>⚪</v>
      </c>
      <c r="AG120" s="430">
        <f t="shared" si="159"/>
        <v>404273.8886700407</v>
      </c>
      <c r="AH120" s="375">
        <f t="shared" si="160"/>
        <v>0</v>
      </c>
      <c r="AI120" s="431">
        <f t="shared" si="161"/>
        <v>404273.8886700407</v>
      </c>
      <c r="AJ120" s="375"/>
      <c r="AK120" s="430">
        <f t="shared" si="162"/>
        <v>107665.14884539142</v>
      </c>
      <c r="AL120" s="375">
        <f t="shared" si="163"/>
        <v>0</v>
      </c>
      <c r="AM120" s="432">
        <f t="shared" si="164"/>
        <v>290634.24885908212</v>
      </c>
      <c r="AN120" s="432">
        <f t="shared" si="165"/>
        <v>5974.4909655671136</v>
      </c>
      <c r="AO120" s="433">
        <f t="shared" si="166"/>
        <v>404273.88867004064</v>
      </c>
      <c r="AQ120" s="563">
        <f t="shared" si="167"/>
        <v>4003.1116990135333</v>
      </c>
      <c r="AR120" s="563">
        <f t="shared" si="168"/>
        <v>1877459.3868373472</v>
      </c>
    </row>
    <row r="121" spans="1:44" ht="10.5" customHeight="1" x14ac:dyDescent="0.25">
      <c r="A121" s="412" t="s">
        <v>25</v>
      </c>
      <c r="B121" s="412" t="s">
        <v>25</v>
      </c>
      <c r="C121" s="412" t="s">
        <v>25</v>
      </c>
      <c r="D121" s="412" t="s">
        <v>25</v>
      </c>
      <c r="F121" s="396">
        <v>15</v>
      </c>
      <c r="G121" s="397"/>
      <c r="H121" s="398" t="s">
        <v>4216</v>
      </c>
      <c r="I121" s="399"/>
      <c r="J121" s="400"/>
      <c r="K121" s="400"/>
      <c r="L121" s="400"/>
      <c r="M121" s="400"/>
      <c r="N121" s="400"/>
      <c r="O121" s="401"/>
      <c r="P121" s="402"/>
      <c r="Q121" s="403"/>
      <c r="R121" s="400"/>
      <c r="S121" s="400"/>
      <c r="T121" s="400"/>
      <c r="U121" s="400"/>
      <c r="V121" s="402"/>
      <c r="X121" s="400"/>
      <c r="Y121" s="400"/>
      <c r="Z121" s="402"/>
      <c r="AA121" s="404">
        <f>+SUM(Z122:Z133)</f>
        <v>87972366.432122782</v>
      </c>
      <c r="AB121" s="405" t="s">
        <v>4216</v>
      </c>
      <c r="AC121" s="406"/>
      <c r="AD121" s="440"/>
      <c r="AE121" s="441"/>
      <c r="AF121" s="441"/>
      <c r="AG121" s="408"/>
      <c r="AH121" s="409"/>
      <c r="AI121" s="410"/>
      <c r="AJ121" s="411"/>
      <c r="AK121" s="408"/>
      <c r="AL121" s="409"/>
      <c r="AM121" s="442"/>
      <c r="AN121" s="442"/>
      <c r="AO121" s="410"/>
    </row>
    <row r="122" spans="1:44" ht="10.5" customHeight="1" x14ac:dyDescent="0.35">
      <c r="A122" s="412" t="s">
        <v>2779</v>
      </c>
      <c r="B122" s="412" t="s">
        <v>25</v>
      </c>
      <c r="C122" s="412" t="s">
        <v>2779</v>
      </c>
      <c r="D122" s="412" t="s">
        <v>25</v>
      </c>
      <c r="F122" s="460">
        <v>15.01</v>
      </c>
      <c r="G122" s="460" t="s">
        <v>4112</v>
      </c>
      <c r="H122" s="415" t="s">
        <v>4217</v>
      </c>
      <c r="I122" s="476" t="s">
        <v>988</v>
      </c>
      <c r="J122" s="461">
        <v>739</v>
      </c>
      <c r="K122" s="418">
        <v>1824.926273</v>
      </c>
      <c r="L122" s="418">
        <v>14504.129532884839</v>
      </c>
      <c r="M122" s="418">
        <v>0</v>
      </c>
      <c r="N122" s="418">
        <v>234.44230749381191</v>
      </c>
      <c r="O122" s="419">
        <f t="shared" ref="O122:O133" si="169">+SUM(K122:N122)</f>
        <v>16563.498113378653</v>
      </c>
      <c r="P122" s="420">
        <f t="shared" ref="P122:P133" si="170">+O122*$P$2</f>
        <v>23777.48653036364</v>
      </c>
      <c r="Q122" s="403"/>
      <c r="R122" s="421">
        <f t="shared" ref="R122:R133" si="171">+K122*$P$2</f>
        <v>2619.746117525473</v>
      </c>
      <c r="S122" s="421">
        <f t="shared" ref="S122:S133" si="172">+L122*$P$2</f>
        <v>20821.190200411787</v>
      </c>
      <c r="T122" s="421">
        <f t="shared" ref="T122:T133" si="173">+M122*$P$2</f>
        <v>0</v>
      </c>
      <c r="U122" s="421">
        <f t="shared" ref="U122:U133" si="174">+N122*$P$2</f>
        <v>336.55021242637719</v>
      </c>
      <c r="V122" s="422">
        <f t="shared" ref="V122:V133" si="175">+SUM(R122:U122)</f>
        <v>23777.486530363636</v>
      </c>
      <c r="W122" s="423"/>
      <c r="X122" s="421">
        <f t="shared" ref="X122:X133" si="176">+R122*J122</f>
        <v>1935992.3808513246</v>
      </c>
      <c r="Y122" s="421">
        <f t="shared" ref="Y122:Y133" si="177">+Z122-X122</f>
        <v>15635570.165087402</v>
      </c>
      <c r="Z122" s="422">
        <f t="shared" ref="Z122:Z133" si="178">+V122*J122</f>
        <v>17571562.545938727</v>
      </c>
      <c r="AA122" s="371"/>
      <c r="AB122" s="425" t="s">
        <v>4216</v>
      </c>
      <c r="AC122" s="427">
        <v>0</v>
      </c>
      <c r="AD122" s="427">
        <v>0</v>
      </c>
      <c r="AE122" s="428">
        <f t="shared" ref="AE122:AE133" si="179">AC122+AD122</f>
        <v>0</v>
      </c>
      <c r="AF122" s="437" t="str">
        <f t="shared" ref="AF122:AF133" si="180">IF($AE122=1,"🔴","⚪")</f>
        <v>⚪</v>
      </c>
      <c r="AG122" s="430">
        <f t="shared" ref="AG122:AG133" si="181">AC122*Z122</f>
        <v>0</v>
      </c>
      <c r="AH122" s="375">
        <f t="shared" ref="AH122:AH133" si="182">AD122*Z122</f>
        <v>0</v>
      </c>
      <c r="AI122" s="431">
        <f t="shared" ref="AI122:AI133" si="183">AE122*Z122</f>
        <v>0</v>
      </c>
      <c r="AJ122" s="375"/>
      <c r="AK122" s="430">
        <f t="shared" ref="AK122:AK133" si="184">AE122*X122</f>
        <v>0</v>
      </c>
      <c r="AL122" s="375">
        <f t="shared" ref="AL122:AL133" si="185">AE122*S122*J122</f>
        <v>0</v>
      </c>
      <c r="AM122" s="432">
        <f t="shared" ref="AM122:AM133" si="186">AE122*T122*J122</f>
        <v>0</v>
      </c>
      <c r="AN122" s="432">
        <f t="shared" ref="AN122:AN133" si="187">AE122*U122*J122</f>
        <v>0</v>
      </c>
      <c r="AO122" s="433">
        <f t="shared" ref="AO122:AO133" si="188">AK122+AL122+AM122+AN122</f>
        <v>0</v>
      </c>
      <c r="AQ122" s="563">
        <f t="shared" ref="AQ122:AQ133" si="189">+O122</f>
        <v>16563.498113378653</v>
      </c>
      <c r="AR122" s="563">
        <f t="shared" ref="AR122:AR133" si="190">+O122*J122</f>
        <v>12240425.105786825</v>
      </c>
    </row>
    <row r="123" spans="1:44" ht="10.5" customHeight="1" x14ac:dyDescent="0.35">
      <c r="A123" s="412" t="s">
        <v>2779</v>
      </c>
      <c r="B123" s="412" t="s">
        <v>25</v>
      </c>
      <c r="C123" s="412" t="s">
        <v>2779</v>
      </c>
      <c r="D123" s="412" t="s">
        <v>25</v>
      </c>
      <c r="F123" s="414">
        <v>15.02</v>
      </c>
      <c r="G123" s="414" t="s">
        <v>4112</v>
      </c>
      <c r="H123" s="435" t="s">
        <v>4218</v>
      </c>
      <c r="I123" s="438" t="s">
        <v>988</v>
      </c>
      <c r="J123" s="439">
        <v>1439</v>
      </c>
      <c r="K123" s="418">
        <v>2272.0787045000002</v>
      </c>
      <c r="L123" s="418">
        <v>4296.3548578285963</v>
      </c>
      <c r="M123" s="418">
        <v>0</v>
      </c>
      <c r="N123" s="418">
        <v>96.193951950972902</v>
      </c>
      <c r="O123" s="419">
        <f t="shared" si="169"/>
        <v>6664.6275142795703</v>
      </c>
      <c r="P123" s="420">
        <f t="shared" si="170"/>
        <v>9567.308177653349</v>
      </c>
      <c r="Q123" s="403"/>
      <c r="R123" s="421">
        <f t="shared" si="171"/>
        <v>3261.6492254458226</v>
      </c>
      <c r="S123" s="421">
        <f t="shared" si="172"/>
        <v>6167.5691368098187</v>
      </c>
      <c r="T123" s="421">
        <f t="shared" si="173"/>
        <v>0</v>
      </c>
      <c r="U123" s="421">
        <f t="shared" si="174"/>
        <v>138.08981539770573</v>
      </c>
      <c r="V123" s="422">
        <f t="shared" si="175"/>
        <v>9567.3081776533454</v>
      </c>
      <c r="W123" s="423"/>
      <c r="X123" s="421">
        <f t="shared" si="176"/>
        <v>4693513.235416539</v>
      </c>
      <c r="Y123" s="421">
        <f t="shared" si="177"/>
        <v>9073843.2322266251</v>
      </c>
      <c r="Z123" s="422">
        <f t="shared" si="178"/>
        <v>13767356.467643164</v>
      </c>
      <c r="AA123" s="371"/>
      <c r="AB123" s="425" t="s">
        <v>4216</v>
      </c>
      <c r="AC123" s="427">
        <v>0</v>
      </c>
      <c r="AD123" s="427">
        <v>0</v>
      </c>
      <c r="AE123" s="428">
        <f t="shared" si="179"/>
        <v>0</v>
      </c>
      <c r="AF123" s="437" t="str">
        <f t="shared" si="180"/>
        <v>⚪</v>
      </c>
      <c r="AG123" s="430">
        <f t="shared" si="181"/>
        <v>0</v>
      </c>
      <c r="AH123" s="375">
        <f t="shared" si="182"/>
        <v>0</v>
      </c>
      <c r="AI123" s="431">
        <f t="shared" si="183"/>
        <v>0</v>
      </c>
      <c r="AJ123" s="375"/>
      <c r="AK123" s="430">
        <f t="shared" si="184"/>
        <v>0</v>
      </c>
      <c r="AL123" s="375">
        <f t="shared" si="185"/>
        <v>0</v>
      </c>
      <c r="AM123" s="432">
        <f t="shared" si="186"/>
        <v>0</v>
      </c>
      <c r="AN123" s="432">
        <f t="shared" si="187"/>
        <v>0</v>
      </c>
      <c r="AO123" s="433">
        <f t="shared" si="188"/>
        <v>0</v>
      </c>
      <c r="AQ123" s="563">
        <f t="shared" si="189"/>
        <v>6664.6275142795703</v>
      </c>
      <c r="AR123" s="563">
        <f t="shared" si="190"/>
        <v>9590398.993048301</v>
      </c>
    </row>
    <row r="124" spans="1:44" ht="10.5" customHeight="1" x14ac:dyDescent="0.35">
      <c r="A124" s="412" t="s">
        <v>2779</v>
      </c>
      <c r="B124" s="412" t="s">
        <v>25</v>
      </c>
      <c r="C124" s="412" t="s">
        <v>2779</v>
      </c>
      <c r="D124" s="412" t="s">
        <v>25</v>
      </c>
      <c r="F124" s="414">
        <v>15.03</v>
      </c>
      <c r="G124" s="414" t="s">
        <v>4112</v>
      </c>
      <c r="H124" s="435" t="s">
        <v>4219</v>
      </c>
      <c r="I124" s="438" t="s">
        <v>988</v>
      </c>
      <c r="J124" s="439">
        <v>462</v>
      </c>
      <c r="K124" s="418">
        <v>2923.7665455000001</v>
      </c>
      <c r="L124" s="418">
        <v>7626.9743955585063</v>
      </c>
      <c r="M124" s="418">
        <v>0</v>
      </c>
      <c r="N124" s="418">
        <v>174.89809445631431</v>
      </c>
      <c r="O124" s="419">
        <f t="shared" si="169"/>
        <v>10725.63903551482</v>
      </c>
      <c r="P124" s="420">
        <f t="shared" si="170"/>
        <v>15397.033642941917</v>
      </c>
      <c r="Q124" s="403"/>
      <c r="R124" s="421">
        <f t="shared" si="171"/>
        <v>4197.1701374724462</v>
      </c>
      <c r="S124" s="421">
        <f t="shared" si="172"/>
        <v>10948.79111383728</v>
      </c>
      <c r="T124" s="421">
        <f t="shared" si="173"/>
        <v>0</v>
      </c>
      <c r="U124" s="421">
        <f t="shared" si="174"/>
        <v>251.07239163219216</v>
      </c>
      <c r="V124" s="422">
        <f t="shared" si="175"/>
        <v>15397.033642941919</v>
      </c>
      <c r="W124" s="423"/>
      <c r="X124" s="421">
        <f t="shared" si="176"/>
        <v>1939092.6035122701</v>
      </c>
      <c r="Y124" s="421">
        <f t="shared" si="177"/>
        <v>5174336.939526896</v>
      </c>
      <c r="Z124" s="422">
        <f t="shared" si="178"/>
        <v>7113429.5430391664</v>
      </c>
      <c r="AA124" s="371"/>
      <c r="AB124" s="425" t="s">
        <v>4216</v>
      </c>
      <c r="AC124" s="427">
        <v>0</v>
      </c>
      <c r="AD124" s="427">
        <v>0</v>
      </c>
      <c r="AE124" s="428">
        <f t="shared" si="179"/>
        <v>0</v>
      </c>
      <c r="AF124" s="437" t="str">
        <f t="shared" si="180"/>
        <v>⚪</v>
      </c>
      <c r="AG124" s="430">
        <f t="shared" si="181"/>
        <v>0</v>
      </c>
      <c r="AH124" s="375">
        <f t="shared" si="182"/>
        <v>0</v>
      </c>
      <c r="AI124" s="431">
        <f t="shared" si="183"/>
        <v>0</v>
      </c>
      <c r="AJ124" s="375"/>
      <c r="AK124" s="430">
        <f t="shared" si="184"/>
        <v>0</v>
      </c>
      <c r="AL124" s="375">
        <f t="shared" si="185"/>
        <v>0</v>
      </c>
      <c r="AM124" s="432">
        <f t="shared" si="186"/>
        <v>0</v>
      </c>
      <c r="AN124" s="432">
        <f t="shared" si="187"/>
        <v>0</v>
      </c>
      <c r="AO124" s="433">
        <f t="shared" si="188"/>
        <v>0</v>
      </c>
      <c r="AQ124" s="563">
        <f t="shared" si="189"/>
        <v>10725.63903551482</v>
      </c>
      <c r="AR124" s="563">
        <f t="shared" si="190"/>
        <v>4955245.2344078468</v>
      </c>
    </row>
    <row r="125" spans="1:44" ht="10.5" customHeight="1" x14ac:dyDescent="0.35">
      <c r="A125" s="412" t="s">
        <v>2779</v>
      </c>
      <c r="B125" s="412" t="s">
        <v>25</v>
      </c>
      <c r="C125" s="412" t="s">
        <v>2779</v>
      </c>
      <c r="D125" s="412" t="s">
        <v>25</v>
      </c>
      <c r="F125" s="414">
        <v>15.04</v>
      </c>
      <c r="G125" s="414" t="s">
        <v>4112</v>
      </c>
      <c r="H125" s="435" t="s">
        <v>4220</v>
      </c>
      <c r="I125" s="438" t="s">
        <v>988</v>
      </c>
      <c r="J125" s="439">
        <v>144</v>
      </c>
      <c r="K125" s="418">
        <v>2141.6929605</v>
      </c>
      <c r="L125" s="418">
        <v>3437.0838862628821</v>
      </c>
      <c r="M125" s="418">
        <v>0</v>
      </c>
      <c r="N125" s="418">
        <v>76.955161560778464</v>
      </c>
      <c r="O125" s="419">
        <f t="shared" si="169"/>
        <v>5655.7320083236609</v>
      </c>
      <c r="P125" s="420">
        <f t="shared" si="170"/>
        <v>8119.0030467441557</v>
      </c>
      <c r="Q125" s="403"/>
      <c r="R125" s="421">
        <f t="shared" si="171"/>
        <v>3074.4758849781274</v>
      </c>
      <c r="S125" s="421">
        <f t="shared" si="172"/>
        <v>4934.0553094478628</v>
      </c>
      <c r="T125" s="421">
        <f t="shared" si="173"/>
        <v>0</v>
      </c>
      <c r="U125" s="421">
        <f t="shared" si="174"/>
        <v>110.47185231816479</v>
      </c>
      <c r="V125" s="422">
        <f t="shared" si="175"/>
        <v>8119.0030467441547</v>
      </c>
      <c r="W125" s="423"/>
      <c r="X125" s="421">
        <f t="shared" si="176"/>
        <v>442724.52743685036</v>
      </c>
      <c r="Y125" s="421">
        <f t="shared" si="177"/>
        <v>726411.91129430803</v>
      </c>
      <c r="Z125" s="422">
        <f t="shared" si="178"/>
        <v>1169136.4387311584</v>
      </c>
      <c r="AA125" s="371"/>
      <c r="AB125" s="425" t="s">
        <v>4216</v>
      </c>
      <c r="AC125" s="427">
        <v>0</v>
      </c>
      <c r="AD125" s="427">
        <v>0</v>
      </c>
      <c r="AE125" s="428">
        <f t="shared" si="179"/>
        <v>0</v>
      </c>
      <c r="AF125" s="437" t="str">
        <f t="shared" si="180"/>
        <v>⚪</v>
      </c>
      <c r="AG125" s="430">
        <f t="shared" si="181"/>
        <v>0</v>
      </c>
      <c r="AH125" s="375">
        <f t="shared" si="182"/>
        <v>0</v>
      </c>
      <c r="AI125" s="431">
        <f t="shared" si="183"/>
        <v>0</v>
      </c>
      <c r="AJ125" s="375"/>
      <c r="AK125" s="430">
        <f t="shared" si="184"/>
        <v>0</v>
      </c>
      <c r="AL125" s="375">
        <f t="shared" si="185"/>
        <v>0</v>
      </c>
      <c r="AM125" s="432">
        <f t="shared" si="186"/>
        <v>0</v>
      </c>
      <c r="AN125" s="432">
        <f t="shared" si="187"/>
        <v>0</v>
      </c>
      <c r="AO125" s="433">
        <f t="shared" si="188"/>
        <v>0</v>
      </c>
      <c r="AQ125" s="563">
        <f t="shared" si="189"/>
        <v>5655.7320083236609</v>
      </c>
      <c r="AR125" s="563">
        <f t="shared" si="190"/>
        <v>814425.4091986072</v>
      </c>
    </row>
    <row r="126" spans="1:44" ht="10.5" customHeight="1" x14ac:dyDescent="0.35">
      <c r="A126" s="412" t="s">
        <v>2779</v>
      </c>
      <c r="B126" s="412" t="s">
        <v>25</v>
      </c>
      <c r="C126" s="412" t="s">
        <v>2779</v>
      </c>
      <c r="D126" s="412" t="s">
        <v>25</v>
      </c>
      <c r="F126" s="414">
        <v>15.05</v>
      </c>
      <c r="G126" s="414" t="s">
        <v>4112</v>
      </c>
      <c r="H126" s="435" t="s">
        <v>4221</v>
      </c>
      <c r="I126" s="438" t="s">
        <v>988</v>
      </c>
      <c r="J126" s="439">
        <v>460</v>
      </c>
      <c r="K126" s="418">
        <v>2272.0787045000002</v>
      </c>
      <c r="L126" s="418">
        <v>4296.3548578286091</v>
      </c>
      <c r="M126" s="418">
        <v>0</v>
      </c>
      <c r="N126" s="418">
        <v>96.193951950972831</v>
      </c>
      <c r="O126" s="419">
        <f t="shared" si="169"/>
        <v>6664.6275142795821</v>
      </c>
      <c r="P126" s="420">
        <f t="shared" si="170"/>
        <v>9567.3081776533654</v>
      </c>
      <c r="Q126" s="403"/>
      <c r="R126" s="421">
        <f t="shared" si="171"/>
        <v>3261.6492254458226</v>
      </c>
      <c r="S126" s="421">
        <f t="shared" si="172"/>
        <v>6167.5691368098369</v>
      </c>
      <c r="T126" s="421">
        <f t="shared" si="173"/>
        <v>0</v>
      </c>
      <c r="U126" s="421">
        <f t="shared" si="174"/>
        <v>138.08981539770565</v>
      </c>
      <c r="V126" s="422">
        <f t="shared" si="175"/>
        <v>9567.3081776533636</v>
      </c>
      <c r="W126" s="423"/>
      <c r="X126" s="421">
        <f t="shared" si="176"/>
        <v>1500358.6437050784</v>
      </c>
      <c r="Y126" s="421">
        <f t="shared" si="177"/>
        <v>2900603.1180154691</v>
      </c>
      <c r="Z126" s="422">
        <f t="shared" si="178"/>
        <v>4400961.7617205475</v>
      </c>
      <c r="AA126" s="371"/>
      <c r="AB126" s="425" t="s">
        <v>4216</v>
      </c>
      <c r="AC126" s="427">
        <v>0</v>
      </c>
      <c r="AD126" s="427">
        <v>0</v>
      </c>
      <c r="AE126" s="428">
        <f t="shared" si="179"/>
        <v>0</v>
      </c>
      <c r="AF126" s="437" t="str">
        <f t="shared" si="180"/>
        <v>⚪</v>
      </c>
      <c r="AG126" s="430">
        <f t="shared" si="181"/>
        <v>0</v>
      </c>
      <c r="AH126" s="375">
        <f t="shared" si="182"/>
        <v>0</v>
      </c>
      <c r="AI126" s="431">
        <f t="shared" si="183"/>
        <v>0</v>
      </c>
      <c r="AJ126" s="375"/>
      <c r="AK126" s="430">
        <f t="shared" si="184"/>
        <v>0</v>
      </c>
      <c r="AL126" s="375">
        <f t="shared" si="185"/>
        <v>0</v>
      </c>
      <c r="AM126" s="432">
        <f t="shared" si="186"/>
        <v>0</v>
      </c>
      <c r="AN126" s="432">
        <f t="shared" si="187"/>
        <v>0</v>
      </c>
      <c r="AO126" s="433">
        <f t="shared" si="188"/>
        <v>0</v>
      </c>
      <c r="AQ126" s="563">
        <f t="shared" si="189"/>
        <v>6664.6275142795821</v>
      </c>
      <c r="AR126" s="563">
        <f t="shared" si="190"/>
        <v>3065728.6565686078</v>
      </c>
    </row>
    <row r="127" spans="1:44" ht="10.5" customHeight="1" x14ac:dyDescent="0.35">
      <c r="A127" s="412" t="s">
        <v>2779</v>
      </c>
      <c r="B127" s="412" t="s">
        <v>25</v>
      </c>
      <c r="C127" s="412" t="s">
        <v>2779</v>
      </c>
      <c r="D127" s="412" t="s">
        <v>25</v>
      </c>
      <c r="F127" s="414">
        <v>15.06</v>
      </c>
      <c r="G127" s="414" t="s">
        <v>4112</v>
      </c>
      <c r="H127" s="435" t="s">
        <v>4222</v>
      </c>
      <c r="I127" s="438" t="s">
        <v>988</v>
      </c>
      <c r="J127" s="439">
        <v>204</v>
      </c>
      <c r="K127" s="418">
        <v>2923.7665455000001</v>
      </c>
      <c r="L127" s="418">
        <v>8652.5810738939217</v>
      </c>
      <c r="M127" s="418">
        <v>0</v>
      </c>
      <c r="N127" s="418">
        <v>241.0676851174245</v>
      </c>
      <c r="O127" s="419">
        <f t="shared" si="169"/>
        <v>11817.415304511347</v>
      </c>
      <c r="P127" s="420">
        <f t="shared" si="170"/>
        <v>16964.317036373614</v>
      </c>
      <c r="Q127" s="403"/>
      <c r="R127" s="421">
        <f t="shared" si="171"/>
        <v>4197.1701374724462</v>
      </c>
      <c r="S127" s="421">
        <f t="shared" si="172"/>
        <v>12421.085722901415</v>
      </c>
      <c r="T127" s="421">
        <f t="shared" si="173"/>
        <v>0</v>
      </c>
      <c r="U127" s="421">
        <f t="shared" si="174"/>
        <v>346.06117599975289</v>
      </c>
      <c r="V127" s="422">
        <f t="shared" si="175"/>
        <v>16964.317036373614</v>
      </c>
      <c r="W127" s="423"/>
      <c r="X127" s="421">
        <f t="shared" si="176"/>
        <v>856222.70804437902</v>
      </c>
      <c r="Y127" s="421">
        <f t="shared" si="177"/>
        <v>2604497.9673758382</v>
      </c>
      <c r="Z127" s="422">
        <f t="shared" si="178"/>
        <v>3460720.6754202172</v>
      </c>
      <c r="AA127" s="371"/>
      <c r="AB127" s="425" t="s">
        <v>4216</v>
      </c>
      <c r="AC127" s="427">
        <v>0</v>
      </c>
      <c r="AD127" s="427">
        <v>0</v>
      </c>
      <c r="AE127" s="428">
        <f t="shared" si="179"/>
        <v>0</v>
      </c>
      <c r="AF127" s="437" t="str">
        <f t="shared" si="180"/>
        <v>⚪</v>
      </c>
      <c r="AG127" s="430">
        <f t="shared" si="181"/>
        <v>0</v>
      </c>
      <c r="AH127" s="375">
        <f t="shared" si="182"/>
        <v>0</v>
      </c>
      <c r="AI127" s="431">
        <f t="shared" si="183"/>
        <v>0</v>
      </c>
      <c r="AJ127" s="375"/>
      <c r="AK127" s="430">
        <f t="shared" si="184"/>
        <v>0</v>
      </c>
      <c r="AL127" s="375">
        <f t="shared" si="185"/>
        <v>0</v>
      </c>
      <c r="AM127" s="432">
        <f t="shared" si="186"/>
        <v>0</v>
      </c>
      <c r="AN127" s="432">
        <f t="shared" si="187"/>
        <v>0</v>
      </c>
      <c r="AO127" s="433">
        <f t="shared" si="188"/>
        <v>0</v>
      </c>
      <c r="AQ127" s="563">
        <f t="shared" si="189"/>
        <v>11817.415304511347</v>
      </c>
      <c r="AR127" s="563">
        <f t="shared" si="190"/>
        <v>2410752.7221203148</v>
      </c>
    </row>
    <row r="128" spans="1:44" ht="10.5" customHeight="1" x14ac:dyDescent="0.35">
      <c r="A128" s="412" t="s">
        <v>2779</v>
      </c>
      <c r="B128" s="412" t="s">
        <v>25</v>
      </c>
      <c r="C128" s="412" t="s">
        <v>2779</v>
      </c>
      <c r="D128" s="412" t="s">
        <v>25</v>
      </c>
      <c r="F128" s="414">
        <v>15.07</v>
      </c>
      <c r="G128" s="414" t="s">
        <v>4128</v>
      </c>
      <c r="H128" s="435" t="s">
        <v>4223</v>
      </c>
      <c r="I128" s="438" t="s">
        <v>988</v>
      </c>
      <c r="J128" s="439">
        <v>262</v>
      </c>
      <c r="K128" s="418">
        <v>7633.5877862595416</v>
      </c>
      <c r="L128" s="418">
        <v>5047.3389597714504</v>
      </c>
      <c r="M128" s="418">
        <v>0</v>
      </c>
      <c r="N128" s="418">
        <v>190.21390119046529</v>
      </c>
      <c r="O128" s="419">
        <f t="shared" si="169"/>
        <v>12871.140647221458</v>
      </c>
      <c r="P128" s="420">
        <f t="shared" si="170"/>
        <v>18476.976981240885</v>
      </c>
      <c r="Q128" s="403"/>
      <c r="R128" s="421">
        <f t="shared" si="171"/>
        <v>10958.284869759944</v>
      </c>
      <c r="S128" s="421">
        <f t="shared" si="172"/>
        <v>7245.6333383591527</v>
      </c>
      <c r="T128" s="421">
        <f t="shared" si="173"/>
        <v>0</v>
      </c>
      <c r="U128" s="421">
        <f t="shared" si="174"/>
        <v>273.058773121787</v>
      </c>
      <c r="V128" s="422">
        <f t="shared" si="175"/>
        <v>18476.976981240881</v>
      </c>
      <c r="W128" s="423"/>
      <c r="X128" s="421">
        <f t="shared" si="176"/>
        <v>2871070.6358771054</v>
      </c>
      <c r="Y128" s="421">
        <f t="shared" si="177"/>
        <v>1969897.3332080059</v>
      </c>
      <c r="Z128" s="422">
        <f t="shared" si="178"/>
        <v>4840967.9690851113</v>
      </c>
      <c r="AA128" s="371"/>
      <c r="AB128" s="425" t="s">
        <v>4216</v>
      </c>
      <c r="AC128" s="427">
        <v>0</v>
      </c>
      <c r="AD128" s="427">
        <v>0</v>
      </c>
      <c r="AE128" s="428">
        <f t="shared" si="179"/>
        <v>0</v>
      </c>
      <c r="AF128" s="437" t="str">
        <f t="shared" si="180"/>
        <v>⚪</v>
      </c>
      <c r="AG128" s="430">
        <f t="shared" si="181"/>
        <v>0</v>
      </c>
      <c r="AH128" s="375">
        <f t="shared" si="182"/>
        <v>0</v>
      </c>
      <c r="AI128" s="431">
        <f t="shared" si="183"/>
        <v>0</v>
      </c>
      <c r="AJ128" s="375"/>
      <c r="AK128" s="430">
        <f t="shared" si="184"/>
        <v>0</v>
      </c>
      <c r="AL128" s="375">
        <f t="shared" si="185"/>
        <v>0</v>
      </c>
      <c r="AM128" s="432">
        <f t="shared" si="186"/>
        <v>0</v>
      </c>
      <c r="AN128" s="432">
        <f t="shared" si="187"/>
        <v>0</v>
      </c>
      <c r="AO128" s="433">
        <f t="shared" si="188"/>
        <v>0</v>
      </c>
      <c r="AQ128" s="563">
        <f t="shared" si="189"/>
        <v>12871.140647221458</v>
      </c>
      <c r="AR128" s="563">
        <f t="shared" si="190"/>
        <v>3372238.849572022</v>
      </c>
    </row>
    <row r="129" spans="1:44" ht="10.5" customHeight="1" x14ac:dyDescent="0.35">
      <c r="A129" s="412" t="s">
        <v>2779</v>
      </c>
      <c r="B129" s="412" t="s">
        <v>25</v>
      </c>
      <c r="C129" s="412" t="s">
        <v>2779</v>
      </c>
      <c r="D129" s="412" t="s">
        <v>25</v>
      </c>
      <c r="F129" s="414">
        <v>15.08</v>
      </c>
      <c r="G129" s="414" t="s">
        <v>4128</v>
      </c>
      <c r="H129" s="435" t="s">
        <v>4224</v>
      </c>
      <c r="I129" s="438" t="s">
        <v>988</v>
      </c>
      <c r="J129" s="439">
        <v>756</v>
      </c>
      <c r="K129" s="418">
        <v>10000</v>
      </c>
      <c r="L129" s="418">
        <v>9614.9793516205282</v>
      </c>
      <c r="M129" s="418">
        <v>0</v>
      </c>
      <c r="N129" s="418">
        <v>294.22469027430822</v>
      </c>
      <c r="O129" s="419">
        <f t="shared" si="169"/>
        <v>19909.204041894838</v>
      </c>
      <c r="P129" s="420">
        <f t="shared" si="170"/>
        <v>28580.365554185024</v>
      </c>
      <c r="Q129" s="403"/>
      <c r="R129" s="421">
        <f t="shared" si="171"/>
        <v>14355.353179385525</v>
      </c>
      <c r="S129" s="421">
        <f t="shared" si="172"/>
        <v>13802.642440501193</v>
      </c>
      <c r="T129" s="421">
        <f t="shared" si="173"/>
        <v>0</v>
      </c>
      <c r="U129" s="421">
        <f t="shared" si="174"/>
        <v>422.36993429830119</v>
      </c>
      <c r="V129" s="422">
        <f t="shared" si="175"/>
        <v>28580.36555418502</v>
      </c>
      <c r="W129" s="423"/>
      <c r="X129" s="421">
        <f t="shared" si="176"/>
        <v>10852647.003615458</v>
      </c>
      <c r="Y129" s="421">
        <f t="shared" si="177"/>
        <v>10754109.355348419</v>
      </c>
      <c r="Z129" s="422">
        <f t="shared" si="178"/>
        <v>21606756.358963877</v>
      </c>
      <c r="AA129" s="371"/>
      <c r="AB129" s="425" t="s">
        <v>4216</v>
      </c>
      <c r="AC129" s="427">
        <v>0</v>
      </c>
      <c r="AD129" s="427">
        <v>0</v>
      </c>
      <c r="AE129" s="428">
        <f t="shared" si="179"/>
        <v>0</v>
      </c>
      <c r="AF129" s="437" t="str">
        <f t="shared" si="180"/>
        <v>⚪</v>
      </c>
      <c r="AG129" s="430">
        <f t="shared" si="181"/>
        <v>0</v>
      </c>
      <c r="AH129" s="375">
        <f t="shared" si="182"/>
        <v>0</v>
      </c>
      <c r="AI129" s="431">
        <f t="shared" si="183"/>
        <v>0</v>
      </c>
      <c r="AJ129" s="375"/>
      <c r="AK129" s="430">
        <f t="shared" si="184"/>
        <v>0</v>
      </c>
      <c r="AL129" s="375">
        <f t="shared" si="185"/>
        <v>0</v>
      </c>
      <c r="AM129" s="432">
        <f t="shared" si="186"/>
        <v>0</v>
      </c>
      <c r="AN129" s="432">
        <f t="shared" si="187"/>
        <v>0</v>
      </c>
      <c r="AO129" s="433">
        <f t="shared" si="188"/>
        <v>0</v>
      </c>
      <c r="AQ129" s="563">
        <f t="shared" si="189"/>
        <v>19909.204041894838</v>
      </c>
      <c r="AR129" s="563">
        <f t="shared" si="190"/>
        <v>15051358.255672498</v>
      </c>
    </row>
    <row r="130" spans="1:44" ht="10.5" customHeight="1" x14ac:dyDescent="0.35">
      <c r="A130" s="412" t="s">
        <v>2779</v>
      </c>
      <c r="B130" s="412" t="s">
        <v>25</v>
      </c>
      <c r="C130" s="412" t="s">
        <v>2779</v>
      </c>
      <c r="D130" s="412" t="s">
        <v>25</v>
      </c>
      <c r="F130" s="414">
        <v>15.09</v>
      </c>
      <c r="G130" s="414" t="s">
        <v>4128</v>
      </c>
      <c r="H130" s="435" t="s">
        <v>4225</v>
      </c>
      <c r="I130" s="438" t="s">
        <v>988</v>
      </c>
      <c r="J130" s="439">
        <v>56</v>
      </c>
      <c r="K130" s="418">
        <v>10000</v>
      </c>
      <c r="L130" s="418">
        <v>13460.97109226875</v>
      </c>
      <c r="M130" s="418">
        <v>0</v>
      </c>
      <c r="N130" s="418">
        <v>351.91456638403042</v>
      </c>
      <c r="O130" s="419">
        <f t="shared" si="169"/>
        <v>23812.885658652784</v>
      </c>
      <c r="P130" s="420">
        <f t="shared" si="170"/>
        <v>34184.238385028526</v>
      </c>
      <c r="Q130" s="403"/>
      <c r="R130" s="421">
        <f t="shared" si="171"/>
        <v>14355.353179385525</v>
      </c>
      <c r="S130" s="421">
        <f t="shared" si="172"/>
        <v>19323.699416701686</v>
      </c>
      <c r="T130" s="421">
        <f t="shared" si="173"/>
        <v>0</v>
      </c>
      <c r="U130" s="421">
        <f t="shared" si="174"/>
        <v>505.18578894130701</v>
      </c>
      <c r="V130" s="422">
        <f t="shared" si="175"/>
        <v>34184.238385028519</v>
      </c>
      <c r="W130" s="423"/>
      <c r="X130" s="421">
        <f t="shared" si="176"/>
        <v>803899.77804558945</v>
      </c>
      <c r="Y130" s="421">
        <f t="shared" si="177"/>
        <v>1110417.5715160077</v>
      </c>
      <c r="Z130" s="422">
        <f t="shared" si="178"/>
        <v>1914317.349561597</v>
      </c>
      <c r="AA130" s="371"/>
      <c r="AB130" s="425" t="s">
        <v>4216</v>
      </c>
      <c r="AC130" s="427">
        <v>0</v>
      </c>
      <c r="AD130" s="427">
        <v>0</v>
      </c>
      <c r="AE130" s="428">
        <f t="shared" si="179"/>
        <v>0</v>
      </c>
      <c r="AF130" s="437" t="str">
        <f t="shared" si="180"/>
        <v>⚪</v>
      </c>
      <c r="AG130" s="430">
        <f t="shared" si="181"/>
        <v>0</v>
      </c>
      <c r="AH130" s="375">
        <f t="shared" si="182"/>
        <v>0</v>
      </c>
      <c r="AI130" s="431">
        <f t="shared" si="183"/>
        <v>0</v>
      </c>
      <c r="AJ130" s="375"/>
      <c r="AK130" s="430">
        <f t="shared" si="184"/>
        <v>0</v>
      </c>
      <c r="AL130" s="375">
        <f t="shared" si="185"/>
        <v>0</v>
      </c>
      <c r="AM130" s="432">
        <f t="shared" si="186"/>
        <v>0</v>
      </c>
      <c r="AN130" s="432">
        <f t="shared" si="187"/>
        <v>0</v>
      </c>
      <c r="AO130" s="433">
        <f t="shared" si="188"/>
        <v>0</v>
      </c>
      <c r="AQ130" s="563">
        <f t="shared" si="189"/>
        <v>23812.885658652784</v>
      </c>
      <c r="AR130" s="563">
        <f t="shared" si="190"/>
        <v>1333521.5968845559</v>
      </c>
    </row>
    <row r="131" spans="1:44" ht="10.5" customHeight="1" x14ac:dyDescent="0.35">
      <c r="A131" s="412" t="s">
        <v>2779</v>
      </c>
      <c r="B131" s="412" t="s">
        <v>25</v>
      </c>
      <c r="C131" s="412" t="s">
        <v>25</v>
      </c>
      <c r="D131" s="412" t="s">
        <v>2779</v>
      </c>
      <c r="F131" s="414">
        <v>15.1</v>
      </c>
      <c r="G131" s="414" t="s">
        <v>4128</v>
      </c>
      <c r="H131" s="435" t="s">
        <v>4226</v>
      </c>
      <c r="I131" s="438" t="s">
        <v>98</v>
      </c>
      <c r="J131" s="439">
        <v>1</v>
      </c>
      <c r="K131" s="418">
        <v>200000</v>
      </c>
      <c r="L131" s="418">
        <v>0</v>
      </c>
      <c r="M131" s="418">
        <v>454260.50637943199</v>
      </c>
      <c r="N131" s="418">
        <v>9813.9075956914803</v>
      </c>
      <c r="O131" s="419">
        <f t="shared" si="169"/>
        <v>664074.41397512355</v>
      </c>
      <c r="P131" s="420">
        <f t="shared" si="170"/>
        <v>953302.27500063693</v>
      </c>
      <c r="Q131" s="403"/>
      <c r="R131" s="421">
        <f t="shared" si="171"/>
        <v>287107.06358771049</v>
      </c>
      <c r="S131" s="421">
        <f t="shared" si="172"/>
        <v>0</v>
      </c>
      <c r="T131" s="421">
        <f t="shared" si="173"/>
        <v>652107.0004523258</v>
      </c>
      <c r="U131" s="421">
        <f t="shared" si="174"/>
        <v>14088.210960600545</v>
      </c>
      <c r="V131" s="422">
        <f t="shared" si="175"/>
        <v>953302.27500063682</v>
      </c>
      <c r="W131" s="423"/>
      <c r="X131" s="421">
        <f t="shared" si="176"/>
        <v>287107.06358771049</v>
      </c>
      <c r="Y131" s="421">
        <f t="shared" si="177"/>
        <v>666195.21141292632</v>
      </c>
      <c r="Z131" s="422">
        <f t="shared" si="178"/>
        <v>953302.27500063682</v>
      </c>
      <c r="AA131" s="371"/>
      <c r="AB131" s="425" t="s">
        <v>4216</v>
      </c>
      <c r="AC131" s="427">
        <v>0</v>
      </c>
      <c r="AD131" s="427">
        <v>0</v>
      </c>
      <c r="AE131" s="428">
        <f t="shared" si="179"/>
        <v>0</v>
      </c>
      <c r="AF131" s="437" t="str">
        <f t="shared" si="180"/>
        <v>⚪</v>
      </c>
      <c r="AG131" s="430">
        <f t="shared" si="181"/>
        <v>0</v>
      </c>
      <c r="AH131" s="375">
        <f t="shared" si="182"/>
        <v>0</v>
      </c>
      <c r="AI131" s="431">
        <f t="shared" si="183"/>
        <v>0</v>
      </c>
      <c r="AJ131" s="375"/>
      <c r="AK131" s="430">
        <f t="shared" si="184"/>
        <v>0</v>
      </c>
      <c r="AL131" s="375">
        <f t="shared" si="185"/>
        <v>0</v>
      </c>
      <c r="AM131" s="432">
        <f t="shared" si="186"/>
        <v>0</v>
      </c>
      <c r="AN131" s="432">
        <f t="shared" si="187"/>
        <v>0</v>
      </c>
      <c r="AO131" s="433">
        <f t="shared" si="188"/>
        <v>0</v>
      </c>
      <c r="AQ131" s="563">
        <f t="shared" si="189"/>
        <v>664074.41397512355</v>
      </c>
      <c r="AR131" s="563">
        <f t="shared" si="190"/>
        <v>664074.41397512355</v>
      </c>
    </row>
    <row r="132" spans="1:44" ht="10.5" customHeight="1" x14ac:dyDescent="0.35">
      <c r="A132" s="412" t="s">
        <v>2779</v>
      </c>
      <c r="B132" s="412" t="s">
        <v>25</v>
      </c>
      <c r="C132" s="412" t="s">
        <v>2779</v>
      </c>
      <c r="D132" s="412" t="s">
        <v>25</v>
      </c>
      <c r="F132" s="414">
        <v>15.11</v>
      </c>
      <c r="G132" s="414" t="s">
        <v>4112</v>
      </c>
      <c r="H132" s="435" t="s">
        <v>4227</v>
      </c>
      <c r="I132" s="438" t="s">
        <v>748</v>
      </c>
      <c r="J132" s="439">
        <v>73</v>
      </c>
      <c r="K132" s="418">
        <v>11746.02392719984</v>
      </c>
      <c r="L132" s="418">
        <v>49896.797173282052</v>
      </c>
      <c r="M132" s="418">
        <v>0</v>
      </c>
      <c r="N132" s="418">
        <v>924.64231650722741</v>
      </c>
      <c r="O132" s="419">
        <f t="shared" si="169"/>
        <v>62567.463416989114</v>
      </c>
      <c r="P132" s="420">
        <f t="shared" si="170"/>
        <v>89817.803488916223</v>
      </c>
      <c r="Q132" s="403"/>
      <c r="R132" s="421">
        <f t="shared" si="171"/>
        <v>16861.832192846668</v>
      </c>
      <c r="S132" s="421">
        <f t="shared" si="172"/>
        <v>71628.614594262923</v>
      </c>
      <c r="T132" s="421">
        <f t="shared" si="173"/>
        <v>0</v>
      </c>
      <c r="U132" s="421">
        <f t="shared" si="174"/>
        <v>1327.3567018066424</v>
      </c>
      <c r="V132" s="422">
        <f t="shared" si="175"/>
        <v>89817.803488916237</v>
      </c>
      <c r="W132" s="423"/>
      <c r="X132" s="421">
        <f t="shared" si="176"/>
        <v>1230913.7500778069</v>
      </c>
      <c r="Y132" s="421">
        <f t="shared" si="177"/>
        <v>5325785.9046130776</v>
      </c>
      <c r="Z132" s="422">
        <f t="shared" si="178"/>
        <v>6556699.654690885</v>
      </c>
      <c r="AA132" s="371"/>
      <c r="AB132" s="425" t="s">
        <v>4216</v>
      </c>
      <c r="AC132" s="427">
        <v>0</v>
      </c>
      <c r="AD132" s="427">
        <v>0</v>
      </c>
      <c r="AE132" s="428">
        <f t="shared" si="179"/>
        <v>0</v>
      </c>
      <c r="AF132" s="437" t="str">
        <f t="shared" si="180"/>
        <v>⚪</v>
      </c>
      <c r="AG132" s="430">
        <f t="shared" si="181"/>
        <v>0</v>
      </c>
      <c r="AH132" s="375">
        <f t="shared" si="182"/>
        <v>0</v>
      </c>
      <c r="AI132" s="431">
        <f t="shared" si="183"/>
        <v>0</v>
      </c>
      <c r="AJ132" s="375"/>
      <c r="AK132" s="430">
        <f t="shared" si="184"/>
        <v>0</v>
      </c>
      <c r="AL132" s="375">
        <f t="shared" si="185"/>
        <v>0</v>
      </c>
      <c r="AM132" s="432">
        <f t="shared" si="186"/>
        <v>0</v>
      </c>
      <c r="AN132" s="432">
        <f t="shared" si="187"/>
        <v>0</v>
      </c>
      <c r="AO132" s="433">
        <f t="shared" si="188"/>
        <v>0</v>
      </c>
      <c r="AQ132" s="563">
        <f t="shared" si="189"/>
        <v>62567.463416989114</v>
      </c>
      <c r="AR132" s="563">
        <f t="shared" si="190"/>
        <v>4567424.8294402054</v>
      </c>
    </row>
    <row r="133" spans="1:44" ht="10.5" customHeight="1" x14ac:dyDescent="0.35">
      <c r="A133" s="412" t="s">
        <v>2779</v>
      </c>
      <c r="B133" s="412" t="s">
        <v>25</v>
      </c>
      <c r="C133" s="412" t="s">
        <v>2779</v>
      </c>
      <c r="D133" s="412" t="s">
        <v>25</v>
      </c>
      <c r="F133" s="414">
        <v>15.12</v>
      </c>
      <c r="G133" s="450" t="s">
        <v>4112</v>
      </c>
      <c r="H133" s="485" t="s">
        <v>4228</v>
      </c>
      <c r="I133" s="477" t="s">
        <v>98</v>
      </c>
      <c r="J133" s="453">
        <v>1</v>
      </c>
      <c r="K133" s="418">
        <v>392180.13300765603</v>
      </c>
      <c r="L133" s="418">
        <v>2776617.9536378598</v>
      </c>
      <c r="M133" s="418">
        <v>0</v>
      </c>
      <c r="N133" s="418">
        <v>47531.971299682802</v>
      </c>
      <c r="O133" s="419">
        <f t="shared" si="169"/>
        <v>3216330.0579451984</v>
      </c>
      <c r="P133" s="420">
        <f t="shared" si="170"/>
        <v>4617155.392327684</v>
      </c>
      <c r="Q133" s="403"/>
      <c r="R133" s="421">
        <f t="shared" si="171"/>
        <v>562988.43192632939</v>
      </c>
      <c r="S133" s="421">
        <f t="shared" si="172"/>
        <v>3985933.1368694184</v>
      </c>
      <c r="T133" s="421">
        <f t="shared" si="173"/>
        <v>0</v>
      </c>
      <c r="U133" s="421">
        <f t="shared" si="174"/>
        <v>68233.823531936316</v>
      </c>
      <c r="V133" s="422">
        <f t="shared" si="175"/>
        <v>4617155.392327684</v>
      </c>
      <c r="W133" s="423"/>
      <c r="X133" s="421">
        <f t="shared" si="176"/>
        <v>562988.43192632939</v>
      </c>
      <c r="Y133" s="421">
        <f t="shared" si="177"/>
        <v>4054166.9604013544</v>
      </c>
      <c r="Z133" s="422">
        <f t="shared" si="178"/>
        <v>4617155.392327684</v>
      </c>
      <c r="AA133" s="371"/>
      <c r="AB133" s="425" t="s">
        <v>4216</v>
      </c>
      <c r="AC133" s="427">
        <v>0</v>
      </c>
      <c r="AD133" s="427">
        <v>0</v>
      </c>
      <c r="AE133" s="428">
        <f t="shared" si="179"/>
        <v>0</v>
      </c>
      <c r="AF133" s="437" t="str">
        <f t="shared" si="180"/>
        <v>⚪</v>
      </c>
      <c r="AG133" s="430">
        <f t="shared" si="181"/>
        <v>0</v>
      </c>
      <c r="AH133" s="375">
        <f t="shared" si="182"/>
        <v>0</v>
      </c>
      <c r="AI133" s="431">
        <f t="shared" si="183"/>
        <v>0</v>
      </c>
      <c r="AJ133" s="375"/>
      <c r="AK133" s="430">
        <f t="shared" si="184"/>
        <v>0</v>
      </c>
      <c r="AL133" s="375">
        <f t="shared" si="185"/>
        <v>0</v>
      </c>
      <c r="AM133" s="432">
        <f t="shared" si="186"/>
        <v>0</v>
      </c>
      <c r="AN133" s="432">
        <f t="shared" si="187"/>
        <v>0</v>
      </c>
      <c r="AO133" s="433">
        <f t="shared" si="188"/>
        <v>0</v>
      </c>
      <c r="AQ133" s="563">
        <f t="shared" si="189"/>
        <v>3216330.0579451984</v>
      </c>
      <c r="AR133" s="563">
        <f t="shared" si="190"/>
        <v>3216330.0579451984</v>
      </c>
    </row>
    <row r="134" spans="1:44" ht="10.5" customHeight="1" x14ac:dyDescent="0.25">
      <c r="A134" s="412" t="s">
        <v>25</v>
      </c>
      <c r="B134" s="412" t="s">
        <v>25</v>
      </c>
      <c r="C134" s="412" t="s">
        <v>25</v>
      </c>
      <c r="D134" s="412" t="s">
        <v>25</v>
      </c>
      <c r="F134" s="396">
        <v>16</v>
      </c>
      <c r="G134" s="397"/>
      <c r="H134" s="398" t="s">
        <v>4229</v>
      </c>
      <c r="I134" s="399"/>
      <c r="J134" s="400"/>
      <c r="K134" s="400"/>
      <c r="L134" s="400"/>
      <c r="M134" s="400"/>
      <c r="N134" s="400"/>
      <c r="O134" s="401"/>
      <c r="P134" s="402"/>
      <c r="Q134" s="403"/>
      <c r="R134" s="400"/>
      <c r="S134" s="400"/>
      <c r="T134" s="400"/>
      <c r="U134" s="400"/>
      <c r="V134" s="402"/>
      <c r="X134" s="400"/>
      <c r="Y134" s="400"/>
      <c r="Z134" s="402"/>
      <c r="AA134" s="371"/>
      <c r="AB134" s="405" t="s">
        <v>4229</v>
      </c>
      <c r="AC134" s="406"/>
      <c r="AD134" s="440"/>
      <c r="AE134" s="441"/>
      <c r="AF134" s="441"/>
      <c r="AG134" s="408"/>
      <c r="AH134" s="409"/>
      <c r="AI134" s="410"/>
      <c r="AJ134" s="411"/>
      <c r="AK134" s="408"/>
      <c r="AL134" s="409"/>
      <c r="AM134" s="442"/>
      <c r="AN134" s="442"/>
      <c r="AO134" s="410"/>
    </row>
    <row r="135" spans="1:44" ht="10.5" customHeight="1" x14ac:dyDescent="0.35">
      <c r="A135" s="412" t="s">
        <v>25</v>
      </c>
      <c r="B135" s="412" t="s">
        <v>25</v>
      </c>
      <c r="C135" s="412" t="s">
        <v>25</v>
      </c>
      <c r="D135" s="412" t="s">
        <v>25</v>
      </c>
      <c r="F135" s="413"/>
      <c r="G135" s="460"/>
      <c r="H135" s="415"/>
      <c r="I135" s="416"/>
      <c r="J135" s="461"/>
      <c r="K135" s="418">
        <v>0</v>
      </c>
      <c r="L135" s="418">
        <v>0</v>
      </c>
      <c r="M135" s="418">
        <v>0</v>
      </c>
      <c r="N135" s="418">
        <v>0</v>
      </c>
      <c r="O135" s="419">
        <f>+SUM(K135:N135)</f>
        <v>0</v>
      </c>
      <c r="P135" s="420">
        <f>+O135*$P$2</f>
        <v>0</v>
      </c>
      <c r="Q135" s="403"/>
      <c r="R135" s="421">
        <f>+K135*$P$2</f>
        <v>0</v>
      </c>
      <c r="S135" s="421">
        <f>+L135*$P$2</f>
        <v>0</v>
      </c>
      <c r="T135" s="421">
        <f>+M135*$P$2</f>
        <v>0</v>
      </c>
      <c r="U135" s="421">
        <f>+N135*$P$2</f>
        <v>0</v>
      </c>
      <c r="V135" s="422">
        <f>+SUM(R135:U135)</f>
        <v>0</v>
      </c>
      <c r="W135" s="423"/>
      <c r="X135" s="421">
        <f>+R135*J135</f>
        <v>0</v>
      </c>
      <c r="Y135" s="421">
        <f>+Z135-X135</f>
        <v>0</v>
      </c>
      <c r="Z135" s="422">
        <f>+V135*J135</f>
        <v>0</v>
      </c>
      <c r="AA135" s="371"/>
      <c r="AB135" s="486" t="s">
        <v>4229</v>
      </c>
      <c r="AC135" s="427">
        <v>0</v>
      </c>
      <c r="AD135" s="427">
        <v>0</v>
      </c>
      <c r="AE135" s="428">
        <f>AC135+AD135</f>
        <v>0</v>
      </c>
      <c r="AF135" s="437" t="str">
        <f>IF($AE135=1,"🔴","⚪")</f>
        <v>⚪</v>
      </c>
      <c r="AG135" s="430">
        <f>AC135*Z135</f>
        <v>0</v>
      </c>
      <c r="AH135" s="375">
        <f>AD135*Z135</f>
        <v>0</v>
      </c>
      <c r="AI135" s="431">
        <f>AE135*Z135</f>
        <v>0</v>
      </c>
      <c r="AJ135" s="375"/>
      <c r="AK135" s="430">
        <f>AE135*X135</f>
        <v>0</v>
      </c>
      <c r="AL135" s="375">
        <f>AE135*S135*J135</f>
        <v>0</v>
      </c>
      <c r="AM135" s="432">
        <f>AE135*T135*J135</f>
        <v>0</v>
      </c>
      <c r="AN135" s="432">
        <f>AE135*U135*J135</f>
        <v>0</v>
      </c>
      <c r="AO135" s="433">
        <f>AK135+AL135+AM135+AN135</f>
        <v>0</v>
      </c>
      <c r="AQ135" s="563">
        <f>+O135</f>
        <v>0</v>
      </c>
      <c r="AR135" s="563">
        <f>+O135*J135</f>
        <v>0</v>
      </c>
    </row>
    <row r="136" spans="1:44" ht="10.5" customHeight="1" x14ac:dyDescent="0.25">
      <c r="A136" s="412" t="s">
        <v>25</v>
      </c>
      <c r="B136" s="412" t="s">
        <v>25</v>
      </c>
      <c r="C136" s="412" t="s">
        <v>25</v>
      </c>
      <c r="D136" s="412" t="s">
        <v>25</v>
      </c>
      <c r="F136" s="396">
        <v>17</v>
      </c>
      <c r="G136" s="397"/>
      <c r="H136" s="398" t="s">
        <v>4230</v>
      </c>
      <c r="I136" s="399"/>
      <c r="J136" s="400"/>
      <c r="K136" s="400"/>
      <c r="L136" s="400"/>
      <c r="M136" s="400"/>
      <c r="N136" s="400"/>
      <c r="O136" s="401"/>
      <c r="P136" s="402"/>
      <c r="Q136" s="403"/>
      <c r="R136" s="400"/>
      <c r="S136" s="400"/>
      <c r="T136" s="400"/>
      <c r="U136" s="400"/>
      <c r="V136" s="402"/>
      <c r="X136" s="400"/>
      <c r="Y136" s="400"/>
      <c r="Z136" s="402"/>
      <c r="AA136" s="404">
        <f>+SUM(Z137:Z140)</f>
        <v>10141493.192152996</v>
      </c>
      <c r="AB136" s="405" t="s">
        <v>4230</v>
      </c>
      <c r="AC136" s="406"/>
      <c r="AD136" s="440"/>
      <c r="AE136" s="441"/>
      <c r="AF136" s="441"/>
      <c r="AG136" s="408"/>
      <c r="AH136" s="409"/>
      <c r="AI136" s="410"/>
      <c r="AJ136" s="411"/>
      <c r="AK136" s="408"/>
      <c r="AL136" s="409"/>
      <c r="AM136" s="442"/>
      <c r="AN136" s="442"/>
      <c r="AO136" s="410"/>
    </row>
    <row r="137" spans="1:44" ht="10.5" customHeight="1" x14ac:dyDescent="0.35">
      <c r="A137" s="412" t="s">
        <v>106</v>
      </c>
      <c r="B137" s="412" t="s">
        <v>25</v>
      </c>
      <c r="C137" s="412" t="s">
        <v>25</v>
      </c>
      <c r="D137" s="412" t="s">
        <v>106</v>
      </c>
      <c r="F137" s="413">
        <f>+F136+0.01</f>
        <v>17.010000000000002</v>
      </c>
      <c r="G137" s="460" t="s">
        <v>4112</v>
      </c>
      <c r="H137" s="487" t="s">
        <v>4231</v>
      </c>
      <c r="I137" s="476" t="s">
        <v>35</v>
      </c>
      <c r="J137" s="461">
        <v>57</v>
      </c>
      <c r="K137" s="418">
        <v>4066.3295640000001</v>
      </c>
      <c r="L137" s="418">
        <v>0</v>
      </c>
      <c r="M137" s="418">
        <v>55045.379224928947</v>
      </c>
      <c r="N137" s="418">
        <v>405.54861765584383</v>
      </c>
      <c r="O137" s="419">
        <f>+SUM(K137:N137)</f>
        <v>59517.257406584788</v>
      </c>
      <c r="P137" s="420">
        <f>+O137*$P$2</f>
        <v>85439.125033992372</v>
      </c>
      <c r="Q137" s="403"/>
      <c r="R137" s="421">
        <f t="shared" ref="R137:U140" si="191">+K137*$P$2</f>
        <v>5837.3597034996765</v>
      </c>
      <c r="S137" s="421">
        <f t="shared" si="191"/>
        <v>0</v>
      </c>
      <c r="T137" s="421">
        <f t="shared" si="191"/>
        <v>79019.585966706582</v>
      </c>
      <c r="U137" s="421">
        <f t="shared" si="191"/>
        <v>582.17936378612228</v>
      </c>
      <c r="V137" s="422">
        <f>+SUM(R137:U137)</f>
        <v>85439.125033992386</v>
      </c>
      <c r="W137" s="423"/>
      <c r="X137" s="421">
        <f>+R137*J137</f>
        <v>332729.50309948158</v>
      </c>
      <c r="Y137" s="421">
        <f>+Z137-X137</f>
        <v>4537300.6238380847</v>
      </c>
      <c r="Z137" s="422">
        <f>+V137*J137</f>
        <v>4870030.1269375663</v>
      </c>
      <c r="AA137" s="371"/>
      <c r="AB137" s="425" t="s">
        <v>4230</v>
      </c>
      <c r="AC137" s="427">
        <v>0.7</v>
      </c>
      <c r="AD137" s="427">
        <v>0</v>
      </c>
      <c r="AE137" s="428">
        <f>AC137+AD137</f>
        <v>0.7</v>
      </c>
      <c r="AF137" s="437" t="str">
        <f>IF($AE137=1,"🔴","⚪")</f>
        <v>⚪</v>
      </c>
      <c r="AG137" s="430">
        <f>AC137*Z137</f>
        <v>3409021.0888562961</v>
      </c>
      <c r="AH137" s="375">
        <f>AD137*Z137</f>
        <v>0</v>
      </c>
      <c r="AI137" s="431">
        <f>AE137*Z137</f>
        <v>3409021.0888562961</v>
      </c>
      <c r="AJ137" s="375"/>
      <c r="AK137" s="430">
        <f>AE137*X137</f>
        <v>232910.65216963709</v>
      </c>
      <c r="AL137" s="375">
        <f>AE137*S137*J137</f>
        <v>0</v>
      </c>
      <c r="AM137" s="432">
        <f>AE137*T137*J137</f>
        <v>3152881.4800715926</v>
      </c>
      <c r="AN137" s="432">
        <f>AE137*U137*J137</f>
        <v>23228.956615066279</v>
      </c>
      <c r="AO137" s="433">
        <f>AK137+AL137+AM137+AN137</f>
        <v>3409021.0888562957</v>
      </c>
      <c r="AQ137" s="563">
        <f>+O137</f>
        <v>59517.257406584788</v>
      </c>
      <c r="AR137" s="563">
        <f>+O137*J137</f>
        <v>3392483.6721753329</v>
      </c>
    </row>
    <row r="138" spans="1:44" ht="10.5" customHeight="1" x14ac:dyDescent="0.35">
      <c r="A138" s="412" t="s">
        <v>106</v>
      </c>
      <c r="B138" s="412" t="s">
        <v>25</v>
      </c>
      <c r="C138" s="412" t="s">
        <v>25</v>
      </c>
      <c r="D138" s="412" t="s">
        <v>106</v>
      </c>
      <c r="F138" s="434">
        <v>17.02</v>
      </c>
      <c r="G138" s="414" t="s">
        <v>4112</v>
      </c>
      <c r="H138" s="488" t="s">
        <v>4232</v>
      </c>
      <c r="I138" s="438" t="s">
        <v>35</v>
      </c>
      <c r="J138" s="439">
        <v>11</v>
      </c>
      <c r="K138" s="418">
        <v>4066.3295640000001</v>
      </c>
      <c r="L138" s="418">
        <v>0</v>
      </c>
      <c r="M138" s="418">
        <v>55045.379224928998</v>
      </c>
      <c r="N138" s="418">
        <v>405.5486176558436</v>
      </c>
      <c r="O138" s="419">
        <f>+SUM(K138:N138)</f>
        <v>59517.257406584838</v>
      </c>
      <c r="P138" s="420">
        <f>+O138*$P$2</f>
        <v>85439.125033992445</v>
      </c>
      <c r="Q138" s="403"/>
      <c r="R138" s="421">
        <f t="shared" si="191"/>
        <v>5837.3597034996765</v>
      </c>
      <c r="S138" s="421">
        <f t="shared" si="191"/>
        <v>0</v>
      </c>
      <c r="T138" s="421">
        <f t="shared" si="191"/>
        <v>79019.585966706654</v>
      </c>
      <c r="U138" s="421">
        <f t="shared" si="191"/>
        <v>582.17936378612194</v>
      </c>
      <c r="V138" s="422">
        <f>+SUM(R138:U138)</f>
        <v>85439.125033992459</v>
      </c>
      <c r="W138" s="423"/>
      <c r="X138" s="421">
        <f>+R138*J138</f>
        <v>64210.956738496439</v>
      </c>
      <c r="Y138" s="421">
        <f>+Z138-X138</f>
        <v>875619.41863542062</v>
      </c>
      <c r="Z138" s="422">
        <f>+V138*J138</f>
        <v>939830.37537391705</v>
      </c>
      <c r="AA138" s="371"/>
      <c r="AB138" s="425" t="s">
        <v>4230</v>
      </c>
      <c r="AC138" s="427">
        <v>0</v>
      </c>
      <c r="AD138" s="427">
        <v>0</v>
      </c>
      <c r="AE138" s="428">
        <f>AC138+AD138</f>
        <v>0</v>
      </c>
      <c r="AF138" s="437" t="str">
        <f>IF($AE138=1,"🔴","⚪")</f>
        <v>⚪</v>
      </c>
      <c r="AG138" s="430">
        <f>AC138*Z138</f>
        <v>0</v>
      </c>
      <c r="AH138" s="375">
        <f>AD138*Z138</f>
        <v>0</v>
      </c>
      <c r="AI138" s="431">
        <f>AE138*Z138</f>
        <v>0</v>
      </c>
      <c r="AJ138" s="375"/>
      <c r="AK138" s="430">
        <f>AE138*X138</f>
        <v>0</v>
      </c>
      <c r="AL138" s="375">
        <f>AE138*S138*J138</f>
        <v>0</v>
      </c>
      <c r="AM138" s="432">
        <f>AE138*T138*J138</f>
        <v>0</v>
      </c>
      <c r="AN138" s="432">
        <f>AE138*U138*J138</f>
        <v>0</v>
      </c>
      <c r="AO138" s="433">
        <f>AK138+AL138+AM138+AN138</f>
        <v>0</v>
      </c>
      <c r="AQ138" s="563">
        <f>+O138</f>
        <v>59517.257406584838</v>
      </c>
      <c r="AR138" s="563">
        <f>+O138*J138</f>
        <v>654689.83147243317</v>
      </c>
    </row>
    <row r="139" spans="1:44" ht="10.5" customHeight="1" x14ac:dyDescent="0.35">
      <c r="A139" s="412" t="s">
        <v>106</v>
      </c>
      <c r="B139" s="412" t="s">
        <v>25</v>
      </c>
      <c r="C139" s="412" t="s">
        <v>25</v>
      </c>
      <c r="D139" s="412" t="s">
        <v>106</v>
      </c>
      <c r="F139" s="434">
        <v>17.03</v>
      </c>
      <c r="G139" s="414" t="s">
        <v>4112</v>
      </c>
      <c r="H139" s="488" t="s">
        <v>4233</v>
      </c>
      <c r="I139" s="438" t="s">
        <v>35</v>
      </c>
      <c r="J139" s="439">
        <v>65</v>
      </c>
      <c r="K139" s="418">
        <v>1487.9069540999999</v>
      </c>
      <c r="L139" s="418">
        <v>0</v>
      </c>
      <c r="M139" s="418">
        <v>36696.919483286001</v>
      </c>
      <c r="N139" s="418">
        <v>202.77430882792149</v>
      </c>
      <c r="O139" s="419">
        <f>+SUM(K139:N139)</f>
        <v>38387.600746213924</v>
      </c>
      <c r="P139" s="420">
        <f>+O139*$P$2</f>
        <v>55106.756642114422</v>
      </c>
      <c r="Q139" s="403"/>
      <c r="R139" s="421">
        <f t="shared" si="191"/>
        <v>2135.942982416927</v>
      </c>
      <c r="S139" s="421">
        <f t="shared" si="191"/>
        <v>0</v>
      </c>
      <c r="T139" s="421">
        <f t="shared" si="191"/>
        <v>52679.723977804439</v>
      </c>
      <c r="U139" s="421">
        <f t="shared" si="191"/>
        <v>291.08968189306051</v>
      </c>
      <c r="V139" s="422">
        <f>+SUM(R139:U139)</f>
        <v>55106.756642114429</v>
      </c>
      <c r="W139" s="423"/>
      <c r="X139" s="421">
        <f>+R139*J139</f>
        <v>138836.29385710025</v>
      </c>
      <c r="Y139" s="421">
        <f>+Z139-X139</f>
        <v>3443102.8878803374</v>
      </c>
      <c r="Z139" s="422">
        <f>+V139*J139</f>
        <v>3581939.1817374378</v>
      </c>
      <c r="AA139" s="371"/>
      <c r="AB139" s="425" t="s">
        <v>4230</v>
      </c>
      <c r="AC139" s="427">
        <v>0.7</v>
      </c>
      <c r="AD139" s="427">
        <v>0</v>
      </c>
      <c r="AE139" s="428">
        <f>AC139+AD139</f>
        <v>0.7</v>
      </c>
      <c r="AF139" s="437" t="str">
        <f>IF($AE139=1,"🔴","⚪")</f>
        <v>⚪</v>
      </c>
      <c r="AG139" s="430">
        <f>AC139*Z139</f>
        <v>2507357.4272162062</v>
      </c>
      <c r="AH139" s="375">
        <f>AD139*Z139</f>
        <v>0</v>
      </c>
      <c r="AI139" s="431">
        <f>AE139*Z139</f>
        <v>2507357.4272162062</v>
      </c>
      <c r="AJ139" s="375"/>
      <c r="AK139" s="430">
        <f>AE139*X139</f>
        <v>97185.405699970172</v>
      </c>
      <c r="AL139" s="375">
        <f>AE139*S139*J139</f>
        <v>0</v>
      </c>
      <c r="AM139" s="432">
        <f>AE139*T139*J139</f>
        <v>2396927.440990102</v>
      </c>
      <c r="AN139" s="432">
        <f>AE139*U139*J139</f>
        <v>13244.580526134252</v>
      </c>
      <c r="AO139" s="433">
        <f>AK139+AL139+AM139+AN139</f>
        <v>2507357.4272162067</v>
      </c>
      <c r="AQ139" s="563">
        <f>+O139</f>
        <v>38387.600746213924</v>
      </c>
      <c r="AR139" s="563">
        <f>+O139*J139</f>
        <v>2495194.0485039051</v>
      </c>
    </row>
    <row r="140" spans="1:44" ht="10.5" customHeight="1" x14ac:dyDescent="0.35">
      <c r="A140" s="412" t="s">
        <v>106</v>
      </c>
      <c r="B140" s="412" t="s">
        <v>25</v>
      </c>
      <c r="C140" s="412" t="s">
        <v>106</v>
      </c>
      <c r="D140" s="412" t="s">
        <v>106</v>
      </c>
      <c r="F140" s="450">
        <v>17.04</v>
      </c>
      <c r="G140" s="450" t="s">
        <v>4112</v>
      </c>
      <c r="H140" s="459" t="s">
        <v>4234</v>
      </c>
      <c r="I140" s="452" t="s">
        <v>35</v>
      </c>
      <c r="J140" s="453">
        <v>6</v>
      </c>
      <c r="K140" s="418">
        <v>4066.3295640000001</v>
      </c>
      <c r="L140" s="418">
        <v>27522.689612464499</v>
      </c>
      <c r="M140" s="418">
        <v>55045.379224928998</v>
      </c>
      <c r="N140" s="418">
        <v>405.54861765584332</v>
      </c>
      <c r="O140" s="419">
        <f>+SUM(K140:N140)</f>
        <v>87039.947019049345</v>
      </c>
      <c r="P140" s="420">
        <f>+O140*$P$2</f>
        <v>124948.91801734577</v>
      </c>
      <c r="Q140" s="403"/>
      <c r="R140" s="421">
        <f t="shared" si="191"/>
        <v>5837.3597034996765</v>
      </c>
      <c r="S140" s="421">
        <f t="shared" si="191"/>
        <v>39509.792983353327</v>
      </c>
      <c r="T140" s="421">
        <f t="shared" si="191"/>
        <v>79019.585966706654</v>
      </c>
      <c r="U140" s="421">
        <f t="shared" si="191"/>
        <v>582.17936378612148</v>
      </c>
      <c r="V140" s="422">
        <f>+SUM(R140:U140)</f>
        <v>124948.91801734579</v>
      </c>
      <c r="W140" s="423"/>
      <c r="X140" s="421">
        <f>+R140*J140</f>
        <v>35024.158220998055</v>
      </c>
      <c r="Y140" s="421">
        <f>+Z140-X140</f>
        <v>714669.34988307673</v>
      </c>
      <c r="Z140" s="422">
        <f>+V140*J140</f>
        <v>749693.50810407475</v>
      </c>
      <c r="AA140" s="371"/>
      <c r="AB140" s="425" t="s">
        <v>4230</v>
      </c>
      <c r="AC140" s="427">
        <v>0</v>
      </c>
      <c r="AD140" s="427">
        <v>0</v>
      </c>
      <c r="AE140" s="428">
        <f>AC140+AD140</f>
        <v>0</v>
      </c>
      <c r="AF140" s="437" t="str">
        <f>IF($AE140=1,"🔴","⚪")</f>
        <v>⚪</v>
      </c>
      <c r="AG140" s="430">
        <f>AC140*Z140</f>
        <v>0</v>
      </c>
      <c r="AH140" s="375">
        <f>AD140*Z140</f>
        <v>0</v>
      </c>
      <c r="AI140" s="431">
        <f>AE140*Z140</f>
        <v>0</v>
      </c>
      <c r="AJ140" s="375"/>
      <c r="AK140" s="430">
        <f>AE140*X140</f>
        <v>0</v>
      </c>
      <c r="AL140" s="375">
        <f>AE140*S140*J140</f>
        <v>0</v>
      </c>
      <c r="AM140" s="432">
        <f>AE140*T140*J140</f>
        <v>0</v>
      </c>
      <c r="AN140" s="432">
        <f>AE140*U140*J140</f>
        <v>0</v>
      </c>
      <c r="AO140" s="433">
        <f>AK140+AL140+AM140+AN140</f>
        <v>0</v>
      </c>
      <c r="AQ140" s="563">
        <f>+O140</f>
        <v>87039.947019049345</v>
      </c>
      <c r="AR140" s="563">
        <f>+O140*J140</f>
        <v>522239.68211429607</v>
      </c>
    </row>
    <row r="141" spans="1:44" ht="10.5" customHeight="1" x14ac:dyDescent="0.25">
      <c r="A141" s="412" t="s">
        <v>25</v>
      </c>
      <c r="B141" s="412" t="s">
        <v>25</v>
      </c>
      <c r="C141" s="412" t="s">
        <v>25</v>
      </c>
      <c r="D141" s="412" t="s">
        <v>25</v>
      </c>
      <c r="F141" s="396">
        <v>18</v>
      </c>
      <c r="G141" s="397"/>
      <c r="H141" s="398" t="s">
        <v>4235</v>
      </c>
      <c r="I141" s="399"/>
      <c r="J141" s="400"/>
      <c r="K141" s="400"/>
      <c r="L141" s="400"/>
      <c r="M141" s="400"/>
      <c r="N141" s="400"/>
      <c r="O141" s="401"/>
      <c r="P141" s="402"/>
      <c r="Q141" s="403"/>
      <c r="R141" s="400"/>
      <c r="S141" s="400"/>
      <c r="T141" s="400"/>
      <c r="U141" s="400"/>
      <c r="V141" s="402"/>
      <c r="X141" s="400"/>
      <c r="Y141" s="400"/>
      <c r="Z141" s="402"/>
      <c r="AA141" s="404">
        <f>+SUM(Z142:Z174)</f>
        <v>94367360.592842713</v>
      </c>
      <c r="AB141" s="405" t="s">
        <v>4235</v>
      </c>
      <c r="AC141" s="406"/>
      <c r="AD141" s="440"/>
      <c r="AE141" s="441"/>
      <c r="AF141" s="441"/>
      <c r="AG141" s="408"/>
      <c r="AH141" s="409"/>
      <c r="AI141" s="410"/>
      <c r="AJ141" s="411"/>
      <c r="AK141" s="408"/>
      <c r="AL141" s="409"/>
      <c r="AM141" s="442"/>
      <c r="AN141" s="442"/>
      <c r="AO141" s="410"/>
    </row>
    <row r="142" spans="1:44" ht="10.5" customHeight="1" x14ac:dyDescent="0.35">
      <c r="A142" s="412" t="s">
        <v>3219</v>
      </c>
      <c r="B142" s="412" t="s">
        <v>25</v>
      </c>
      <c r="C142" s="412" t="s">
        <v>3219</v>
      </c>
      <c r="D142" s="412" t="s">
        <v>25</v>
      </c>
      <c r="F142" s="460">
        <f>+F141+0.01</f>
        <v>18.010000000000002</v>
      </c>
      <c r="G142" s="460" t="s">
        <v>4112</v>
      </c>
      <c r="H142" s="489" t="s">
        <v>4236</v>
      </c>
      <c r="I142" s="476" t="s">
        <v>35</v>
      </c>
      <c r="J142" s="461">
        <v>260</v>
      </c>
      <c r="K142" s="418">
        <v>20340.180885000002</v>
      </c>
      <c r="L142" s="418">
        <v>35416.5</v>
      </c>
      <c r="M142" s="418">
        <v>0</v>
      </c>
      <c r="N142" s="418">
        <v>1667.3180256186999</v>
      </c>
      <c r="O142" s="419">
        <f t="shared" ref="O142:O174" si="192">+SUM(K142:N142)</f>
        <v>57423.998910618699</v>
      </c>
      <c r="P142" s="420">
        <f t="shared" ref="P142:P174" si="193">+O142*$P$2</f>
        <v>82434.178533458107</v>
      </c>
      <c r="Q142" s="403"/>
      <c r="R142" s="421">
        <f t="shared" ref="R142:R174" si="194">+K142*$P$2</f>
        <v>29199.048033676147</v>
      </c>
      <c r="S142" s="421">
        <f t="shared" ref="S142:S174" si="195">+L142*$P$2</f>
        <v>50841.63658777075</v>
      </c>
      <c r="T142" s="421">
        <f t="shared" ref="T142:T174" si="196">+M142*$P$2</f>
        <v>0</v>
      </c>
      <c r="U142" s="421">
        <f t="shared" ref="U142:U174" si="197">+N142*$P$2</f>
        <v>2393.4939120112203</v>
      </c>
      <c r="V142" s="422">
        <f t="shared" ref="V142:V174" si="198">+SUM(R142:U142)</f>
        <v>82434.178533458122</v>
      </c>
      <c r="W142" s="423"/>
      <c r="X142" s="421">
        <f t="shared" ref="X142:X174" si="199">+R142*J142</f>
        <v>7591752.488755798</v>
      </c>
      <c r="Y142" s="421">
        <f t="shared" ref="Y142:Y174" si="200">+Z142-X142</f>
        <v>13841133.929943314</v>
      </c>
      <c r="Z142" s="422">
        <f t="shared" ref="Z142:Z174" si="201">+V142*J142</f>
        <v>21432886.418699112</v>
      </c>
      <c r="AA142" s="371"/>
      <c r="AB142" s="425" t="s">
        <v>4235</v>
      </c>
      <c r="AC142" s="427">
        <v>0.495</v>
      </c>
      <c r="AD142" s="427">
        <v>0</v>
      </c>
      <c r="AE142" s="428">
        <f t="shared" ref="AE142:AE174" si="202">AC142+AD142</f>
        <v>0.495</v>
      </c>
      <c r="AF142" s="437" t="str">
        <f t="shared" ref="AF142:AF175" si="203">IF($AE142=1,"🔴","⚪")</f>
        <v>⚪</v>
      </c>
      <c r="AG142" s="430">
        <f t="shared" ref="AG142:AG174" si="204">AC142*Z142</f>
        <v>10609278.77725606</v>
      </c>
      <c r="AH142" s="375">
        <f t="shared" ref="AH142:AH174" si="205">AD142*Z142</f>
        <v>0</v>
      </c>
      <c r="AI142" s="431">
        <f t="shared" ref="AI142:AI174" si="206">AE142*Z142</f>
        <v>10609278.77725606</v>
      </c>
      <c r="AJ142" s="375"/>
      <c r="AK142" s="430">
        <f t="shared" ref="AK142:AK174" si="207">AE142*X142</f>
        <v>3757917.4819341199</v>
      </c>
      <c r="AL142" s="375">
        <f t="shared" ref="AL142:AL174" si="208">AE142*S142*J142</f>
        <v>6543318.6288460949</v>
      </c>
      <c r="AM142" s="432">
        <f t="shared" ref="AM142:AM174" si="209">AE142*T142*J142</f>
        <v>0</v>
      </c>
      <c r="AN142" s="432">
        <f t="shared" ref="AN142:AN174" si="210">AE142*U142*J142</f>
        <v>308042.66647584405</v>
      </c>
      <c r="AO142" s="433">
        <f t="shared" ref="AO142:AO174" si="211">AK142+AL142+AM142+AN142</f>
        <v>10609278.777256059</v>
      </c>
      <c r="AQ142" s="563">
        <f t="shared" ref="AQ142:AQ174" si="212">+O142</f>
        <v>57423.998910618699</v>
      </c>
      <c r="AR142" s="563">
        <f t="shared" ref="AR142:AR174" si="213">+O142*J142</f>
        <v>14930239.716760861</v>
      </c>
    </row>
    <row r="143" spans="1:44" ht="10.5" customHeight="1" x14ac:dyDescent="0.35">
      <c r="A143" s="412" t="s">
        <v>3219</v>
      </c>
      <c r="B143" s="412" t="s">
        <v>25</v>
      </c>
      <c r="C143" s="412" t="s">
        <v>3219</v>
      </c>
      <c r="D143" s="412" t="s">
        <v>25</v>
      </c>
      <c r="F143" s="414">
        <v>18.02</v>
      </c>
      <c r="G143" s="414" t="s">
        <v>4112</v>
      </c>
      <c r="H143" s="465" t="s">
        <v>4237</v>
      </c>
      <c r="I143" s="438" t="s">
        <v>35</v>
      </c>
      <c r="J143" s="439">
        <v>62</v>
      </c>
      <c r="K143" s="418">
        <v>17867.355495</v>
      </c>
      <c r="L143" s="418">
        <v>35416.5</v>
      </c>
      <c r="M143" s="418">
        <v>0</v>
      </c>
      <c r="N143" s="418">
        <v>1667.318025618694</v>
      </c>
      <c r="O143" s="419">
        <f t="shared" si="192"/>
        <v>54951.173520618693</v>
      </c>
      <c r="P143" s="420">
        <f t="shared" si="193"/>
        <v>78884.350351017929</v>
      </c>
      <c r="Q143" s="403"/>
      <c r="R143" s="421">
        <f t="shared" si="194"/>
        <v>25649.219851235968</v>
      </c>
      <c r="S143" s="421">
        <f t="shared" si="195"/>
        <v>50841.63658777075</v>
      </c>
      <c r="T143" s="421">
        <f t="shared" si="196"/>
        <v>0</v>
      </c>
      <c r="U143" s="421">
        <f t="shared" si="197"/>
        <v>2393.4939120112117</v>
      </c>
      <c r="V143" s="422">
        <f t="shared" si="198"/>
        <v>78884.350351017929</v>
      </c>
      <c r="W143" s="423"/>
      <c r="X143" s="421">
        <f t="shared" si="199"/>
        <v>1590251.63077663</v>
      </c>
      <c r="Y143" s="421">
        <f t="shared" si="200"/>
        <v>3300578.0909864819</v>
      </c>
      <c r="Z143" s="422">
        <f t="shared" si="201"/>
        <v>4890829.7217631117</v>
      </c>
      <c r="AA143" s="371"/>
      <c r="AB143" s="425" t="s">
        <v>4235</v>
      </c>
      <c r="AC143" s="427">
        <v>0.44500000000000001</v>
      </c>
      <c r="AD143" s="427">
        <v>0</v>
      </c>
      <c r="AE143" s="428">
        <f t="shared" si="202"/>
        <v>0.44500000000000001</v>
      </c>
      <c r="AF143" s="437" t="str">
        <f t="shared" si="203"/>
        <v>⚪</v>
      </c>
      <c r="AG143" s="430">
        <f t="shared" si="204"/>
        <v>2176419.2261845847</v>
      </c>
      <c r="AH143" s="375">
        <f t="shared" si="205"/>
        <v>0</v>
      </c>
      <c r="AI143" s="431">
        <f t="shared" si="206"/>
        <v>2176419.2261845847</v>
      </c>
      <c r="AJ143" s="375"/>
      <c r="AK143" s="430">
        <f t="shared" si="207"/>
        <v>707661.97569560038</v>
      </c>
      <c r="AL143" s="375">
        <f t="shared" si="208"/>
        <v>1402720.7534565951</v>
      </c>
      <c r="AM143" s="432">
        <f t="shared" si="209"/>
        <v>0</v>
      </c>
      <c r="AN143" s="432">
        <f t="shared" si="210"/>
        <v>66036.497032389321</v>
      </c>
      <c r="AO143" s="433">
        <f t="shared" si="211"/>
        <v>2176419.2261845851</v>
      </c>
      <c r="AQ143" s="563">
        <f t="shared" si="212"/>
        <v>54951.173520618693</v>
      </c>
      <c r="AR143" s="563">
        <f t="shared" si="213"/>
        <v>3406972.7582783592</v>
      </c>
    </row>
    <row r="144" spans="1:44" ht="10.5" customHeight="1" x14ac:dyDescent="0.35">
      <c r="A144" s="412" t="s">
        <v>3219</v>
      </c>
      <c r="B144" s="412" t="s">
        <v>25</v>
      </c>
      <c r="C144" s="412" t="s">
        <v>3219</v>
      </c>
      <c r="D144" s="412" t="s">
        <v>25</v>
      </c>
      <c r="F144" s="414">
        <v>18.03</v>
      </c>
      <c r="G144" s="414" t="s">
        <v>4112</v>
      </c>
      <c r="H144" s="465" t="s">
        <v>4238</v>
      </c>
      <c r="I144" s="438" t="s">
        <v>35</v>
      </c>
      <c r="J144" s="439">
        <v>12</v>
      </c>
      <c r="K144" s="418">
        <v>17867.355495</v>
      </c>
      <c r="L144" s="418">
        <v>35416.5</v>
      </c>
      <c r="M144" s="418">
        <v>0</v>
      </c>
      <c r="N144" s="418">
        <v>1667.3180256186999</v>
      </c>
      <c r="O144" s="419">
        <f t="shared" si="192"/>
        <v>54951.173520618693</v>
      </c>
      <c r="P144" s="420">
        <f t="shared" si="193"/>
        <v>78884.350351017929</v>
      </c>
      <c r="Q144" s="403"/>
      <c r="R144" s="421">
        <f t="shared" si="194"/>
        <v>25649.219851235968</v>
      </c>
      <c r="S144" s="421">
        <f t="shared" si="195"/>
        <v>50841.63658777075</v>
      </c>
      <c r="T144" s="421">
        <f t="shared" si="196"/>
        <v>0</v>
      </c>
      <c r="U144" s="421">
        <f t="shared" si="197"/>
        <v>2393.4939120112203</v>
      </c>
      <c r="V144" s="422">
        <f t="shared" si="198"/>
        <v>78884.350351017943</v>
      </c>
      <c r="W144" s="423"/>
      <c r="X144" s="421">
        <f t="shared" si="199"/>
        <v>307790.63821483159</v>
      </c>
      <c r="Y144" s="421">
        <f t="shared" si="200"/>
        <v>638821.56599738367</v>
      </c>
      <c r="Z144" s="422">
        <f t="shared" si="201"/>
        <v>946612.20421221526</v>
      </c>
      <c r="AA144" s="371"/>
      <c r="AB144" s="425" t="s">
        <v>4235</v>
      </c>
      <c r="AC144" s="427">
        <v>0.65500000000000003</v>
      </c>
      <c r="AD144" s="427">
        <v>0</v>
      </c>
      <c r="AE144" s="428">
        <f t="shared" si="202"/>
        <v>0.65500000000000003</v>
      </c>
      <c r="AF144" s="437" t="str">
        <f t="shared" si="203"/>
        <v>⚪</v>
      </c>
      <c r="AG144" s="430">
        <f t="shared" si="204"/>
        <v>620030.99375900102</v>
      </c>
      <c r="AH144" s="375">
        <f t="shared" si="205"/>
        <v>0</v>
      </c>
      <c r="AI144" s="431">
        <f t="shared" si="206"/>
        <v>620030.99375900102</v>
      </c>
      <c r="AJ144" s="375"/>
      <c r="AK144" s="430">
        <f t="shared" si="207"/>
        <v>201602.86803071469</v>
      </c>
      <c r="AL144" s="375">
        <f t="shared" si="208"/>
        <v>399615.26357987814</v>
      </c>
      <c r="AM144" s="432">
        <f t="shared" si="209"/>
        <v>0</v>
      </c>
      <c r="AN144" s="432">
        <f t="shared" si="210"/>
        <v>18812.862148408192</v>
      </c>
      <c r="AO144" s="433">
        <f t="shared" si="211"/>
        <v>620030.99375900102</v>
      </c>
      <c r="AQ144" s="563">
        <f t="shared" si="212"/>
        <v>54951.173520618693</v>
      </c>
      <c r="AR144" s="563">
        <f t="shared" si="213"/>
        <v>659414.08224742429</v>
      </c>
    </row>
    <row r="145" spans="1:44" ht="10.5" customHeight="1" x14ac:dyDescent="0.35">
      <c r="A145" s="412" t="s">
        <v>3219</v>
      </c>
      <c r="B145" s="412" t="s">
        <v>25</v>
      </c>
      <c r="C145" s="412" t="s">
        <v>3219</v>
      </c>
      <c r="D145" s="412" t="s">
        <v>25</v>
      </c>
      <c r="F145" s="414">
        <v>18.04</v>
      </c>
      <c r="G145" s="414" t="s">
        <v>4112</v>
      </c>
      <c r="H145" s="465" t="s">
        <v>4239</v>
      </c>
      <c r="I145" s="438" t="s">
        <v>35</v>
      </c>
      <c r="J145" s="439">
        <v>16</v>
      </c>
      <c r="K145" s="418">
        <v>17867.355495</v>
      </c>
      <c r="L145" s="418">
        <v>35416.5</v>
      </c>
      <c r="M145" s="418">
        <v>0</v>
      </c>
      <c r="N145" s="418">
        <v>1667.3180256186999</v>
      </c>
      <c r="O145" s="419">
        <f t="shared" si="192"/>
        <v>54951.173520618693</v>
      </c>
      <c r="P145" s="420">
        <f t="shared" si="193"/>
        <v>78884.350351017929</v>
      </c>
      <c r="Q145" s="403"/>
      <c r="R145" s="421">
        <f t="shared" si="194"/>
        <v>25649.219851235968</v>
      </c>
      <c r="S145" s="421">
        <f t="shared" si="195"/>
        <v>50841.63658777075</v>
      </c>
      <c r="T145" s="421">
        <f t="shared" si="196"/>
        <v>0</v>
      </c>
      <c r="U145" s="421">
        <f t="shared" si="197"/>
        <v>2393.4939120112203</v>
      </c>
      <c r="V145" s="422">
        <f t="shared" si="198"/>
        <v>78884.350351017943</v>
      </c>
      <c r="W145" s="423"/>
      <c r="X145" s="421">
        <f t="shared" si="199"/>
        <v>410387.51761977549</v>
      </c>
      <c r="Y145" s="421">
        <f t="shared" si="200"/>
        <v>851762.0879965116</v>
      </c>
      <c r="Z145" s="422">
        <f t="shared" si="201"/>
        <v>1262149.6056162871</v>
      </c>
      <c r="AA145" s="371"/>
      <c r="AB145" s="425" t="s">
        <v>4235</v>
      </c>
      <c r="AC145" s="427">
        <v>0.55500000000000005</v>
      </c>
      <c r="AD145" s="427">
        <v>0</v>
      </c>
      <c r="AE145" s="428">
        <f t="shared" si="202"/>
        <v>0.55500000000000005</v>
      </c>
      <c r="AF145" s="437" t="str">
        <f t="shared" si="203"/>
        <v>⚪</v>
      </c>
      <c r="AG145" s="430">
        <f t="shared" si="204"/>
        <v>700493.03111703938</v>
      </c>
      <c r="AH145" s="375">
        <f t="shared" si="205"/>
        <v>0</v>
      </c>
      <c r="AI145" s="431">
        <f t="shared" si="206"/>
        <v>700493.03111703938</v>
      </c>
      <c r="AJ145" s="375"/>
      <c r="AK145" s="430">
        <f t="shared" si="207"/>
        <v>227765.07227897542</v>
      </c>
      <c r="AL145" s="375">
        <f t="shared" si="208"/>
        <v>451473.73289940431</v>
      </c>
      <c r="AM145" s="432">
        <f t="shared" si="209"/>
        <v>0</v>
      </c>
      <c r="AN145" s="432">
        <f t="shared" si="210"/>
        <v>21254.225938659638</v>
      </c>
      <c r="AO145" s="433">
        <f t="shared" si="211"/>
        <v>700493.03111703938</v>
      </c>
      <c r="AQ145" s="563">
        <f t="shared" si="212"/>
        <v>54951.173520618693</v>
      </c>
      <c r="AR145" s="563">
        <f t="shared" si="213"/>
        <v>879218.77632989909</v>
      </c>
    </row>
    <row r="146" spans="1:44" ht="10.5" customHeight="1" x14ac:dyDescent="0.35">
      <c r="A146" s="412" t="s">
        <v>3219</v>
      </c>
      <c r="B146" s="412" t="s">
        <v>25</v>
      </c>
      <c r="C146" s="412" t="s">
        <v>3219</v>
      </c>
      <c r="D146" s="412" t="s">
        <v>25</v>
      </c>
      <c r="F146" s="414">
        <v>18.05</v>
      </c>
      <c r="G146" s="414" t="s">
        <v>4112</v>
      </c>
      <c r="H146" s="465" t="s">
        <v>4240</v>
      </c>
      <c r="I146" s="438" t="s">
        <v>35</v>
      </c>
      <c r="J146" s="439">
        <v>1</v>
      </c>
      <c r="K146" s="418">
        <v>17867.355495</v>
      </c>
      <c r="L146" s="418">
        <v>35416.5</v>
      </c>
      <c r="M146" s="418">
        <v>0</v>
      </c>
      <c r="N146" s="418">
        <v>1667.3180256186999</v>
      </c>
      <c r="O146" s="419">
        <f t="shared" si="192"/>
        <v>54951.173520618693</v>
      </c>
      <c r="P146" s="420">
        <f t="shared" si="193"/>
        <v>78884.350351017929</v>
      </c>
      <c r="Q146" s="403"/>
      <c r="R146" s="421">
        <f t="shared" si="194"/>
        <v>25649.219851235968</v>
      </c>
      <c r="S146" s="421">
        <f t="shared" si="195"/>
        <v>50841.63658777075</v>
      </c>
      <c r="T146" s="421">
        <f t="shared" si="196"/>
        <v>0</v>
      </c>
      <c r="U146" s="421">
        <f t="shared" si="197"/>
        <v>2393.4939120112203</v>
      </c>
      <c r="V146" s="422">
        <f t="shared" si="198"/>
        <v>78884.350351017943</v>
      </c>
      <c r="W146" s="423"/>
      <c r="X146" s="421">
        <f t="shared" si="199"/>
        <v>25649.219851235968</v>
      </c>
      <c r="Y146" s="421">
        <f t="shared" si="200"/>
        <v>53235.130499781975</v>
      </c>
      <c r="Z146" s="422">
        <f t="shared" si="201"/>
        <v>78884.350351017943</v>
      </c>
      <c r="AA146" s="371"/>
      <c r="AB146" s="425" t="s">
        <v>4235</v>
      </c>
      <c r="AC146" s="427">
        <v>0.4</v>
      </c>
      <c r="AD146" s="427">
        <v>0</v>
      </c>
      <c r="AE146" s="428">
        <f t="shared" si="202"/>
        <v>0.4</v>
      </c>
      <c r="AF146" s="437" t="str">
        <f t="shared" si="203"/>
        <v>⚪</v>
      </c>
      <c r="AG146" s="430">
        <f t="shared" si="204"/>
        <v>31553.740140407179</v>
      </c>
      <c r="AH146" s="375">
        <f t="shared" si="205"/>
        <v>0</v>
      </c>
      <c r="AI146" s="431">
        <f t="shared" si="206"/>
        <v>31553.740140407179</v>
      </c>
      <c r="AJ146" s="375"/>
      <c r="AK146" s="430">
        <f t="shared" si="207"/>
        <v>10259.687940494388</v>
      </c>
      <c r="AL146" s="375">
        <f t="shared" si="208"/>
        <v>20336.654635108302</v>
      </c>
      <c r="AM146" s="432">
        <f t="shared" si="209"/>
        <v>0</v>
      </c>
      <c r="AN146" s="432">
        <f t="shared" si="210"/>
        <v>957.39756480448818</v>
      </c>
      <c r="AO146" s="433">
        <f t="shared" si="211"/>
        <v>31553.740140407179</v>
      </c>
      <c r="AQ146" s="563">
        <f t="shared" si="212"/>
        <v>54951.173520618693</v>
      </c>
      <c r="AR146" s="563">
        <f t="shared" si="213"/>
        <v>54951.173520618693</v>
      </c>
    </row>
    <row r="147" spans="1:44" ht="10.5" customHeight="1" x14ac:dyDescent="0.35">
      <c r="A147" s="412" t="s">
        <v>3219</v>
      </c>
      <c r="B147" s="412" t="s">
        <v>25</v>
      </c>
      <c r="C147" s="412" t="s">
        <v>3219</v>
      </c>
      <c r="D147" s="412" t="s">
        <v>25</v>
      </c>
      <c r="F147" s="414">
        <v>18.059999999999999</v>
      </c>
      <c r="G147" s="414" t="s">
        <v>4112</v>
      </c>
      <c r="H147" s="465" t="s">
        <v>4241</v>
      </c>
      <c r="I147" s="438" t="s">
        <v>35</v>
      </c>
      <c r="J147" s="439">
        <v>24</v>
      </c>
      <c r="K147" s="418">
        <v>17867.355495</v>
      </c>
      <c r="L147" s="418">
        <v>35416.5</v>
      </c>
      <c r="M147" s="418">
        <v>0</v>
      </c>
      <c r="N147" s="418">
        <v>1667.3180256186999</v>
      </c>
      <c r="O147" s="419">
        <f t="shared" si="192"/>
        <v>54951.173520618693</v>
      </c>
      <c r="P147" s="420">
        <f t="shared" si="193"/>
        <v>78884.350351017929</v>
      </c>
      <c r="Q147" s="403"/>
      <c r="R147" s="421">
        <f t="shared" si="194"/>
        <v>25649.219851235968</v>
      </c>
      <c r="S147" s="421">
        <f t="shared" si="195"/>
        <v>50841.63658777075</v>
      </c>
      <c r="T147" s="421">
        <f t="shared" si="196"/>
        <v>0</v>
      </c>
      <c r="U147" s="421">
        <f t="shared" si="197"/>
        <v>2393.4939120112203</v>
      </c>
      <c r="V147" s="422">
        <f t="shared" si="198"/>
        <v>78884.350351017943</v>
      </c>
      <c r="W147" s="423"/>
      <c r="X147" s="421">
        <f t="shared" si="199"/>
        <v>615581.27642966318</v>
      </c>
      <c r="Y147" s="421">
        <f t="shared" si="200"/>
        <v>1277643.1319947673</v>
      </c>
      <c r="Z147" s="422">
        <f t="shared" si="201"/>
        <v>1893224.4084244305</v>
      </c>
      <c r="AA147" s="371"/>
      <c r="AB147" s="425" t="s">
        <v>4235</v>
      </c>
      <c r="AC147" s="427">
        <v>0.4</v>
      </c>
      <c r="AD147" s="427">
        <v>0</v>
      </c>
      <c r="AE147" s="428">
        <f t="shared" si="202"/>
        <v>0.4</v>
      </c>
      <c r="AF147" s="437" t="str">
        <f t="shared" si="203"/>
        <v>⚪</v>
      </c>
      <c r="AG147" s="430">
        <f t="shared" si="204"/>
        <v>757289.76336977223</v>
      </c>
      <c r="AH147" s="375">
        <f t="shared" si="205"/>
        <v>0</v>
      </c>
      <c r="AI147" s="431">
        <f t="shared" si="206"/>
        <v>757289.76336977223</v>
      </c>
      <c r="AJ147" s="375"/>
      <c r="AK147" s="430">
        <f t="shared" si="207"/>
        <v>246232.51057186528</v>
      </c>
      <c r="AL147" s="375">
        <f t="shared" si="208"/>
        <v>488079.71124259924</v>
      </c>
      <c r="AM147" s="432">
        <f t="shared" si="209"/>
        <v>0</v>
      </c>
      <c r="AN147" s="432">
        <f t="shared" si="210"/>
        <v>22977.541555307718</v>
      </c>
      <c r="AO147" s="433">
        <f t="shared" si="211"/>
        <v>757289.76336977223</v>
      </c>
      <c r="AQ147" s="563">
        <f t="shared" si="212"/>
        <v>54951.173520618693</v>
      </c>
      <c r="AR147" s="563">
        <f t="shared" si="213"/>
        <v>1318828.1644948486</v>
      </c>
    </row>
    <row r="148" spans="1:44" ht="10.5" customHeight="1" x14ac:dyDescent="0.35">
      <c r="A148" s="412" t="s">
        <v>3219</v>
      </c>
      <c r="B148" s="412" t="s">
        <v>25</v>
      </c>
      <c r="C148" s="412" t="s">
        <v>3219</v>
      </c>
      <c r="D148" s="412" t="s">
        <v>25</v>
      </c>
      <c r="F148" s="414">
        <v>18.07</v>
      </c>
      <c r="G148" s="414" t="s">
        <v>4112</v>
      </c>
      <c r="H148" s="465" t="s">
        <v>4242</v>
      </c>
      <c r="I148" s="438" t="s">
        <v>35</v>
      </c>
      <c r="J148" s="439">
        <v>226</v>
      </c>
      <c r="K148" s="418">
        <v>14804.6642249</v>
      </c>
      <c r="L148" s="418">
        <v>35416.5</v>
      </c>
      <c r="M148" s="418">
        <v>0</v>
      </c>
      <c r="N148" s="418">
        <v>1667.318025618699</v>
      </c>
      <c r="O148" s="419">
        <f t="shared" si="192"/>
        <v>51888.482250518697</v>
      </c>
      <c r="P148" s="420">
        <f t="shared" si="193"/>
        <v>74487.748864847294</v>
      </c>
      <c r="Q148" s="403"/>
      <c r="R148" s="421">
        <f t="shared" si="194"/>
        <v>21252.618365065337</v>
      </c>
      <c r="S148" s="421">
        <f t="shared" si="195"/>
        <v>50841.63658777075</v>
      </c>
      <c r="T148" s="421">
        <f t="shared" si="196"/>
        <v>0</v>
      </c>
      <c r="U148" s="421">
        <f t="shared" si="197"/>
        <v>2393.493912011219</v>
      </c>
      <c r="V148" s="422">
        <f t="shared" si="198"/>
        <v>74487.748864847308</v>
      </c>
      <c r="W148" s="423"/>
      <c r="X148" s="421">
        <f t="shared" si="199"/>
        <v>4803091.7505047657</v>
      </c>
      <c r="Y148" s="421">
        <f t="shared" si="200"/>
        <v>12031139.492950726</v>
      </c>
      <c r="Z148" s="422">
        <f t="shared" si="201"/>
        <v>16834231.243455492</v>
      </c>
      <c r="AA148" s="371"/>
      <c r="AB148" s="425" t="s">
        <v>4235</v>
      </c>
      <c r="AC148" s="427">
        <v>0.45300000000000001</v>
      </c>
      <c r="AD148" s="427">
        <v>0</v>
      </c>
      <c r="AE148" s="428">
        <f t="shared" si="202"/>
        <v>0.45300000000000001</v>
      </c>
      <c r="AF148" s="437" t="str">
        <f t="shared" si="203"/>
        <v>⚪</v>
      </c>
      <c r="AG148" s="430">
        <f t="shared" si="204"/>
        <v>7625906.7532853382</v>
      </c>
      <c r="AH148" s="375">
        <f t="shared" si="205"/>
        <v>0</v>
      </c>
      <c r="AI148" s="431">
        <f t="shared" si="206"/>
        <v>7625906.7532853382</v>
      </c>
      <c r="AJ148" s="375"/>
      <c r="AK148" s="430">
        <f t="shared" si="207"/>
        <v>2175800.5629786588</v>
      </c>
      <c r="AL148" s="375">
        <f t="shared" si="208"/>
        <v>5205065.070582794</v>
      </c>
      <c r="AM148" s="432">
        <f t="shared" si="209"/>
        <v>0</v>
      </c>
      <c r="AN148" s="432">
        <f t="shared" si="210"/>
        <v>245041.11972388459</v>
      </c>
      <c r="AO148" s="433">
        <f t="shared" si="211"/>
        <v>7625906.7532853372</v>
      </c>
      <c r="AQ148" s="563">
        <f t="shared" si="212"/>
        <v>51888.482250518697</v>
      </c>
      <c r="AR148" s="563">
        <f t="shared" si="213"/>
        <v>11726796.988617225</v>
      </c>
    </row>
    <row r="149" spans="1:44" ht="10.5" customHeight="1" x14ac:dyDescent="0.35">
      <c r="A149" s="412" t="s">
        <v>3219</v>
      </c>
      <c r="B149" s="412" t="s">
        <v>25</v>
      </c>
      <c r="C149" s="412" t="s">
        <v>3219</v>
      </c>
      <c r="D149" s="412" t="s">
        <v>25</v>
      </c>
      <c r="F149" s="414">
        <v>18.079999999999998</v>
      </c>
      <c r="G149" s="414" t="s">
        <v>4112</v>
      </c>
      <c r="H149" s="465" t="s">
        <v>4243</v>
      </c>
      <c r="I149" s="438" t="s">
        <v>35</v>
      </c>
      <c r="J149" s="439">
        <v>32</v>
      </c>
      <c r="K149" s="418">
        <v>34429.494879999998</v>
      </c>
      <c r="L149" s="418">
        <v>35416.5</v>
      </c>
      <c r="M149" s="418">
        <v>0</v>
      </c>
      <c r="N149" s="418">
        <v>1667.3180256186999</v>
      </c>
      <c r="O149" s="419">
        <f t="shared" si="192"/>
        <v>71513.312905618703</v>
      </c>
      <c r="P149" s="420">
        <f t="shared" si="193"/>
        <v>102659.88637880654</v>
      </c>
      <c r="Q149" s="403"/>
      <c r="R149" s="421">
        <f t="shared" si="194"/>
        <v>49424.755879024568</v>
      </c>
      <c r="S149" s="421">
        <f t="shared" si="195"/>
        <v>50841.63658777075</v>
      </c>
      <c r="T149" s="421">
        <f t="shared" si="196"/>
        <v>0</v>
      </c>
      <c r="U149" s="421">
        <f t="shared" si="197"/>
        <v>2393.4939120112203</v>
      </c>
      <c r="V149" s="422">
        <f t="shared" si="198"/>
        <v>102659.88637880654</v>
      </c>
      <c r="W149" s="423"/>
      <c r="X149" s="421">
        <f t="shared" si="199"/>
        <v>1581592.1881287862</v>
      </c>
      <c r="Y149" s="421">
        <f t="shared" si="200"/>
        <v>1703524.175993023</v>
      </c>
      <c r="Z149" s="422">
        <f t="shared" si="201"/>
        <v>3285116.3641218091</v>
      </c>
      <c r="AA149" s="371"/>
      <c r="AB149" s="425" t="s">
        <v>4235</v>
      </c>
      <c r="AC149" s="427">
        <v>0.45</v>
      </c>
      <c r="AD149" s="427">
        <v>0</v>
      </c>
      <c r="AE149" s="428">
        <f t="shared" si="202"/>
        <v>0.45</v>
      </c>
      <c r="AF149" s="437" t="str">
        <f t="shared" si="203"/>
        <v>⚪</v>
      </c>
      <c r="AG149" s="430">
        <f t="shared" si="204"/>
        <v>1478302.3638548141</v>
      </c>
      <c r="AH149" s="375">
        <f t="shared" si="205"/>
        <v>0</v>
      </c>
      <c r="AI149" s="431">
        <f t="shared" si="206"/>
        <v>1478302.3638548141</v>
      </c>
      <c r="AJ149" s="375"/>
      <c r="AK149" s="430">
        <f t="shared" si="207"/>
        <v>711716.48465795384</v>
      </c>
      <c r="AL149" s="375">
        <f t="shared" si="208"/>
        <v>732119.56686389877</v>
      </c>
      <c r="AM149" s="432">
        <f t="shared" si="209"/>
        <v>0</v>
      </c>
      <c r="AN149" s="432">
        <f t="shared" si="210"/>
        <v>34466.312332961577</v>
      </c>
      <c r="AO149" s="433">
        <f t="shared" si="211"/>
        <v>1478302.3638548141</v>
      </c>
      <c r="AQ149" s="563">
        <f t="shared" si="212"/>
        <v>71513.312905618703</v>
      </c>
      <c r="AR149" s="563">
        <f t="shared" si="213"/>
        <v>2288426.0129797985</v>
      </c>
    </row>
    <row r="150" spans="1:44" ht="10.5" customHeight="1" x14ac:dyDescent="0.35">
      <c r="A150" s="412" t="s">
        <v>3219</v>
      </c>
      <c r="B150" s="412" t="s">
        <v>25</v>
      </c>
      <c r="C150" s="412" t="s">
        <v>3219</v>
      </c>
      <c r="D150" s="412" t="s">
        <v>25</v>
      </c>
      <c r="F150" s="414">
        <v>18.09</v>
      </c>
      <c r="G150" s="414" t="s">
        <v>4112</v>
      </c>
      <c r="H150" s="465" t="s">
        <v>4244</v>
      </c>
      <c r="I150" s="438" t="s">
        <v>35</v>
      </c>
      <c r="J150" s="439">
        <v>8</v>
      </c>
      <c r="K150" s="418">
        <v>14804.6642249</v>
      </c>
      <c r="L150" s="418">
        <v>35416.5</v>
      </c>
      <c r="M150" s="418">
        <v>0</v>
      </c>
      <c r="N150" s="418">
        <v>1667.3180256186999</v>
      </c>
      <c r="O150" s="419">
        <f t="shared" si="192"/>
        <v>51888.482250518697</v>
      </c>
      <c r="P150" s="420">
        <f t="shared" si="193"/>
        <v>74487.748864847294</v>
      </c>
      <c r="Q150" s="403"/>
      <c r="R150" s="421">
        <f t="shared" si="194"/>
        <v>21252.618365065337</v>
      </c>
      <c r="S150" s="421">
        <f t="shared" si="195"/>
        <v>50841.63658777075</v>
      </c>
      <c r="T150" s="421">
        <f t="shared" si="196"/>
        <v>0</v>
      </c>
      <c r="U150" s="421">
        <f t="shared" si="197"/>
        <v>2393.4939120112203</v>
      </c>
      <c r="V150" s="422">
        <f t="shared" si="198"/>
        <v>74487.748864847308</v>
      </c>
      <c r="W150" s="423"/>
      <c r="X150" s="421">
        <f t="shared" si="199"/>
        <v>170020.94692052269</v>
      </c>
      <c r="Y150" s="421">
        <f t="shared" si="200"/>
        <v>425881.04399825574</v>
      </c>
      <c r="Z150" s="422">
        <f t="shared" si="201"/>
        <v>595901.99091877847</v>
      </c>
      <c r="AA150" s="371"/>
      <c r="AB150" s="425" t="s">
        <v>4235</v>
      </c>
      <c r="AC150" s="427">
        <v>0</v>
      </c>
      <c r="AD150" s="427">
        <v>0</v>
      </c>
      <c r="AE150" s="428">
        <f t="shared" si="202"/>
        <v>0</v>
      </c>
      <c r="AF150" s="437" t="str">
        <f t="shared" si="203"/>
        <v>⚪</v>
      </c>
      <c r="AG150" s="430">
        <f t="shared" si="204"/>
        <v>0</v>
      </c>
      <c r="AH150" s="375">
        <f t="shared" si="205"/>
        <v>0</v>
      </c>
      <c r="AI150" s="431">
        <f t="shared" si="206"/>
        <v>0</v>
      </c>
      <c r="AJ150" s="375"/>
      <c r="AK150" s="430">
        <f t="shared" si="207"/>
        <v>0</v>
      </c>
      <c r="AL150" s="375">
        <f t="shared" si="208"/>
        <v>0</v>
      </c>
      <c r="AM150" s="432">
        <f t="shared" si="209"/>
        <v>0</v>
      </c>
      <c r="AN150" s="432">
        <f t="shared" si="210"/>
        <v>0</v>
      </c>
      <c r="AO150" s="433">
        <f t="shared" si="211"/>
        <v>0</v>
      </c>
      <c r="AQ150" s="563">
        <f t="shared" si="212"/>
        <v>51888.482250518697</v>
      </c>
      <c r="AR150" s="563">
        <f t="shared" si="213"/>
        <v>415107.85800414957</v>
      </c>
    </row>
    <row r="151" spans="1:44" ht="10.5" customHeight="1" x14ac:dyDescent="0.35">
      <c r="A151" s="412" t="s">
        <v>3219</v>
      </c>
      <c r="B151" s="412" t="s">
        <v>25</v>
      </c>
      <c r="C151" s="412" t="s">
        <v>3219</v>
      </c>
      <c r="D151" s="412" t="s">
        <v>25</v>
      </c>
      <c r="F151" s="414">
        <v>18.100000000000001</v>
      </c>
      <c r="G151" s="414" t="s">
        <v>4112</v>
      </c>
      <c r="H151" s="465" t="s">
        <v>4245</v>
      </c>
      <c r="I151" s="438" t="s">
        <v>35</v>
      </c>
      <c r="J151" s="439">
        <v>8</v>
      </c>
      <c r="K151" s="418">
        <v>14804.6642249</v>
      </c>
      <c r="L151" s="418">
        <v>35416.5</v>
      </c>
      <c r="M151" s="418">
        <v>0</v>
      </c>
      <c r="N151" s="418">
        <v>1667.3180256186999</v>
      </c>
      <c r="O151" s="419">
        <f t="shared" si="192"/>
        <v>51888.482250518697</v>
      </c>
      <c r="P151" s="420">
        <f t="shared" si="193"/>
        <v>74487.748864847294</v>
      </c>
      <c r="Q151" s="403"/>
      <c r="R151" s="421">
        <f t="shared" si="194"/>
        <v>21252.618365065337</v>
      </c>
      <c r="S151" s="421">
        <f t="shared" si="195"/>
        <v>50841.63658777075</v>
      </c>
      <c r="T151" s="421">
        <f t="shared" si="196"/>
        <v>0</v>
      </c>
      <c r="U151" s="421">
        <f t="shared" si="197"/>
        <v>2393.4939120112203</v>
      </c>
      <c r="V151" s="422">
        <f t="shared" si="198"/>
        <v>74487.748864847308</v>
      </c>
      <c r="W151" s="423"/>
      <c r="X151" s="421">
        <f t="shared" si="199"/>
        <v>170020.94692052269</v>
      </c>
      <c r="Y151" s="421">
        <f t="shared" si="200"/>
        <v>425881.04399825574</v>
      </c>
      <c r="Z151" s="422">
        <f t="shared" si="201"/>
        <v>595901.99091877847</v>
      </c>
      <c r="AA151" s="371"/>
      <c r="AB151" s="425" t="s">
        <v>4235</v>
      </c>
      <c r="AC151" s="427">
        <v>0.45</v>
      </c>
      <c r="AD151" s="427">
        <v>0</v>
      </c>
      <c r="AE151" s="428">
        <f t="shared" si="202"/>
        <v>0.45</v>
      </c>
      <c r="AF151" s="437" t="str">
        <f t="shared" si="203"/>
        <v>⚪</v>
      </c>
      <c r="AG151" s="430">
        <f t="shared" si="204"/>
        <v>268155.89591345034</v>
      </c>
      <c r="AH151" s="375">
        <f t="shared" si="205"/>
        <v>0</v>
      </c>
      <c r="AI151" s="431">
        <f t="shared" si="206"/>
        <v>268155.89591345034</v>
      </c>
      <c r="AJ151" s="375"/>
      <c r="AK151" s="430">
        <f t="shared" si="207"/>
        <v>76509.426114235219</v>
      </c>
      <c r="AL151" s="375">
        <f t="shared" si="208"/>
        <v>183029.89171597469</v>
      </c>
      <c r="AM151" s="432">
        <f t="shared" si="209"/>
        <v>0</v>
      </c>
      <c r="AN151" s="432">
        <f t="shared" si="210"/>
        <v>8616.5780832403943</v>
      </c>
      <c r="AO151" s="433">
        <f t="shared" si="211"/>
        <v>268155.89591345028</v>
      </c>
      <c r="AQ151" s="563">
        <f t="shared" si="212"/>
        <v>51888.482250518697</v>
      </c>
      <c r="AR151" s="563">
        <f t="shared" si="213"/>
        <v>415107.85800414957</v>
      </c>
    </row>
    <row r="152" spans="1:44" ht="10.5" customHeight="1" x14ac:dyDescent="0.35">
      <c r="A152" s="412" t="s">
        <v>3219</v>
      </c>
      <c r="B152" s="412" t="s">
        <v>25</v>
      </c>
      <c r="C152" s="412" t="s">
        <v>3219</v>
      </c>
      <c r="D152" s="412" t="s">
        <v>25</v>
      </c>
      <c r="F152" s="414">
        <v>18.11</v>
      </c>
      <c r="G152" s="414" t="s">
        <v>4112</v>
      </c>
      <c r="H152" s="465" t="s">
        <v>4246</v>
      </c>
      <c r="I152" s="438" t="s">
        <v>35</v>
      </c>
      <c r="J152" s="439">
        <v>26</v>
      </c>
      <c r="K152" s="418">
        <v>12087.90438625</v>
      </c>
      <c r="L152" s="418">
        <v>24807.3</v>
      </c>
      <c r="M152" s="418">
        <v>0</v>
      </c>
      <c r="N152" s="418">
        <v>1083.756716652154</v>
      </c>
      <c r="O152" s="419">
        <f t="shared" si="192"/>
        <v>37978.961102902154</v>
      </c>
      <c r="P152" s="420">
        <f t="shared" si="193"/>
        <v>54520.140001830565</v>
      </c>
      <c r="Q152" s="403"/>
      <c r="R152" s="421">
        <f t="shared" si="194"/>
        <v>17352.613666326219</v>
      </c>
      <c r="S152" s="421">
        <f t="shared" si="195"/>
        <v>35611.755292697053</v>
      </c>
      <c r="T152" s="421">
        <f t="shared" si="196"/>
        <v>0</v>
      </c>
      <c r="U152" s="421">
        <f t="shared" si="197"/>
        <v>1555.7710428072917</v>
      </c>
      <c r="V152" s="422">
        <f t="shared" si="198"/>
        <v>54520.140001830558</v>
      </c>
      <c r="W152" s="423"/>
      <c r="X152" s="421">
        <f t="shared" si="199"/>
        <v>451167.95532448171</v>
      </c>
      <c r="Y152" s="421">
        <f t="shared" si="200"/>
        <v>966355.68472311273</v>
      </c>
      <c r="Z152" s="422">
        <f t="shared" si="201"/>
        <v>1417523.6400475944</v>
      </c>
      <c r="AA152" s="371"/>
      <c r="AB152" s="425" t="s">
        <v>4235</v>
      </c>
      <c r="AC152" s="427">
        <v>0</v>
      </c>
      <c r="AD152" s="427">
        <v>0</v>
      </c>
      <c r="AE152" s="428">
        <f t="shared" si="202"/>
        <v>0</v>
      </c>
      <c r="AF152" s="437" t="str">
        <f t="shared" si="203"/>
        <v>⚪</v>
      </c>
      <c r="AG152" s="430">
        <f t="shared" si="204"/>
        <v>0</v>
      </c>
      <c r="AH152" s="375">
        <f t="shared" si="205"/>
        <v>0</v>
      </c>
      <c r="AI152" s="431">
        <f t="shared" si="206"/>
        <v>0</v>
      </c>
      <c r="AJ152" s="375"/>
      <c r="AK152" s="430">
        <f t="shared" si="207"/>
        <v>0</v>
      </c>
      <c r="AL152" s="375">
        <f t="shared" si="208"/>
        <v>0</v>
      </c>
      <c r="AM152" s="432">
        <f t="shared" si="209"/>
        <v>0</v>
      </c>
      <c r="AN152" s="432">
        <f t="shared" si="210"/>
        <v>0</v>
      </c>
      <c r="AO152" s="433">
        <f t="shared" si="211"/>
        <v>0</v>
      </c>
      <c r="AQ152" s="563">
        <f t="shared" si="212"/>
        <v>37978.961102902154</v>
      </c>
      <c r="AR152" s="563">
        <f t="shared" si="213"/>
        <v>987452.98867545603</v>
      </c>
    </row>
    <row r="153" spans="1:44" ht="10.5" customHeight="1" x14ac:dyDescent="0.35">
      <c r="A153" s="412" t="s">
        <v>3219</v>
      </c>
      <c r="B153" s="412" t="s">
        <v>25</v>
      </c>
      <c r="C153" s="412" t="s">
        <v>3219</v>
      </c>
      <c r="D153" s="412" t="s">
        <v>25</v>
      </c>
      <c r="F153" s="414">
        <v>18.12</v>
      </c>
      <c r="G153" s="414" t="s">
        <v>4112</v>
      </c>
      <c r="H153" s="465" t="s">
        <v>4247</v>
      </c>
      <c r="I153" s="438" t="s">
        <v>35</v>
      </c>
      <c r="J153" s="439">
        <v>27</v>
      </c>
      <c r="K153" s="418">
        <v>12087.90438625</v>
      </c>
      <c r="L153" s="418">
        <v>24807.3</v>
      </c>
      <c r="M153" s="418">
        <v>0</v>
      </c>
      <c r="N153" s="418">
        <v>1083.756716652156</v>
      </c>
      <c r="O153" s="419">
        <f t="shared" si="192"/>
        <v>37978.961102902154</v>
      </c>
      <c r="P153" s="420">
        <f t="shared" si="193"/>
        <v>54520.140001830565</v>
      </c>
      <c r="Q153" s="403"/>
      <c r="R153" s="421">
        <f t="shared" si="194"/>
        <v>17352.613666326219</v>
      </c>
      <c r="S153" s="421">
        <f t="shared" si="195"/>
        <v>35611.755292697053</v>
      </c>
      <c r="T153" s="421">
        <f t="shared" si="196"/>
        <v>0</v>
      </c>
      <c r="U153" s="421">
        <f t="shared" si="197"/>
        <v>1555.7710428072946</v>
      </c>
      <c r="V153" s="422">
        <f t="shared" si="198"/>
        <v>54520.140001830565</v>
      </c>
      <c r="W153" s="423"/>
      <c r="X153" s="421">
        <f t="shared" si="199"/>
        <v>468520.56899080792</v>
      </c>
      <c r="Y153" s="421">
        <f t="shared" si="200"/>
        <v>1003523.2110586173</v>
      </c>
      <c r="Z153" s="422">
        <f t="shared" si="201"/>
        <v>1472043.7800494253</v>
      </c>
      <c r="AA153" s="371"/>
      <c r="AB153" s="425" t="s">
        <v>4235</v>
      </c>
      <c r="AC153" s="427">
        <v>0.55000000000000004</v>
      </c>
      <c r="AD153" s="427">
        <v>0</v>
      </c>
      <c r="AE153" s="428">
        <f t="shared" si="202"/>
        <v>0.55000000000000004</v>
      </c>
      <c r="AF153" s="437" t="str">
        <f t="shared" si="203"/>
        <v>⚪</v>
      </c>
      <c r="AG153" s="430">
        <f t="shared" si="204"/>
        <v>809624.07902718394</v>
      </c>
      <c r="AH153" s="375">
        <f t="shared" si="205"/>
        <v>0</v>
      </c>
      <c r="AI153" s="431">
        <f t="shared" si="206"/>
        <v>809624.07902718394</v>
      </c>
      <c r="AJ153" s="375"/>
      <c r="AK153" s="430">
        <f t="shared" si="207"/>
        <v>257686.31294494437</v>
      </c>
      <c r="AL153" s="375">
        <f t="shared" si="208"/>
        <v>528834.56609655125</v>
      </c>
      <c r="AM153" s="432">
        <f t="shared" si="209"/>
        <v>0</v>
      </c>
      <c r="AN153" s="432">
        <f t="shared" si="210"/>
        <v>23103.199985688327</v>
      </c>
      <c r="AO153" s="433">
        <f t="shared" si="211"/>
        <v>809624.07902718394</v>
      </c>
      <c r="AQ153" s="563">
        <f t="shared" si="212"/>
        <v>37978.961102902154</v>
      </c>
      <c r="AR153" s="563">
        <f t="shared" si="213"/>
        <v>1025431.9497783582</v>
      </c>
    </row>
    <row r="154" spans="1:44" ht="10.5" customHeight="1" x14ac:dyDescent="0.35">
      <c r="A154" s="412" t="s">
        <v>3219</v>
      </c>
      <c r="B154" s="412" t="s">
        <v>25</v>
      </c>
      <c r="C154" s="412" t="s">
        <v>3219</v>
      </c>
      <c r="D154" s="412" t="s">
        <v>25</v>
      </c>
      <c r="F154" s="414">
        <v>18.13</v>
      </c>
      <c r="G154" s="414" t="s">
        <v>4112</v>
      </c>
      <c r="H154" s="465" t="s">
        <v>4248</v>
      </c>
      <c r="I154" s="438" t="s">
        <v>35</v>
      </c>
      <c r="J154" s="439">
        <v>9</v>
      </c>
      <c r="K154" s="418">
        <v>12087.90438625</v>
      </c>
      <c r="L154" s="418">
        <v>24807.3</v>
      </c>
      <c r="M154" s="418">
        <v>0</v>
      </c>
      <c r="N154" s="418">
        <v>1083.756716652154</v>
      </c>
      <c r="O154" s="419">
        <f t="shared" si="192"/>
        <v>37978.961102902154</v>
      </c>
      <c r="P154" s="420">
        <f t="shared" si="193"/>
        <v>54520.140001830565</v>
      </c>
      <c r="Q154" s="403"/>
      <c r="R154" s="421">
        <f t="shared" si="194"/>
        <v>17352.613666326219</v>
      </c>
      <c r="S154" s="421">
        <f t="shared" si="195"/>
        <v>35611.755292697053</v>
      </c>
      <c r="T154" s="421">
        <f t="shared" si="196"/>
        <v>0</v>
      </c>
      <c r="U154" s="421">
        <f t="shared" si="197"/>
        <v>1555.7710428072917</v>
      </c>
      <c r="V154" s="422">
        <f t="shared" si="198"/>
        <v>54520.140001830558</v>
      </c>
      <c r="W154" s="423"/>
      <c r="X154" s="421">
        <f t="shared" si="199"/>
        <v>156173.52299693596</v>
      </c>
      <c r="Y154" s="421">
        <f t="shared" si="200"/>
        <v>334507.737019539</v>
      </c>
      <c r="Z154" s="422">
        <f t="shared" si="201"/>
        <v>490681.26001647499</v>
      </c>
      <c r="AA154" s="371"/>
      <c r="AB154" s="425" t="s">
        <v>4235</v>
      </c>
      <c r="AC154" s="427">
        <v>0</v>
      </c>
      <c r="AD154" s="427">
        <v>0</v>
      </c>
      <c r="AE154" s="428">
        <f t="shared" si="202"/>
        <v>0</v>
      </c>
      <c r="AF154" s="437" t="str">
        <f t="shared" si="203"/>
        <v>⚪</v>
      </c>
      <c r="AG154" s="430">
        <f t="shared" si="204"/>
        <v>0</v>
      </c>
      <c r="AH154" s="375">
        <f t="shared" si="205"/>
        <v>0</v>
      </c>
      <c r="AI154" s="431">
        <f t="shared" si="206"/>
        <v>0</v>
      </c>
      <c r="AJ154" s="375"/>
      <c r="AK154" s="430">
        <f t="shared" si="207"/>
        <v>0</v>
      </c>
      <c r="AL154" s="375">
        <f t="shared" si="208"/>
        <v>0</v>
      </c>
      <c r="AM154" s="432">
        <f t="shared" si="209"/>
        <v>0</v>
      </c>
      <c r="AN154" s="432">
        <f t="shared" si="210"/>
        <v>0</v>
      </c>
      <c r="AO154" s="433">
        <f t="shared" si="211"/>
        <v>0</v>
      </c>
      <c r="AQ154" s="563">
        <f t="shared" si="212"/>
        <v>37978.961102902154</v>
      </c>
      <c r="AR154" s="563">
        <f t="shared" si="213"/>
        <v>341810.64992611937</v>
      </c>
    </row>
    <row r="155" spans="1:44" ht="10.5" customHeight="1" x14ac:dyDescent="0.35">
      <c r="A155" s="412" t="s">
        <v>3219</v>
      </c>
      <c r="B155" s="412" t="s">
        <v>25</v>
      </c>
      <c r="C155" s="412" t="s">
        <v>3219</v>
      </c>
      <c r="D155" s="412" t="s">
        <v>25</v>
      </c>
      <c r="F155" s="414">
        <v>18.14</v>
      </c>
      <c r="G155" s="414" t="s">
        <v>4112</v>
      </c>
      <c r="H155" s="465" t="s">
        <v>4249</v>
      </c>
      <c r="I155" s="438" t="s">
        <v>35</v>
      </c>
      <c r="J155" s="439">
        <v>29</v>
      </c>
      <c r="K155" s="418">
        <v>12087.90438625</v>
      </c>
      <c r="L155" s="418">
        <v>24807.3</v>
      </c>
      <c r="M155" s="418">
        <v>0</v>
      </c>
      <c r="N155" s="418">
        <v>1083.7567166521551</v>
      </c>
      <c r="O155" s="419">
        <f t="shared" si="192"/>
        <v>37978.961102902154</v>
      </c>
      <c r="P155" s="420">
        <f t="shared" si="193"/>
        <v>54520.140001830565</v>
      </c>
      <c r="Q155" s="403"/>
      <c r="R155" s="421">
        <f t="shared" si="194"/>
        <v>17352.613666326219</v>
      </c>
      <c r="S155" s="421">
        <f t="shared" si="195"/>
        <v>35611.755292697053</v>
      </c>
      <c r="T155" s="421">
        <f t="shared" si="196"/>
        <v>0</v>
      </c>
      <c r="U155" s="421">
        <f t="shared" si="197"/>
        <v>1555.7710428072933</v>
      </c>
      <c r="V155" s="422">
        <f t="shared" si="198"/>
        <v>54520.140001830558</v>
      </c>
      <c r="W155" s="423"/>
      <c r="X155" s="421">
        <f t="shared" si="199"/>
        <v>503225.79632346035</v>
      </c>
      <c r="Y155" s="421">
        <f t="shared" si="200"/>
        <v>1077858.2637296258</v>
      </c>
      <c r="Z155" s="422">
        <f t="shared" si="201"/>
        <v>1581084.0600530861</v>
      </c>
      <c r="AA155" s="371"/>
      <c r="AB155" s="425" t="s">
        <v>4235</v>
      </c>
      <c r="AC155" s="427">
        <v>0.55000000000000004</v>
      </c>
      <c r="AD155" s="427">
        <v>0</v>
      </c>
      <c r="AE155" s="428">
        <f t="shared" si="202"/>
        <v>0.55000000000000004</v>
      </c>
      <c r="AF155" s="437" t="str">
        <f t="shared" si="203"/>
        <v>⚪</v>
      </c>
      <c r="AG155" s="430">
        <f t="shared" si="204"/>
        <v>869596.23302919744</v>
      </c>
      <c r="AH155" s="375">
        <f t="shared" si="205"/>
        <v>0</v>
      </c>
      <c r="AI155" s="431">
        <f t="shared" si="206"/>
        <v>869596.23302919744</v>
      </c>
      <c r="AJ155" s="375"/>
      <c r="AK155" s="430">
        <f t="shared" si="207"/>
        <v>276774.18797790323</v>
      </c>
      <c r="AL155" s="375">
        <f t="shared" si="208"/>
        <v>568007.49691851798</v>
      </c>
      <c r="AM155" s="432">
        <f t="shared" si="209"/>
        <v>0</v>
      </c>
      <c r="AN155" s="432">
        <f t="shared" si="210"/>
        <v>24814.54813277633</v>
      </c>
      <c r="AO155" s="433">
        <f t="shared" si="211"/>
        <v>869596.23302919744</v>
      </c>
      <c r="AQ155" s="563">
        <f t="shared" si="212"/>
        <v>37978.961102902154</v>
      </c>
      <c r="AR155" s="563">
        <f t="shared" si="213"/>
        <v>1101389.8719841624</v>
      </c>
    </row>
    <row r="156" spans="1:44" ht="10.5" customHeight="1" x14ac:dyDescent="0.35">
      <c r="A156" s="412" t="s">
        <v>3219</v>
      </c>
      <c r="B156" s="412" t="s">
        <v>25</v>
      </c>
      <c r="C156" s="412" t="s">
        <v>3219</v>
      </c>
      <c r="D156" s="412" t="s">
        <v>25</v>
      </c>
      <c r="F156" s="414">
        <v>18.149999999999999</v>
      </c>
      <c r="G156" s="414" t="s">
        <v>4112</v>
      </c>
      <c r="H156" s="465" t="s">
        <v>4250</v>
      </c>
      <c r="I156" s="438" t="s">
        <v>35</v>
      </c>
      <c r="J156" s="439">
        <v>3</v>
      </c>
      <c r="K156" s="418">
        <v>12087.90438625</v>
      </c>
      <c r="L156" s="418">
        <v>24807.3</v>
      </c>
      <c r="M156" s="418">
        <v>0</v>
      </c>
      <c r="N156" s="418">
        <v>1083.7567166521569</v>
      </c>
      <c r="O156" s="419">
        <f t="shared" si="192"/>
        <v>37978.961102902154</v>
      </c>
      <c r="P156" s="420">
        <f t="shared" si="193"/>
        <v>54520.140001830565</v>
      </c>
      <c r="Q156" s="403"/>
      <c r="R156" s="421">
        <f t="shared" si="194"/>
        <v>17352.613666326219</v>
      </c>
      <c r="S156" s="421">
        <f t="shared" si="195"/>
        <v>35611.755292697053</v>
      </c>
      <c r="T156" s="421">
        <f t="shared" si="196"/>
        <v>0</v>
      </c>
      <c r="U156" s="421">
        <f t="shared" si="197"/>
        <v>1555.771042807296</v>
      </c>
      <c r="V156" s="422">
        <f t="shared" si="198"/>
        <v>54520.140001830565</v>
      </c>
      <c r="W156" s="423"/>
      <c r="X156" s="421">
        <f t="shared" si="199"/>
        <v>52057.84099897866</v>
      </c>
      <c r="Y156" s="421">
        <f t="shared" si="200"/>
        <v>111502.57900651304</v>
      </c>
      <c r="Z156" s="422">
        <f t="shared" si="201"/>
        <v>163560.4200054917</v>
      </c>
      <c r="AA156" s="371"/>
      <c r="AB156" s="425" t="s">
        <v>4235</v>
      </c>
      <c r="AC156" s="427">
        <v>0.4</v>
      </c>
      <c r="AD156" s="427">
        <v>0</v>
      </c>
      <c r="AE156" s="428">
        <f t="shared" si="202"/>
        <v>0.4</v>
      </c>
      <c r="AF156" s="437" t="str">
        <f t="shared" si="203"/>
        <v>⚪</v>
      </c>
      <c r="AG156" s="430">
        <f t="shared" si="204"/>
        <v>65424.168002196682</v>
      </c>
      <c r="AH156" s="375">
        <f t="shared" si="205"/>
        <v>0</v>
      </c>
      <c r="AI156" s="431">
        <f t="shared" si="206"/>
        <v>65424.168002196682</v>
      </c>
      <c r="AJ156" s="375"/>
      <c r="AK156" s="430">
        <f t="shared" si="207"/>
        <v>20823.136399591465</v>
      </c>
      <c r="AL156" s="375">
        <f t="shared" si="208"/>
        <v>42734.106351236464</v>
      </c>
      <c r="AM156" s="432">
        <f t="shared" si="209"/>
        <v>0</v>
      </c>
      <c r="AN156" s="432">
        <f t="shared" si="210"/>
        <v>1866.9252513687552</v>
      </c>
      <c r="AO156" s="433">
        <f t="shared" si="211"/>
        <v>65424.168002196682</v>
      </c>
      <c r="AQ156" s="563">
        <f t="shared" si="212"/>
        <v>37978.961102902154</v>
      </c>
      <c r="AR156" s="563">
        <f t="shared" si="213"/>
        <v>113936.88330870646</v>
      </c>
    </row>
    <row r="157" spans="1:44" ht="10.5" customHeight="1" x14ac:dyDescent="0.35">
      <c r="A157" s="412" t="s">
        <v>3219</v>
      </c>
      <c r="B157" s="412" t="s">
        <v>25</v>
      </c>
      <c r="C157" s="412" t="s">
        <v>3219</v>
      </c>
      <c r="D157" s="412" t="s">
        <v>25</v>
      </c>
      <c r="F157" s="414">
        <v>18.16</v>
      </c>
      <c r="G157" s="414" t="s">
        <v>4112</v>
      </c>
      <c r="H157" s="465" t="s">
        <v>4251</v>
      </c>
      <c r="I157" s="438" t="s">
        <v>35</v>
      </c>
      <c r="J157" s="439">
        <v>1</v>
      </c>
      <c r="K157" s="418">
        <v>1310987.02036364</v>
      </c>
      <c r="L157" s="418">
        <v>349202.7</v>
      </c>
      <c r="M157" s="418">
        <v>0</v>
      </c>
      <c r="N157" s="418">
        <v>24902.845805454501</v>
      </c>
      <c r="O157" s="419">
        <f t="shared" si="192"/>
        <v>1685092.5661690945</v>
      </c>
      <c r="P157" s="420">
        <f t="shared" si="193"/>
        <v>2419009.8927314426</v>
      </c>
      <c r="Q157" s="403"/>
      <c r="R157" s="421">
        <f t="shared" si="194"/>
        <v>1881968.1690910337</v>
      </c>
      <c r="S157" s="421">
        <f t="shared" si="195"/>
        <v>501292.808969501</v>
      </c>
      <c r="T157" s="421">
        <f t="shared" si="196"/>
        <v>0</v>
      </c>
      <c r="U157" s="421">
        <f t="shared" si="197"/>
        <v>35748.914670907878</v>
      </c>
      <c r="V157" s="422">
        <f t="shared" si="198"/>
        <v>2419009.8927314426</v>
      </c>
      <c r="W157" s="423"/>
      <c r="X157" s="421">
        <f t="shared" si="199"/>
        <v>1881968.1690910337</v>
      </c>
      <c r="Y157" s="421">
        <f t="shared" si="200"/>
        <v>537041.72364040883</v>
      </c>
      <c r="Z157" s="422">
        <f t="shared" si="201"/>
        <v>2419009.8927314426</v>
      </c>
      <c r="AA157" s="371"/>
      <c r="AB157" s="425" t="s">
        <v>4235</v>
      </c>
      <c r="AC157" s="427">
        <v>0</v>
      </c>
      <c r="AD157" s="427">
        <v>0</v>
      </c>
      <c r="AE157" s="428">
        <f t="shared" si="202"/>
        <v>0</v>
      </c>
      <c r="AF157" s="437" t="str">
        <f t="shared" si="203"/>
        <v>⚪</v>
      </c>
      <c r="AG157" s="430">
        <f t="shared" si="204"/>
        <v>0</v>
      </c>
      <c r="AH157" s="375">
        <f t="shared" si="205"/>
        <v>0</v>
      </c>
      <c r="AI157" s="431">
        <f t="shared" si="206"/>
        <v>0</v>
      </c>
      <c r="AJ157" s="375"/>
      <c r="AK157" s="430">
        <f t="shared" si="207"/>
        <v>0</v>
      </c>
      <c r="AL157" s="375">
        <f t="shared" si="208"/>
        <v>0</v>
      </c>
      <c r="AM157" s="432">
        <f t="shared" si="209"/>
        <v>0</v>
      </c>
      <c r="AN157" s="432">
        <f t="shared" si="210"/>
        <v>0</v>
      </c>
      <c r="AO157" s="433">
        <f t="shared" si="211"/>
        <v>0</v>
      </c>
      <c r="AQ157" s="563">
        <f t="shared" si="212"/>
        <v>1685092.5661690945</v>
      </c>
      <c r="AR157" s="563">
        <f t="shared" si="213"/>
        <v>1685092.5661690945</v>
      </c>
    </row>
    <row r="158" spans="1:44" ht="10.5" customHeight="1" x14ac:dyDescent="0.35">
      <c r="A158" s="412" t="s">
        <v>3219</v>
      </c>
      <c r="B158" s="412" t="s">
        <v>25</v>
      </c>
      <c r="C158" s="412" t="s">
        <v>3219</v>
      </c>
      <c r="D158" s="412" t="s">
        <v>25</v>
      </c>
      <c r="F158" s="414">
        <v>18.170000000000002</v>
      </c>
      <c r="G158" s="414" t="s">
        <v>4112</v>
      </c>
      <c r="H158" s="465" t="s">
        <v>4252</v>
      </c>
      <c r="I158" s="438" t="s">
        <v>35</v>
      </c>
      <c r="J158" s="439">
        <v>1</v>
      </c>
      <c r="K158" s="418">
        <v>592217.14204958698</v>
      </c>
      <c r="L158" s="418">
        <v>232812.45</v>
      </c>
      <c r="M158" s="418">
        <v>0</v>
      </c>
      <c r="N158" s="418">
        <v>12375.4438807438</v>
      </c>
      <c r="O158" s="419">
        <f t="shared" si="192"/>
        <v>837405.03593033087</v>
      </c>
      <c r="P158" s="420">
        <f t="shared" si="193"/>
        <v>1202124.5044975926</v>
      </c>
      <c r="Q158" s="403"/>
      <c r="R158" s="421">
        <f t="shared" si="194"/>
        <v>850148.62330081477</v>
      </c>
      <c r="S158" s="421">
        <f t="shared" si="195"/>
        <v>334210.4944308034</v>
      </c>
      <c r="T158" s="421">
        <f t="shared" si="196"/>
        <v>0</v>
      </c>
      <c r="U158" s="421">
        <f t="shared" si="197"/>
        <v>17765.386765974265</v>
      </c>
      <c r="V158" s="422">
        <f t="shared" si="198"/>
        <v>1202124.5044975926</v>
      </c>
      <c r="W158" s="423"/>
      <c r="X158" s="421">
        <f t="shared" si="199"/>
        <v>850148.62330081477</v>
      </c>
      <c r="Y158" s="421">
        <f t="shared" si="200"/>
        <v>351975.8811967778</v>
      </c>
      <c r="Z158" s="422">
        <f t="shared" si="201"/>
        <v>1202124.5044975926</v>
      </c>
      <c r="AA158" s="371"/>
      <c r="AB158" s="425" t="s">
        <v>4235</v>
      </c>
      <c r="AC158" s="427">
        <v>0</v>
      </c>
      <c r="AD158" s="427">
        <v>0</v>
      </c>
      <c r="AE158" s="428">
        <f t="shared" si="202"/>
        <v>0</v>
      </c>
      <c r="AF158" s="437" t="str">
        <f t="shared" si="203"/>
        <v>⚪</v>
      </c>
      <c r="AG158" s="430">
        <f t="shared" si="204"/>
        <v>0</v>
      </c>
      <c r="AH158" s="375">
        <f t="shared" si="205"/>
        <v>0</v>
      </c>
      <c r="AI158" s="431">
        <f t="shared" si="206"/>
        <v>0</v>
      </c>
      <c r="AJ158" s="375"/>
      <c r="AK158" s="430">
        <f t="shared" si="207"/>
        <v>0</v>
      </c>
      <c r="AL158" s="375">
        <f t="shared" si="208"/>
        <v>0</v>
      </c>
      <c r="AM158" s="432">
        <f t="shared" si="209"/>
        <v>0</v>
      </c>
      <c r="AN158" s="432">
        <f t="shared" si="210"/>
        <v>0</v>
      </c>
      <c r="AO158" s="433">
        <f t="shared" si="211"/>
        <v>0</v>
      </c>
      <c r="AQ158" s="563">
        <f t="shared" si="212"/>
        <v>837405.03593033087</v>
      </c>
      <c r="AR158" s="563">
        <f t="shared" si="213"/>
        <v>837405.03593033087</v>
      </c>
    </row>
    <row r="159" spans="1:44" ht="10.5" customHeight="1" x14ac:dyDescent="0.35">
      <c r="A159" s="412" t="s">
        <v>3219</v>
      </c>
      <c r="B159" s="412" t="s">
        <v>25</v>
      </c>
      <c r="C159" s="412" t="s">
        <v>3219</v>
      </c>
      <c r="D159" s="412" t="s">
        <v>25</v>
      </c>
      <c r="F159" s="414">
        <v>18.18</v>
      </c>
      <c r="G159" s="414" t="s">
        <v>4112</v>
      </c>
      <c r="H159" s="465" t="s">
        <v>4253</v>
      </c>
      <c r="I159" s="438" t="s">
        <v>35</v>
      </c>
      <c r="J159" s="439">
        <v>2</v>
      </c>
      <c r="K159" s="418">
        <v>159726.77404958699</v>
      </c>
      <c r="L159" s="418">
        <v>232812.45</v>
      </c>
      <c r="M159" s="418">
        <v>0</v>
      </c>
      <c r="N159" s="418">
        <v>5888.0883607438</v>
      </c>
      <c r="O159" s="419">
        <f t="shared" si="192"/>
        <v>398427.31241033081</v>
      </c>
      <c r="P159" s="420">
        <f t="shared" si="193"/>
        <v>571956.47859636729</v>
      </c>
      <c r="Q159" s="403"/>
      <c r="R159" s="421">
        <f t="shared" si="194"/>
        <v>229293.42536857323</v>
      </c>
      <c r="S159" s="421">
        <f t="shared" si="195"/>
        <v>334210.4944308034</v>
      </c>
      <c r="T159" s="421">
        <f t="shared" si="196"/>
        <v>0</v>
      </c>
      <c r="U159" s="421">
        <f t="shared" si="197"/>
        <v>8452.558796990641</v>
      </c>
      <c r="V159" s="422">
        <f t="shared" si="198"/>
        <v>571956.47859636729</v>
      </c>
      <c r="W159" s="423"/>
      <c r="X159" s="421">
        <f t="shared" si="199"/>
        <v>458586.85073714645</v>
      </c>
      <c r="Y159" s="421">
        <f t="shared" si="200"/>
        <v>685326.10645558813</v>
      </c>
      <c r="Z159" s="422">
        <f t="shared" si="201"/>
        <v>1143912.9571927346</v>
      </c>
      <c r="AA159" s="371"/>
      <c r="AB159" s="425" t="s">
        <v>4235</v>
      </c>
      <c r="AC159" s="427">
        <v>0</v>
      </c>
      <c r="AD159" s="427">
        <v>0</v>
      </c>
      <c r="AE159" s="428">
        <f t="shared" si="202"/>
        <v>0</v>
      </c>
      <c r="AF159" s="437" t="str">
        <f t="shared" si="203"/>
        <v>⚪</v>
      </c>
      <c r="AG159" s="430">
        <f t="shared" si="204"/>
        <v>0</v>
      </c>
      <c r="AH159" s="375">
        <f t="shared" si="205"/>
        <v>0</v>
      </c>
      <c r="AI159" s="431">
        <f t="shared" si="206"/>
        <v>0</v>
      </c>
      <c r="AJ159" s="375"/>
      <c r="AK159" s="430">
        <f t="shared" si="207"/>
        <v>0</v>
      </c>
      <c r="AL159" s="375">
        <f t="shared" si="208"/>
        <v>0</v>
      </c>
      <c r="AM159" s="432">
        <f t="shared" si="209"/>
        <v>0</v>
      </c>
      <c r="AN159" s="432">
        <f t="shared" si="210"/>
        <v>0</v>
      </c>
      <c r="AO159" s="433">
        <f t="shared" si="211"/>
        <v>0</v>
      </c>
      <c r="AQ159" s="563">
        <f t="shared" si="212"/>
        <v>398427.31241033081</v>
      </c>
      <c r="AR159" s="563">
        <f t="shared" si="213"/>
        <v>796854.62482066161</v>
      </c>
    </row>
    <row r="160" spans="1:44" ht="10.5" customHeight="1" x14ac:dyDescent="0.35">
      <c r="A160" s="412" t="s">
        <v>3219</v>
      </c>
      <c r="B160" s="412" t="s">
        <v>25</v>
      </c>
      <c r="C160" s="412" t="s">
        <v>3219</v>
      </c>
      <c r="D160" s="412" t="s">
        <v>25</v>
      </c>
      <c r="F160" s="414">
        <v>18.190000000000001</v>
      </c>
      <c r="G160" s="414" t="s">
        <v>4112</v>
      </c>
      <c r="H160" s="465" t="s">
        <v>4254</v>
      </c>
      <c r="I160" s="438" t="s">
        <v>35</v>
      </c>
      <c r="J160" s="439">
        <v>9</v>
      </c>
      <c r="K160" s="418">
        <v>207344.83199999999</v>
      </c>
      <c r="L160" s="418">
        <v>232812.45</v>
      </c>
      <c r="M160" s="418">
        <v>0</v>
      </c>
      <c r="N160" s="418">
        <v>6602.35923</v>
      </c>
      <c r="O160" s="419">
        <f t="shared" si="192"/>
        <v>446759.64123000001</v>
      </c>
      <c r="P160" s="420">
        <f t="shared" si="193"/>
        <v>641339.2436152217</v>
      </c>
      <c r="Q160" s="403"/>
      <c r="R160" s="421">
        <f t="shared" si="194"/>
        <v>297650.82932803576</v>
      </c>
      <c r="S160" s="421">
        <f t="shared" si="195"/>
        <v>334210.4944308034</v>
      </c>
      <c r="T160" s="421">
        <f t="shared" si="196"/>
        <v>0</v>
      </c>
      <c r="U160" s="421">
        <f t="shared" si="197"/>
        <v>9477.9198563825867</v>
      </c>
      <c r="V160" s="422">
        <f t="shared" si="198"/>
        <v>641339.2436152217</v>
      </c>
      <c r="W160" s="423"/>
      <c r="X160" s="421">
        <f t="shared" si="199"/>
        <v>2678857.463952322</v>
      </c>
      <c r="Y160" s="421">
        <f t="shared" si="200"/>
        <v>3093195.7285846728</v>
      </c>
      <c r="Z160" s="422">
        <f t="shared" si="201"/>
        <v>5772053.1925369948</v>
      </c>
      <c r="AA160" s="371"/>
      <c r="AB160" s="425" t="s">
        <v>4235</v>
      </c>
      <c r="AC160" s="427">
        <v>0.2</v>
      </c>
      <c r="AD160" s="427">
        <v>0</v>
      </c>
      <c r="AE160" s="428">
        <f t="shared" si="202"/>
        <v>0.2</v>
      </c>
      <c r="AF160" s="437" t="str">
        <f t="shared" si="203"/>
        <v>⚪</v>
      </c>
      <c r="AG160" s="430">
        <f t="shared" si="204"/>
        <v>1154410.638507399</v>
      </c>
      <c r="AH160" s="375">
        <f t="shared" si="205"/>
        <v>0</v>
      </c>
      <c r="AI160" s="431">
        <f t="shared" si="206"/>
        <v>1154410.638507399</v>
      </c>
      <c r="AJ160" s="375"/>
      <c r="AK160" s="430">
        <f t="shared" si="207"/>
        <v>535771.49279046443</v>
      </c>
      <c r="AL160" s="375">
        <f t="shared" si="208"/>
        <v>601578.88997544616</v>
      </c>
      <c r="AM160" s="432">
        <f t="shared" si="209"/>
        <v>0</v>
      </c>
      <c r="AN160" s="432">
        <f t="shared" si="210"/>
        <v>17060.255741488654</v>
      </c>
      <c r="AO160" s="433">
        <f t="shared" si="211"/>
        <v>1154410.6385073992</v>
      </c>
      <c r="AQ160" s="563">
        <f t="shared" si="212"/>
        <v>446759.64123000001</v>
      </c>
      <c r="AR160" s="563">
        <f t="shared" si="213"/>
        <v>4020836.7710700002</v>
      </c>
    </row>
    <row r="161" spans="1:44" ht="10.5" customHeight="1" x14ac:dyDescent="0.35">
      <c r="A161" s="412" t="s">
        <v>3219</v>
      </c>
      <c r="B161" s="412" t="s">
        <v>25</v>
      </c>
      <c r="C161" s="412" t="s">
        <v>25</v>
      </c>
      <c r="D161" s="412" t="s">
        <v>3219</v>
      </c>
      <c r="F161" s="414">
        <v>18.2</v>
      </c>
      <c r="G161" s="414" t="s">
        <v>4112</v>
      </c>
      <c r="H161" s="465" t="s">
        <v>4255</v>
      </c>
      <c r="I161" s="438" t="s">
        <v>98</v>
      </c>
      <c r="J161" s="439">
        <v>1</v>
      </c>
      <c r="K161" s="418">
        <v>3200954.2587479302</v>
      </c>
      <c r="L161" s="418">
        <v>0</v>
      </c>
      <c r="M161" s="418">
        <v>1514201.6879314401</v>
      </c>
      <c r="N161" s="418">
        <v>70727.339200190603</v>
      </c>
      <c r="O161" s="419">
        <f t="shared" si="192"/>
        <v>4785883.2858795607</v>
      </c>
      <c r="P161" s="420">
        <f t="shared" si="193"/>
        <v>6870304.4844119204</v>
      </c>
      <c r="Q161" s="403"/>
      <c r="R161" s="421">
        <f t="shared" si="194"/>
        <v>4595082.8895384734</v>
      </c>
      <c r="S161" s="421">
        <f t="shared" si="195"/>
        <v>0</v>
      </c>
      <c r="T161" s="421">
        <f t="shared" si="196"/>
        <v>2173690.001507753</v>
      </c>
      <c r="U161" s="421">
        <f t="shared" si="197"/>
        <v>101531.59336569348</v>
      </c>
      <c r="V161" s="422">
        <f t="shared" si="198"/>
        <v>6870304.4844119195</v>
      </c>
      <c r="W161" s="423"/>
      <c r="X161" s="421">
        <f t="shared" si="199"/>
        <v>4595082.8895384734</v>
      </c>
      <c r="Y161" s="421">
        <f t="shared" si="200"/>
        <v>2275221.594873446</v>
      </c>
      <c r="Z161" s="422">
        <f t="shared" si="201"/>
        <v>6870304.4844119195</v>
      </c>
      <c r="AA161" s="371"/>
      <c r="AB161" s="425" t="s">
        <v>4235</v>
      </c>
      <c r="AC161" s="427">
        <v>0</v>
      </c>
      <c r="AD161" s="427">
        <v>0</v>
      </c>
      <c r="AE161" s="428">
        <f t="shared" si="202"/>
        <v>0</v>
      </c>
      <c r="AF161" s="437" t="str">
        <f t="shared" si="203"/>
        <v>⚪</v>
      </c>
      <c r="AG161" s="430">
        <f t="shared" si="204"/>
        <v>0</v>
      </c>
      <c r="AH161" s="375">
        <f t="shared" si="205"/>
        <v>0</v>
      </c>
      <c r="AI161" s="431">
        <f t="shared" si="206"/>
        <v>0</v>
      </c>
      <c r="AJ161" s="375"/>
      <c r="AK161" s="430">
        <f t="shared" si="207"/>
        <v>0</v>
      </c>
      <c r="AL161" s="375">
        <f t="shared" si="208"/>
        <v>0</v>
      </c>
      <c r="AM161" s="432">
        <f t="shared" si="209"/>
        <v>0</v>
      </c>
      <c r="AN161" s="432">
        <f t="shared" si="210"/>
        <v>0</v>
      </c>
      <c r="AO161" s="433">
        <f t="shared" si="211"/>
        <v>0</v>
      </c>
      <c r="AQ161" s="563">
        <f t="shared" si="212"/>
        <v>4785883.2858795607</v>
      </c>
      <c r="AR161" s="563">
        <f t="shared" si="213"/>
        <v>4785883.2858795607</v>
      </c>
    </row>
    <row r="162" spans="1:44" ht="10.5" customHeight="1" x14ac:dyDescent="0.35">
      <c r="A162" s="412" t="s">
        <v>3219</v>
      </c>
      <c r="B162" s="412" t="s">
        <v>25</v>
      </c>
      <c r="C162" s="412" t="s">
        <v>25</v>
      </c>
      <c r="D162" s="412" t="s">
        <v>3219</v>
      </c>
      <c r="F162" s="414">
        <v>18.21</v>
      </c>
      <c r="G162" s="414" t="s">
        <v>4112</v>
      </c>
      <c r="H162" s="465" t="s">
        <v>4256</v>
      </c>
      <c r="I162" s="438" t="s">
        <v>98</v>
      </c>
      <c r="J162" s="439">
        <v>1</v>
      </c>
      <c r="K162" s="418">
        <v>496467.83559999999</v>
      </c>
      <c r="L162" s="418">
        <v>0</v>
      </c>
      <c r="M162" s="418">
        <v>757100.84396572004</v>
      </c>
      <c r="N162" s="418">
        <v>18803.5301934858</v>
      </c>
      <c r="O162" s="419">
        <f t="shared" si="192"/>
        <v>1272372.2097592058</v>
      </c>
      <c r="P162" s="420">
        <f t="shared" si="193"/>
        <v>1826535.2446728603</v>
      </c>
      <c r="Q162" s="403"/>
      <c r="R162" s="421">
        <f t="shared" si="194"/>
        <v>712697.1122243111</v>
      </c>
      <c r="S162" s="421">
        <f t="shared" si="195"/>
        <v>0</v>
      </c>
      <c r="T162" s="421">
        <f t="shared" si="196"/>
        <v>1086845.0007538765</v>
      </c>
      <c r="U162" s="421">
        <f t="shared" si="197"/>
        <v>26993.131694672811</v>
      </c>
      <c r="V162" s="422">
        <f t="shared" si="198"/>
        <v>1826535.2446728605</v>
      </c>
      <c r="W162" s="423"/>
      <c r="X162" s="421">
        <f t="shared" si="199"/>
        <v>712697.1122243111</v>
      </c>
      <c r="Y162" s="421">
        <f t="shared" si="200"/>
        <v>1113838.1324485494</v>
      </c>
      <c r="Z162" s="422">
        <f t="shared" si="201"/>
        <v>1826535.2446728605</v>
      </c>
      <c r="AA162" s="371"/>
      <c r="AB162" s="425" t="s">
        <v>4235</v>
      </c>
      <c r="AC162" s="427">
        <v>0</v>
      </c>
      <c r="AD162" s="427">
        <v>0</v>
      </c>
      <c r="AE162" s="428">
        <f t="shared" si="202"/>
        <v>0</v>
      </c>
      <c r="AF162" s="437" t="str">
        <f t="shared" si="203"/>
        <v>⚪</v>
      </c>
      <c r="AG162" s="430">
        <f t="shared" si="204"/>
        <v>0</v>
      </c>
      <c r="AH162" s="375">
        <f t="shared" si="205"/>
        <v>0</v>
      </c>
      <c r="AI162" s="431">
        <f t="shared" si="206"/>
        <v>0</v>
      </c>
      <c r="AJ162" s="375"/>
      <c r="AK162" s="430">
        <f t="shared" si="207"/>
        <v>0</v>
      </c>
      <c r="AL162" s="375">
        <f t="shared" si="208"/>
        <v>0</v>
      </c>
      <c r="AM162" s="432">
        <f t="shared" si="209"/>
        <v>0</v>
      </c>
      <c r="AN162" s="432">
        <f t="shared" si="210"/>
        <v>0</v>
      </c>
      <c r="AO162" s="433">
        <f t="shared" si="211"/>
        <v>0</v>
      </c>
      <c r="AQ162" s="563">
        <f t="shared" si="212"/>
        <v>1272372.2097592058</v>
      </c>
      <c r="AR162" s="563">
        <f t="shared" si="213"/>
        <v>1272372.2097592058</v>
      </c>
    </row>
    <row r="163" spans="1:44" ht="10.5" customHeight="1" x14ac:dyDescent="0.35">
      <c r="A163" s="412" t="s">
        <v>3219</v>
      </c>
      <c r="B163" s="412" t="s">
        <v>25</v>
      </c>
      <c r="C163" s="412" t="s">
        <v>25</v>
      </c>
      <c r="D163" s="412" t="s">
        <v>3219</v>
      </c>
      <c r="F163" s="414">
        <v>18.22</v>
      </c>
      <c r="G163" s="414" t="s">
        <v>4112</v>
      </c>
      <c r="H163" s="465" t="s">
        <v>4257</v>
      </c>
      <c r="I163" s="438" t="s">
        <v>98</v>
      </c>
      <c r="J163" s="439">
        <v>1</v>
      </c>
      <c r="K163" s="418">
        <v>496467.83559999999</v>
      </c>
      <c r="L163" s="418">
        <v>0</v>
      </c>
      <c r="M163" s="418">
        <v>757100.84396572004</v>
      </c>
      <c r="N163" s="418">
        <v>18803.5301934858</v>
      </c>
      <c r="O163" s="419">
        <f t="shared" si="192"/>
        <v>1272372.2097592058</v>
      </c>
      <c r="P163" s="420">
        <f t="shared" si="193"/>
        <v>1826535.2446728603</v>
      </c>
      <c r="Q163" s="403"/>
      <c r="R163" s="421">
        <f t="shared" si="194"/>
        <v>712697.1122243111</v>
      </c>
      <c r="S163" s="421">
        <f t="shared" si="195"/>
        <v>0</v>
      </c>
      <c r="T163" s="421">
        <f t="shared" si="196"/>
        <v>1086845.0007538765</v>
      </c>
      <c r="U163" s="421">
        <f t="shared" si="197"/>
        <v>26993.131694672811</v>
      </c>
      <c r="V163" s="422">
        <f t="shared" si="198"/>
        <v>1826535.2446728605</v>
      </c>
      <c r="W163" s="423"/>
      <c r="X163" s="421">
        <f t="shared" si="199"/>
        <v>712697.1122243111</v>
      </c>
      <c r="Y163" s="421">
        <f t="shared" si="200"/>
        <v>1113838.1324485494</v>
      </c>
      <c r="Z163" s="422">
        <f t="shared" si="201"/>
        <v>1826535.2446728605</v>
      </c>
      <c r="AA163" s="371"/>
      <c r="AB163" s="425" t="s">
        <v>4235</v>
      </c>
      <c r="AC163" s="427">
        <v>0</v>
      </c>
      <c r="AD163" s="427">
        <v>0</v>
      </c>
      <c r="AE163" s="428">
        <f t="shared" si="202"/>
        <v>0</v>
      </c>
      <c r="AF163" s="437" t="str">
        <f t="shared" si="203"/>
        <v>⚪</v>
      </c>
      <c r="AG163" s="430">
        <f t="shared" si="204"/>
        <v>0</v>
      </c>
      <c r="AH163" s="375">
        <f t="shared" si="205"/>
        <v>0</v>
      </c>
      <c r="AI163" s="431">
        <f t="shared" si="206"/>
        <v>0</v>
      </c>
      <c r="AJ163" s="375"/>
      <c r="AK163" s="430">
        <f t="shared" si="207"/>
        <v>0</v>
      </c>
      <c r="AL163" s="375">
        <f t="shared" si="208"/>
        <v>0</v>
      </c>
      <c r="AM163" s="432">
        <f t="shared" si="209"/>
        <v>0</v>
      </c>
      <c r="AN163" s="432">
        <f t="shared" si="210"/>
        <v>0</v>
      </c>
      <c r="AO163" s="433">
        <f t="shared" si="211"/>
        <v>0</v>
      </c>
      <c r="AQ163" s="563">
        <f t="shared" si="212"/>
        <v>1272372.2097592058</v>
      </c>
      <c r="AR163" s="563">
        <f t="shared" si="213"/>
        <v>1272372.2097592058</v>
      </c>
    </row>
    <row r="164" spans="1:44" ht="10.5" customHeight="1" x14ac:dyDescent="0.35">
      <c r="A164" s="412" t="s">
        <v>3219</v>
      </c>
      <c r="B164" s="412" t="s">
        <v>25</v>
      </c>
      <c r="C164" s="412" t="s">
        <v>3219</v>
      </c>
      <c r="D164" s="412" t="s">
        <v>25</v>
      </c>
      <c r="F164" s="414">
        <v>18.23</v>
      </c>
      <c r="G164" s="414" t="s">
        <v>4112</v>
      </c>
      <c r="H164" s="465" t="s">
        <v>4258</v>
      </c>
      <c r="I164" s="438" t="s">
        <v>35</v>
      </c>
      <c r="J164" s="439">
        <v>16</v>
      </c>
      <c r="K164" s="418">
        <v>0</v>
      </c>
      <c r="L164" s="418">
        <v>11816</v>
      </c>
      <c r="M164" s="418">
        <v>0</v>
      </c>
      <c r="N164" s="418">
        <v>177.24</v>
      </c>
      <c r="O164" s="419">
        <f t="shared" si="192"/>
        <v>11993.24</v>
      </c>
      <c r="P164" s="420">
        <f t="shared" si="193"/>
        <v>17216.719596513365</v>
      </c>
      <c r="Q164" s="403"/>
      <c r="R164" s="421">
        <f t="shared" si="194"/>
        <v>0</v>
      </c>
      <c r="S164" s="421">
        <f t="shared" si="195"/>
        <v>16962.285316761936</v>
      </c>
      <c r="T164" s="421">
        <f t="shared" si="196"/>
        <v>0</v>
      </c>
      <c r="U164" s="421">
        <f t="shared" si="197"/>
        <v>254.43427975142907</v>
      </c>
      <c r="V164" s="422">
        <f t="shared" si="198"/>
        <v>17216.719596513365</v>
      </c>
      <c r="W164" s="423"/>
      <c r="X164" s="421">
        <f t="shared" si="199"/>
        <v>0</v>
      </c>
      <c r="Y164" s="421">
        <f t="shared" si="200"/>
        <v>275467.51354421384</v>
      </c>
      <c r="Z164" s="422">
        <f t="shared" si="201"/>
        <v>275467.51354421384</v>
      </c>
      <c r="AA164" s="371"/>
      <c r="AB164" s="425" t="s">
        <v>4235</v>
      </c>
      <c r="AC164" s="427">
        <v>0</v>
      </c>
      <c r="AD164" s="427">
        <v>0</v>
      </c>
      <c r="AE164" s="428">
        <f t="shared" si="202"/>
        <v>0</v>
      </c>
      <c r="AF164" s="437" t="str">
        <f t="shared" si="203"/>
        <v>⚪</v>
      </c>
      <c r="AG164" s="430">
        <f t="shared" si="204"/>
        <v>0</v>
      </c>
      <c r="AH164" s="375">
        <f t="shared" si="205"/>
        <v>0</v>
      </c>
      <c r="AI164" s="431">
        <f t="shared" si="206"/>
        <v>0</v>
      </c>
      <c r="AJ164" s="375"/>
      <c r="AK164" s="430">
        <f t="shared" si="207"/>
        <v>0</v>
      </c>
      <c r="AL164" s="375">
        <f t="shared" si="208"/>
        <v>0</v>
      </c>
      <c r="AM164" s="432">
        <f t="shared" si="209"/>
        <v>0</v>
      </c>
      <c r="AN164" s="432">
        <f t="shared" si="210"/>
        <v>0</v>
      </c>
      <c r="AO164" s="433">
        <f t="shared" si="211"/>
        <v>0</v>
      </c>
      <c r="AQ164" s="563">
        <f t="shared" si="212"/>
        <v>11993.24</v>
      </c>
      <c r="AR164" s="563">
        <f t="shared" si="213"/>
        <v>191891.84</v>
      </c>
    </row>
    <row r="165" spans="1:44" ht="10.5" customHeight="1" x14ac:dyDescent="0.35">
      <c r="A165" s="412" t="s">
        <v>3219</v>
      </c>
      <c r="B165" s="412" t="s">
        <v>25</v>
      </c>
      <c r="C165" s="412" t="s">
        <v>3219</v>
      </c>
      <c r="D165" s="412" t="s">
        <v>25</v>
      </c>
      <c r="F165" s="414">
        <v>18.239999999999998</v>
      </c>
      <c r="G165" s="414" t="s">
        <v>4112</v>
      </c>
      <c r="H165" s="465" t="s">
        <v>4259</v>
      </c>
      <c r="I165" s="438" t="s">
        <v>35</v>
      </c>
      <c r="J165" s="439">
        <v>140</v>
      </c>
      <c r="K165" s="418">
        <v>0</v>
      </c>
      <c r="L165" s="418">
        <v>7700</v>
      </c>
      <c r="M165" s="418">
        <v>0</v>
      </c>
      <c r="N165" s="418">
        <v>115.5</v>
      </c>
      <c r="O165" s="419">
        <f t="shared" si="192"/>
        <v>7815.5</v>
      </c>
      <c r="P165" s="420">
        <f t="shared" si="193"/>
        <v>11219.426277348757</v>
      </c>
      <c r="Q165" s="403"/>
      <c r="R165" s="421">
        <f t="shared" si="194"/>
        <v>0</v>
      </c>
      <c r="S165" s="421">
        <f t="shared" si="195"/>
        <v>11053.621948126854</v>
      </c>
      <c r="T165" s="421">
        <f t="shared" si="196"/>
        <v>0</v>
      </c>
      <c r="U165" s="421">
        <f t="shared" si="197"/>
        <v>165.80432922190283</v>
      </c>
      <c r="V165" s="422">
        <f t="shared" si="198"/>
        <v>11219.426277348757</v>
      </c>
      <c r="W165" s="423"/>
      <c r="X165" s="421">
        <f t="shared" si="199"/>
        <v>0</v>
      </c>
      <c r="Y165" s="421">
        <f t="shared" si="200"/>
        <v>1570719.6788288259</v>
      </c>
      <c r="Z165" s="422">
        <f t="shared" si="201"/>
        <v>1570719.6788288259</v>
      </c>
      <c r="AA165" s="371"/>
      <c r="AB165" s="425" t="s">
        <v>4235</v>
      </c>
      <c r="AC165" s="427">
        <v>0</v>
      </c>
      <c r="AD165" s="427">
        <v>0</v>
      </c>
      <c r="AE165" s="428">
        <f t="shared" si="202"/>
        <v>0</v>
      </c>
      <c r="AF165" s="437" t="str">
        <f t="shared" si="203"/>
        <v>⚪</v>
      </c>
      <c r="AG165" s="430">
        <f t="shared" si="204"/>
        <v>0</v>
      </c>
      <c r="AH165" s="375">
        <f t="shared" si="205"/>
        <v>0</v>
      </c>
      <c r="AI165" s="431">
        <f t="shared" si="206"/>
        <v>0</v>
      </c>
      <c r="AJ165" s="375"/>
      <c r="AK165" s="430">
        <f t="shared" si="207"/>
        <v>0</v>
      </c>
      <c r="AL165" s="375">
        <f t="shared" si="208"/>
        <v>0</v>
      </c>
      <c r="AM165" s="432">
        <f t="shared" si="209"/>
        <v>0</v>
      </c>
      <c r="AN165" s="432">
        <f t="shared" si="210"/>
        <v>0</v>
      </c>
      <c r="AO165" s="433">
        <f t="shared" si="211"/>
        <v>0</v>
      </c>
      <c r="AQ165" s="563">
        <f t="shared" si="212"/>
        <v>7815.5</v>
      </c>
      <c r="AR165" s="563">
        <f t="shared" si="213"/>
        <v>1094170</v>
      </c>
    </row>
    <row r="166" spans="1:44" ht="10.5" customHeight="1" x14ac:dyDescent="0.35">
      <c r="A166" s="412" t="s">
        <v>3219</v>
      </c>
      <c r="B166" s="412" t="s">
        <v>25</v>
      </c>
      <c r="C166" s="412" t="s">
        <v>3219</v>
      </c>
      <c r="D166" s="412" t="s">
        <v>25</v>
      </c>
      <c r="F166" s="414">
        <v>18.25</v>
      </c>
      <c r="G166" s="414" t="s">
        <v>4112</v>
      </c>
      <c r="H166" s="465" t="s">
        <v>4260</v>
      </c>
      <c r="I166" s="438" t="s">
        <v>35</v>
      </c>
      <c r="J166" s="439">
        <v>226</v>
      </c>
      <c r="K166" s="418">
        <v>0</v>
      </c>
      <c r="L166" s="418">
        <v>7700</v>
      </c>
      <c r="M166" s="418">
        <v>0</v>
      </c>
      <c r="N166" s="418">
        <v>115.5</v>
      </c>
      <c r="O166" s="419">
        <f t="shared" si="192"/>
        <v>7815.5</v>
      </c>
      <c r="P166" s="420">
        <f t="shared" si="193"/>
        <v>11219.426277348757</v>
      </c>
      <c r="Q166" s="403"/>
      <c r="R166" s="421">
        <f t="shared" si="194"/>
        <v>0</v>
      </c>
      <c r="S166" s="421">
        <f t="shared" si="195"/>
        <v>11053.621948126854</v>
      </c>
      <c r="T166" s="421">
        <f t="shared" si="196"/>
        <v>0</v>
      </c>
      <c r="U166" s="421">
        <f t="shared" si="197"/>
        <v>165.80432922190283</v>
      </c>
      <c r="V166" s="422">
        <f t="shared" si="198"/>
        <v>11219.426277348757</v>
      </c>
      <c r="W166" s="423"/>
      <c r="X166" s="421">
        <f t="shared" si="199"/>
        <v>0</v>
      </c>
      <c r="Y166" s="421">
        <f t="shared" si="200"/>
        <v>2535590.3386808191</v>
      </c>
      <c r="Z166" s="422">
        <f t="shared" si="201"/>
        <v>2535590.3386808191</v>
      </c>
      <c r="AA166" s="371"/>
      <c r="AB166" s="425" t="s">
        <v>4235</v>
      </c>
      <c r="AC166" s="427">
        <v>0</v>
      </c>
      <c r="AD166" s="427">
        <v>0</v>
      </c>
      <c r="AE166" s="428">
        <f t="shared" si="202"/>
        <v>0</v>
      </c>
      <c r="AF166" s="437" t="str">
        <f t="shared" si="203"/>
        <v>⚪</v>
      </c>
      <c r="AG166" s="430">
        <f t="shared" si="204"/>
        <v>0</v>
      </c>
      <c r="AH166" s="375">
        <f t="shared" si="205"/>
        <v>0</v>
      </c>
      <c r="AI166" s="431">
        <f t="shared" si="206"/>
        <v>0</v>
      </c>
      <c r="AJ166" s="375"/>
      <c r="AK166" s="430">
        <f t="shared" si="207"/>
        <v>0</v>
      </c>
      <c r="AL166" s="375">
        <f t="shared" si="208"/>
        <v>0</v>
      </c>
      <c r="AM166" s="432">
        <f t="shared" si="209"/>
        <v>0</v>
      </c>
      <c r="AN166" s="432">
        <f t="shared" si="210"/>
        <v>0</v>
      </c>
      <c r="AO166" s="433">
        <f t="shared" si="211"/>
        <v>0</v>
      </c>
      <c r="AQ166" s="563">
        <f t="shared" si="212"/>
        <v>7815.5</v>
      </c>
      <c r="AR166" s="563">
        <f t="shared" si="213"/>
        <v>1766303</v>
      </c>
    </row>
    <row r="167" spans="1:44" ht="10.5" customHeight="1" x14ac:dyDescent="0.35">
      <c r="A167" s="412" t="s">
        <v>3219</v>
      </c>
      <c r="B167" s="412" t="s">
        <v>25</v>
      </c>
      <c r="C167" s="412" t="s">
        <v>3219</v>
      </c>
      <c r="D167" s="412" t="s">
        <v>25</v>
      </c>
      <c r="F167" s="414">
        <v>18.260000000000002</v>
      </c>
      <c r="G167" s="414" t="s">
        <v>4112</v>
      </c>
      <c r="H167" s="465" t="s">
        <v>4261</v>
      </c>
      <c r="I167" s="438" t="s">
        <v>35</v>
      </c>
      <c r="J167" s="439">
        <v>8</v>
      </c>
      <c r="K167" s="418">
        <v>0</v>
      </c>
      <c r="L167" s="418">
        <v>18760</v>
      </c>
      <c r="M167" s="418">
        <v>0</v>
      </c>
      <c r="N167" s="418">
        <v>281.39999999999998</v>
      </c>
      <c r="O167" s="419">
        <f t="shared" si="192"/>
        <v>19041.400000000001</v>
      </c>
      <c r="P167" s="420">
        <f t="shared" si="193"/>
        <v>27334.602202995156</v>
      </c>
      <c r="Q167" s="403"/>
      <c r="R167" s="421">
        <f t="shared" si="194"/>
        <v>0</v>
      </c>
      <c r="S167" s="421">
        <f t="shared" si="195"/>
        <v>26930.642564527247</v>
      </c>
      <c r="T167" s="421">
        <f t="shared" si="196"/>
        <v>0</v>
      </c>
      <c r="U167" s="421">
        <f t="shared" si="197"/>
        <v>403.95963846790869</v>
      </c>
      <c r="V167" s="422">
        <f t="shared" si="198"/>
        <v>27334.602202995156</v>
      </c>
      <c r="W167" s="423"/>
      <c r="X167" s="421">
        <f t="shared" si="199"/>
        <v>0</v>
      </c>
      <c r="Y167" s="421">
        <f t="shared" si="200"/>
        <v>218676.81762396125</v>
      </c>
      <c r="Z167" s="422">
        <f t="shared" si="201"/>
        <v>218676.81762396125</v>
      </c>
      <c r="AA167" s="371"/>
      <c r="AB167" s="425" t="s">
        <v>4235</v>
      </c>
      <c r="AC167" s="427">
        <v>0</v>
      </c>
      <c r="AD167" s="427">
        <v>0</v>
      </c>
      <c r="AE167" s="428">
        <f t="shared" si="202"/>
        <v>0</v>
      </c>
      <c r="AF167" s="437" t="str">
        <f t="shared" si="203"/>
        <v>⚪</v>
      </c>
      <c r="AG167" s="430">
        <f t="shared" si="204"/>
        <v>0</v>
      </c>
      <c r="AH167" s="375">
        <f t="shared" si="205"/>
        <v>0</v>
      </c>
      <c r="AI167" s="431">
        <f t="shared" si="206"/>
        <v>0</v>
      </c>
      <c r="AJ167" s="375"/>
      <c r="AK167" s="430">
        <f t="shared" si="207"/>
        <v>0</v>
      </c>
      <c r="AL167" s="375">
        <f t="shared" si="208"/>
        <v>0</v>
      </c>
      <c r="AM167" s="432">
        <f t="shared" si="209"/>
        <v>0</v>
      </c>
      <c r="AN167" s="432">
        <f t="shared" si="210"/>
        <v>0</v>
      </c>
      <c r="AO167" s="433">
        <f t="shared" si="211"/>
        <v>0</v>
      </c>
      <c r="AQ167" s="563">
        <f t="shared" si="212"/>
        <v>19041.400000000001</v>
      </c>
      <c r="AR167" s="563">
        <f t="shared" si="213"/>
        <v>152331.20000000001</v>
      </c>
    </row>
    <row r="168" spans="1:44" ht="10.5" customHeight="1" x14ac:dyDescent="0.35">
      <c r="A168" s="412" t="s">
        <v>3219</v>
      </c>
      <c r="B168" s="412" t="s">
        <v>25</v>
      </c>
      <c r="C168" s="412" t="s">
        <v>3219</v>
      </c>
      <c r="D168" s="412" t="s">
        <v>25</v>
      </c>
      <c r="F168" s="414">
        <v>18.27</v>
      </c>
      <c r="G168" s="414" t="s">
        <v>4112</v>
      </c>
      <c r="H168" s="465" t="s">
        <v>4262</v>
      </c>
      <c r="I168" s="438" t="s">
        <v>35</v>
      </c>
      <c r="J168" s="439">
        <v>24</v>
      </c>
      <c r="K168" s="418">
        <v>0</v>
      </c>
      <c r="L168" s="418">
        <v>68810</v>
      </c>
      <c r="M168" s="418">
        <v>0</v>
      </c>
      <c r="N168" s="418">
        <v>1032.1500000000001</v>
      </c>
      <c r="O168" s="419">
        <f t="shared" si="192"/>
        <v>69842.149999999994</v>
      </c>
      <c r="P168" s="420">
        <f t="shared" si="193"/>
        <v>100260.87300576207</v>
      </c>
      <c r="Q168" s="403"/>
      <c r="R168" s="421">
        <f t="shared" si="194"/>
        <v>0</v>
      </c>
      <c r="S168" s="421">
        <f t="shared" si="195"/>
        <v>98779.185227351802</v>
      </c>
      <c r="T168" s="421">
        <f t="shared" si="196"/>
        <v>0</v>
      </c>
      <c r="U168" s="421">
        <f t="shared" si="197"/>
        <v>1481.6877784102771</v>
      </c>
      <c r="V168" s="422">
        <f t="shared" si="198"/>
        <v>100260.87300576209</v>
      </c>
      <c r="W168" s="423"/>
      <c r="X168" s="421">
        <f t="shared" si="199"/>
        <v>0</v>
      </c>
      <c r="Y168" s="421">
        <f t="shared" si="200"/>
        <v>2406260.9521382898</v>
      </c>
      <c r="Z168" s="422">
        <f t="shared" si="201"/>
        <v>2406260.9521382898</v>
      </c>
      <c r="AA168" s="371"/>
      <c r="AB168" s="425" t="s">
        <v>4235</v>
      </c>
      <c r="AC168" s="427">
        <v>0</v>
      </c>
      <c r="AD168" s="427">
        <v>0</v>
      </c>
      <c r="AE168" s="428">
        <f t="shared" si="202"/>
        <v>0</v>
      </c>
      <c r="AF168" s="437" t="str">
        <f t="shared" si="203"/>
        <v>⚪</v>
      </c>
      <c r="AG168" s="430">
        <f t="shared" si="204"/>
        <v>0</v>
      </c>
      <c r="AH168" s="375">
        <f t="shared" si="205"/>
        <v>0</v>
      </c>
      <c r="AI168" s="431">
        <f t="shared" si="206"/>
        <v>0</v>
      </c>
      <c r="AJ168" s="375"/>
      <c r="AK168" s="430">
        <f t="shared" si="207"/>
        <v>0</v>
      </c>
      <c r="AL168" s="375">
        <f t="shared" si="208"/>
        <v>0</v>
      </c>
      <c r="AM168" s="432">
        <f t="shared" si="209"/>
        <v>0</v>
      </c>
      <c r="AN168" s="432">
        <f t="shared" si="210"/>
        <v>0</v>
      </c>
      <c r="AO168" s="433">
        <f t="shared" si="211"/>
        <v>0</v>
      </c>
      <c r="AQ168" s="563">
        <f t="shared" si="212"/>
        <v>69842.149999999994</v>
      </c>
      <c r="AR168" s="563">
        <f t="shared" si="213"/>
        <v>1676211.5999999999</v>
      </c>
    </row>
    <row r="169" spans="1:44" ht="10.5" customHeight="1" x14ac:dyDescent="0.35">
      <c r="A169" s="412" t="s">
        <v>3219</v>
      </c>
      <c r="B169" s="412" t="s">
        <v>25</v>
      </c>
      <c r="C169" s="412" t="s">
        <v>3219</v>
      </c>
      <c r="D169" s="412" t="s">
        <v>25</v>
      </c>
      <c r="F169" s="414">
        <v>18.28</v>
      </c>
      <c r="G169" s="414" t="s">
        <v>4112</v>
      </c>
      <c r="H169" s="465" t="s">
        <v>4263</v>
      </c>
      <c r="I169" s="438" t="s">
        <v>35</v>
      </c>
      <c r="J169" s="439">
        <v>12</v>
      </c>
      <c r="K169" s="418">
        <v>0</v>
      </c>
      <c r="L169" s="418">
        <v>18760</v>
      </c>
      <c r="M169" s="418">
        <v>0</v>
      </c>
      <c r="N169" s="418">
        <v>281.39999999999998</v>
      </c>
      <c r="O169" s="419">
        <f t="shared" si="192"/>
        <v>19041.400000000001</v>
      </c>
      <c r="P169" s="420">
        <f t="shared" si="193"/>
        <v>27334.602202995156</v>
      </c>
      <c r="Q169" s="403"/>
      <c r="R169" s="421">
        <f t="shared" si="194"/>
        <v>0</v>
      </c>
      <c r="S169" s="421">
        <f t="shared" si="195"/>
        <v>26930.642564527247</v>
      </c>
      <c r="T169" s="421">
        <f t="shared" si="196"/>
        <v>0</v>
      </c>
      <c r="U169" s="421">
        <f t="shared" si="197"/>
        <v>403.95963846790869</v>
      </c>
      <c r="V169" s="422">
        <f t="shared" si="198"/>
        <v>27334.602202995156</v>
      </c>
      <c r="W169" s="423"/>
      <c r="X169" s="421">
        <f t="shared" si="199"/>
        <v>0</v>
      </c>
      <c r="Y169" s="421">
        <f t="shared" si="200"/>
        <v>328015.22643594188</v>
      </c>
      <c r="Z169" s="422">
        <f t="shared" si="201"/>
        <v>328015.22643594188</v>
      </c>
      <c r="AA169" s="371"/>
      <c r="AB169" s="425" t="s">
        <v>4235</v>
      </c>
      <c r="AC169" s="427">
        <v>0</v>
      </c>
      <c r="AD169" s="427">
        <v>0</v>
      </c>
      <c r="AE169" s="428">
        <f t="shared" si="202"/>
        <v>0</v>
      </c>
      <c r="AF169" s="437" t="str">
        <f t="shared" si="203"/>
        <v>⚪</v>
      </c>
      <c r="AG169" s="430">
        <f t="shared" si="204"/>
        <v>0</v>
      </c>
      <c r="AH169" s="375">
        <f t="shared" si="205"/>
        <v>0</v>
      </c>
      <c r="AI169" s="431">
        <f t="shared" si="206"/>
        <v>0</v>
      </c>
      <c r="AJ169" s="375"/>
      <c r="AK169" s="430">
        <f t="shared" si="207"/>
        <v>0</v>
      </c>
      <c r="AL169" s="375">
        <f t="shared" si="208"/>
        <v>0</v>
      </c>
      <c r="AM169" s="432">
        <f t="shared" si="209"/>
        <v>0</v>
      </c>
      <c r="AN169" s="432">
        <f t="shared" si="210"/>
        <v>0</v>
      </c>
      <c r="AO169" s="433">
        <f t="shared" si="211"/>
        <v>0</v>
      </c>
      <c r="AQ169" s="563">
        <f t="shared" si="212"/>
        <v>19041.400000000001</v>
      </c>
      <c r="AR169" s="563">
        <f t="shared" si="213"/>
        <v>228496.80000000002</v>
      </c>
    </row>
    <row r="170" spans="1:44" ht="10.5" customHeight="1" x14ac:dyDescent="0.35">
      <c r="A170" s="412" t="s">
        <v>3219</v>
      </c>
      <c r="B170" s="412" t="s">
        <v>25</v>
      </c>
      <c r="C170" s="412" t="s">
        <v>3219</v>
      </c>
      <c r="D170" s="412" t="s">
        <v>25</v>
      </c>
      <c r="F170" s="414">
        <v>18.29</v>
      </c>
      <c r="G170" s="414" t="s">
        <v>4112</v>
      </c>
      <c r="H170" s="465" t="s">
        <v>4264</v>
      </c>
      <c r="I170" s="438" t="s">
        <v>35</v>
      </c>
      <c r="J170" s="439">
        <v>1</v>
      </c>
      <c r="K170" s="418">
        <v>0</v>
      </c>
      <c r="L170" s="418">
        <v>18760</v>
      </c>
      <c r="M170" s="418">
        <v>0</v>
      </c>
      <c r="N170" s="418">
        <v>281.39999999999998</v>
      </c>
      <c r="O170" s="419">
        <f t="shared" si="192"/>
        <v>19041.400000000001</v>
      </c>
      <c r="P170" s="420">
        <f t="shared" si="193"/>
        <v>27334.602202995156</v>
      </c>
      <c r="Q170" s="403"/>
      <c r="R170" s="421">
        <f t="shared" si="194"/>
        <v>0</v>
      </c>
      <c r="S170" s="421">
        <f t="shared" si="195"/>
        <v>26930.642564527247</v>
      </c>
      <c r="T170" s="421">
        <f t="shared" si="196"/>
        <v>0</v>
      </c>
      <c r="U170" s="421">
        <f t="shared" si="197"/>
        <v>403.95963846790869</v>
      </c>
      <c r="V170" s="422">
        <f t="shared" si="198"/>
        <v>27334.602202995156</v>
      </c>
      <c r="W170" s="423"/>
      <c r="X170" s="421">
        <f t="shared" si="199"/>
        <v>0</v>
      </c>
      <c r="Y170" s="421">
        <f t="shared" si="200"/>
        <v>27334.602202995156</v>
      </c>
      <c r="Z170" s="422">
        <f t="shared" si="201"/>
        <v>27334.602202995156</v>
      </c>
      <c r="AA170" s="371"/>
      <c r="AB170" s="425" t="s">
        <v>4235</v>
      </c>
      <c r="AC170" s="427">
        <v>0</v>
      </c>
      <c r="AD170" s="427">
        <v>0</v>
      </c>
      <c r="AE170" s="428">
        <f t="shared" si="202"/>
        <v>0</v>
      </c>
      <c r="AF170" s="437" t="str">
        <f t="shared" si="203"/>
        <v>⚪</v>
      </c>
      <c r="AG170" s="430">
        <f t="shared" si="204"/>
        <v>0</v>
      </c>
      <c r="AH170" s="375">
        <f t="shared" si="205"/>
        <v>0</v>
      </c>
      <c r="AI170" s="431">
        <f t="shared" si="206"/>
        <v>0</v>
      </c>
      <c r="AJ170" s="375"/>
      <c r="AK170" s="430">
        <f t="shared" si="207"/>
        <v>0</v>
      </c>
      <c r="AL170" s="375">
        <f t="shared" si="208"/>
        <v>0</v>
      </c>
      <c r="AM170" s="432">
        <f t="shared" si="209"/>
        <v>0</v>
      </c>
      <c r="AN170" s="432">
        <f t="shared" si="210"/>
        <v>0</v>
      </c>
      <c r="AO170" s="433">
        <f t="shared" si="211"/>
        <v>0</v>
      </c>
      <c r="AQ170" s="563">
        <f t="shared" si="212"/>
        <v>19041.400000000001</v>
      </c>
      <c r="AR170" s="563">
        <f t="shared" si="213"/>
        <v>19041.400000000001</v>
      </c>
    </row>
    <row r="171" spans="1:44" ht="10.5" customHeight="1" x14ac:dyDescent="0.35">
      <c r="A171" s="412" t="s">
        <v>3219</v>
      </c>
      <c r="B171" s="412" t="s">
        <v>25</v>
      </c>
      <c r="C171" s="412" t="s">
        <v>3219</v>
      </c>
      <c r="D171" s="412" t="s">
        <v>25</v>
      </c>
      <c r="F171" s="414">
        <v>18.3</v>
      </c>
      <c r="G171" s="414" t="s">
        <v>4112</v>
      </c>
      <c r="H171" s="465" t="s">
        <v>4265</v>
      </c>
      <c r="I171" s="438" t="s">
        <v>35</v>
      </c>
      <c r="J171" s="439">
        <v>109</v>
      </c>
      <c r="K171" s="418">
        <v>0</v>
      </c>
      <c r="L171" s="418">
        <v>11816</v>
      </c>
      <c r="M171" s="418">
        <v>0</v>
      </c>
      <c r="N171" s="418">
        <v>177.24</v>
      </c>
      <c r="O171" s="419">
        <f t="shared" si="192"/>
        <v>11993.24</v>
      </c>
      <c r="P171" s="420">
        <f t="shared" si="193"/>
        <v>17216.719596513365</v>
      </c>
      <c r="Q171" s="403"/>
      <c r="R171" s="421">
        <f t="shared" si="194"/>
        <v>0</v>
      </c>
      <c r="S171" s="421">
        <f t="shared" si="195"/>
        <v>16962.285316761936</v>
      </c>
      <c r="T171" s="421">
        <f t="shared" si="196"/>
        <v>0</v>
      </c>
      <c r="U171" s="421">
        <f t="shared" si="197"/>
        <v>254.43427975142907</v>
      </c>
      <c r="V171" s="422">
        <f t="shared" si="198"/>
        <v>17216.719596513365</v>
      </c>
      <c r="W171" s="423"/>
      <c r="X171" s="421">
        <f t="shared" si="199"/>
        <v>0</v>
      </c>
      <c r="Y171" s="421">
        <f t="shared" si="200"/>
        <v>1876622.4360199568</v>
      </c>
      <c r="Z171" s="422">
        <f t="shared" si="201"/>
        <v>1876622.4360199568</v>
      </c>
      <c r="AA171" s="371"/>
      <c r="AB171" s="425" t="s">
        <v>4235</v>
      </c>
      <c r="AC171" s="427">
        <v>0</v>
      </c>
      <c r="AD171" s="427">
        <v>0</v>
      </c>
      <c r="AE171" s="428">
        <f t="shared" si="202"/>
        <v>0</v>
      </c>
      <c r="AF171" s="437" t="str">
        <f t="shared" si="203"/>
        <v>⚪</v>
      </c>
      <c r="AG171" s="430">
        <f t="shared" si="204"/>
        <v>0</v>
      </c>
      <c r="AH171" s="375">
        <f t="shared" si="205"/>
        <v>0</v>
      </c>
      <c r="AI171" s="431">
        <f t="shared" si="206"/>
        <v>0</v>
      </c>
      <c r="AJ171" s="375"/>
      <c r="AK171" s="430">
        <f t="shared" si="207"/>
        <v>0</v>
      </c>
      <c r="AL171" s="375">
        <f t="shared" si="208"/>
        <v>0</v>
      </c>
      <c r="AM171" s="432">
        <f t="shared" si="209"/>
        <v>0</v>
      </c>
      <c r="AN171" s="432">
        <f t="shared" si="210"/>
        <v>0</v>
      </c>
      <c r="AO171" s="433">
        <f t="shared" si="211"/>
        <v>0</v>
      </c>
      <c r="AQ171" s="563">
        <f t="shared" si="212"/>
        <v>11993.24</v>
      </c>
      <c r="AR171" s="563">
        <f t="shared" si="213"/>
        <v>1307263.1599999999</v>
      </c>
    </row>
    <row r="172" spans="1:44" ht="10.5" customHeight="1" x14ac:dyDescent="0.35">
      <c r="A172" s="412" t="s">
        <v>3219</v>
      </c>
      <c r="B172" s="412" t="s">
        <v>25</v>
      </c>
      <c r="C172" s="412" t="s">
        <v>3219</v>
      </c>
      <c r="D172" s="412" t="s">
        <v>25</v>
      </c>
      <c r="F172" s="414">
        <v>18.309999999999999</v>
      </c>
      <c r="G172" s="414" t="s">
        <v>4112</v>
      </c>
      <c r="H172" s="465" t="s">
        <v>4266</v>
      </c>
      <c r="I172" s="438" t="s">
        <v>98</v>
      </c>
      <c r="J172" s="439">
        <v>1</v>
      </c>
      <c r="K172" s="418">
        <v>3075822.2459999998</v>
      </c>
      <c r="L172" s="418">
        <v>1002579.2</v>
      </c>
      <c r="M172" s="418">
        <v>0</v>
      </c>
      <c r="N172" s="418">
        <v>61176.021690000001</v>
      </c>
      <c r="O172" s="419">
        <f t="shared" si="192"/>
        <v>4139577.4676899994</v>
      </c>
      <c r="P172" s="420">
        <f t="shared" si="193"/>
        <v>5942509.6562116314</v>
      </c>
      <c r="Q172" s="403"/>
      <c r="R172" s="421">
        <f t="shared" si="194"/>
        <v>4415451.465834083</v>
      </c>
      <c r="S172" s="421">
        <f t="shared" si="195"/>
        <v>1439237.8506305797</v>
      </c>
      <c r="T172" s="421">
        <f t="shared" si="196"/>
        <v>0</v>
      </c>
      <c r="U172" s="421">
        <f t="shared" si="197"/>
        <v>87820.339746969941</v>
      </c>
      <c r="V172" s="422">
        <f t="shared" si="198"/>
        <v>5942509.6562116323</v>
      </c>
      <c r="W172" s="423"/>
      <c r="X172" s="421">
        <f t="shared" si="199"/>
        <v>4415451.465834083</v>
      </c>
      <c r="Y172" s="421">
        <f t="shared" si="200"/>
        <v>1527058.1903775493</v>
      </c>
      <c r="Z172" s="422">
        <f t="shared" si="201"/>
        <v>5942509.6562116323</v>
      </c>
      <c r="AA172" s="371"/>
      <c r="AB172" s="425" t="s">
        <v>4235</v>
      </c>
      <c r="AC172" s="427">
        <v>0</v>
      </c>
      <c r="AD172" s="427">
        <v>0</v>
      </c>
      <c r="AE172" s="428">
        <f t="shared" si="202"/>
        <v>0</v>
      </c>
      <c r="AF172" s="437" t="str">
        <f t="shared" si="203"/>
        <v>⚪</v>
      </c>
      <c r="AG172" s="430">
        <f t="shared" si="204"/>
        <v>0</v>
      </c>
      <c r="AH172" s="375">
        <f t="shared" si="205"/>
        <v>0</v>
      </c>
      <c r="AI172" s="431">
        <f t="shared" si="206"/>
        <v>0</v>
      </c>
      <c r="AJ172" s="375"/>
      <c r="AK172" s="430">
        <f t="shared" si="207"/>
        <v>0</v>
      </c>
      <c r="AL172" s="375">
        <f t="shared" si="208"/>
        <v>0</v>
      </c>
      <c r="AM172" s="432">
        <f t="shared" si="209"/>
        <v>0</v>
      </c>
      <c r="AN172" s="432">
        <f t="shared" si="210"/>
        <v>0</v>
      </c>
      <c r="AO172" s="433">
        <f t="shared" si="211"/>
        <v>0</v>
      </c>
      <c r="AQ172" s="563">
        <f t="shared" si="212"/>
        <v>4139577.4676899994</v>
      </c>
      <c r="AR172" s="563">
        <f t="shared" si="213"/>
        <v>4139577.4676899994</v>
      </c>
    </row>
    <row r="173" spans="1:44" ht="10.5" customHeight="1" x14ac:dyDescent="0.35">
      <c r="A173" s="412" t="s">
        <v>3219</v>
      </c>
      <c r="B173" s="412" t="s">
        <v>25</v>
      </c>
      <c r="C173" s="412" t="s">
        <v>25</v>
      </c>
      <c r="D173" s="412" t="s">
        <v>3219</v>
      </c>
      <c r="F173" s="414">
        <v>18.32</v>
      </c>
      <c r="G173" s="414" t="s">
        <v>4112</v>
      </c>
      <c r="H173" s="465" t="s">
        <v>4267</v>
      </c>
      <c r="I173" s="438" t="s">
        <v>98</v>
      </c>
      <c r="J173" s="439">
        <v>1</v>
      </c>
      <c r="K173" s="418">
        <v>570057.95256198396</v>
      </c>
      <c r="L173" s="418">
        <v>0</v>
      </c>
      <c r="M173" s="418">
        <v>137815.66048314399</v>
      </c>
      <c r="N173" s="418">
        <v>10618.1041956769</v>
      </c>
      <c r="O173" s="419">
        <f t="shared" si="192"/>
        <v>718491.71724080481</v>
      </c>
      <c r="P173" s="420">
        <f t="shared" si="193"/>
        <v>1031420.2357454954</v>
      </c>
      <c r="Q173" s="403"/>
      <c r="R173" s="421">
        <f t="shared" si="194"/>
        <v>818338.32417446794</v>
      </c>
      <c r="S173" s="421">
        <f t="shared" si="195"/>
        <v>0</v>
      </c>
      <c r="T173" s="421">
        <f t="shared" si="196"/>
        <v>197839.24798858172</v>
      </c>
      <c r="U173" s="421">
        <f t="shared" si="197"/>
        <v>15242.663582445719</v>
      </c>
      <c r="V173" s="422">
        <f t="shared" si="198"/>
        <v>1031420.2357454953</v>
      </c>
      <c r="W173" s="423"/>
      <c r="X173" s="421">
        <f t="shared" si="199"/>
        <v>818338.32417446794</v>
      </c>
      <c r="Y173" s="421">
        <f t="shared" si="200"/>
        <v>213081.91157102736</v>
      </c>
      <c r="Z173" s="422">
        <f t="shared" si="201"/>
        <v>1031420.2357454953</v>
      </c>
      <c r="AA173" s="371"/>
      <c r="AB173" s="425" t="s">
        <v>4235</v>
      </c>
      <c r="AC173" s="427">
        <v>0</v>
      </c>
      <c r="AD173" s="427">
        <v>0</v>
      </c>
      <c r="AE173" s="428">
        <f t="shared" si="202"/>
        <v>0</v>
      </c>
      <c r="AF173" s="437" t="str">
        <f t="shared" si="203"/>
        <v>⚪</v>
      </c>
      <c r="AG173" s="430">
        <f t="shared" si="204"/>
        <v>0</v>
      </c>
      <c r="AH173" s="375">
        <f t="shared" si="205"/>
        <v>0</v>
      </c>
      <c r="AI173" s="431">
        <f t="shared" si="206"/>
        <v>0</v>
      </c>
      <c r="AJ173" s="375"/>
      <c r="AK173" s="430">
        <f t="shared" si="207"/>
        <v>0</v>
      </c>
      <c r="AL173" s="375">
        <f t="shared" si="208"/>
        <v>0</v>
      </c>
      <c r="AM173" s="432">
        <f t="shared" si="209"/>
        <v>0</v>
      </c>
      <c r="AN173" s="432">
        <f t="shared" si="210"/>
        <v>0</v>
      </c>
      <c r="AO173" s="433">
        <f t="shared" si="211"/>
        <v>0</v>
      </c>
      <c r="AQ173" s="563">
        <f t="shared" si="212"/>
        <v>718491.71724080481</v>
      </c>
      <c r="AR173" s="563">
        <f t="shared" si="213"/>
        <v>718491.71724080481</v>
      </c>
    </row>
    <row r="174" spans="1:44" ht="10.5" customHeight="1" x14ac:dyDescent="0.35">
      <c r="A174" s="412" t="s">
        <v>3219</v>
      </c>
      <c r="B174" s="412" t="s">
        <v>25</v>
      </c>
      <c r="C174" s="412" t="s">
        <v>3219</v>
      </c>
      <c r="D174" s="412" t="s">
        <v>25</v>
      </c>
      <c r="F174" s="414">
        <v>18.329999999999998</v>
      </c>
      <c r="G174" s="450" t="s">
        <v>4112</v>
      </c>
      <c r="H174" s="490" t="s">
        <v>4268</v>
      </c>
      <c r="I174" s="477" t="s">
        <v>98</v>
      </c>
      <c r="J174" s="453">
        <v>1</v>
      </c>
      <c r="K174" s="418">
        <v>0</v>
      </c>
      <c r="L174" s="418">
        <v>107023.598877166</v>
      </c>
      <c r="M174" s="418">
        <v>0</v>
      </c>
      <c r="N174" s="418">
        <v>0</v>
      </c>
      <c r="O174" s="419">
        <f t="shared" si="192"/>
        <v>107023.598877166</v>
      </c>
      <c r="P174" s="420">
        <f t="shared" si="193"/>
        <v>153636.15604106063</v>
      </c>
      <c r="Q174" s="403"/>
      <c r="R174" s="421">
        <f t="shared" si="194"/>
        <v>0</v>
      </c>
      <c r="S174" s="421">
        <f t="shared" si="195"/>
        <v>153636.15604106063</v>
      </c>
      <c r="T174" s="421">
        <f t="shared" si="196"/>
        <v>0</v>
      </c>
      <c r="U174" s="421">
        <f t="shared" si="197"/>
        <v>0</v>
      </c>
      <c r="V174" s="422">
        <f t="shared" si="198"/>
        <v>153636.15604106063</v>
      </c>
      <c r="W174" s="423"/>
      <c r="X174" s="421">
        <f t="shared" si="199"/>
        <v>0</v>
      </c>
      <c r="Y174" s="421">
        <f t="shared" si="200"/>
        <v>153636.15604106063</v>
      </c>
      <c r="Z174" s="422">
        <f t="shared" si="201"/>
        <v>153636.15604106063</v>
      </c>
      <c r="AA174" s="371"/>
      <c r="AB174" s="425" t="s">
        <v>4235</v>
      </c>
      <c r="AC174" s="427">
        <v>0</v>
      </c>
      <c r="AD174" s="427">
        <v>0</v>
      </c>
      <c r="AE174" s="428">
        <f t="shared" si="202"/>
        <v>0</v>
      </c>
      <c r="AF174" s="437" t="str">
        <f t="shared" si="203"/>
        <v>⚪</v>
      </c>
      <c r="AG174" s="430">
        <f t="shared" si="204"/>
        <v>0</v>
      </c>
      <c r="AH174" s="375">
        <f t="shared" si="205"/>
        <v>0</v>
      </c>
      <c r="AI174" s="431">
        <f t="shared" si="206"/>
        <v>0</v>
      </c>
      <c r="AJ174" s="375"/>
      <c r="AK174" s="430">
        <f t="shared" si="207"/>
        <v>0</v>
      </c>
      <c r="AL174" s="375">
        <f t="shared" si="208"/>
        <v>0</v>
      </c>
      <c r="AM174" s="432">
        <f t="shared" si="209"/>
        <v>0</v>
      </c>
      <c r="AN174" s="432">
        <f t="shared" si="210"/>
        <v>0</v>
      </c>
      <c r="AO174" s="433">
        <f t="shared" si="211"/>
        <v>0</v>
      </c>
      <c r="AQ174" s="563">
        <f t="shared" si="212"/>
        <v>107023.598877166</v>
      </c>
      <c r="AR174" s="563">
        <f t="shared" si="213"/>
        <v>107023.598877166</v>
      </c>
    </row>
    <row r="175" spans="1:44" ht="10.5" customHeight="1" x14ac:dyDescent="0.25">
      <c r="A175" s="412" t="s">
        <v>25</v>
      </c>
      <c r="B175" s="412" t="s">
        <v>25</v>
      </c>
      <c r="C175" s="412" t="s">
        <v>25</v>
      </c>
      <c r="D175" s="412" t="s">
        <v>25</v>
      </c>
      <c r="F175" s="396">
        <v>19</v>
      </c>
      <c r="G175" s="397"/>
      <c r="H175" s="398" t="s">
        <v>4269</v>
      </c>
      <c r="I175" s="399"/>
      <c r="J175" s="400"/>
      <c r="K175" s="400"/>
      <c r="L175" s="400"/>
      <c r="M175" s="400"/>
      <c r="N175" s="400"/>
      <c r="O175" s="401"/>
      <c r="P175" s="491"/>
      <c r="R175" s="400"/>
      <c r="S175" s="400"/>
      <c r="T175" s="400"/>
      <c r="U175" s="400"/>
      <c r="V175" s="402"/>
      <c r="X175" s="400"/>
      <c r="Y175" s="400"/>
      <c r="Z175" s="402"/>
      <c r="AA175" s="371"/>
      <c r="AB175" s="486" t="s">
        <v>4269</v>
      </c>
      <c r="AC175" s="427"/>
      <c r="AD175" s="427"/>
      <c r="AE175" s="428"/>
      <c r="AF175" s="437" t="str">
        <f t="shared" si="203"/>
        <v>⚪</v>
      </c>
      <c r="AG175" s="430"/>
      <c r="AH175" s="375"/>
      <c r="AI175" s="431"/>
      <c r="AJ175" s="375"/>
      <c r="AK175" s="430"/>
      <c r="AL175" s="375"/>
      <c r="AM175" s="432"/>
      <c r="AN175" s="432"/>
      <c r="AO175" s="433"/>
    </row>
    <row r="176" spans="1:44" ht="10.5" customHeight="1" x14ac:dyDescent="0.25">
      <c r="A176" s="412" t="s">
        <v>25</v>
      </c>
      <c r="B176" s="412" t="s">
        <v>25</v>
      </c>
      <c r="C176" s="412" t="s">
        <v>25</v>
      </c>
      <c r="D176" s="412" t="s">
        <v>25</v>
      </c>
      <c r="F176" s="396"/>
      <c r="G176" s="397"/>
      <c r="H176" s="398" t="s">
        <v>4270</v>
      </c>
      <c r="I176" s="399"/>
      <c r="J176" s="400"/>
      <c r="K176" s="492"/>
      <c r="L176" s="492"/>
      <c r="M176" s="400"/>
      <c r="N176" s="400"/>
      <c r="O176" s="401"/>
      <c r="P176" s="402"/>
      <c r="Q176" s="403"/>
      <c r="R176" s="400"/>
      <c r="S176" s="400"/>
      <c r="T176" s="400"/>
      <c r="U176" s="400"/>
      <c r="V176" s="402"/>
      <c r="X176" s="400"/>
      <c r="Y176" s="400"/>
      <c r="Z176" s="402"/>
      <c r="AA176" s="404">
        <f>+SUM(Z177:Z179)</f>
        <v>22865506.829080135</v>
      </c>
      <c r="AB176" s="405" t="s">
        <v>4270</v>
      </c>
      <c r="AC176" s="406"/>
      <c r="AD176" s="440"/>
      <c r="AE176" s="441"/>
      <c r="AF176" s="441"/>
      <c r="AG176" s="408"/>
      <c r="AH176" s="409"/>
      <c r="AI176" s="410"/>
      <c r="AJ176" s="411"/>
      <c r="AK176" s="408"/>
      <c r="AL176" s="409"/>
      <c r="AM176" s="442"/>
      <c r="AN176" s="442"/>
      <c r="AO176" s="410"/>
    </row>
    <row r="177" spans="1:44" ht="10.5" customHeight="1" x14ac:dyDescent="0.35">
      <c r="A177" s="412" t="s">
        <v>4271</v>
      </c>
      <c r="B177" s="412" t="s">
        <v>25</v>
      </c>
      <c r="C177" s="412" t="s">
        <v>4271</v>
      </c>
      <c r="D177" s="412" t="s">
        <v>25</v>
      </c>
      <c r="F177" s="413">
        <v>19.010000000000002</v>
      </c>
      <c r="G177" s="460" t="s">
        <v>4112</v>
      </c>
      <c r="H177" s="493" t="s">
        <v>4272</v>
      </c>
      <c r="I177" s="476" t="s">
        <v>98</v>
      </c>
      <c r="J177" s="461">
        <v>1</v>
      </c>
      <c r="K177" s="418">
        <v>2201631.50655</v>
      </c>
      <c r="L177" s="418">
        <v>2820732.3578660199</v>
      </c>
      <c r="M177" s="418">
        <v>0</v>
      </c>
      <c r="N177" s="418">
        <v>75335.457966240298</v>
      </c>
      <c r="O177" s="419">
        <f>+SUM(K177:N177)</f>
        <v>5097699.3223822601</v>
      </c>
      <c r="P177" s="420">
        <f>+O177*$P$2</f>
        <v>7317927.4175111623</v>
      </c>
      <c r="Q177" s="403"/>
      <c r="R177" s="421">
        <f t="shared" ref="R177:U179" si="214">+K177*$P$2</f>
        <v>3160519.7847387888</v>
      </c>
      <c r="S177" s="421">
        <f t="shared" si="214"/>
        <v>4049260.9221687601</v>
      </c>
      <c r="T177" s="421">
        <f t="shared" si="214"/>
        <v>0</v>
      </c>
      <c r="U177" s="421">
        <f t="shared" si="214"/>
        <v>108146.71060361323</v>
      </c>
      <c r="V177" s="422">
        <f>+SUM(R177:U177)</f>
        <v>7317927.4175111623</v>
      </c>
      <c r="W177" s="423"/>
      <c r="X177" s="421">
        <f>+R177*J177</f>
        <v>3160519.7847387888</v>
      </c>
      <c r="Y177" s="421">
        <f>+Z177-X177</f>
        <v>4157407.6327723735</v>
      </c>
      <c r="Z177" s="422">
        <f>+V177*J177</f>
        <v>7317927.4175111623</v>
      </c>
      <c r="AA177" s="371"/>
      <c r="AB177" s="425" t="s">
        <v>4270</v>
      </c>
      <c r="AC177" s="427">
        <v>0</v>
      </c>
      <c r="AD177" s="427">
        <v>0</v>
      </c>
      <c r="AE177" s="428">
        <f>AC177+AD177</f>
        <v>0</v>
      </c>
      <c r="AF177" s="437" t="str">
        <f>IF($AE177=1,"🔴","⚪")</f>
        <v>⚪</v>
      </c>
      <c r="AG177" s="430">
        <f>AC177*Z177</f>
        <v>0</v>
      </c>
      <c r="AH177" s="375">
        <f>AD177*Z177</f>
        <v>0</v>
      </c>
      <c r="AI177" s="431">
        <f>AE177*Z177</f>
        <v>0</v>
      </c>
      <c r="AJ177" s="375"/>
      <c r="AK177" s="430">
        <f>AE177*X177</f>
        <v>0</v>
      </c>
      <c r="AL177" s="375">
        <f>AE177*S177*J177</f>
        <v>0</v>
      </c>
      <c r="AM177" s="432">
        <f>AE177*T177*J177</f>
        <v>0</v>
      </c>
      <c r="AN177" s="432">
        <f>AE177*U177*J177</f>
        <v>0</v>
      </c>
      <c r="AO177" s="433">
        <f>AK177+AL177+AM177+AN177</f>
        <v>0</v>
      </c>
      <c r="AQ177" s="563">
        <f>+O177</f>
        <v>5097699.3223822601</v>
      </c>
      <c r="AR177" s="563">
        <f>+O177*J177</f>
        <v>5097699.3223822601</v>
      </c>
    </row>
    <row r="178" spans="1:44" ht="10.5" customHeight="1" x14ac:dyDescent="0.35">
      <c r="A178" s="412" t="s">
        <v>4271</v>
      </c>
      <c r="B178" s="412" t="s">
        <v>25</v>
      </c>
      <c r="C178" s="412" t="s">
        <v>4271</v>
      </c>
      <c r="D178" s="412" t="s">
        <v>25</v>
      </c>
      <c r="F178" s="434">
        <v>19.02</v>
      </c>
      <c r="G178" s="414" t="s">
        <v>4112</v>
      </c>
      <c r="H178" s="454" t="s">
        <v>4273</v>
      </c>
      <c r="I178" s="438" t="s">
        <v>98</v>
      </c>
      <c r="J178" s="439">
        <v>1</v>
      </c>
      <c r="K178" s="418">
        <v>2830669.0798499999</v>
      </c>
      <c r="L178" s="418">
        <v>4231098.5367990304</v>
      </c>
      <c r="M178" s="418">
        <v>0</v>
      </c>
      <c r="N178" s="418">
        <v>105926.51424973601</v>
      </c>
      <c r="O178" s="419">
        <f>+SUM(K178:N178)</f>
        <v>7167694.1308987662</v>
      </c>
      <c r="P178" s="420">
        <f>+O178*$P$2</f>
        <v>10289478.073086059</v>
      </c>
      <c r="Q178" s="403"/>
      <c r="R178" s="421">
        <f t="shared" si="214"/>
        <v>4063525.4375212998</v>
      </c>
      <c r="S178" s="421">
        <f t="shared" si="214"/>
        <v>6073891.3832531404</v>
      </c>
      <c r="T178" s="421">
        <f t="shared" si="214"/>
        <v>0</v>
      </c>
      <c r="U178" s="421">
        <f t="shared" si="214"/>
        <v>152061.2523116174</v>
      </c>
      <c r="V178" s="422">
        <f>+SUM(R178:U178)</f>
        <v>10289478.073086057</v>
      </c>
      <c r="W178" s="423"/>
      <c r="X178" s="421">
        <f>+R178*J178</f>
        <v>4063525.4375212998</v>
      </c>
      <c r="Y178" s="421">
        <f>+Z178-X178</f>
        <v>6225952.6355647575</v>
      </c>
      <c r="Z178" s="422">
        <f>+V178*J178</f>
        <v>10289478.073086057</v>
      </c>
      <c r="AA178" s="371"/>
      <c r="AB178" s="425" t="s">
        <v>4270</v>
      </c>
      <c r="AC178" s="427">
        <v>0.35</v>
      </c>
      <c r="AD178" s="427">
        <v>0</v>
      </c>
      <c r="AE178" s="428">
        <f>AC178+AD178</f>
        <v>0.35</v>
      </c>
      <c r="AF178" s="437" t="str">
        <f>IF($AE178=1,"🔴","⚪")</f>
        <v>⚪</v>
      </c>
      <c r="AG178" s="430">
        <f>AC178*Z178</f>
        <v>3601317.3255801196</v>
      </c>
      <c r="AH178" s="375">
        <f>AD178*Z178</f>
        <v>0</v>
      </c>
      <c r="AI178" s="431">
        <f>AE178*Z178</f>
        <v>3601317.3255801196</v>
      </c>
      <c r="AJ178" s="375"/>
      <c r="AK178" s="430">
        <f>AE178*X178</f>
        <v>1422233.903132455</v>
      </c>
      <c r="AL178" s="375">
        <f>AE178*S178*J178</f>
        <v>2125861.9841385991</v>
      </c>
      <c r="AM178" s="432">
        <f>AE178*T178*J178</f>
        <v>0</v>
      </c>
      <c r="AN178" s="432">
        <f>AE178*U178*J178</f>
        <v>53221.438309066085</v>
      </c>
      <c r="AO178" s="433">
        <f>AK178+AL178+AM178+AN178</f>
        <v>3601317.3255801201</v>
      </c>
      <c r="AQ178" s="563">
        <f>+O178</f>
        <v>7167694.1308987662</v>
      </c>
      <c r="AR178" s="563">
        <f>+O178*J178</f>
        <v>7167694.1308987662</v>
      </c>
    </row>
    <row r="179" spans="1:44" ht="10.5" customHeight="1" x14ac:dyDescent="0.35">
      <c r="A179" s="412" t="s">
        <v>4271</v>
      </c>
      <c r="B179" s="412" t="s">
        <v>25</v>
      </c>
      <c r="C179" s="412" t="s">
        <v>4271</v>
      </c>
      <c r="D179" s="412" t="s">
        <v>25</v>
      </c>
      <c r="F179" s="449">
        <v>19.03</v>
      </c>
      <c r="G179" s="450" t="s">
        <v>4112</v>
      </c>
      <c r="H179" s="494" t="s">
        <v>4274</v>
      </c>
      <c r="I179" s="477" t="s">
        <v>98</v>
      </c>
      <c r="J179" s="453">
        <v>1</v>
      </c>
      <c r="K179" s="418">
        <v>1258075.1466000001</v>
      </c>
      <c r="L179" s="418">
        <v>2350610.2982216901</v>
      </c>
      <c r="M179" s="418">
        <v>0</v>
      </c>
      <c r="N179" s="418">
        <v>54130.281672325298</v>
      </c>
      <c r="O179" s="419">
        <f>+SUM(K179:N179)</f>
        <v>3662815.7264940157</v>
      </c>
      <c r="P179" s="420">
        <f>+O179*$P$2</f>
        <v>5258101.3384829173</v>
      </c>
      <c r="Q179" s="403"/>
      <c r="R179" s="421">
        <f t="shared" si="214"/>
        <v>1806011.3055650224</v>
      </c>
      <c r="S179" s="421">
        <f t="shared" si="214"/>
        <v>3374384.1018073098</v>
      </c>
      <c r="T179" s="421">
        <f t="shared" si="214"/>
        <v>0</v>
      </c>
      <c r="U179" s="421">
        <f t="shared" si="214"/>
        <v>77705.931110584905</v>
      </c>
      <c r="V179" s="422">
        <f>+SUM(R179:U179)</f>
        <v>5258101.3384829173</v>
      </c>
      <c r="W179" s="423"/>
      <c r="X179" s="421">
        <f>+R179*J179</f>
        <v>1806011.3055650224</v>
      </c>
      <c r="Y179" s="421">
        <f>+Z179-X179</f>
        <v>3452090.0329178949</v>
      </c>
      <c r="Z179" s="422">
        <f>+V179*J179</f>
        <v>5258101.3384829173</v>
      </c>
      <c r="AA179" s="371"/>
      <c r="AB179" s="425" t="s">
        <v>4270</v>
      </c>
      <c r="AC179" s="427">
        <v>0.35</v>
      </c>
      <c r="AD179" s="427">
        <v>0</v>
      </c>
      <c r="AE179" s="428">
        <f>AC179+AD179</f>
        <v>0.35</v>
      </c>
      <c r="AF179" s="437" t="str">
        <f>IF($AE179=1,"🔴","⚪")</f>
        <v>⚪</v>
      </c>
      <c r="AG179" s="430">
        <f>AC179*Z179</f>
        <v>1840335.4684690209</v>
      </c>
      <c r="AH179" s="375">
        <f>AD179*Z179</f>
        <v>0</v>
      </c>
      <c r="AI179" s="431">
        <f>AE179*Z179</f>
        <v>1840335.4684690209</v>
      </c>
      <c r="AJ179" s="375"/>
      <c r="AK179" s="430">
        <f>AE179*X179</f>
        <v>632103.95694775775</v>
      </c>
      <c r="AL179" s="375">
        <f>AE179*S179*J179</f>
        <v>1181034.4356325583</v>
      </c>
      <c r="AM179" s="432">
        <f>AE179*T179*J179</f>
        <v>0</v>
      </c>
      <c r="AN179" s="432">
        <f>AE179*U179*J179</f>
        <v>27197.075888704716</v>
      </c>
      <c r="AO179" s="433">
        <f>AK179+AL179+AM179+AN179</f>
        <v>1840335.4684690207</v>
      </c>
      <c r="AQ179" s="563">
        <f>+O179</f>
        <v>3662815.7264940157</v>
      </c>
      <c r="AR179" s="563">
        <f>+O179*J179</f>
        <v>3662815.7264940157</v>
      </c>
    </row>
    <row r="180" spans="1:44" ht="10.5" customHeight="1" x14ac:dyDescent="0.25">
      <c r="A180" s="412" t="s">
        <v>25</v>
      </c>
      <c r="B180" s="412" t="s">
        <v>25</v>
      </c>
      <c r="C180" s="412" t="s">
        <v>25</v>
      </c>
      <c r="D180" s="412" t="s">
        <v>25</v>
      </c>
      <c r="F180" s="495"/>
      <c r="G180" s="496"/>
      <c r="H180" s="497" t="s">
        <v>4275</v>
      </c>
      <c r="I180" s="373"/>
      <c r="J180" s="374"/>
      <c r="K180" s="374"/>
      <c r="L180" s="374"/>
      <c r="M180" s="374"/>
      <c r="N180" s="374"/>
      <c r="O180" s="376"/>
      <c r="P180" s="402"/>
      <c r="Q180" s="403"/>
      <c r="R180" s="374"/>
      <c r="S180" s="374"/>
      <c r="T180" s="374"/>
      <c r="U180" s="374"/>
      <c r="V180" s="376"/>
      <c r="X180" s="374"/>
      <c r="Y180" s="374"/>
      <c r="Z180" s="376"/>
      <c r="AA180" s="404">
        <f>+SUM(Z181:Z183)</f>
        <v>7621835.6096933754</v>
      </c>
      <c r="AB180" s="405" t="s">
        <v>4275</v>
      </c>
      <c r="AC180" s="406"/>
      <c r="AD180" s="440"/>
      <c r="AE180" s="441"/>
      <c r="AF180" s="441"/>
      <c r="AG180" s="408"/>
      <c r="AH180" s="409"/>
      <c r="AI180" s="410"/>
      <c r="AJ180" s="411"/>
      <c r="AK180" s="408"/>
      <c r="AL180" s="409"/>
      <c r="AM180" s="442"/>
      <c r="AN180" s="442"/>
      <c r="AO180" s="410"/>
    </row>
    <row r="181" spans="1:44" ht="10.5" customHeight="1" x14ac:dyDescent="0.35">
      <c r="A181" s="412" t="s">
        <v>4271</v>
      </c>
      <c r="B181" s="412" t="s">
        <v>25</v>
      </c>
      <c r="C181" s="412" t="s">
        <v>4271</v>
      </c>
      <c r="D181" s="412" t="s">
        <v>25</v>
      </c>
      <c r="F181" s="413">
        <v>19.04</v>
      </c>
      <c r="G181" s="460" t="s">
        <v>4112</v>
      </c>
      <c r="H181" s="493" t="s">
        <v>4276</v>
      </c>
      <c r="I181" s="476" t="s">
        <v>98</v>
      </c>
      <c r="J181" s="461">
        <v>1</v>
      </c>
      <c r="K181" s="418">
        <v>733877.16885000002</v>
      </c>
      <c r="L181" s="418">
        <v>1096951.47250345</v>
      </c>
      <c r="M181" s="418">
        <v>0</v>
      </c>
      <c r="N181" s="418">
        <v>27462.429620301798</v>
      </c>
      <c r="O181" s="419">
        <f>+SUM(K181:N181)</f>
        <v>1858291.0709737518</v>
      </c>
      <c r="P181" s="420">
        <f>+O181*$P$2</f>
        <v>2667642.4633926782</v>
      </c>
      <c r="Q181" s="403"/>
      <c r="R181" s="421">
        <f t="shared" ref="R181:U183" si="215">+K181*$P$2</f>
        <v>1053506.5949129297</v>
      </c>
      <c r="S181" s="421">
        <f t="shared" si="215"/>
        <v>1574712.5808434035</v>
      </c>
      <c r="T181" s="421">
        <f t="shared" si="215"/>
        <v>0</v>
      </c>
      <c r="U181" s="421">
        <f t="shared" si="215"/>
        <v>39423.287636345063</v>
      </c>
      <c r="V181" s="422">
        <f>+SUM(R181:U181)</f>
        <v>2667642.4633926786</v>
      </c>
      <c r="W181" s="423"/>
      <c r="X181" s="421">
        <f>+R181*J181</f>
        <v>1053506.5949129297</v>
      </c>
      <c r="Y181" s="421">
        <f>+Z181-X181</f>
        <v>1614135.868479749</v>
      </c>
      <c r="Z181" s="422">
        <f>+V181*J181</f>
        <v>2667642.4633926786</v>
      </c>
      <c r="AA181" s="371"/>
      <c r="AB181" s="425" t="s">
        <v>4275</v>
      </c>
      <c r="AC181" s="427">
        <v>0</v>
      </c>
      <c r="AD181" s="427">
        <v>0</v>
      </c>
      <c r="AE181" s="428">
        <f>AC181+AD181</f>
        <v>0</v>
      </c>
      <c r="AF181" s="437" t="str">
        <f>IF($AE181=1,"🔴","⚪")</f>
        <v>⚪</v>
      </c>
      <c r="AG181" s="430">
        <f>AC181*Z181</f>
        <v>0</v>
      </c>
      <c r="AH181" s="375">
        <f>AD181*Z181</f>
        <v>0</v>
      </c>
      <c r="AI181" s="431">
        <f>AE181*Z181</f>
        <v>0</v>
      </c>
      <c r="AJ181" s="375"/>
      <c r="AK181" s="430">
        <f>AE181*X181</f>
        <v>0</v>
      </c>
      <c r="AL181" s="375">
        <f>AE181*S181*J181</f>
        <v>0</v>
      </c>
      <c r="AM181" s="432">
        <f>AE181*T181*J181</f>
        <v>0</v>
      </c>
      <c r="AN181" s="432">
        <f>AE181*U181*J181</f>
        <v>0</v>
      </c>
      <c r="AO181" s="433">
        <f>AK181+AL181+AM181+AN181</f>
        <v>0</v>
      </c>
      <c r="AQ181" s="563">
        <f>+O181</f>
        <v>1858291.0709737518</v>
      </c>
      <c r="AR181" s="563">
        <f>+O181*J181</f>
        <v>1858291.0709737518</v>
      </c>
    </row>
    <row r="182" spans="1:44" ht="10.5" customHeight="1" x14ac:dyDescent="0.35">
      <c r="A182" s="412" t="s">
        <v>4271</v>
      </c>
      <c r="B182" s="412" t="s">
        <v>25</v>
      </c>
      <c r="C182" s="412" t="s">
        <v>4271</v>
      </c>
      <c r="D182" s="412" t="s">
        <v>25</v>
      </c>
      <c r="F182" s="434">
        <v>19.05</v>
      </c>
      <c r="G182" s="414" t="s">
        <v>4112</v>
      </c>
      <c r="H182" s="454" t="s">
        <v>4277</v>
      </c>
      <c r="I182" s="438" t="s">
        <v>98</v>
      </c>
      <c r="J182" s="439">
        <v>1</v>
      </c>
      <c r="K182" s="418">
        <v>1048395.9555</v>
      </c>
      <c r="L182" s="418">
        <v>1567073.5321477901</v>
      </c>
      <c r="M182" s="418">
        <v>0</v>
      </c>
      <c r="N182" s="418">
        <v>39232.042314716797</v>
      </c>
      <c r="O182" s="419">
        <f>+SUM(K182:N182)</f>
        <v>2654701.5299625066</v>
      </c>
      <c r="P182" s="420">
        <f>+O182*$P$2</f>
        <v>3810917.8048466891</v>
      </c>
      <c r="Q182" s="403"/>
      <c r="R182" s="421">
        <f t="shared" si="215"/>
        <v>1505009.4213041852</v>
      </c>
      <c r="S182" s="421">
        <f t="shared" si="215"/>
        <v>2249589.4012048687</v>
      </c>
      <c r="T182" s="421">
        <f t="shared" si="215"/>
        <v>0</v>
      </c>
      <c r="U182" s="421">
        <f t="shared" si="215"/>
        <v>56318.982337635724</v>
      </c>
      <c r="V182" s="422">
        <f>+SUM(R182:U182)</f>
        <v>3810917.80484669</v>
      </c>
      <c r="W182" s="423"/>
      <c r="X182" s="421">
        <f>+R182*J182</f>
        <v>1505009.4213041852</v>
      </c>
      <c r="Y182" s="421">
        <f>+Z182-X182</f>
        <v>2305908.3835425051</v>
      </c>
      <c r="Z182" s="422">
        <f>+V182*J182</f>
        <v>3810917.80484669</v>
      </c>
      <c r="AA182" s="371"/>
      <c r="AB182" s="425" t="s">
        <v>4275</v>
      </c>
      <c r="AC182" s="427">
        <v>0.4</v>
      </c>
      <c r="AD182" s="427">
        <v>0</v>
      </c>
      <c r="AE182" s="428">
        <f>AC182+AD182</f>
        <v>0.4</v>
      </c>
      <c r="AF182" s="437" t="str">
        <f>IF($AE182=1,"🔴","⚪")</f>
        <v>⚪</v>
      </c>
      <c r="AG182" s="430">
        <f>AC182*Z182</f>
        <v>1524367.1219386761</v>
      </c>
      <c r="AH182" s="375">
        <f>AD182*Z182</f>
        <v>0</v>
      </c>
      <c r="AI182" s="431">
        <f>AE182*Z182</f>
        <v>1524367.1219386761</v>
      </c>
      <c r="AJ182" s="375"/>
      <c r="AK182" s="430">
        <f>AE182*X182</f>
        <v>602003.76852167409</v>
      </c>
      <c r="AL182" s="375">
        <f>AE182*S182*J182</f>
        <v>899835.76048194757</v>
      </c>
      <c r="AM182" s="432">
        <f>AE182*T182*J182</f>
        <v>0</v>
      </c>
      <c r="AN182" s="432">
        <f>AE182*U182*J182</f>
        <v>22527.59293505429</v>
      </c>
      <c r="AO182" s="433">
        <f>AK182+AL182+AM182+AN182</f>
        <v>1524367.1219386759</v>
      </c>
      <c r="AQ182" s="563">
        <f>+O182</f>
        <v>2654701.5299625066</v>
      </c>
      <c r="AR182" s="563">
        <f>+O182*J182</f>
        <v>2654701.5299625066</v>
      </c>
    </row>
    <row r="183" spans="1:44" ht="10.5" customHeight="1" x14ac:dyDescent="0.35">
      <c r="A183" s="412" t="s">
        <v>4271</v>
      </c>
      <c r="B183" s="412" t="s">
        <v>25</v>
      </c>
      <c r="C183" s="412" t="s">
        <v>4271</v>
      </c>
      <c r="D183" s="412" t="s">
        <v>25</v>
      </c>
      <c r="F183" s="449">
        <v>19.059999999999999</v>
      </c>
      <c r="G183" s="414" t="s">
        <v>4112</v>
      </c>
      <c r="H183" s="494" t="s">
        <v>4278</v>
      </c>
      <c r="I183" s="477" t="s">
        <v>98</v>
      </c>
      <c r="J183" s="453">
        <v>1</v>
      </c>
      <c r="K183" s="418">
        <v>314518.78665000002</v>
      </c>
      <c r="L183" s="418">
        <v>470122.05964433699</v>
      </c>
      <c r="M183" s="418">
        <v>0</v>
      </c>
      <c r="N183" s="418">
        <v>11769.6126944151</v>
      </c>
      <c r="O183" s="419">
        <f>+SUM(K183:N183)</f>
        <v>796410.4589887521</v>
      </c>
      <c r="P183" s="420">
        <f>+O183*$P$2</f>
        <v>1143275.341454007</v>
      </c>
      <c r="Q183" s="403"/>
      <c r="R183" s="421">
        <f t="shared" si="215"/>
        <v>451502.8263912556</v>
      </c>
      <c r="S183" s="421">
        <f t="shared" si="215"/>
        <v>674876.82036146044</v>
      </c>
      <c r="T183" s="421">
        <f t="shared" si="215"/>
        <v>0</v>
      </c>
      <c r="U183" s="421">
        <f t="shared" si="215"/>
        <v>16895.694701290806</v>
      </c>
      <c r="V183" s="422">
        <f>+SUM(R183:U183)</f>
        <v>1143275.3414540067</v>
      </c>
      <c r="W183" s="423"/>
      <c r="X183" s="421">
        <f>+R183*J183</f>
        <v>451502.8263912556</v>
      </c>
      <c r="Y183" s="421">
        <f>+Z183-X183</f>
        <v>691772.51506275113</v>
      </c>
      <c r="Z183" s="422">
        <f>+V183*J183</f>
        <v>1143275.3414540067</v>
      </c>
      <c r="AA183" s="371"/>
      <c r="AB183" s="425" t="s">
        <v>4275</v>
      </c>
      <c r="AC183" s="427">
        <v>0</v>
      </c>
      <c r="AD183" s="427">
        <v>0</v>
      </c>
      <c r="AE183" s="428">
        <f>AC183+AD183</f>
        <v>0</v>
      </c>
      <c r="AF183" s="437" t="str">
        <f>IF($AE183=1,"🔴","⚪")</f>
        <v>⚪</v>
      </c>
      <c r="AG183" s="430">
        <f>AC183*Z183</f>
        <v>0</v>
      </c>
      <c r="AH183" s="375">
        <f>AD183*Z183</f>
        <v>0</v>
      </c>
      <c r="AI183" s="431">
        <f>AE183*Z183</f>
        <v>0</v>
      </c>
      <c r="AJ183" s="375"/>
      <c r="AK183" s="430">
        <f>AE183*X183</f>
        <v>0</v>
      </c>
      <c r="AL183" s="375">
        <f>AE183*S183*J183</f>
        <v>0</v>
      </c>
      <c r="AM183" s="432">
        <f>AE183*T183*J183</f>
        <v>0</v>
      </c>
      <c r="AN183" s="432">
        <f>AE183*U183*J183</f>
        <v>0</v>
      </c>
      <c r="AO183" s="433">
        <f>AK183+AL183+AM183+AN183</f>
        <v>0</v>
      </c>
      <c r="AQ183" s="563">
        <f>+O183</f>
        <v>796410.4589887521</v>
      </c>
      <c r="AR183" s="563">
        <f>+O183*J183</f>
        <v>796410.4589887521</v>
      </c>
    </row>
    <row r="184" spans="1:44" ht="10.5" customHeight="1" x14ac:dyDescent="0.25">
      <c r="A184" s="412" t="s">
        <v>25</v>
      </c>
      <c r="B184" s="412" t="s">
        <v>25</v>
      </c>
      <c r="C184" s="412" t="s">
        <v>25</v>
      </c>
      <c r="D184" s="412" t="s">
        <v>25</v>
      </c>
      <c r="F184" s="396"/>
      <c r="G184" s="397"/>
      <c r="H184" s="398" t="s">
        <v>4279</v>
      </c>
      <c r="I184" s="399"/>
      <c r="J184" s="400"/>
      <c r="K184" s="400"/>
      <c r="L184" s="400"/>
      <c r="M184" s="400"/>
      <c r="N184" s="400"/>
      <c r="O184" s="401"/>
      <c r="P184" s="402"/>
      <c r="Q184" s="403"/>
      <c r="R184" s="400"/>
      <c r="S184" s="400"/>
      <c r="T184" s="400"/>
      <c r="U184" s="400"/>
      <c r="V184" s="402"/>
      <c r="X184" s="400"/>
      <c r="Y184" s="400"/>
      <c r="Z184" s="402"/>
      <c r="AA184" s="404">
        <f>+SUM(Z185:Z189)</f>
        <v>37516408.89307677</v>
      </c>
      <c r="AB184" s="405" t="s">
        <v>4279</v>
      </c>
      <c r="AC184" s="406"/>
      <c r="AD184" s="440"/>
      <c r="AE184" s="441"/>
      <c r="AF184" s="441"/>
      <c r="AG184" s="408"/>
      <c r="AH184" s="409"/>
      <c r="AI184" s="410"/>
      <c r="AJ184" s="411"/>
      <c r="AK184" s="408"/>
      <c r="AL184" s="409"/>
      <c r="AM184" s="442"/>
      <c r="AN184" s="442"/>
      <c r="AO184" s="410"/>
    </row>
    <row r="185" spans="1:44" ht="10.5" customHeight="1" x14ac:dyDescent="0.35">
      <c r="A185" s="412" t="s">
        <v>4271</v>
      </c>
      <c r="B185" s="412" t="s">
        <v>25</v>
      </c>
      <c r="C185" s="412" t="s">
        <v>4271</v>
      </c>
      <c r="D185" s="412" t="s">
        <v>25</v>
      </c>
      <c r="F185" s="460">
        <v>19.07</v>
      </c>
      <c r="G185" s="460" t="s">
        <v>4112</v>
      </c>
      <c r="H185" s="498" t="s">
        <v>4280</v>
      </c>
      <c r="I185" s="476" t="s">
        <v>98</v>
      </c>
      <c r="J185" s="461">
        <v>1</v>
      </c>
      <c r="K185" s="418">
        <v>892886.95565999998</v>
      </c>
      <c r="L185" s="418">
        <v>1519457.57657935</v>
      </c>
      <c r="M185" s="418">
        <v>0</v>
      </c>
      <c r="N185" s="418">
        <v>36185.167983590203</v>
      </c>
      <c r="O185" s="419">
        <f>+SUM(K185:N185)</f>
        <v>2448529.7002229402</v>
      </c>
      <c r="P185" s="420">
        <f>+O185*$P$2</f>
        <v>3514950.8616915275</v>
      </c>
      <c r="Q185" s="403"/>
      <c r="R185" s="421">
        <f t="shared" ref="R185:U189" si="216">+K185*$P$2</f>
        <v>1281770.7597765643</v>
      </c>
      <c r="S185" s="421">
        <f t="shared" si="216"/>
        <v>2181235.0152889797</v>
      </c>
      <c r="T185" s="421">
        <f t="shared" si="216"/>
        <v>0</v>
      </c>
      <c r="U185" s="421">
        <f t="shared" si="216"/>
        <v>51945.086625983095</v>
      </c>
      <c r="V185" s="422">
        <f>+SUM(R185:U185)</f>
        <v>3514950.8616915271</v>
      </c>
      <c r="W185" s="423"/>
      <c r="X185" s="421">
        <f>+R185*J185</f>
        <v>1281770.7597765643</v>
      </c>
      <c r="Y185" s="421">
        <f>+Z185-X185</f>
        <v>2233180.1019149628</v>
      </c>
      <c r="Z185" s="422">
        <f>+V185*J185</f>
        <v>3514950.8616915271</v>
      </c>
      <c r="AA185" s="371"/>
      <c r="AB185" s="425" t="s">
        <v>4279</v>
      </c>
      <c r="AC185" s="427">
        <v>0</v>
      </c>
      <c r="AD185" s="427">
        <v>0</v>
      </c>
      <c r="AE185" s="428">
        <f>AC185+AD185</f>
        <v>0</v>
      </c>
      <c r="AF185" s="437" t="str">
        <f>IF($AE185=1,"🔴","⚪")</f>
        <v>⚪</v>
      </c>
      <c r="AG185" s="430">
        <f>AC185*Z185</f>
        <v>0</v>
      </c>
      <c r="AH185" s="375">
        <f>AD185*Z185</f>
        <v>0</v>
      </c>
      <c r="AI185" s="431">
        <f>AE185*Z185</f>
        <v>0</v>
      </c>
      <c r="AJ185" s="375"/>
      <c r="AK185" s="430">
        <f>AE185*X185</f>
        <v>0</v>
      </c>
      <c r="AL185" s="375">
        <f>AE185*S185*J185</f>
        <v>0</v>
      </c>
      <c r="AM185" s="432">
        <f>AE185*T185*J185</f>
        <v>0</v>
      </c>
      <c r="AN185" s="432">
        <f>AE185*U185*J185</f>
        <v>0</v>
      </c>
      <c r="AO185" s="433">
        <f>AK185+AL185+AM185+AN185</f>
        <v>0</v>
      </c>
      <c r="AQ185" s="563">
        <f>+O185</f>
        <v>2448529.7002229402</v>
      </c>
      <c r="AR185" s="563">
        <f>+O185*J185</f>
        <v>2448529.7002229402</v>
      </c>
    </row>
    <row r="186" spans="1:44" ht="10.5" customHeight="1" x14ac:dyDescent="0.35">
      <c r="A186" s="412" t="s">
        <v>4271</v>
      </c>
      <c r="B186" s="412" t="s">
        <v>25</v>
      </c>
      <c r="C186" s="412" t="s">
        <v>4271</v>
      </c>
      <c r="D186" s="412" t="s">
        <v>25</v>
      </c>
      <c r="F186" s="414">
        <v>19.079999999999998</v>
      </c>
      <c r="G186" s="414" t="s">
        <v>4112</v>
      </c>
      <c r="H186" s="499" t="s">
        <v>4281</v>
      </c>
      <c r="I186" s="438" t="s">
        <v>98</v>
      </c>
      <c r="J186" s="439">
        <v>1</v>
      </c>
      <c r="K186" s="418">
        <v>1190515.9408799999</v>
      </c>
      <c r="L186" s="418">
        <v>1519457.57657935</v>
      </c>
      <c r="M186" s="418">
        <v>0</v>
      </c>
      <c r="N186" s="418">
        <v>40649.602761890201</v>
      </c>
      <c r="O186" s="419">
        <f>+SUM(K186:N186)</f>
        <v>2750623.12022124</v>
      </c>
      <c r="P186" s="420">
        <f>+O186*$P$2</f>
        <v>3948616.6354159312</v>
      </c>
      <c r="Q186" s="403"/>
      <c r="R186" s="421">
        <f t="shared" si="216"/>
        <v>1709027.6797020857</v>
      </c>
      <c r="S186" s="421">
        <f t="shared" si="216"/>
        <v>2181235.0152889797</v>
      </c>
      <c r="T186" s="421">
        <f t="shared" si="216"/>
        <v>0</v>
      </c>
      <c r="U186" s="421">
        <f t="shared" si="216"/>
        <v>58353.940424865912</v>
      </c>
      <c r="V186" s="422">
        <f>+SUM(R186:U186)</f>
        <v>3948616.6354159312</v>
      </c>
      <c r="W186" s="423"/>
      <c r="X186" s="421">
        <f>+R186*J186</f>
        <v>1709027.6797020857</v>
      </c>
      <c r="Y186" s="421">
        <f>+Z186-X186</f>
        <v>2239588.9557138458</v>
      </c>
      <c r="Z186" s="422">
        <f>+V186*J186</f>
        <v>3948616.6354159312</v>
      </c>
      <c r="AA186" s="371"/>
      <c r="AB186" s="425" t="s">
        <v>4279</v>
      </c>
      <c r="AC186" s="427">
        <v>0</v>
      </c>
      <c r="AD186" s="427">
        <v>0</v>
      </c>
      <c r="AE186" s="428">
        <f>AC186+AD186</f>
        <v>0</v>
      </c>
      <c r="AF186" s="437" t="str">
        <f>IF($AE186=1,"🔴","⚪")</f>
        <v>⚪</v>
      </c>
      <c r="AG186" s="430">
        <f>AC186*Z186</f>
        <v>0</v>
      </c>
      <c r="AH186" s="375">
        <f>AD186*Z186</f>
        <v>0</v>
      </c>
      <c r="AI186" s="431">
        <f>AE186*Z186</f>
        <v>0</v>
      </c>
      <c r="AJ186" s="375"/>
      <c r="AK186" s="430">
        <f>AE186*X186</f>
        <v>0</v>
      </c>
      <c r="AL186" s="375">
        <f>AE186*S186*J186</f>
        <v>0</v>
      </c>
      <c r="AM186" s="432">
        <f>AE186*T186*J186</f>
        <v>0</v>
      </c>
      <c r="AN186" s="432">
        <f>AE186*U186*J186</f>
        <v>0</v>
      </c>
      <c r="AO186" s="433">
        <f>AK186+AL186+AM186+AN186</f>
        <v>0</v>
      </c>
      <c r="AQ186" s="563">
        <f>+O186</f>
        <v>2750623.12022124</v>
      </c>
      <c r="AR186" s="563">
        <f>+O186*J186</f>
        <v>2750623.12022124</v>
      </c>
    </row>
    <row r="187" spans="1:44" ht="10.5" customHeight="1" x14ac:dyDescent="0.35">
      <c r="A187" s="412" t="s">
        <v>4271</v>
      </c>
      <c r="B187" s="412" t="s">
        <v>25</v>
      </c>
      <c r="C187" s="412" t="s">
        <v>4271</v>
      </c>
      <c r="D187" s="412" t="s">
        <v>25</v>
      </c>
      <c r="F187" s="414">
        <v>19.09</v>
      </c>
      <c r="G187" s="414" t="s">
        <v>4112</v>
      </c>
      <c r="H187" s="499" t="s">
        <v>4282</v>
      </c>
      <c r="I187" s="438" t="s">
        <v>98</v>
      </c>
      <c r="J187" s="439">
        <v>1</v>
      </c>
      <c r="K187" s="418">
        <v>892886.95565999998</v>
      </c>
      <c r="L187" s="418">
        <v>1519457.57657935</v>
      </c>
      <c r="M187" s="418">
        <v>0</v>
      </c>
      <c r="N187" s="418">
        <v>36185.167983590203</v>
      </c>
      <c r="O187" s="419">
        <f>+SUM(K187:N187)</f>
        <v>2448529.7002229402</v>
      </c>
      <c r="P187" s="420">
        <f>+O187*$P$2</f>
        <v>3514950.8616915275</v>
      </c>
      <c r="Q187" s="403"/>
      <c r="R187" s="421">
        <f t="shared" si="216"/>
        <v>1281770.7597765643</v>
      </c>
      <c r="S187" s="421">
        <f t="shared" si="216"/>
        <v>2181235.0152889797</v>
      </c>
      <c r="T187" s="421">
        <f t="shared" si="216"/>
        <v>0</v>
      </c>
      <c r="U187" s="421">
        <f t="shared" si="216"/>
        <v>51945.086625983095</v>
      </c>
      <c r="V187" s="422">
        <f>+SUM(R187:U187)</f>
        <v>3514950.8616915271</v>
      </c>
      <c r="W187" s="423"/>
      <c r="X187" s="421">
        <f>+R187*J187</f>
        <v>1281770.7597765643</v>
      </c>
      <c r="Y187" s="421">
        <f>+Z187-X187</f>
        <v>2233180.1019149628</v>
      </c>
      <c r="Z187" s="422">
        <f>+V187*J187</f>
        <v>3514950.8616915271</v>
      </c>
      <c r="AA187" s="371"/>
      <c r="AB187" s="425" t="s">
        <v>4279</v>
      </c>
      <c r="AC187" s="427">
        <v>0</v>
      </c>
      <c r="AD187" s="427">
        <v>0</v>
      </c>
      <c r="AE187" s="428">
        <f>AC187+AD187</f>
        <v>0</v>
      </c>
      <c r="AF187" s="437" t="str">
        <f>IF($AE187=1,"🔴","⚪")</f>
        <v>⚪</v>
      </c>
      <c r="AG187" s="430">
        <f>AC187*Z187</f>
        <v>0</v>
      </c>
      <c r="AH187" s="375">
        <f>AD187*Z187</f>
        <v>0</v>
      </c>
      <c r="AI187" s="431">
        <f>AE187*Z187</f>
        <v>0</v>
      </c>
      <c r="AJ187" s="375"/>
      <c r="AK187" s="430">
        <f>AE187*X187</f>
        <v>0</v>
      </c>
      <c r="AL187" s="375">
        <f>AE187*S187*J187</f>
        <v>0</v>
      </c>
      <c r="AM187" s="432">
        <f>AE187*T187*J187</f>
        <v>0</v>
      </c>
      <c r="AN187" s="432">
        <f>AE187*U187*J187</f>
        <v>0</v>
      </c>
      <c r="AO187" s="433">
        <f>AK187+AL187+AM187+AN187</f>
        <v>0</v>
      </c>
      <c r="AQ187" s="563">
        <f>+O187</f>
        <v>2448529.7002229402</v>
      </c>
      <c r="AR187" s="563">
        <f>+O187*J187</f>
        <v>2448529.7002229402</v>
      </c>
    </row>
    <row r="188" spans="1:44" ht="10.5" customHeight="1" x14ac:dyDescent="0.35">
      <c r="A188" s="412" t="s">
        <v>4271</v>
      </c>
      <c r="B188" s="412" t="s">
        <v>25</v>
      </c>
      <c r="C188" s="412" t="s">
        <v>4271</v>
      </c>
      <c r="D188" s="412" t="s">
        <v>25</v>
      </c>
      <c r="F188" s="414">
        <v>19.100000000000001</v>
      </c>
      <c r="G188" s="414" t="s">
        <v>4112</v>
      </c>
      <c r="H188" s="499" t="s">
        <v>4283</v>
      </c>
      <c r="I188" s="438" t="s">
        <v>98</v>
      </c>
      <c r="J188" s="439">
        <v>1</v>
      </c>
      <c r="K188" s="418">
        <v>2976289.8522000001</v>
      </c>
      <c r="L188" s="418">
        <v>10636203.036055399</v>
      </c>
      <c r="M188" s="418">
        <v>0</v>
      </c>
      <c r="N188" s="418">
        <v>204187.39332383199</v>
      </c>
      <c r="O188" s="419">
        <f>+SUM(K188:N188)</f>
        <v>13816680.28157923</v>
      </c>
      <c r="P188" s="420">
        <f>+O188*$P$2</f>
        <v>19834332.520872172</v>
      </c>
      <c r="Q188" s="403"/>
      <c r="R188" s="421">
        <f t="shared" si="216"/>
        <v>4272569.199255215</v>
      </c>
      <c r="S188" s="421">
        <f t="shared" si="216"/>
        <v>15268645.107022787</v>
      </c>
      <c r="T188" s="421">
        <f t="shared" si="216"/>
        <v>0</v>
      </c>
      <c r="U188" s="421">
        <f t="shared" si="216"/>
        <v>293118.21459417144</v>
      </c>
      <c r="V188" s="422">
        <f>+SUM(R188:U188)</f>
        <v>19834332.520872172</v>
      </c>
      <c r="W188" s="423"/>
      <c r="X188" s="421">
        <f>+R188*J188</f>
        <v>4272569.199255215</v>
      </c>
      <c r="Y188" s="421">
        <f>+Z188-X188</f>
        <v>15561763.321616957</v>
      </c>
      <c r="Z188" s="422">
        <f>+V188*J188</f>
        <v>19834332.520872172</v>
      </c>
      <c r="AA188" s="371"/>
      <c r="AB188" s="425" t="s">
        <v>4279</v>
      </c>
      <c r="AC188" s="427">
        <v>0.4</v>
      </c>
      <c r="AD188" s="427">
        <v>0</v>
      </c>
      <c r="AE188" s="428">
        <f>AC188+AD188</f>
        <v>0.4</v>
      </c>
      <c r="AF188" s="437" t="str">
        <f>IF($AE188=1,"🔴","⚪")</f>
        <v>⚪</v>
      </c>
      <c r="AG188" s="430">
        <f>AC188*Z188</f>
        <v>7933733.0083488692</v>
      </c>
      <c r="AH188" s="375">
        <f>AD188*Z188</f>
        <v>0</v>
      </c>
      <c r="AI188" s="431">
        <f>AE188*Z188</f>
        <v>7933733.0083488692</v>
      </c>
      <c r="AJ188" s="375"/>
      <c r="AK188" s="430">
        <f>AE188*X188</f>
        <v>1709027.6797020861</v>
      </c>
      <c r="AL188" s="375">
        <f>AE188*S188*J188</f>
        <v>6107458.0428091148</v>
      </c>
      <c r="AM188" s="432">
        <f>AE188*T188*J188</f>
        <v>0</v>
      </c>
      <c r="AN188" s="432">
        <f>AE188*U188*J188</f>
        <v>117247.28583766858</v>
      </c>
      <c r="AO188" s="433">
        <f>AK188+AL188+AM188+AN188</f>
        <v>7933733.0083488701</v>
      </c>
      <c r="AQ188" s="563">
        <f>+O188</f>
        <v>13816680.28157923</v>
      </c>
      <c r="AR188" s="563">
        <f>+O188*J188</f>
        <v>13816680.28157923</v>
      </c>
    </row>
    <row r="189" spans="1:44" ht="10.5" customHeight="1" x14ac:dyDescent="0.35">
      <c r="A189" s="412" t="s">
        <v>4271</v>
      </c>
      <c r="B189" s="412" t="s">
        <v>25</v>
      </c>
      <c r="C189" s="412" t="s">
        <v>4271</v>
      </c>
      <c r="D189" s="412" t="s">
        <v>25</v>
      </c>
      <c r="F189" s="414">
        <v>19.11</v>
      </c>
      <c r="G189" s="450" t="s">
        <v>4112</v>
      </c>
      <c r="H189" s="500" t="s">
        <v>4284</v>
      </c>
      <c r="I189" s="477" t="s">
        <v>98</v>
      </c>
      <c r="J189" s="453">
        <v>1</v>
      </c>
      <c r="K189" s="418">
        <v>2023467.36</v>
      </c>
      <c r="L189" s="418">
        <v>2577248.88227659</v>
      </c>
      <c r="M189" s="418">
        <v>0</v>
      </c>
      <c r="N189" s="418">
        <v>69010.743634148894</v>
      </c>
      <c r="O189" s="419">
        <f>+SUM(K189:N189)</f>
        <v>4669726.9859107388</v>
      </c>
      <c r="P189" s="420">
        <f>+O189*$P$2</f>
        <v>6703558.0134056117</v>
      </c>
      <c r="Q189" s="403"/>
      <c r="R189" s="421">
        <f t="shared" si="216"/>
        <v>2904758.8599758837</v>
      </c>
      <c r="S189" s="421">
        <f t="shared" si="216"/>
        <v>3699731.793625704</v>
      </c>
      <c r="T189" s="421">
        <f t="shared" si="216"/>
        <v>0</v>
      </c>
      <c r="U189" s="421">
        <f t="shared" si="216"/>
        <v>99067.359804023872</v>
      </c>
      <c r="V189" s="422">
        <f>+SUM(R189:U189)</f>
        <v>6703558.0134056117</v>
      </c>
      <c r="W189" s="423"/>
      <c r="X189" s="421">
        <f>+R189*J189</f>
        <v>2904758.8599758837</v>
      </c>
      <c r="Y189" s="421">
        <f>+Z189-X189</f>
        <v>3798799.153429728</v>
      </c>
      <c r="Z189" s="422">
        <f>+V189*J189</f>
        <v>6703558.0134056117</v>
      </c>
      <c r="AA189" s="371"/>
      <c r="AB189" s="425" t="s">
        <v>4279</v>
      </c>
      <c r="AC189" s="427">
        <v>0</v>
      </c>
      <c r="AD189" s="427">
        <v>0</v>
      </c>
      <c r="AE189" s="428">
        <f>AC189+AD189</f>
        <v>0</v>
      </c>
      <c r="AF189" s="437" t="str">
        <f>IF($AE189=1,"🔴","⚪")</f>
        <v>⚪</v>
      </c>
      <c r="AG189" s="430">
        <f>AC189*Z189</f>
        <v>0</v>
      </c>
      <c r="AH189" s="375">
        <f>AD189*Z189</f>
        <v>0</v>
      </c>
      <c r="AI189" s="431">
        <f>AE189*Z189</f>
        <v>0</v>
      </c>
      <c r="AJ189" s="375"/>
      <c r="AK189" s="430">
        <f>AE189*X189</f>
        <v>0</v>
      </c>
      <c r="AL189" s="375">
        <f>AE189*S189*J189</f>
        <v>0</v>
      </c>
      <c r="AM189" s="432">
        <f>AE189*T189*J189</f>
        <v>0</v>
      </c>
      <c r="AN189" s="432">
        <f>AE189*U189*J189</f>
        <v>0</v>
      </c>
      <c r="AO189" s="433">
        <f>AK189+AL189+AM189+AN189</f>
        <v>0</v>
      </c>
      <c r="AQ189" s="563">
        <f>+O189</f>
        <v>4669726.9859107388</v>
      </c>
      <c r="AR189" s="563">
        <f>+O189*J189</f>
        <v>4669726.9859107388</v>
      </c>
    </row>
    <row r="190" spans="1:44" ht="10.5" customHeight="1" x14ac:dyDescent="0.25">
      <c r="A190" s="412" t="s">
        <v>25</v>
      </c>
      <c r="B190" s="412" t="s">
        <v>25</v>
      </c>
      <c r="C190" s="412" t="s">
        <v>25</v>
      </c>
      <c r="D190" s="412" t="s">
        <v>25</v>
      </c>
      <c r="F190" s="396"/>
      <c r="G190" s="397"/>
      <c r="H190" s="398" t="s">
        <v>4285</v>
      </c>
      <c r="I190" s="399"/>
      <c r="J190" s="400"/>
      <c r="K190" s="400"/>
      <c r="L190" s="400"/>
      <c r="M190" s="400"/>
      <c r="N190" s="400"/>
      <c r="O190" s="401"/>
      <c r="P190" s="402"/>
      <c r="Q190" s="403"/>
      <c r="R190" s="400"/>
      <c r="S190" s="400"/>
      <c r="T190" s="400"/>
      <c r="U190" s="400"/>
      <c r="V190" s="402"/>
      <c r="X190" s="400"/>
      <c r="Y190" s="400"/>
      <c r="Z190" s="402"/>
      <c r="AA190" s="404">
        <f>+Z191</f>
        <v>2841283.27802988</v>
      </c>
      <c r="AB190" s="405" t="s">
        <v>4285</v>
      </c>
      <c r="AC190" s="406"/>
      <c r="AD190" s="440"/>
      <c r="AE190" s="441"/>
      <c r="AF190" s="441"/>
      <c r="AG190" s="408"/>
      <c r="AH190" s="409"/>
      <c r="AI190" s="410"/>
      <c r="AJ190" s="411"/>
      <c r="AK190" s="408"/>
      <c r="AL190" s="409"/>
      <c r="AM190" s="442"/>
      <c r="AN190" s="442"/>
      <c r="AO190" s="410"/>
    </row>
    <row r="191" spans="1:44" ht="10.5" customHeight="1" x14ac:dyDescent="0.35">
      <c r="A191" s="412" t="s">
        <v>4271</v>
      </c>
      <c r="B191" s="412" t="s">
        <v>25</v>
      </c>
      <c r="C191" s="412" t="s">
        <v>4271</v>
      </c>
      <c r="D191" s="412" t="s">
        <v>25</v>
      </c>
      <c r="F191" s="434">
        <v>19.12</v>
      </c>
      <c r="G191" s="414" t="s">
        <v>4112</v>
      </c>
      <c r="H191" s="454" t="s">
        <v>3580</v>
      </c>
      <c r="I191" s="438" t="s">
        <v>98</v>
      </c>
      <c r="J191" s="439">
        <v>1</v>
      </c>
      <c r="K191" s="418">
        <v>450000</v>
      </c>
      <c r="L191" s="418">
        <v>1500000</v>
      </c>
      <c r="M191" s="418">
        <v>0</v>
      </c>
      <c r="N191" s="418">
        <v>29250</v>
      </c>
      <c r="O191" s="419">
        <f>+SUM(K191:N191)</f>
        <v>1979250</v>
      </c>
      <c r="P191" s="420">
        <f>+O191*$P$2</f>
        <v>2841283.27802988</v>
      </c>
      <c r="Q191" s="403"/>
      <c r="R191" s="421">
        <f>+K191*$P$2</f>
        <v>645990.89307234867</v>
      </c>
      <c r="S191" s="421">
        <f>+L191*$P$2</f>
        <v>2153302.9769078288</v>
      </c>
      <c r="T191" s="421">
        <f>+M191*$P$2</f>
        <v>0</v>
      </c>
      <c r="U191" s="421">
        <f>+N191*$P$2</f>
        <v>41989.408049702666</v>
      </c>
      <c r="V191" s="422">
        <f>+SUM(R191:U191)</f>
        <v>2841283.27802988</v>
      </c>
      <c r="W191" s="423"/>
      <c r="X191" s="421">
        <f>+R191*J191</f>
        <v>645990.89307234867</v>
      </c>
      <c r="Y191" s="421">
        <f>+Z191-X191</f>
        <v>2195292.3849575315</v>
      </c>
      <c r="Z191" s="422">
        <f>+V191*J191</f>
        <v>2841283.27802988</v>
      </c>
      <c r="AA191" s="371"/>
      <c r="AB191" s="425" t="s">
        <v>4285</v>
      </c>
      <c r="AC191" s="427">
        <v>0.3</v>
      </c>
      <c r="AD191" s="427">
        <v>0</v>
      </c>
      <c r="AE191" s="428">
        <f>AC191+AD191</f>
        <v>0.3</v>
      </c>
      <c r="AF191" s="437" t="str">
        <f>IF($AE191=1,"🔴","⚪")</f>
        <v>⚪</v>
      </c>
      <c r="AG191" s="430">
        <f>AC191*Z191</f>
        <v>852384.98340896401</v>
      </c>
      <c r="AH191" s="375">
        <f>AD191*Z191</f>
        <v>0</v>
      </c>
      <c r="AI191" s="431">
        <f>AE191*Z191</f>
        <v>852384.98340896401</v>
      </c>
      <c r="AJ191" s="375"/>
      <c r="AK191" s="430">
        <f>AE191*X191</f>
        <v>193797.2679217046</v>
      </c>
      <c r="AL191" s="375">
        <f>AE191*S191*J191</f>
        <v>645990.89307234867</v>
      </c>
      <c r="AM191" s="432">
        <f>AE191*T191*J191</f>
        <v>0</v>
      </c>
      <c r="AN191" s="432">
        <f>AE191*U191*J191</f>
        <v>12596.822414910799</v>
      </c>
      <c r="AO191" s="433">
        <f>AK191+AL191+AM191+AN191</f>
        <v>852384.98340896401</v>
      </c>
      <c r="AQ191" s="563">
        <f>+O191</f>
        <v>1979250</v>
      </c>
      <c r="AR191" s="563">
        <f>+O191*J191</f>
        <v>1979250</v>
      </c>
    </row>
    <row r="192" spans="1:44" ht="10.5" customHeight="1" x14ac:dyDescent="0.25">
      <c r="A192" s="412" t="s">
        <v>25</v>
      </c>
      <c r="B192" s="412" t="s">
        <v>25</v>
      </c>
      <c r="C192" s="412" t="s">
        <v>25</v>
      </c>
      <c r="D192" s="412" t="s">
        <v>25</v>
      </c>
      <c r="F192" s="396"/>
      <c r="G192" s="397"/>
      <c r="H192" s="398" t="s">
        <v>4286</v>
      </c>
      <c r="I192" s="399"/>
      <c r="J192" s="400"/>
      <c r="K192" s="400"/>
      <c r="L192" s="400"/>
      <c r="M192" s="400"/>
      <c r="N192" s="400"/>
      <c r="O192" s="401"/>
      <c r="P192" s="402"/>
      <c r="Q192" s="403"/>
      <c r="R192" s="400"/>
      <c r="S192" s="400"/>
      <c r="T192" s="400"/>
      <c r="U192" s="400"/>
      <c r="V192" s="402"/>
      <c r="X192" s="400"/>
      <c r="Y192" s="400"/>
      <c r="Z192" s="402"/>
      <c r="AA192" s="404">
        <f>+SUM(Z193:Z194)</f>
        <v>42853580.123887464</v>
      </c>
      <c r="AB192" s="405" t="s">
        <v>4286</v>
      </c>
      <c r="AC192" s="406"/>
      <c r="AD192" s="440"/>
      <c r="AE192" s="441"/>
      <c r="AF192" s="441"/>
      <c r="AG192" s="408"/>
      <c r="AH192" s="409"/>
      <c r="AI192" s="410"/>
      <c r="AJ192" s="411"/>
      <c r="AK192" s="408"/>
      <c r="AL192" s="409"/>
      <c r="AM192" s="442"/>
      <c r="AN192" s="442"/>
      <c r="AO192" s="410"/>
    </row>
    <row r="193" spans="1:44" ht="10.5" customHeight="1" x14ac:dyDescent="0.35">
      <c r="A193" s="412" t="s">
        <v>4271</v>
      </c>
      <c r="B193" s="412" t="s">
        <v>25</v>
      </c>
      <c r="C193" s="412" t="s">
        <v>4271</v>
      </c>
      <c r="D193" s="412" t="s">
        <v>25</v>
      </c>
      <c r="F193" s="413">
        <v>19.13</v>
      </c>
      <c r="G193" s="460" t="s">
        <v>4112</v>
      </c>
      <c r="H193" s="493" t="s">
        <v>4287</v>
      </c>
      <c r="I193" s="476" t="s">
        <v>98</v>
      </c>
      <c r="J193" s="461">
        <v>1</v>
      </c>
      <c r="K193" s="418">
        <v>6864779.6540000001</v>
      </c>
      <c r="L193" s="418">
        <v>19750412.0247702</v>
      </c>
      <c r="M193" s="418">
        <v>0</v>
      </c>
      <c r="N193" s="418">
        <v>399227.87518155301</v>
      </c>
      <c r="O193" s="419">
        <f>+SUM(K193:N193)</f>
        <v>27014419.553951751</v>
      </c>
      <c r="P193" s="420">
        <f>+O193*$P$2</f>
        <v>38780153.36330758</v>
      </c>
      <c r="Q193" s="403"/>
      <c r="R193" s="421">
        <f t="shared" ref="R193:U194" si="217">+K193*$P$2</f>
        <v>9854633.6431829967</v>
      </c>
      <c r="S193" s="421">
        <f t="shared" si="217"/>
        <v>28352414.0053959</v>
      </c>
      <c r="T193" s="421">
        <f t="shared" si="217"/>
        <v>0</v>
      </c>
      <c r="U193" s="421">
        <f t="shared" si="217"/>
        <v>573105.71472868347</v>
      </c>
      <c r="V193" s="422">
        <f>+SUM(R193:U193)</f>
        <v>38780153.36330758</v>
      </c>
      <c r="W193" s="423"/>
      <c r="X193" s="421">
        <f>+R193*J193</f>
        <v>9854633.6431829967</v>
      </c>
      <c r="Y193" s="421">
        <f>+Z193-X193</f>
        <v>28925519.720124584</v>
      </c>
      <c r="Z193" s="422">
        <f>+V193*J193</f>
        <v>38780153.36330758</v>
      </c>
      <c r="AA193" s="371"/>
      <c r="AB193" s="425" t="s">
        <v>4286</v>
      </c>
      <c r="AC193" s="427">
        <v>0.15</v>
      </c>
      <c r="AD193" s="427">
        <v>0</v>
      </c>
      <c r="AE193" s="428">
        <f>AC193+AD193</f>
        <v>0.15</v>
      </c>
      <c r="AF193" s="437" t="str">
        <f>IF($AE193=1,"🔴","⚪")</f>
        <v>⚪</v>
      </c>
      <c r="AG193" s="430">
        <f>AC193*Z193</f>
        <v>5817023.0044961367</v>
      </c>
      <c r="AH193" s="375">
        <f>AD193*Z193</f>
        <v>0</v>
      </c>
      <c r="AI193" s="431">
        <f>AE193*Z193</f>
        <v>5817023.0044961367</v>
      </c>
      <c r="AJ193" s="375"/>
      <c r="AK193" s="430">
        <f>AE193*X193</f>
        <v>1478195.0464774494</v>
      </c>
      <c r="AL193" s="375">
        <f>AE193*S193*J193</f>
        <v>4252862.1008093851</v>
      </c>
      <c r="AM193" s="432">
        <f>AE193*T193*J193</f>
        <v>0</v>
      </c>
      <c r="AN193" s="432">
        <f>AE193*U193*J193</f>
        <v>85965.857209302514</v>
      </c>
      <c r="AO193" s="433">
        <f>AK193+AL193+AM193+AN193</f>
        <v>5817023.0044961367</v>
      </c>
      <c r="AQ193" s="563">
        <f>+O193</f>
        <v>27014419.553951751</v>
      </c>
      <c r="AR193" s="563">
        <f>+O193*J193</f>
        <v>27014419.553951751</v>
      </c>
    </row>
    <row r="194" spans="1:44" ht="10.5" customHeight="1" x14ac:dyDescent="0.35">
      <c r="A194" s="412" t="s">
        <v>4271</v>
      </c>
      <c r="B194" s="412" t="s">
        <v>25</v>
      </c>
      <c r="C194" s="412" t="s">
        <v>4271</v>
      </c>
      <c r="D194" s="412" t="s">
        <v>25</v>
      </c>
      <c r="F194" s="449">
        <v>19.14</v>
      </c>
      <c r="G194" s="450" t="s">
        <v>4112</v>
      </c>
      <c r="H194" s="494" t="s">
        <v>4288</v>
      </c>
      <c r="I194" s="477" t="s">
        <v>98</v>
      </c>
      <c r="J194" s="453">
        <v>1</v>
      </c>
      <c r="K194" s="418">
        <v>601141.68000000005</v>
      </c>
      <c r="L194" s="418">
        <v>2194490.2249744702</v>
      </c>
      <c r="M194" s="418">
        <v>0</v>
      </c>
      <c r="N194" s="418">
        <v>41934.478574617002</v>
      </c>
      <c r="O194" s="419">
        <f>+SUM(K194:N194)</f>
        <v>2837566.3835490872</v>
      </c>
      <c r="P194" s="420">
        <f>+O194*$P$2</f>
        <v>4073426.7605798878</v>
      </c>
      <c r="Q194" s="403"/>
      <c r="R194" s="421">
        <f t="shared" si="217"/>
        <v>862960.11272491573</v>
      </c>
      <c r="S194" s="421">
        <f t="shared" si="217"/>
        <v>3150268.2228217721</v>
      </c>
      <c r="T194" s="421">
        <f t="shared" si="217"/>
        <v>0</v>
      </c>
      <c r="U194" s="421">
        <f t="shared" si="217"/>
        <v>60198.425033200241</v>
      </c>
      <c r="V194" s="422">
        <f>+SUM(R194:U194)</f>
        <v>4073426.7605798878</v>
      </c>
      <c r="W194" s="423"/>
      <c r="X194" s="421">
        <f>+R194*J194</f>
        <v>862960.11272491573</v>
      </c>
      <c r="Y194" s="421">
        <f>+Z194-X194</f>
        <v>3210466.6478549722</v>
      </c>
      <c r="Z194" s="422">
        <f>+V194*J194</f>
        <v>4073426.7605798878</v>
      </c>
      <c r="AA194" s="371"/>
      <c r="AB194" s="425" t="s">
        <v>4286</v>
      </c>
      <c r="AC194" s="427">
        <v>0</v>
      </c>
      <c r="AD194" s="427">
        <v>0</v>
      </c>
      <c r="AE194" s="428">
        <f>AC194+AD194</f>
        <v>0</v>
      </c>
      <c r="AF194" s="437" t="str">
        <f>IF($AE194=1,"🔴","⚪")</f>
        <v>⚪</v>
      </c>
      <c r="AG194" s="430">
        <f>AC194*Z194</f>
        <v>0</v>
      </c>
      <c r="AH194" s="375">
        <f>AD194*Z194</f>
        <v>0</v>
      </c>
      <c r="AI194" s="431">
        <f>AE194*Z194</f>
        <v>0</v>
      </c>
      <c r="AJ194" s="375"/>
      <c r="AK194" s="430">
        <f>AE194*X194</f>
        <v>0</v>
      </c>
      <c r="AL194" s="375">
        <f>AE194*S194*J194</f>
        <v>0</v>
      </c>
      <c r="AM194" s="432">
        <f>AE194*T194*J194</f>
        <v>0</v>
      </c>
      <c r="AN194" s="432">
        <f>AE194*U194*J194</f>
        <v>0</v>
      </c>
      <c r="AO194" s="433">
        <f>AK194+AL194+AM194+AN194</f>
        <v>0</v>
      </c>
      <c r="AQ194" s="563">
        <f>+O194</f>
        <v>2837566.3835490872</v>
      </c>
      <c r="AR194" s="563">
        <f>+O194*J194</f>
        <v>2837566.3835490872</v>
      </c>
    </row>
    <row r="195" spans="1:44" ht="10.5" customHeight="1" x14ac:dyDescent="0.25">
      <c r="A195" s="412" t="s">
        <v>25</v>
      </c>
      <c r="B195" s="412" t="s">
        <v>25</v>
      </c>
      <c r="C195" s="412" t="s">
        <v>25</v>
      </c>
      <c r="D195" s="412" t="s">
        <v>25</v>
      </c>
      <c r="F195" s="396"/>
      <c r="G195" s="397"/>
      <c r="H195" s="398" t="s">
        <v>4289</v>
      </c>
      <c r="I195" s="399"/>
      <c r="J195" s="400"/>
      <c r="K195" s="400"/>
      <c r="L195" s="400"/>
      <c r="M195" s="400"/>
      <c r="N195" s="400"/>
      <c r="O195" s="501"/>
      <c r="P195" s="402"/>
      <c r="Q195" s="403"/>
      <c r="R195" s="400"/>
      <c r="S195" s="400"/>
      <c r="T195" s="400"/>
      <c r="U195" s="400"/>
      <c r="V195" s="402"/>
      <c r="X195" s="400"/>
      <c r="Y195" s="400"/>
      <c r="Z195" s="402"/>
      <c r="AA195" s="404">
        <f>+Z196</f>
        <v>6935717.6302301455</v>
      </c>
      <c r="AB195" s="405" t="s">
        <v>4289</v>
      </c>
      <c r="AC195" s="406"/>
      <c r="AD195" s="440"/>
      <c r="AE195" s="441"/>
      <c r="AF195" s="441"/>
      <c r="AG195" s="408"/>
      <c r="AH195" s="409"/>
      <c r="AI195" s="410"/>
      <c r="AJ195" s="411"/>
      <c r="AK195" s="408"/>
      <c r="AL195" s="409"/>
      <c r="AM195" s="442"/>
      <c r="AN195" s="442"/>
      <c r="AO195" s="410"/>
    </row>
    <row r="196" spans="1:44" ht="10.5" customHeight="1" x14ac:dyDescent="0.35">
      <c r="A196" s="412" t="s">
        <v>4271</v>
      </c>
      <c r="B196" s="412" t="s">
        <v>25</v>
      </c>
      <c r="C196" s="412" t="s">
        <v>4271</v>
      </c>
      <c r="D196" s="412" t="s">
        <v>25</v>
      </c>
      <c r="F196" s="434">
        <v>19.149999999999999</v>
      </c>
      <c r="G196" s="414" t="s">
        <v>4112</v>
      </c>
      <c r="H196" s="465" t="s">
        <v>4290</v>
      </c>
      <c r="I196" s="438" t="s">
        <v>98</v>
      </c>
      <c r="J196" s="439">
        <v>1</v>
      </c>
      <c r="K196" s="418">
        <v>2943433.7760000001</v>
      </c>
      <c r="L196" s="418">
        <v>1816615.8408501199</v>
      </c>
      <c r="M196" s="418">
        <v>0</v>
      </c>
      <c r="N196" s="418">
        <v>71400.7442527518</v>
      </c>
      <c r="O196" s="419">
        <f>+SUM(K196:N196)</f>
        <v>4831450.3611028716</v>
      </c>
      <c r="P196" s="420">
        <f>+O196*$P$2</f>
        <v>6935717.6302301455</v>
      </c>
      <c r="Q196" s="403"/>
      <c r="R196" s="421">
        <f>+K196*$P$2</f>
        <v>4225403.1414612345</v>
      </c>
      <c r="S196" s="421">
        <f>+L196*$P$2</f>
        <v>2607816.1986669879</v>
      </c>
      <c r="T196" s="421">
        <f>+M196*$P$2</f>
        <v>0</v>
      </c>
      <c r="U196" s="421">
        <f>+N196*$P$2</f>
        <v>102498.29010192334</v>
      </c>
      <c r="V196" s="422">
        <f>+SUM(R196:U196)</f>
        <v>6935717.6302301455</v>
      </c>
      <c r="W196" s="423"/>
      <c r="X196" s="421">
        <f>+R196*J196</f>
        <v>4225403.1414612345</v>
      </c>
      <c r="Y196" s="421">
        <f>+Z196-X196</f>
        <v>2710314.488768911</v>
      </c>
      <c r="Z196" s="422">
        <f>+V196*J196</f>
        <v>6935717.6302301455</v>
      </c>
      <c r="AA196" s="371"/>
      <c r="AB196" s="425" t="s">
        <v>4289</v>
      </c>
      <c r="AC196" s="427">
        <v>0</v>
      </c>
      <c r="AD196" s="427">
        <v>0</v>
      </c>
      <c r="AE196" s="428">
        <f>AC196+AD196</f>
        <v>0</v>
      </c>
      <c r="AF196" s="437" t="str">
        <f>IF($AE196=1,"🔴","⚪")</f>
        <v>⚪</v>
      </c>
      <c r="AG196" s="430">
        <f>AC196*Z196</f>
        <v>0</v>
      </c>
      <c r="AH196" s="375">
        <f>AD196*Z196</f>
        <v>0</v>
      </c>
      <c r="AI196" s="431">
        <f>AE196*Z196</f>
        <v>0</v>
      </c>
      <c r="AJ196" s="375"/>
      <c r="AK196" s="430">
        <f>AE196*X196</f>
        <v>0</v>
      </c>
      <c r="AL196" s="375">
        <f>AE196*S196*J196</f>
        <v>0</v>
      </c>
      <c r="AM196" s="432">
        <f>AE196*T196*J196</f>
        <v>0</v>
      </c>
      <c r="AN196" s="432">
        <f>AE196*U196*J196</f>
        <v>0</v>
      </c>
      <c r="AO196" s="433">
        <f>AK196+AL196+AM196+AN196</f>
        <v>0</v>
      </c>
      <c r="AQ196" s="563">
        <f>+O196</f>
        <v>4831450.3611028716</v>
      </c>
      <c r="AR196" s="563">
        <f>+O196*J196</f>
        <v>4831450.3611028716</v>
      </c>
    </row>
    <row r="197" spans="1:44" ht="10.5" customHeight="1" x14ac:dyDescent="0.25">
      <c r="A197" s="412" t="s">
        <v>25</v>
      </c>
      <c r="B197" s="412" t="s">
        <v>25</v>
      </c>
      <c r="C197" s="412" t="s">
        <v>25</v>
      </c>
      <c r="D197" s="412" t="s">
        <v>25</v>
      </c>
      <c r="F197" s="396"/>
      <c r="G197" s="397"/>
      <c r="H197" s="398" t="s">
        <v>4291</v>
      </c>
      <c r="I197" s="399"/>
      <c r="J197" s="400"/>
      <c r="K197" s="400"/>
      <c r="L197" s="400"/>
      <c r="M197" s="400"/>
      <c r="N197" s="400"/>
      <c r="O197" s="401"/>
      <c r="P197" s="402"/>
      <c r="Q197" s="403"/>
      <c r="R197" s="400"/>
      <c r="S197" s="400"/>
      <c r="T197" s="400"/>
      <c r="U197" s="400"/>
      <c r="V197" s="402"/>
      <c r="X197" s="400"/>
      <c r="Y197" s="400"/>
      <c r="Z197" s="402"/>
      <c r="AA197" s="404">
        <f>+SUM(Z198:Z201)</f>
        <v>35731754.989663891</v>
      </c>
      <c r="AB197" s="405" t="s">
        <v>4291</v>
      </c>
      <c r="AC197" s="406"/>
      <c r="AD197" s="440"/>
      <c r="AE197" s="441"/>
      <c r="AF197" s="441"/>
      <c r="AG197" s="408"/>
      <c r="AH197" s="409"/>
      <c r="AI197" s="410"/>
      <c r="AJ197" s="411"/>
      <c r="AK197" s="408"/>
      <c r="AL197" s="409"/>
      <c r="AM197" s="442"/>
      <c r="AN197" s="442"/>
      <c r="AO197" s="410"/>
    </row>
    <row r="198" spans="1:44" ht="10.5" customHeight="1" x14ac:dyDescent="0.35">
      <c r="A198" s="412" t="s">
        <v>4271</v>
      </c>
      <c r="B198" s="412" t="s">
        <v>25</v>
      </c>
      <c r="C198" s="412" t="s">
        <v>4271</v>
      </c>
      <c r="D198" s="412" t="s">
        <v>25</v>
      </c>
      <c r="F198" s="434">
        <v>19.16</v>
      </c>
      <c r="G198" s="414" t="s">
        <v>4128</v>
      </c>
      <c r="H198" s="499" t="s">
        <v>4292</v>
      </c>
      <c r="I198" s="438" t="s">
        <v>98</v>
      </c>
      <c r="J198" s="439">
        <v>1</v>
      </c>
      <c r="K198" s="418">
        <v>5213745.5347999996</v>
      </c>
      <c r="L198" s="418">
        <v>15641236.6044</v>
      </c>
      <c r="M198" s="418">
        <v>0</v>
      </c>
      <c r="N198" s="418">
        <v>0</v>
      </c>
      <c r="O198" s="419">
        <f>+SUM(K198:N198)</f>
        <v>20854982.139199998</v>
      </c>
      <c r="P198" s="420">
        <f>+O198*$P$2</f>
        <v>29938063.415799305</v>
      </c>
      <c r="Q198" s="403"/>
      <c r="R198" s="421">
        <f t="shared" ref="R198:U201" si="218">+K198*$P$2</f>
        <v>7484515.8539498262</v>
      </c>
      <c r="S198" s="421">
        <f t="shared" si="218"/>
        <v>22453547.561849479</v>
      </c>
      <c r="T198" s="421">
        <f t="shared" si="218"/>
        <v>0</v>
      </c>
      <c r="U198" s="421">
        <f t="shared" si="218"/>
        <v>0</v>
      </c>
      <c r="V198" s="422">
        <f>+SUM(R198:U198)</f>
        <v>29938063.415799305</v>
      </c>
      <c r="W198" s="423"/>
      <c r="X198" s="421">
        <f>+R198*J198</f>
        <v>7484515.8539498262</v>
      </c>
      <c r="Y198" s="421">
        <f>+Z198-X198</f>
        <v>22453547.561849479</v>
      </c>
      <c r="Z198" s="422">
        <f>+V198*J198</f>
        <v>29938063.415799305</v>
      </c>
      <c r="AA198" s="371"/>
      <c r="AB198" s="425" t="s">
        <v>4291</v>
      </c>
      <c r="AC198" s="427">
        <v>0.1</v>
      </c>
      <c r="AD198" s="427">
        <v>0</v>
      </c>
      <c r="AE198" s="428">
        <f>AC198+AD198</f>
        <v>0.1</v>
      </c>
      <c r="AF198" s="437" t="str">
        <f>IF($AE198=1,"🔴","⚪")</f>
        <v>⚪</v>
      </c>
      <c r="AG198" s="430">
        <f t="shared" ref="AG198:AG206" si="219">AC198*Z198</f>
        <v>2993806.3415799309</v>
      </c>
      <c r="AH198" s="375">
        <f t="shared" ref="AH198:AH206" si="220">AD198*Z198</f>
        <v>0</v>
      </c>
      <c r="AI198" s="431">
        <f t="shared" ref="AI198:AI206" si="221">AE198*Z198</f>
        <v>2993806.3415799309</v>
      </c>
      <c r="AJ198" s="375"/>
      <c r="AK198" s="430">
        <f t="shared" ref="AK198:AK206" si="222">AE198*X198</f>
        <v>748451.58539498271</v>
      </c>
      <c r="AL198" s="375">
        <f>AE198*S198*J198</f>
        <v>2245354.7561849481</v>
      </c>
      <c r="AM198" s="432">
        <f>AE198*T198*J198</f>
        <v>0</v>
      </c>
      <c r="AN198" s="432">
        <f>AE198*U198*J198</f>
        <v>0</v>
      </c>
      <c r="AO198" s="433">
        <f t="shared" ref="AO198:AO206" si="223">AK198+AL198+AM198+AN198</f>
        <v>2993806.3415799309</v>
      </c>
      <c r="AQ198" s="563">
        <f>+O198</f>
        <v>20854982.139199998</v>
      </c>
      <c r="AR198" s="563">
        <f>+O198*J198</f>
        <v>20854982.139199998</v>
      </c>
    </row>
    <row r="199" spans="1:44" ht="10.5" customHeight="1" x14ac:dyDescent="0.35">
      <c r="A199" s="412" t="s">
        <v>4271</v>
      </c>
      <c r="B199" s="412" t="s">
        <v>25</v>
      </c>
      <c r="C199" s="412" t="s">
        <v>4271</v>
      </c>
      <c r="D199" s="412" t="s">
        <v>25</v>
      </c>
      <c r="F199" s="434">
        <v>19.170000000000002</v>
      </c>
      <c r="G199" s="445" t="s">
        <v>4128</v>
      </c>
      <c r="H199" s="502" t="s">
        <v>3742</v>
      </c>
      <c r="I199" s="479" t="s">
        <v>35</v>
      </c>
      <c r="J199" s="448">
        <v>8</v>
      </c>
      <c r="K199" s="418">
        <v>15000</v>
      </c>
      <c r="L199" s="418">
        <v>30000</v>
      </c>
      <c r="M199" s="418">
        <v>0</v>
      </c>
      <c r="N199" s="418">
        <v>0</v>
      </c>
      <c r="O199" s="419">
        <f>+SUM(K199:N199)</f>
        <v>45000</v>
      </c>
      <c r="P199" s="420">
        <f>+O199*$P$2</f>
        <v>64599.08930723487</v>
      </c>
      <c r="Q199" s="403"/>
      <c r="R199" s="421">
        <f t="shared" si="218"/>
        <v>21533.02976907829</v>
      </c>
      <c r="S199" s="421">
        <f t="shared" si="218"/>
        <v>43066.05953815658</v>
      </c>
      <c r="T199" s="421">
        <f t="shared" si="218"/>
        <v>0</v>
      </c>
      <c r="U199" s="421">
        <f t="shared" si="218"/>
        <v>0</v>
      </c>
      <c r="V199" s="422">
        <f>+SUM(R199:U199)</f>
        <v>64599.08930723487</v>
      </c>
      <c r="W199" s="423"/>
      <c r="X199" s="421">
        <f>+R199*J199</f>
        <v>172264.23815262632</v>
      </c>
      <c r="Y199" s="421">
        <f>+Z199-X199</f>
        <v>344528.47630525264</v>
      </c>
      <c r="Z199" s="422">
        <f>+V199*J199</f>
        <v>516792.71445787896</v>
      </c>
      <c r="AA199" s="371"/>
      <c r="AB199" s="425" t="s">
        <v>4291</v>
      </c>
      <c r="AC199" s="427">
        <v>0</v>
      </c>
      <c r="AD199" s="427">
        <v>0</v>
      </c>
      <c r="AE199" s="428">
        <f>AC199+AD199</f>
        <v>0</v>
      </c>
      <c r="AF199" s="437" t="str">
        <f>IF($AE199=1,"🔴","⚪")</f>
        <v>⚪</v>
      </c>
      <c r="AG199" s="430">
        <f t="shared" si="219"/>
        <v>0</v>
      </c>
      <c r="AH199" s="375">
        <f t="shared" si="220"/>
        <v>0</v>
      </c>
      <c r="AI199" s="431">
        <f t="shared" si="221"/>
        <v>0</v>
      </c>
      <c r="AJ199" s="375"/>
      <c r="AK199" s="430">
        <f t="shared" si="222"/>
        <v>0</v>
      </c>
      <c r="AL199" s="375">
        <f>AE199*S199*J199</f>
        <v>0</v>
      </c>
      <c r="AM199" s="432">
        <f>AE199*T199*J199</f>
        <v>0</v>
      </c>
      <c r="AN199" s="432">
        <f>AE199*U199*J199</f>
        <v>0</v>
      </c>
      <c r="AO199" s="433">
        <f t="shared" si="223"/>
        <v>0</v>
      </c>
      <c r="AQ199" s="563">
        <f>+O199</f>
        <v>45000</v>
      </c>
      <c r="AR199" s="563">
        <f>+O199*J199</f>
        <v>360000</v>
      </c>
    </row>
    <row r="200" spans="1:44" ht="10.5" customHeight="1" x14ac:dyDescent="0.35">
      <c r="A200" s="412" t="s">
        <v>4271</v>
      </c>
      <c r="B200" s="412" t="s">
        <v>25</v>
      </c>
      <c r="C200" s="412" t="s">
        <v>4271</v>
      </c>
      <c r="D200" s="412" t="s">
        <v>25</v>
      </c>
      <c r="F200" s="434">
        <v>19.18</v>
      </c>
      <c r="G200" s="445" t="s">
        <v>4128</v>
      </c>
      <c r="H200" s="502" t="s">
        <v>3751</v>
      </c>
      <c r="I200" s="479" t="s">
        <v>98</v>
      </c>
      <c r="J200" s="448">
        <v>8</v>
      </c>
      <c r="K200" s="418">
        <v>1500</v>
      </c>
      <c r="L200" s="418">
        <v>19238.769926642999</v>
      </c>
      <c r="M200" s="418">
        <v>0</v>
      </c>
      <c r="N200" s="418">
        <v>0</v>
      </c>
      <c r="O200" s="419">
        <f>+SUM(K200:N200)</f>
        <v>20738.769926642999</v>
      </c>
      <c r="P200" s="420">
        <f>+O200*$P$2</f>
        <v>29771.236680297952</v>
      </c>
      <c r="Q200" s="403"/>
      <c r="R200" s="421">
        <f t="shared" si="218"/>
        <v>2153.3029769078289</v>
      </c>
      <c r="S200" s="421">
        <f t="shared" si="218"/>
        <v>27617.933703390121</v>
      </c>
      <c r="T200" s="421">
        <f t="shared" si="218"/>
        <v>0</v>
      </c>
      <c r="U200" s="421">
        <f t="shared" si="218"/>
        <v>0</v>
      </c>
      <c r="V200" s="422">
        <f>+SUM(R200:U200)</f>
        <v>29771.236680297949</v>
      </c>
      <c r="W200" s="423"/>
      <c r="X200" s="421">
        <f>+R200*J200</f>
        <v>17226.423815262631</v>
      </c>
      <c r="Y200" s="421">
        <f>+Z200-X200</f>
        <v>220943.46962712097</v>
      </c>
      <c r="Z200" s="422">
        <f>+V200*J200</f>
        <v>238169.89344238359</v>
      </c>
      <c r="AA200" s="371"/>
      <c r="AB200" s="425" t="s">
        <v>4291</v>
      </c>
      <c r="AC200" s="427">
        <v>0</v>
      </c>
      <c r="AD200" s="427">
        <v>0</v>
      </c>
      <c r="AE200" s="428">
        <f>AC200+AD200</f>
        <v>0</v>
      </c>
      <c r="AF200" s="437" t="str">
        <f>IF($AE200=1,"🔴","⚪")</f>
        <v>⚪</v>
      </c>
      <c r="AG200" s="430">
        <f t="shared" si="219"/>
        <v>0</v>
      </c>
      <c r="AH200" s="375">
        <f t="shared" si="220"/>
        <v>0</v>
      </c>
      <c r="AI200" s="431">
        <f t="shared" si="221"/>
        <v>0</v>
      </c>
      <c r="AJ200" s="375"/>
      <c r="AK200" s="430">
        <f t="shared" si="222"/>
        <v>0</v>
      </c>
      <c r="AL200" s="375">
        <f>AE200*S200*J200</f>
        <v>0</v>
      </c>
      <c r="AM200" s="432">
        <f>AE200*T200*J200</f>
        <v>0</v>
      </c>
      <c r="AN200" s="432">
        <f>AE200*U200*J200</f>
        <v>0</v>
      </c>
      <c r="AO200" s="433">
        <f t="shared" si="223"/>
        <v>0</v>
      </c>
      <c r="AQ200" s="563">
        <f>+O200</f>
        <v>20738.769926642999</v>
      </c>
      <c r="AR200" s="563">
        <f>+O200*J200</f>
        <v>165910.15941314399</v>
      </c>
    </row>
    <row r="201" spans="1:44" ht="10.5" customHeight="1" x14ac:dyDescent="0.35">
      <c r="A201" s="412" t="s">
        <v>4271</v>
      </c>
      <c r="B201" s="412" t="s">
        <v>25</v>
      </c>
      <c r="C201" s="412" t="s">
        <v>4271</v>
      </c>
      <c r="D201" s="412" t="s">
        <v>25</v>
      </c>
      <c r="F201" s="414">
        <v>19.190000000000001</v>
      </c>
      <c r="G201" s="450" t="s">
        <v>4293</v>
      </c>
      <c r="H201" s="500" t="s">
        <v>4294</v>
      </c>
      <c r="I201" s="477" t="s">
        <v>98</v>
      </c>
      <c r="J201" s="453">
        <v>1</v>
      </c>
      <c r="K201" s="418">
        <v>0</v>
      </c>
      <c r="L201" s="418">
        <v>3510000</v>
      </c>
      <c r="M201" s="418">
        <v>0</v>
      </c>
      <c r="N201" s="418">
        <v>0</v>
      </c>
      <c r="O201" s="419">
        <f>+SUM(K201:N201)</f>
        <v>3510000</v>
      </c>
      <c r="P201" s="420">
        <f>+O201*$P$2</f>
        <v>5038728.9659643192</v>
      </c>
      <c r="Q201" s="403"/>
      <c r="R201" s="421">
        <f t="shared" si="218"/>
        <v>0</v>
      </c>
      <c r="S201" s="421">
        <f t="shared" si="218"/>
        <v>5038728.9659643192</v>
      </c>
      <c r="T201" s="421">
        <f t="shared" si="218"/>
        <v>0</v>
      </c>
      <c r="U201" s="421">
        <f t="shared" si="218"/>
        <v>0</v>
      </c>
      <c r="V201" s="422">
        <f>+SUM(R201:U201)</f>
        <v>5038728.9659643192</v>
      </c>
      <c r="W201" s="423"/>
      <c r="X201" s="421">
        <f>+R201*J201</f>
        <v>0</v>
      </c>
      <c r="Y201" s="421">
        <f>+Z201-X201</f>
        <v>5038728.9659643192</v>
      </c>
      <c r="Z201" s="422">
        <f>+V201*J201</f>
        <v>5038728.9659643192</v>
      </c>
      <c r="AA201" s="371"/>
      <c r="AB201" s="425" t="s">
        <v>4291</v>
      </c>
      <c r="AC201" s="427">
        <v>0.2</v>
      </c>
      <c r="AD201" s="427">
        <v>0</v>
      </c>
      <c r="AE201" s="428">
        <f>AC201+AD201</f>
        <v>0.2</v>
      </c>
      <c r="AF201" s="437" t="str">
        <f>IF($AE201=1,"🔴","⚪")</f>
        <v>⚪</v>
      </c>
      <c r="AG201" s="430">
        <f t="shared" si="219"/>
        <v>1007745.7931928639</v>
      </c>
      <c r="AH201" s="375">
        <f t="shared" si="220"/>
        <v>0</v>
      </c>
      <c r="AI201" s="431">
        <f t="shared" si="221"/>
        <v>1007745.7931928639</v>
      </c>
      <c r="AJ201" s="375"/>
      <c r="AK201" s="430">
        <f t="shared" si="222"/>
        <v>0</v>
      </c>
      <c r="AL201" s="375">
        <f>AE201*S201*J201</f>
        <v>1007745.7931928639</v>
      </c>
      <c r="AM201" s="432">
        <f>AE201*T201*J201</f>
        <v>0</v>
      </c>
      <c r="AN201" s="432">
        <f>AE201*U201*J201</f>
        <v>0</v>
      </c>
      <c r="AO201" s="433">
        <f t="shared" si="223"/>
        <v>1007745.7931928639</v>
      </c>
      <c r="AQ201" s="563">
        <f>+O201</f>
        <v>3510000</v>
      </c>
      <c r="AR201" s="563">
        <f>+O201*J201</f>
        <v>3510000</v>
      </c>
    </row>
    <row r="202" spans="1:44" ht="10.5" customHeight="1" x14ac:dyDescent="0.25">
      <c r="A202" s="412" t="s">
        <v>25</v>
      </c>
      <c r="B202" s="412" t="s">
        <v>25</v>
      </c>
      <c r="C202" s="412" t="s">
        <v>25</v>
      </c>
      <c r="D202" s="412" t="s">
        <v>25</v>
      </c>
      <c r="F202" s="396">
        <v>20</v>
      </c>
      <c r="G202" s="397"/>
      <c r="H202" s="398" t="s">
        <v>4295</v>
      </c>
      <c r="I202" s="399"/>
      <c r="J202" s="400"/>
      <c r="K202" s="400"/>
      <c r="L202" s="400"/>
      <c r="M202" s="400"/>
      <c r="N202" s="400"/>
      <c r="O202" s="401"/>
      <c r="P202" s="402"/>
      <c r="Q202" s="403"/>
      <c r="R202" s="400"/>
      <c r="S202" s="400"/>
      <c r="T202" s="400"/>
      <c r="U202" s="400"/>
      <c r="V202" s="402"/>
      <c r="X202" s="400"/>
      <c r="Y202" s="400"/>
      <c r="Z202" s="402"/>
      <c r="AA202" s="371"/>
      <c r="AB202" s="405" t="s">
        <v>4295</v>
      </c>
      <c r="AC202" s="406"/>
      <c r="AD202" s="440"/>
      <c r="AE202" s="441"/>
      <c r="AF202" s="441"/>
      <c r="AG202" s="408">
        <f t="shared" si="219"/>
        <v>0</v>
      </c>
      <c r="AH202" s="409">
        <f t="shared" si="220"/>
        <v>0</v>
      </c>
      <c r="AI202" s="410">
        <f t="shared" si="221"/>
        <v>0</v>
      </c>
      <c r="AJ202" s="411"/>
      <c r="AK202" s="408">
        <f t="shared" si="222"/>
        <v>0</v>
      </c>
      <c r="AL202" s="409">
        <f>AE202*S202</f>
        <v>0</v>
      </c>
      <c r="AM202" s="442">
        <f>AE202*T202</f>
        <v>0</v>
      </c>
      <c r="AN202" s="442">
        <f>AE202*U202</f>
        <v>0</v>
      </c>
      <c r="AO202" s="410">
        <f t="shared" si="223"/>
        <v>0</v>
      </c>
    </row>
    <row r="203" spans="1:44" ht="10.5" customHeight="1" x14ac:dyDescent="0.35">
      <c r="A203" s="412" t="s">
        <v>25</v>
      </c>
      <c r="B203" s="412" t="s">
        <v>25</v>
      </c>
      <c r="C203" s="412" t="s">
        <v>25</v>
      </c>
      <c r="D203" s="412" t="s">
        <v>25</v>
      </c>
      <c r="F203" s="471">
        <v>20.010000000000002</v>
      </c>
      <c r="G203" s="480" t="s">
        <v>4112</v>
      </c>
      <c r="H203" s="473" t="s">
        <v>4296</v>
      </c>
      <c r="I203" s="483" t="s">
        <v>35</v>
      </c>
      <c r="J203" s="484">
        <v>0</v>
      </c>
      <c r="K203" s="418">
        <v>0</v>
      </c>
      <c r="L203" s="418">
        <v>0</v>
      </c>
      <c r="M203" s="418">
        <v>0</v>
      </c>
      <c r="N203" s="418">
        <v>0</v>
      </c>
      <c r="O203" s="419">
        <f>+SUM(K203:N203)</f>
        <v>0</v>
      </c>
      <c r="P203" s="420">
        <f>+O203*$P$2</f>
        <v>0</v>
      </c>
      <c r="Q203" s="403"/>
      <c r="R203" s="421">
        <f t="shared" ref="R203:U204" si="224">+K203*$P$2</f>
        <v>0</v>
      </c>
      <c r="S203" s="421">
        <f t="shared" si="224"/>
        <v>0</v>
      </c>
      <c r="T203" s="421">
        <f t="shared" si="224"/>
        <v>0</v>
      </c>
      <c r="U203" s="421">
        <f t="shared" si="224"/>
        <v>0</v>
      </c>
      <c r="V203" s="422">
        <f>+SUM(R203:U203)</f>
        <v>0</v>
      </c>
      <c r="W203" s="423"/>
      <c r="X203" s="421">
        <f>+R203*J203</f>
        <v>0</v>
      </c>
      <c r="Y203" s="421">
        <f>+Z203-X203</f>
        <v>0</v>
      </c>
      <c r="Z203" s="422">
        <f>+V203*J203</f>
        <v>0</v>
      </c>
      <c r="AA203" s="424"/>
      <c r="AB203" s="425" t="s">
        <v>4295</v>
      </c>
      <c r="AC203" s="427">
        <v>0</v>
      </c>
      <c r="AD203" s="427">
        <v>0</v>
      </c>
      <c r="AE203" s="428">
        <f>AC203+AD203</f>
        <v>0</v>
      </c>
      <c r="AF203" s="437" t="str">
        <f>IF($AE203=1,"🔴","⚪")</f>
        <v>⚪</v>
      </c>
      <c r="AG203" s="430">
        <f t="shared" si="219"/>
        <v>0</v>
      </c>
      <c r="AH203" s="375">
        <f t="shared" si="220"/>
        <v>0</v>
      </c>
      <c r="AI203" s="431">
        <f t="shared" si="221"/>
        <v>0</v>
      </c>
      <c r="AJ203" s="375"/>
      <c r="AK203" s="430">
        <f t="shared" si="222"/>
        <v>0</v>
      </c>
      <c r="AL203" s="375">
        <f>AE203*S203*J203</f>
        <v>0</v>
      </c>
      <c r="AM203" s="432">
        <f>AE203*T203*J203</f>
        <v>0</v>
      </c>
      <c r="AN203" s="432">
        <f>AE203*U203*J203</f>
        <v>0</v>
      </c>
      <c r="AO203" s="433">
        <f t="shared" si="223"/>
        <v>0</v>
      </c>
      <c r="AQ203" s="563">
        <f>+O203</f>
        <v>0</v>
      </c>
      <c r="AR203" s="563">
        <f>+O203*J203</f>
        <v>0</v>
      </c>
    </row>
    <row r="204" spans="1:44" ht="10.5" customHeight="1" x14ac:dyDescent="0.35">
      <c r="A204" s="412" t="s">
        <v>25</v>
      </c>
      <c r="B204" s="412" t="s">
        <v>25</v>
      </c>
      <c r="C204" s="412" t="s">
        <v>25</v>
      </c>
      <c r="D204" s="412" t="s">
        <v>25</v>
      </c>
      <c r="F204" s="434">
        <v>20.02</v>
      </c>
      <c r="G204" s="414" t="s">
        <v>4112</v>
      </c>
      <c r="H204" s="435" t="s">
        <v>4297</v>
      </c>
      <c r="I204" s="478" t="s">
        <v>35</v>
      </c>
      <c r="J204" s="421">
        <v>0</v>
      </c>
      <c r="K204" s="418">
        <v>0</v>
      </c>
      <c r="L204" s="418">
        <v>0</v>
      </c>
      <c r="M204" s="418">
        <v>0</v>
      </c>
      <c r="N204" s="418">
        <v>0</v>
      </c>
      <c r="O204" s="419">
        <f>+SUM(K204:N204)</f>
        <v>0</v>
      </c>
      <c r="P204" s="420">
        <f>+O204*$P$2</f>
        <v>0</v>
      </c>
      <c r="Q204" s="403"/>
      <c r="R204" s="421">
        <f t="shared" si="224"/>
        <v>0</v>
      </c>
      <c r="S204" s="421">
        <f t="shared" si="224"/>
        <v>0</v>
      </c>
      <c r="T204" s="421">
        <f t="shared" si="224"/>
        <v>0</v>
      </c>
      <c r="U204" s="421">
        <f t="shared" si="224"/>
        <v>0</v>
      </c>
      <c r="V204" s="422">
        <f>+SUM(R204:U204)</f>
        <v>0</v>
      </c>
      <c r="W204" s="423"/>
      <c r="X204" s="421">
        <f>+R204*J204</f>
        <v>0</v>
      </c>
      <c r="Y204" s="421">
        <f>+Z204-X204</f>
        <v>0</v>
      </c>
      <c r="Z204" s="422">
        <f>+V204*J204</f>
        <v>0</v>
      </c>
      <c r="AA204" s="424"/>
      <c r="AB204" s="425" t="s">
        <v>4295</v>
      </c>
      <c r="AC204" s="427">
        <v>0</v>
      </c>
      <c r="AD204" s="427">
        <v>0</v>
      </c>
      <c r="AE204" s="428">
        <f>AC204+AD204</f>
        <v>0</v>
      </c>
      <c r="AF204" s="437" t="str">
        <f>IF($AE204=1,"🔴","⚪")</f>
        <v>⚪</v>
      </c>
      <c r="AG204" s="430">
        <f t="shared" si="219"/>
        <v>0</v>
      </c>
      <c r="AH204" s="375">
        <f t="shared" si="220"/>
        <v>0</v>
      </c>
      <c r="AI204" s="431">
        <f t="shared" si="221"/>
        <v>0</v>
      </c>
      <c r="AJ204" s="375"/>
      <c r="AK204" s="430">
        <f t="shared" si="222"/>
        <v>0</v>
      </c>
      <c r="AL204" s="375">
        <f>AE204*S204*J204</f>
        <v>0</v>
      </c>
      <c r="AM204" s="432">
        <f>AE204*T204*J204</f>
        <v>0</v>
      </c>
      <c r="AN204" s="432">
        <f>AE204*U204*J204</f>
        <v>0</v>
      </c>
      <c r="AO204" s="433">
        <f t="shared" si="223"/>
        <v>0</v>
      </c>
      <c r="AQ204" s="563">
        <f>+O204</f>
        <v>0</v>
      </c>
      <c r="AR204" s="563">
        <f>+O204*J204</f>
        <v>0</v>
      </c>
    </row>
    <row r="205" spans="1:44" ht="10.5" customHeight="1" x14ac:dyDescent="0.25">
      <c r="A205" s="412" t="s">
        <v>25</v>
      </c>
      <c r="B205" s="412" t="s">
        <v>25</v>
      </c>
      <c r="C205" s="412" t="s">
        <v>25</v>
      </c>
      <c r="D205" s="412" t="s">
        <v>25</v>
      </c>
      <c r="F205" s="396">
        <v>21</v>
      </c>
      <c r="G205" s="397"/>
      <c r="H205" s="398" t="s">
        <v>4298</v>
      </c>
      <c r="I205" s="399"/>
      <c r="J205" s="400"/>
      <c r="K205" s="400"/>
      <c r="L205" s="400"/>
      <c r="M205" s="400"/>
      <c r="N205" s="400"/>
      <c r="O205" s="401"/>
      <c r="P205" s="402"/>
      <c r="Q205" s="403"/>
      <c r="R205" s="400"/>
      <c r="S205" s="400"/>
      <c r="T205" s="400"/>
      <c r="U205" s="400"/>
      <c r="V205" s="402"/>
      <c r="X205" s="400"/>
      <c r="Y205" s="400"/>
      <c r="Z205" s="402"/>
      <c r="AA205" s="371"/>
      <c r="AB205" s="405" t="s">
        <v>4298</v>
      </c>
      <c r="AC205" s="406"/>
      <c r="AD205" s="440"/>
      <c r="AE205" s="441"/>
      <c r="AF205" s="441"/>
      <c r="AG205" s="408">
        <f t="shared" si="219"/>
        <v>0</v>
      </c>
      <c r="AH205" s="409">
        <f t="shared" si="220"/>
        <v>0</v>
      </c>
      <c r="AI205" s="410">
        <f t="shared" si="221"/>
        <v>0</v>
      </c>
      <c r="AJ205" s="411"/>
      <c r="AK205" s="408">
        <f t="shared" si="222"/>
        <v>0</v>
      </c>
      <c r="AL205" s="409">
        <f>AE205*S205</f>
        <v>0</v>
      </c>
      <c r="AM205" s="442">
        <f>AE205*T205</f>
        <v>0</v>
      </c>
      <c r="AN205" s="442">
        <f>AE205*U205</f>
        <v>0</v>
      </c>
      <c r="AO205" s="410">
        <f t="shared" si="223"/>
        <v>0</v>
      </c>
    </row>
    <row r="206" spans="1:44" ht="10.5" customHeight="1" x14ac:dyDescent="0.35">
      <c r="A206" s="412" t="s">
        <v>25</v>
      </c>
      <c r="B206" s="412" t="s">
        <v>25</v>
      </c>
      <c r="C206" s="412" t="s">
        <v>25</v>
      </c>
      <c r="D206" s="412" t="s">
        <v>25</v>
      </c>
      <c r="F206" s="503">
        <v>21.01</v>
      </c>
      <c r="G206" s="503" t="s">
        <v>4112</v>
      </c>
      <c r="H206" s="504" t="s">
        <v>4299</v>
      </c>
      <c r="I206" s="505" t="s">
        <v>98</v>
      </c>
      <c r="J206" s="506">
        <v>1</v>
      </c>
      <c r="K206" s="418">
        <v>0</v>
      </c>
      <c r="L206" s="418">
        <v>0</v>
      </c>
      <c r="M206" s="418">
        <v>0</v>
      </c>
      <c r="N206" s="418">
        <v>0</v>
      </c>
      <c r="O206" s="419">
        <f>+SUM(K206:N206)</f>
        <v>0</v>
      </c>
      <c r="P206" s="420">
        <f>+O206*$P$2</f>
        <v>0</v>
      </c>
      <c r="Q206" s="403"/>
      <c r="R206" s="421">
        <f>+K206*$P$2</f>
        <v>0</v>
      </c>
      <c r="S206" s="421">
        <f>+L206*$P$2</f>
        <v>0</v>
      </c>
      <c r="T206" s="421">
        <f>+M206*$P$2</f>
        <v>0</v>
      </c>
      <c r="U206" s="421">
        <f>+N206*$P$2</f>
        <v>0</v>
      </c>
      <c r="V206" s="422">
        <f>+SUM(R206:U206)</f>
        <v>0</v>
      </c>
      <c r="W206" s="423"/>
      <c r="X206" s="421">
        <f>+R206*J206</f>
        <v>0</v>
      </c>
      <c r="Y206" s="421">
        <f>+Z206-X206</f>
        <v>0</v>
      </c>
      <c r="Z206" s="422">
        <f>+V206*J206</f>
        <v>0</v>
      </c>
      <c r="AA206" s="371"/>
      <c r="AB206" s="425" t="s">
        <v>4298</v>
      </c>
      <c r="AC206" s="427">
        <v>0</v>
      </c>
      <c r="AD206" s="427">
        <v>0</v>
      </c>
      <c r="AE206" s="428">
        <f>AC206+AD206</f>
        <v>0</v>
      </c>
      <c r="AF206" s="437" t="str">
        <f>IF($AE206=1,"🔴","⚪")</f>
        <v>⚪</v>
      </c>
      <c r="AG206" s="430">
        <f t="shared" si="219"/>
        <v>0</v>
      </c>
      <c r="AH206" s="375">
        <f t="shared" si="220"/>
        <v>0</v>
      </c>
      <c r="AI206" s="431">
        <f t="shared" si="221"/>
        <v>0</v>
      </c>
      <c r="AJ206" s="375"/>
      <c r="AK206" s="430">
        <f t="shared" si="222"/>
        <v>0</v>
      </c>
      <c r="AL206" s="375">
        <f>AE206*S206*J206</f>
        <v>0</v>
      </c>
      <c r="AM206" s="432">
        <f>AE206*T206*J206</f>
        <v>0</v>
      </c>
      <c r="AN206" s="432">
        <f>AE206*U206*J206</f>
        <v>0</v>
      </c>
      <c r="AO206" s="433">
        <f t="shared" si="223"/>
        <v>0</v>
      </c>
      <c r="AQ206" s="563">
        <f>+O206</f>
        <v>0</v>
      </c>
      <c r="AR206" s="563">
        <f>+O206*J206</f>
        <v>0</v>
      </c>
    </row>
    <row r="207" spans="1:44" ht="10.5" customHeight="1" x14ac:dyDescent="0.25">
      <c r="A207" s="412" t="s">
        <v>25</v>
      </c>
      <c r="B207" s="412" t="s">
        <v>25</v>
      </c>
      <c r="C207" s="412" t="s">
        <v>25</v>
      </c>
      <c r="D207" s="412" t="s">
        <v>25</v>
      </c>
      <c r="F207" s="396">
        <v>22</v>
      </c>
      <c r="G207" s="397"/>
      <c r="H207" s="398" t="s">
        <v>4300</v>
      </c>
      <c r="I207" s="399"/>
      <c r="J207" s="400"/>
      <c r="K207" s="400"/>
      <c r="L207" s="400"/>
      <c r="M207" s="400"/>
      <c r="N207" s="400"/>
      <c r="O207" s="401"/>
      <c r="P207" s="402"/>
      <c r="Q207" s="403"/>
      <c r="R207" s="400"/>
      <c r="S207" s="400"/>
      <c r="T207" s="400"/>
      <c r="U207" s="400"/>
      <c r="V207" s="402"/>
      <c r="X207" s="400"/>
      <c r="Y207" s="400"/>
      <c r="Z207" s="402"/>
      <c r="AA207" s="404">
        <f>+SUM(Z208:Z209)</f>
        <v>3160933.9272752577</v>
      </c>
      <c r="AB207" s="405" t="s">
        <v>4300</v>
      </c>
      <c r="AC207" s="406"/>
      <c r="AD207" s="440"/>
      <c r="AE207" s="441"/>
      <c r="AF207" s="441"/>
      <c r="AG207" s="408"/>
      <c r="AH207" s="409"/>
      <c r="AI207" s="410"/>
      <c r="AJ207" s="411"/>
      <c r="AK207" s="408"/>
      <c r="AL207" s="409"/>
      <c r="AM207" s="442"/>
      <c r="AN207" s="442"/>
      <c r="AO207" s="410"/>
    </row>
    <row r="208" spans="1:44" ht="10.5" customHeight="1" x14ac:dyDescent="0.35">
      <c r="A208" s="412" t="s">
        <v>3219</v>
      </c>
      <c r="B208" s="412" t="s">
        <v>25</v>
      </c>
      <c r="C208" s="412" t="s">
        <v>3219</v>
      </c>
      <c r="D208" s="412" t="s">
        <v>25</v>
      </c>
      <c r="F208" s="460">
        <v>22.01</v>
      </c>
      <c r="G208" s="460" t="s">
        <v>4112</v>
      </c>
      <c r="H208" s="489" t="s">
        <v>4301</v>
      </c>
      <c r="I208" s="476" t="s">
        <v>35</v>
      </c>
      <c r="J208" s="507">
        <v>8</v>
      </c>
      <c r="K208" s="418">
        <v>0</v>
      </c>
      <c r="L208" s="418">
        <v>68810</v>
      </c>
      <c r="M208" s="418">
        <v>0</v>
      </c>
      <c r="N208" s="418">
        <v>0</v>
      </c>
      <c r="O208" s="419">
        <f>+SUM(K208:N208)</f>
        <v>68810</v>
      </c>
      <c r="P208" s="420">
        <f>+O208*$P$2</f>
        <v>98779.185227351802</v>
      </c>
      <c r="Q208" s="403"/>
      <c r="R208" s="421">
        <f t="shared" ref="R208:U209" si="225">+K208*$P$2</f>
        <v>0</v>
      </c>
      <c r="S208" s="421">
        <f t="shared" si="225"/>
        <v>98779.185227351802</v>
      </c>
      <c r="T208" s="421">
        <f t="shared" si="225"/>
        <v>0</v>
      </c>
      <c r="U208" s="421">
        <f t="shared" si="225"/>
        <v>0</v>
      </c>
      <c r="V208" s="422">
        <f>+SUM(R208:U208)</f>
        <v>98779.185227351802</v>
      </c>
      <c r="W208" s="423"/>
      <c r="X208" s="421">
        <f>+R208*J208</f>
        <v>0</v>
      </c>
      <c r="Y208" s="421">
        <f>+Z208-X208</f>
        <v>790233.48181881441</v>
      </c>
      <c r="Z208" s="422">
        <f>+V208*J208</f>
        <v>790233.48181881441</v>
      </c>
      <c r="AA208" s="508"/>
      <c r="AB208" s="425" t="s">
        <v>4300</v>
      </c>
      <c r="AC208" s="427">
        <v>0</v>
      </c>
      <c r="AD208" s="427">
        <v>0</v>
      </c>
      <c r="AE208" s="428">
        <f>AC208+AD208</f>
        <v>0</v>
      </c>
      <c r="AF208" s="437" t="str">
        <f>IF($AE208=1,"🔴","⚪")</f>
        <v>⚪</v>
      </c>
      <c r="AG208" s="430">
        <f>AC208*Z208</f>
        <v>0</v>
      </c>
      <c r="AH208" s="375">
        <f>AD208*Z208</f>
        <v>0</v>
      </c>
      <c r="AI208" s="431">
        <f>AE208*Z208</f>
        <v>0</v>
      </c>
      <c r="AJ208" s="375"/>
      <c r="AK208" s="430">
        <f>AE208*X208</f>
        <v>0</v>
      </c>
      <c r="AL208" s="375">
        <f>AE208*S208*J208</f>
        <v>0</v>
      </c>
      <c r="AM208" s="432">
        <f>AE208*T208*J208</f>
        <v>0</v>
      </c>
      <c r="AN208" s="432">
        <f>AE208*U208*J208</f>
        <v>0</v>
      </c>
      <c r="AO208" s="433">
        <f>AK208+AL208+AM208+AN208</f>
        <v>0</v>
      </c>
      <c r="AQ208" s="563">
        <f>+O208</f>
        <v>68810</v>
      </c>
      <c r="AR208" s="563">
        <f>+O208*J208</f>
        <v>550480</v>
      </c>
    </row>
    <row r="209" spans="1:44" ht="10.5" customHeight="1" x14ac:dyDescent="0.35">
      <c r="A209" s="412" t="s">
        <v>3219</v>
      </c>
      <c r="B209" s="412" t="s">
        <v>25</v>
      </c>
      <c r="C209" s="412" t="s">
        <v>3219</v>
      </c>
      <c r="D209" s="412" t="s">
        <v>25</v>
      </c>
      <c r="F209" s="414">
        <v>22.02</v>
      </c>
      <c r="G209" s="414" t="s">
        <v>4112</v>
      </c>
      <c r="H209" s="465" t="s">
        <v>4302</v>
      </c>
      <c r="I209" s="438" t="s">
        <v>35</v>
      </c>
      <c r="J209" s="507">
        <v>24</v>
      </c>
      <c r="K209" s="418">
        <v>0</v>
      </c>
      <c r="L209" s="418">
        <v>68810</v>
      </c>
      <c r="M209" s="418">
        <v>0</v>
      </c>
      <c r="N209" s="418">
        <v>0</v>
      </c>
      <c r="O209" s="419">
        <f>+SUM(K209:N209)</f>
        <v>68810</v>
      </c>
      <c r="P209" s="420">
        <f>+O209*$P$2</f>
        <v>98779.185227351802</v>
      </c>
      <c r="Q209" s="403"/>
      <c r="R209" s="421">
        <f t="shared" si="225"/>
        <v>0</v>
      </c>
      <c r="S209" s="421">
        <f t="shared" si="225"/>
        <v>98779.185227351802</v>
      </c>
      <c r="T209" s="421">
        <f t="shared" si="225"/>
        <v>0</v>
      </c>
      <c r="U209" s="421">
        <f t="shared" si="225"/>
        <v>0</v>
      </c>
      <c r="V209" s="422">
        <f>+SUM(R209:U209)</f>
        <v>98779.185227351802</v>
      </c>
      <c r="W209" s="423"/>
      <c r="X209" s="421">
        <f>+R209*J209</f>
        <v>0</v>
      </c>
      <c r="Y209" s="421">
        <f>+Z209-X209</f>
        <v>2370700.4454564434</v>
      </c>
      <c r="Z209" s="422">
        <f>+V209*J209</f>
        <v>2370700.4454564434</v>
      </c>
      <c r="AA209" s="508"/>
      <c r="AB209" s="425" t="s">
        <v>4300</v>
      </c>
      <c r="AC209" s="427">
        <v>0</v>
      </c>
      <c r="AD209" s="427">
        <v>0</v>
      </c>
      <c r="AE209" s="428">
        <f>AC209+AD209</f>
        <v>0</v>
      </c>
      <c r="AF209" s="437" t="str">
        <f>IF($AE209=1,"🔴","⚪")</f>
        <v>⚪</v>
      </c>
      <c r="AG209" s="430">
        <f>AC209*Z209</f>
        <v>0</v>
      </c>
      <c r="AH209" s="375">
        <f>AD209*Z209</f>
        <v>0</v>
      </c>
      <c r="AI209" s="431">
        <f>AE209*Z209</f>
        <v>0</v>
      </c>
      <c r="AJ209" s="375"/>
      <c r="AK209" s="430">
        <f>AE209*X209</f>
        <v>0</v>
      </c>
      <c r="AL209" s="375">
        <f>AE209*S209*J209</f>
        <v>0</v>
      </c>
      <c r="AM209" s="432">
        <f>AE209*T209*J209</f>
        <v>0</v>
      </c>
      <c r="AN209" s="432">
        <f>AE209*U209*J209</f>
        <v>0</v>
      </c>
      <c r="AO209" s="433">
        <f>AK209+AL209+AM209+AN209</f>
        <v>0</v>
      </c>
      <c r="AQ209" s="563">
        <f>+O209</f>
        <v>68810</v>
      </c>
      <c r="AR209" s="563">
        <f>+O209*J209</f>
        <v>1651440</v>
      </c>
    </row>
    <row r="210" spans="1:44" ht="10.5" customHeight="1" x14ac:dyDescent="0.25">
      <c r="A210" s="412" t="s">
        <v>25</v>
      </c>
      <c r="B210" s="412" t="s">
        <v>25</v>
      </c>
      <c r="C210" s="412" t="s">
        <v>25</v>
      </c>
      <c r="D210" s="412" t="s">
        <v>25</v>
      </c>
      <c r="F210" s="396">
        <v>23</v>
      </c>
      <c r="G210" s="397"/>
      <c r="H210" s="398" t="s">
        <v>4303</v>
      </c>
      <c r="I210" s="399"/>
      <c r="J210" s="400"/>
      <c r="K210" s="400"/>
      <c r="L210" s="400"/>
      <c r="M210" s="400"/>
      <c r="N210" s="400"/>
      <c r="O210" s="401"/>
      <c r="P210" s="402"/>
      <c r="Q210" s="403"/>
      <c r="R210" s="400"/>
      <c r="S210" s="400"/>
      <c r="T210" s="400"/>
      <c r="U210" s="400"/>
      <c r="V210" s="402"/>
      <c r="X210" s="400"/>
      <c r="Y210" s="400"/>
      <c r="Z210" s="402"/>
      <c r="AA210" s="404">
        <f>+SUM(Z211:Z214)</f>
        <v>20519860.498921376</v>
      </c>
      <c r="AB210" s="405" t="s">
        <v>4303</v>
      </c>
      <c r="AC210" s="406"/>
      <c r="AD210" s="440"/>
      <c r="AE210" s="441"/>
      <c r="AF210" s="441"/>
      <c r="AG210" s="408"/>
      <c r="AH210" s="409"/>
      <c r="AI210" s="410"/>
      <c r="AJ210" s="411"/>
      <c r="AK210" s="408"/>
      <c r="AL210" s="409"/>
      <c r="AM210" s="442"/>
      <c r="AN210" s="442"/>
      <c r="AO210" s="410"/>
    </row>
    <row r="211" spans="1:44" ht="10.5" customHeight="1" x14ac:dyDescent="0.35">
      <c r="A211" s="412" t="s">
        <v>106</v>
      </c>
      <c r="B211" s="412" t="s">
        <v>25</v>
      </c>
      <c r="C211" s="412" t="s">
        <v>25</v>
      </c>
      <c r="D211" s="412" t="s">
        <v>106</v>
      </c>
      <c r="F211" s="460">
        <v>23.01</v>
      </c>
      <c r="G211" s="460" t="s">
        <v>4128</v>
      </c>
      <c r="H211" s="415" t="s">
        <v>4304</v>
      </c>
      <c r="I211" s="416" t="s">
        <v>98</v>
      </c>
      <c r="J211" s="461">
        <v>6</v>
      </c>
      <c r="K211" s="418">
        <v>53696.806510416667</v>
      </c>
      <c r="L211" s="418">
        <v>0</v>
      </c>
      <c r="M211" s="418">
        <v>137815.66048314399</v>
      </c>
      <c r="N211" s="418">
        <v>2872.6870049034169</v>
      </c>
      <c r="O211" s="419">
        <f>+SUM(K211:N211)</f>
        <v>194385.15399846408</v>
      </c>
      <c r="P211" s="420">
        <f>+O211*$P$2</f>
        <v>279046.75384771964</v>
      </c>
      <c r="Q211" s="403"/>
      <c r="R211" s="421">
        <f t="shared" ref="R211:U214" si="226">+K211*$P$2</f>
        <v>77083.662206215929</v>
      </c>
      <c r="S211" s="421">
        <f t="shared" si="226"/>
        <v>0</v>
      </c>
      <c r="T211" s="421">
        <f t="shared" si="226"/>
        <v>197839.24798858172</v>
      </c>
      <c r="U211" s="421">
        <f t="shared" si="226"/>
        <v>4123.8436529219753</v>
      </c>
      <c r="V211" s="422">
        <f>+SUM(R211:U211)</f>
        <v>279046.75384771964</v>
      </c>
      <c r="W211" s="423"/>
      <c r="X211" s="421">
        <f>+R211*J211</f>
        <v>462501.97323729558</v>
      </c>
      <c r="Y211" s="421">
        <f>+Z211-X211</f>
        <v>1211778.5498490222</v>
      </c>
      <c r="Z211" s="422">
        <f>+V211*J211</f>
        <v>1674280.5230863178</v>
      </c>
      <c r="AA211" s="371"/>
      <c r="AB211" s="425" t="s">
        <v>4303</v>
      </c>
      <c r="AC211" s="427">
        <v>0</v>
      </c>
      <c r="AD211" s="427">
        <v>0</v>
      </c>
      <c r="AE211" s="428">
        <f>AC211+AD211</f>
        <v>0</v>
      </c>
      <c r="AF211" s="437" t="str">
        <f>IF($AE211=1,"🔴","⚪")</f>
        <v>⚪</v>
      </c>
      <c r="AG211" s="430">
        <f>AC211*Z211</f>
        <v>0</v>
      </c>
      <c r="AH211" s="375">
        <f>AD211*Z211</f>
        <v>0</v>
      </c>
      <c r="AI211" s="431">
        <f>AE211*Z211</f>
        <v>0</v>
      </c>
      <c r="AJ211" s="375"/>
      <c r="AK211" s="430">
        <f>AE211*X211</f>
        <v>0</v>
      </c>
      <c r="AL211" s="375">
        <f>AE211*S211*J211</f>
        <v>0</v>
      </c>
      <c r="AM211" s="432">
        <f>AE211*T211*J211</f>
        <v>0</v>
      </c>
      <c r="AN211" s="432">
        <f>AE211*U211*J211</f>
        <v>0</v>
      </c>
      <c r="AO211" s="433">
        <f>AK211+AL211+AM211+AN211</f>
        <v>0</v>
      </c>
      <c r="AQ211" s="563">
        <f>+O211</f>
        <v>194385.15399846408</v>
      </c>
      <c r="AR211" s="563">
        <f>+O211*J211</f>
        <v>1166310.9239907844</v>
      </c>
    </row>
    <row r="212" spans="1:44" ht="10.5" customHeight="1" x14ac:dyDescent="0.35">
      <c r="A212" s="412" t="s">
        <v>106</v>
      </c>
      <c r="B212" s="412" t="s">
        <v>25</v>
      </c>
      <c r="C212" s="412" t="s">
        <v>25</v>
      </c>
      <c r="D212" s="412" t="s">
        <v>106</v>
      </c>
      <c r="F212" s="414">
        <v>23.02</v>
      </c>
      <c r="G212" s="414" t="s">
        <v>4112</v>
      </c>
      <c r="H212" s="435" t="s">
        <v>4305</v>
      </c>
      <c r="I212" s="436" t="s">
        <v>98</v>
      </c>
      <c r="J212" s="439">
        <v>1</v>
      </c>
      <c r="K212" s="418">
        <v>50000</v>
      </c>
      <c r="L212" s="418">
        <v>0</v>
      </c>
      <c r="M212" s="418">
        <v>536926.85047428997</v>
      </c>
      <c r="N212" s="418">
        <v>8803.9027571143397</v>
      </c>
      <c r="O212" s="419">
        <f>+SUM(K212:N212)</f>
        <v>595730.75323140435</v>
      </c>
      <c r="P212" s="420">
        <f>+O212*$P$2</f>
        <v>855192.53624581743</v>
      </c>
      <c r="Q212" s="403"/>
      <c r="R212" s="421">
        <f t="shared" si="226"/>
        <v>71776.765896927624</v>
      </c>
      <c r="S212" s="421">
        <f t="shared" si="226"/>
        <v>0</v>
      </c>
      <c r="T212" s="421">
        <f t="shared" si="226"/>
        <v>770777.45700535551</v>
      </c>
      <c r="U212" s="421">
        <f t="shared" si="226"/>
        <v>12638.313343534233</v>
      </c>
      <c r="V212" s="422">
        <f>+SUM(R212:U212)</f>
        <v>855192.53624581732</v>
      </c>
      <c r="W212" s="423"/>
      <c r="X212" s="421">
        <f>+R212*J212</f>
        <v>71776.765896927624</v>
      </c>
      <c r="Y212" s="421">
        <f>+Z212-X212</f>
        <v>783415.77034888975</v>
      </c>
      <c r="Z212" s="422">
        <f>+V212*J212</f>
        <v>855192.53624581732</v>
      </c>
      <c r="AA212" s="371"/>
      <c r="AB212" s="425" t="s">
        <v>4303</v>
      </c>
      <c r="AC212" s="427">
        <v>0</v>
      </c>
      <c r="AD212" s="427">
        <v>0</v>
      </c>
      <c r="AE212" s="428">
        <f>AC212+AD212</f>
        <v>0</v>
      </c>
      <c r="AF212" s="437" t="str">
        <f>IF($AE212=1,"🔴","⚪")</f>
        <v>⚪</v>
      </c>
      <c r="AG212" s="430">
        <f>AC212*Z212</f>
        <v>0</v>
      </c>
      <c r="AH212" s="375">
        <f>AD212*Z212</f>
        <v>0</v>
      </c>
      <c r="AI212" s="431">
        <f>AE212*Z212</f>
        <v>0</v>
      </c>
      <c r="AJ212" s="375"/>
      <c r="AK212" s="430">
        <f>AE212*X212</f>
        <v>0</v>
      </c>
      <c r="AL212" s="375">
        <f>AE212*S212*J212</f>
        <v>0</v>
      </c>
      <c r="AM212" s="432">
        <f>AE212*T212*J212</f>
        <v>0</v>
      </c>
      <c r="AN212" s="432">
        <f>AE212*U212*J212</f>
        <v>0</v>
      </c>
      <c r="AO212" s="433">
        <f>AK212+AL212+AM212+AN212</f>
        <v>0</v>
      </c>
      <c r="AQ212" s="563">
        <f>+O212</f>
        <v>595730.75323140435</v>
      </c>
      <c r="AR212" s="563">
        <f>+O212*J212</f>
        <v>595730.75323140435</v>
      </c>
    </row>
    <row r="213" spans="1:44" ht="10.5" customHeight="1" x14ac:dyDescent="0.35">
      <c r="A213" s="412" t="s">
        <v>106</v>
      </c>
      <c r="B213" s="412" t="s">
        <v>25</v>
      </c>
      <c r="C213" s="412" t="s">
        <v>25</v>
      </c>
      <c r="D213" s="412" t="s">
        <v>106</v>
      </c>
      <c r="F213" s="414">
        <v>23.03</v>
      </c>
      <c r="G213" s="414" t="s">
        <v>4128</v>
      </c>
      <c r="H213" s="435" t="s">
        <v>4306</v>
      </c>
      <c r="I213" s="436" t="s">
        <v>988</v>
      </c>
      <c r="J213" s="439">
        <v>26</v>
      </c>
      <c r="K213" s="418">
        <v>7692.3076923076924</v>
      </c>
      <c r="L213" s="418">
        <v>0</v>
      </c>
      <c r="M213" s="418">
        <v>12322.977031263839</v>
      </c>
      <c r="N213" s="418">
        <v>300.2292708535731</v>
      </c>
      <c r="O213" s="419">
        <f>+SUM(K213:N213)</f>
        <v>20315.513994425102</v>
      </c>
      <c r="P213" s="420">
        <f>+O213*$P$2</f>
        <v>29163.637841072155</v>
      </c>
      <c r="Q213" s="403"/>
      <c r="R213" s="421">
        <f t="shared" si="226"/>
        <v>11042.579368758097</v>
      </c>
      <c r="S213" s="421">
        <f t="shared" si="226"/>
        <v>0</v>
      </c>
      <c r="T213" s="421">
        <f t="shared" si="226"/>
        <v>17690.068750524817</v>
      </c>
      <c r="U213" s="421">
        <f t="shared" si="226"/>
        <v>430.9897217892439</v>
      </c>
      <c r="V213" s="422">
        <f>+SUM(R213:U213)</f>
        <v>29163.637841072159</v>
      </c>
      <c r="W213" s="423"/>
      <c r="X213" s="421">
        <f>+R213*J213</f>
        <v>287107.06358771055</v>
      </c>
      <c r="Y213" s="421">
        <f>+Z213-X213</f>
        <v>471147.52028016554</v>
      </c>
      <c r="Z213" s="422">
        <f>+V213*J213</f>
        <v>758254.58386787609</v>
      </c>
      <c r="AA213" s="371"/>
      <c r="AB213" s="425" t="s">
        <v>4303</v>
      </c>
      <c r="AC213" s="427">
        <v>0</v>
      </c>
      <c r="AD213" s="427">
        <v>0</v>
      </c>
      <c r="AE213" s="428">
        <f>AC213+AD213</f>
        <v>0</v>
      </c>
      <c r="AF213" s="437" t="str">
        <f>IF($AE213=1,"🔴","⚪")</f>
        <v>⚪</v>
      </c>
      <c r="AG213" s="430">
        <f>AC213*Z213</f>
        <v>0</v>
      </c>
      <c r="AH213" s="375">
        <f>AD213*Z213</f>
        <v>0</v>
      </c>
      <c r="AI213" s="431">
        <f>AE213*Z213</f>
        <v>0</v>
      </c>
      <c r="AJ213" s="375"/>
      <c r="AK213" s="430">
        <f>AE213*X213</f>
        <v>0</v>
      </c>
      <c r="AL213" s="375">
        <f>AE213*S213*J213</f>
        <v>0</v>
      </c>
      <c r="AM213" s="432">
        <f>AE213*T213*J213</f>
        <v>0</v>
      </c>
      <c r="AN213" s="432">
        <f>AE213*U213*J213</f>
        <v>0</v>
      </c>
      <c r="AO213" s="433">
        <f>AK213+AL213+AM213+AN213</f>
        <v>0</v>
      </c>
      <c r="AQ213" s="563">
        <f>+O213</f>
        <v>20315.513994425102</v>
      </c>
      <c r="AR213" s="563">
        <f>+O213*J213</f>
        <v>528203.36385505262</v>
      </c>
    </row>
    <row r="214" spans="1:44" ht="10.5" customHeight="1" x14ac:dyDescent="0.35">
      <c r="A214" s="412" t="s">
        <v>106</v>
      </c>
      <c r="B214" s="412" t="s">
        <v>25</v>
      </c>
      <c r="C214" s="412" t="s">
        <v>106</v>
      </c>
      <c r="D214" s="412" t="s">
        <v>106</v>
      </c>
      <c r="F214" s="450">
        <v>23.04</v>
      </c>
      <c r="G214" s="450" t="s">
        <v>4112</v>
      </c>
      <c r="H214" s="509" t="s">
        <v>4307</v>
      </c>
      <c r="I214" s="510" t="s">
        <v>988</v>
      </c>
      <c r="J214" s="466">
        <v>231</v>
      </c>
      <c r="K214" s="418">
        <v>24578.046976990991</v>
      </c>
      <c r="L214" s="418">
        <v>21631.45268473485</v>
      </c>
      <c r="M214" s="418">
        <v>5407.8631711837224</v>
      </c>
      <c r="N214" s="418">
        <v>347.9053135538723</v>
      </c>
      <c r="O214" s="419">
        <f>+SUM(K214:N214)</f>
        <v>51965.268146463437</v>
      </c>
      <c r="P214" s="420">
        <f>+O214*$P$2</f>
        <v>74597.977730395534</v>
      </c>
      <c r="Q214" s="403"/>
      <c r="R214" s="421">
        <f t="shared" si="226"/>
        <v>35282.654481423444</v>
      </c>
      <c r="S214" s="421">
        <f t="shared" si="226"/>
        <v>31052.714307253598</v>
      </c>
      <c r="T214" s="421">
        <f t="shared" si="226"/>
        <v>7763.1785768134141</v>
      </c>
      <c r="U214" s="421">
        <f t="shared" si="226"/>
        <v>499.43036490506989</v>
      </c>
      <c r="V214" s="422">
        <f>+SUM(R214:U214)</f>
        <v>74597.97773039552</v>
      </c>
      <c r="W214" s="423"/>
      <c r="X214" s="421">
        <f>+R214*J214</f>
        <v>8150293.1852088151</v>
      </c>
      <c r="Y214" s="421">
        <f>+Z214-X214</f>
        <v>9081839.6705125496</v>
      </c>
      <c r="Z214" s="422">
        <f>+V214*J214</f>
        <v>17232132.855721366</v>
      </c>
      <c r="AA214" s="424"/>
      <c r="AB214" s="425" t="s">
        <v>4303</v>
      </c>
      <c r="AC214" s="427">
        <v>0</v>
      </c>
      <c r="AD214" s="427">
        <v>0</v>
      </c>
      <c r="AE214" s="428">
        <f>AC214+AD214</f>
        <v>0</v>
      </c>
      <c r="AF214" s="437" t="str">
        <f>IF($AE214=1,"🔴","⚪")</f>
        <v>⚪</v>
      </c>
      <c r="AG214" s="430">
        <f>AC214*Z214</f>
        <v>0</v>
      </c>
      <c r="AH214" s="375">
        <f>AD214*Z214</f>
        <v>0</v>
      </c>
      <c r="AI214" s="431">
        <f>AE214*Z214</f>
        <v>0</v>
      </c>
      <c r="AJ214" s="375"/>
      <c r="AK214" s="430">
        <f>AE214*X214</f>
        <v>0</v>
      </c>
      <c r="AL214" s="375">
        <f>AE214*S214*J214</f>
        <v>0</v>
      </c>
      <c r="AM214" s="432">
        <f>AE214*T214*J214</f>
        <v>0</v>
      </c>
      <c r="AN214" s="432">
        <f>AE214*U214*J214</f>
        <v>0</v>
      </c>
      <c r="AO214" s="433">
        <f>AK214+AL214+AM214+AN214</f>
        <v>0</v>
      </c>
      <c r="AQ214" s="563">
        <f>+O214</f>
        <v>51965.268146463437</v>
      </c>
      <c r="AR214" s="563">
        <f>+O214*J214</f>
        <v>12003976.941833055</v>
      </c>
    </row>
    <row r="215" spans="1:44" ht="10.5" customHeight="1" x14ac:dyDescent="0.25">
      <c r="A215" s="412" t="s">
        <v>25</v>
      </c>
      <c r="B215" s="412" t="s">
        <v>25</v>
      </c>
      <c r="C215" s="412" t="s">
        <v>25</v>
      </c>
      <c r="D215" s="412" t="s">
        <v>25</v>
      </c>
      <c r="F215" s="396">
        <v>24</v>
      </c>
      <c r="G215" s="397"/>
      <c r="H215" s="398" t="s">
        <v>4308</v>
      </c>
      <c r="I215" s="399"/>
      <c r="J215" s="400"/>
      <c r="K215" s="400"/>
      <c r="L215" s="400"/>
      <c r="M215" s="400"/>
      <c r="N215" s="400"/>
      <c r="O215" s="402"/>
      <c r="P215" s="402"/>
      <c r="Q215" s="403"/>
      <c r="R215" s="400"/>
      <c r="S215" s="400"/>
      <c r="T215" s="400"/>
      <c r="U215" s="400"/>
      <c r="V215" s="402"/>
      <c r="X215" s="400"/>
      <c r="Y215" s="400"/>
      <c r="Z215" s="402"/>
      <c r="AA215" s="404">
        <f>+SUM(Z216:Z224)</f>
        <v>82836273.237695873</v>
      </c>
      <c r="AB215" s="405" t="s">
        <v>4308</v>
      </c>
      <c r="AC215" s="406"/>
      <c r="AD215" s="440"/>
      <c r="AE215" s="441"/>
      <c r="AF215" s="441"/>
      <c r="AG215" s="408"/>
      <c r="AH215" s="409"/>
      <c r="AI215" s="410"/>
      <c r="AJ215" s="411"/>
      <c r="AK215" s="408"/>
      <c r="AL215" s="409"/>
      <c r="AM215" s="442"/>
      <c r="AN215" s="442"/>
      <c r="AO215" s="410"/>
    </row>
    <row r="216" spans="1:44" ht="10.5" customHeight="1" x14ac:dyDescent="0.35">
      <c r="A216" s="412" t="s">
        <v>106</v>
      </c>
      <c r="B216" s="412" t="s">
        <v>25</v>
      </c>
      <c r="C216" s="412" t="s">
        <v>106</v>
      </c>
      <c r="D216" s="412" t="s">
        <v>25</v>
      </c>
      <c r="F216" s="413">
        <v>24.01</v>
      </c>
      <c r="G216" s="460" t="s">
        <v>4112</v>
      </c>
      <c r="H216" s="489" t="s">
        <v>4309</v>
      </c>
      <c r="I216" s="416" t="s">
        <v>3877</v>
      </c>
      <c r="J216" s="461">
        <v>17</v>
      </c>
      <c r="K216" s="418">
        <v>0</v>
      </c>
      <c r="L216" s="418">
        <v>730326.96931886475</v>
      </c>
      <c r="M216" s="418">
        <v>0</v>
      </c>
      <c r="N216" s="418">
        <v>0</v>
      </c>
      <c r="O216" s="419">
        <f t="shared" ref="O216:O224" si="227">+SUM(K216:N216)</f>
        <v>730326.96931886475</v>
      </c>
      <c r="P216" s="420">
        <f t="shared" ref="P216:P224" si="228">+O216*$P$2</f>
        <v>1048410.1581002561</v>
      </c>
      <c r="Q216" s="403"/>
      <c r="R216" s="421">
        <f t="shared" ref="R216:R224" si="229">+K216*$P$2</f>
        <v>0</v>
      </c>
      <c r="S216" s="421">
        <f t="shared" ref="S216:S224" si="230">+L216*$P$2</f>
        <v>1048410.1581002561</v>
      </c>
      <c r="T216" s="421">
        <f t="shared" ref="T216:T224" si="231">+M216*$P$2</f>
        <v>0</v>
      </c>
      <c r="U216" s="421">
        <f t="shared" ref="U216:U224" si="232">+N216*$P$2</f>
        <v>0</v>
      </c>
      <c r="V216" s="422">
        <f t="shared" ref="V216:V224" si="233">+SUM(R216:U216)</f>
        <v>1048410.1581002561</v>
      </c>
      <c r="W216" s="423"/>
      <c r="X216" s="421">
        <f t="shared" ref="X216:X224" si="234">+R216*J216</f>
        <v>0</v>
      </c>
      <c r="Y216" s="421">
        <f t="shared" ref="Y216:Y224" si="235">+Z216-X216</f>
        <v>17822972.687704355</v>
      </c>
      <c r="Z216" s="422">
        <f t="shared" ref="Z216:Z224" si="236">+V216*J216</f>
        <v>17822972.687704355</v>
      </c>
      <c r="AA216" s="371"/>
      <c r="AB216" s="425" t="s">
        <v>4308</v>
      </c>
      <c r="AC216" s="427">
        <v>0.6</v>
      </c>
      <c r="AD216" s="427">
        <v>0</v>
      </c>
      <c r="AE216" s="428">
        <f t="shared" ref="AE216:AE224" si="237">AC216+AD216</f>
        <v>0.6</v>
      </c>
      <c r="AF216" s="437" t="str">
        <f t="shared" ref="AF216:AF224" si="238">IF($AE216=1,"🔴","⚪")</f>
        <v>⚪</v>
      </c>
      <c r="AG216" s="430">
        <f t="shared" ref="AG216:AG224" si="239">AC216*Z216</f>
        <v>10693783.612622613</v>
      </c>
      <c r="AH216" s="375">
        <f t="shared" ref="AH216:AH224" si="240">AD216*Z216</f>
        <v>0</v>
      </c>
      <c r="AI216" s="431">
        <f t="shared" ref="AI216:AI224" si="241">AE216*Z216</f>
        <v>10693783.612622613</v>
      </c>
      <c r="AJ216" s="375"/>
      <c r="AK216" s="430">
        <f t="shared" ref="AK216:AK224" si="242">AE216*X216</f>
        <v>0</v>
      </c>
      <c r="AL216" s="375">
        <f t="shared" ref="AL216:AL224" si="243">AE216*S216*J216</f>
        <v>10693783.612622611</v>
      </c>
      <c r="AM216" s="432">
        <f t="shared" ref="AM216:AM224" si="244">AE216*T216*J216</f>
        <v>0</v>
      </c>
      <c r="AN216" s="432">
        <f t="shared" ref="AN216:AN224" si="245">AE216*U216*J216</f>
        <v>0</v>
      </c>
      <c r="AO216" s="433">
        <f t="shared" ref="AO216:AO224" si="246">AK216+AL216+AM216+AN216</f>
        <v>10693783.612622611</v>
      </c>
      <c r="AQ216" s="563">
        <f t="shared" ref="AQ216:AQ224" si="247">+O216</f>
        <v>730326.96931886475</v>
      </c>
      <c r="AR216" s="563">
        <f t="shared" ref="AR216:AR224" si="248">+O216*J216</f>
        <v>12415558.478420701</v>
      </c>
    </row>
    <row r="217" spans="1:44" ht="10.5" customHeight="1" x14ac:dyDescent="0.35">
      <c r="A217" s="412" t="s">
        <v>4310</v>
      </c>
      <c r="B217" s="412" t="s">
        <v>25</v>
      </c>
      <c r="C217" s="412" t="s">
        <v>4310</v>
      </c>
      <c r="D217" s="412" t="s">
        <v>25</v>
      </c>
      <c r="F217" s="434">
        <v>24.02</v>
      </c>
      <c r="G217" s="414" t="s">
        <v>4112</v>
      </c>
      <c r="H217" s="465" t="s">
        <v>4311</v>
      </c>
      <c r="I217" s="436" t="s">
        <v>3877</v>
      </c>
      <c r="J217" s="439">
        <v>4</v>
      </c>
      <c r="K217" s="418">
        <v>0</v>
      </c>
      <c r="L217" s="418">
        <v>1504670.291</v>
      </c>
      <c r="M217" s="418">
        <v>0</v>
      </c>
      <c r="N217" s="418">
        <v>0</v>
      </c>
      <c r="O217" s="419">
        <f t="shared" si="227"/>
        <v>1504670.291</v>
      </c>
      <c r="P217" s="420">
        <f t="shared" si="228"/>
        <v>2160007.3445833796</v>
      </c>
      <c r="Q217" s="403"/>
      <c r="R217" s="421">
        <f t="shared" si="229"/>
        <v>0</v>
      </c>
      <c r="S217" s="421">
        <f t="shared" si="230"/>
        <v>2160007.3445833796</v>
      </c>
      <c r="T217" s="421">
        <f t="shared" si="231"/>
        <v>0</v>
      </c>
      <c r="U217" s="421">
        <f t="shared" si="232"/>
        <v>0</v>
      </c>
      <c r="V217" s="422">
        <f t="shared" si="233"/>
        <v>2160007.3445833796</v>
      </c>
      <c r="W217" s="423"/>
      <c r="X217" s="421">
        <f t="shared" si="234"/>
        <v>0</v>
      </c>
      <c r="Y217" s="421">
        <f t="shared" si="235"/>
        <v>8640029.3783335183</v>
      </c>
      <c r="Z217" s="422">
        <f t="shared" si="236"/>
        <v>8640029.3783335183</v>
      </c>
      <c r="AA217" s="371"/>
      <c r="AB217" s="425" t="s">
        <v>4308</v>
      </c>
      <c r="AC217" s="427">
        <v>1</v>
      </c>
      <c r="AD217" s="427">
        <v>0</v>
      </c>
      <c r="AE217" s="428">
        <f t="shared" si="237"/>
        <v>1</v>
      </c>
      <c r="AF217" s="437" t="str">
        <f t="shared" si="238"/>
        <v>🔴</v>
      </c>
      <c r="AG217" s="430">
        <f t="shared" si="239"/>
        <v>8640029.3783335183</v>
      </c>
      <c r="AH217" s="375">
        <f t="shared" si="240"/>
        <v>0</v>
      </c>
      <c r="AI217" s="431">
        <f t="shared" si="241"/>
        <v>8640029.3783335183</v>
      </c>
      <c r="AJ217" s="375"/>
      <c r="AK217" s="430">
        <f t="shared" si="242"/>
        <v>0</v>
      </c>
      <c r="AL217" s="375">
        <f t="shared" si="243"/>
        <v>8640029.3783335183</v>
      </c>
      <c r="AM217" s="432">
        <f t="shared" si="244"/>
        <v>0</v>
      </c>
      <c r="AN217" s="432">
        <f t="shared" si="245"/>
        <v>0</v>
      </c>
      <c r="AO217" s="433">
        <f t="shared" si="246"/>
        <v>8640029.3783335183</v>
      </c>
      <c r="AQ217" s="563">
        <f t="shared" si="247"/>
        <v>1504670.291</v>
      </c>
      <c r="AR217" s="563">
        <f t="shared" si="248"/>
        <v>6018681.1639999999</v>
      </c>
    </row>
    <row r="218" spans="1:44" ht="10.5" customHeight="1" x14ac:dyDescent="0.35">
      <c r="A218" s="412" t="s">
        <v>4310</v>
      </c>
      <c r="B218" s="412" t="s">
        <v>25</v>
      </c>
      <c r="C218" s="412" t="s">
        <v>4310</v>
      </c>
      <c r="D218" s="412" t="s">
        <v>25</v>
      </c>
      <c r="F218" s="434">
        <v>24.03</v>
      </c>
      <c r="G218" s="414" t="s">
        <v>4112</v>
      </c>
      <c r="H218" s="465" t="s">
        <v>4312</v>
      </c>
      <c r="I218" s="436" t="s">
        <v>3877</v>
      </c>
      <c r="J218" s="439">
        <v>17</v>
      </c>
      <c r="K218" s="418">
        <v>0</v>
      </c>
      <c r="L218" s="418">
        <v>150000</v>
      </c>
      <c r="M218" s="418">
        <v>0</v>
      </c>
      <c r="N218" s="418">
        <v>0</v>
      </c>
      <c r="O218" s="419">
        <f t="shared" si="227"/>
        <v>150000</v>
      </c>
      <c r="P218" s="420">
        <f t="shared" si="228"/>
        <v>215330.2976907829</v>
      </c>
      <c r="Q218" s="403"/>
      <c r="R218" s="421">
        <f t="shared" si="229"/>
        <v>0</v>
      </c>
      <c r="S218" s="421">
        <f t="shared" si="230"/>
        <v>215330.2976907829</v>
      </c>
      <c r="T218" s="421">
        <f t="shared" si="231"/>
        <v>0</v>
      </c>
      <c r="U218" s="421">
        <f t="shared" si="232"/>
        <v>0</v>
      </c>
      <c r="V218" s="422">
        <f t="shared" si="233"/>
        <v>215330.2976907829</v>
      </c>
      <c r="W218" s="423"/>
      <c r="X218" s="421">
        <f t="shared" si="234"/>
        <v>0</v>
      </c>
      <c r="Y218" s="421">
        <f t="shared" si="235"/>
        <v>3660615.0607433091</v>
      </c>
      <c r="Z218" s="422">
        <f t="shared" si="236"/>
        <v>3660615.0607433091</v>
      </c>
      <c r="AA218" s="371"/>
      <c r="AB218" s="425" t="s">
        <v>4308</v>
      </c>
      <c r="AC218" s="427">
        <v>0.6</v>
      </c>
      <c r="AD218" s="427">
        <v>0</v>
      </c>
      <c r="AE218" s="428">
        <f t="shared" si="237"/>
        <v>0.6</v>
      </c>
      <c r="AF218" s="437" t="str">
        <f t="shared" si="238"/>
        <v>⚪</v>
      </c>
      <c r="AG218" s="430">
        <f t="shared" si="239"/>
        <v>2196369.0364459855</v>
      </c>
      <c r="AH218" s="375">
        <f t="shared" si="240"/>
        <v>0</v>
      </c>
      <c r="AI218" s="431">
        <f t="shared" si="241"/>
        <v>2196369.0364459855</v>
      </c>
      <c r="AJ218" s="375"/>
      <c r="AK218" s="430">
        <f t="shared" si="242"/>
        <v>0</v>
      </c>
      <c r="AL218" s="375">
        <f t="shared" si="243"/>
        <v>2196369.0364459855</v>
      </c>
      <c r="AM218" s="432">
        <f t="shared" si="244"/>
        <v>0</v>
      </c>
      <c r="AN218" s="432">
        <f t="shared" si="245"/>
        <v>0</v>
      </c>
      <c r="AO218" s="433">
        <f t="shared" si="246"/>
        <v>2196369.0364459855</v>
      </c>
      <c r="AQ218" s="563">
        <f t="shared" si="247"/>
        <v>150000</v>
      </c>
      <c r="AR218" s="563">
        <f t="shared" si="248"/>
        <v>2550000</v>
      </c>
    </row>
    <row r="219" spans="1:44" ht="10.5" customHeight="1" x14ac:dyDescent="0.35">
      <c r="A219" s="412" t="s">
        <v>106</v>
      </c>
      <c r="B219" s="412" t="s">
        <v>25</v>
      </c>
      <c r="C219" s="412" t="s">
        <v>25</v>
      </c>
      <c r="D219" s="412" t="s">
        <v>106</v>
      </c>
      <c r="F219" s="434">
        <v>24.04</v>
      </c>
      <c r="G219" s="414" t="s">
        <v>4112</v>
      </c>
      <c r="H219" s="465" t="s">
        <v>4313</v>
      </c>
      <c r="I219" s="436" t="s">
        <v>98</v>
      </c>
      <c r="J219" s="421">
        <v>1</v>
      </c>
      <c r="K219" s="418">
        <v>2304593.0853333301</v>
      </c>
      <c r="L219" s="418">
        <v>0</v>
      </c>
      <c r="M219" s="418">
        <v>2341204.7030503</v>
      </c>
      <c r="N219" s="418">
        <v>69686.966825754498</v>
      </c>
      <c r="O219" s="419">
        <f t="shared" si="227"/>
        <v>4715484.7552093845</v>
      </c>
      <c r="P219" s="420">
        <f t="shared" si="228"/>
        <v>6769244.9073039014</v>
      </c>
      <c r="Q219" s="403"/>
      <c r="R219" s="421">
        <f t="shared" si="229"/>
        <v>3308324.7674729717</v>
      </c>
      <c r="S219" s="421">
        <f t="shared" si="230"/>
        <v>0</v>
      </c>
      <c r="T219" s="421">
        <f t="shared" si="231"/>
        <v>3360882.0377525468</v>
      </c>
      <c r="U219" s="421">
        <f t="shared" si="232"/>
        <v>100038.10207838286</v>
      </c>
      <c r="V219" s="422">
        <f t="shared" si="233"/>
        <v>6769244.9073039014</v>
      </c>
      <c r="W219" s="423"/>
      <c r="X219" s="421">
        <f t="shared" si="234"/>
        <v>3308324.7674729717</v>
      </c>
      <c r="Y219" s="421">
        <f t="shared" si="235"/>
        <v>3460920.1398309297</v>
      </c>
      <c r="Z219" s="422">
        <f t="shared" si="236"/>
        <v>6769244.9073039014</v>
      </c>
      <c r="AA219" s="424"/>
      <c r="AB219" s="425" t="s">
        <v>4308</v>
      </c>
      <c r="AC219" s="427">
        <v>1</v>
      </c>
      <c r="AD219" s="427">
        <v>0</v>
      </c>
      <c r="AE219" s="428">
        <f t="shared" si="237"/>
        <v>1</v>
      </c>
      <c r="AF219" s="437" t="str">
        <f t="shared" si="238"/>
        <v>🔴</v>
      </c>
      <c r="AG219" s="430">
        <f t="shared" si="239"/>
        <v>6769244.9073039014</v>
      </c>
      <c r="AH219" s="375">
        <f t="shared" si="240"/>
        <v>0</v>
      </c>
      <c r="AI219" s="431">
        <f t="shared" si="241"/>
        <v>6769244.9073039014</v>
      </c>
      <c r="AJ219" s="375"/>
      <c r="AK219" s="430">
        <f t="shared" si="242"/>
        <v>3308324.7674729717</v>
      </c>
      <c r="AL219" s="375">
        <f t="shared" si="243"/>
        <v>0</v>
      </c>
      <c r="AM219" s="432">
        <f t="shared" si="244"/>
        <v>3360882.0377525468</v>
      </c>
      <c r="AN219" s="432">
        <f t="shared" si="245"/>
        <v>100038.10207838286</v>
      </c>
      <c r="AO219" s="433">
        <f t="shared" si="246"/>
        <v>6769244.9073039014</v>
      </c>
      <c r="AQ219" s="563">
        <f t="shared" si="247"/>
        <v>4715484.7552093845</v>
      </c>
      <c r="AR219" s="563">
        <f t="shared" si="248"/>
        <v>4715484.7552093845</v>
      </c>
    </row>
    <row r="220" spans="1:44" ht="10.5" customHeight="1" x14ac:dyDescent="0.35">
      <c r="A220" s="412" t="s">
        <v>106</v>
      </c>
      <c r="B220" s="412" t="s">
        <v>25</v>
      </c>
      <c r="C220" s="412" t="s">
        <v>25</v>
      </c>
      <c r="D220" s="412" t="s">
        <v>106</v>
      </c>
      <c r="F220" s="434">
        <v>24.05</v>
      </c>
      <c r="G220" s="414" t="s">
        <v>4112</v>
      </c>
      <c r="H220" s="465" t="s">
        <v>4314</v>
      </c>
      <c r="I220" s="434" t="s">
        <v>3877</v>
      </c>
      <c r="J220" s="439">
        <v>17</v>
      </c>
      <c r="K220" s="418">
        <v>50000</v>
      </c>
      <c r="L220" s="418">
        <v>0</v>
      </c>
      <c r="M220" s="418">
        <v>596028.72377914703</v>
      </c>
      <c r="N220" s="418">
        <v>9690.4308566872351</v>
      </c>
      <c r="O220" s="419">
        <f t="shared" si="227"/>
        <v>655719.15463583427</v>
      </c>
      <c r="P220" s="420">
        <f t="shared" si="228"/>
        <v>941308.00512855127</v>
      </c>
      <c r="Q220" s="403"/>
      <c r="R220" s="421">
        <f t="shared" si="229"/>
        <v>71776.765896927624</v>
      </c>
      <c r="S220" s="421">
        <f t="shared" si="230"/>
        <v>0</v>
      </c>
      <c r="T220" s="421">
        <f t="shared" si="231"/>
        <v>855620.28349080752</v>
      </c>
      <c r="U220" s="421">
        <f t="shared" si="232"/>
        <v>13910.955740816071</v>
      </c>
      <c r="V220" s="422">
        <f t="shared" si="233"/>
        <v>941308.00512855116</v>
      </c>
      <c r="W220" s="423"/>
      <c r="X220" s="421">
        <f t="shared" si="234"/>
        <v>1220205.0202477695</v>
      </c>
      <c r="Y220" s="421">
        <f t="shared" si="235"/>
        <v>14782031.066937599</v>
      </c>
      <c r="Z220" s="422">
        <f t="shared" si="236"/>
        <v>16002236.08718537</v>
      </c>
      <c r="AA220" s="371"/>
      <c r="AB220" s="425" t="s">
        <v>4308</v>
      </c>
      <c r="AC220" s="427">
        <v>0.5</v>
      </c>
      <c r="AD220" s="427">
        <v>0</v>
      </c>
      <c r="AE220" s="428">
        <f t="shared" si="237"/>
        <v>0.5</v>
      </c>
      <c r="AF220" s="437" t="str">
        <f t="shared" si="238"/>
        <v>⚪</v>
      </c>
      <c r="AG220" s="430">
        <f t="shared" si="239"/>
        <v>8001118.0435926849</v>
      </c>
      <c r="AH220" s="375">
        <f t="shared" si="240"/>
        <v>0</v>
      </c>
      <c r="AI220" s="431">
        <f t="shared" si="241"/>
        <v>8001118.0435926849</v>
      </c>
      <c r="AJ220" s="375"/>
      <c r="AK220" s="430">
        <f t="shared" si="242"/>
        <v>610102.51012388477</v>
      </c>
      <c r="AL220" s="375">
        <f t="shared" si="243"/>
        <v>0</v>
      </c>
      <c r="AM220" s="432">
        <f t="shared" si="244"/>
        <v>7272772.4096718635</v>
      </c>
      <c r="AN220" s="432">
        <f t="shared" si="245"/>
        <v>118243.1237969366</v>
      </c>
      <c r="AO220" s="433">
        <f t="shared" si="246"/>
        <v>8001118.0435926849</v>
      </c>
      <c r="AQ220" s="563">
        <f t="shared" si="247"/>
        <v>655719.15463583427</v>
      </c>
      <c r="AR220" s="563">
        <f t="shared" si="248"/>
        <v>11147225.628809182</v>
      </c>
    </row>
    <row r="221" spans="1:44" ht="10.5" customHeight="1" x14ac:dyDescent="0.35">
      <c r="A221" s="412" t="s">
        <v>106</v>
      </c>
      <c r="B221" s="412" t="s">
        <v>25</v>
      </c>
      <c r="C221" s="412" t="s">
        <v>25</v>
      </c>
      <c r="D221" s="412" t="s">
        <v>106</v>
      </c>
      <c r="F221" s="434">
        <v>24.06</v>
      </c>
      <c r="G221" s="414" t="s">
        <v>4112</v>
      </c>
      <c r="H221" s="465" t="s">
        <v>4315</v>
      </c>
      <c r="I221" s="434" t="s">
        <v>3877</v>
      </c>
      <c r="J221" s="439">
        <v>17</v>
      </c>
      <c r="K221" s="418">
        <v>25000</v>
      </c>
      <c r="L221" s="418">
        <v>0</v>
      </c>
      <c r="M221" s="418">
        <v>401679.83312537469</v>
      </c>
      <c r="N221" s="418">
        <v>6400.1974968806471</v>
      </c>
      <c r="O221" s="419">
        <f t="shared" si="227"/>
        <v>433080.03062225535</v>
      </c>
      <c r="P221" s="420">
        <f t="shared" si="228"/>
        <v>621701.67945215746</v>
      </c>
      <c r="Q221" s="403"/>
      <c r="R221" s="421">
        <f t="shared" si="229"/>
        <v>35888.382948463812</v>
      </c>
      <c r="S221" s="421">
        <f t="shared" si="230"/>
        <v>0</v>
      </c>
      <c r="T221" s="421">
        <f t="shared" si="231"/>
        <v>576625.58695513953</v>
      </c>
      <c r="U221" s="421">
        <f t="shared" si="232"/>
        <v>9187.7095485540885</v>
      </c>
      <c r="V221" s="422">
        <f t="shared" si="233"/>
        <v>621701.67945215735</v>
      </c>
      <c r="W221" s="423"/>
      <c r="X221" s="421">
        <f t="shared" si="234"/>
        <v>610102.51012388477</v>
      </c>
      <c r="Y221" s="421">
        <f t="shared" si="235"/>
        <v>9958826.0405627899</v>
      </c>
      <c r="Z221" s="422">
        <f t="shared" si="236"/>
        <v>10568928.550686674</v>
      </c>
      <c r="AA221" s="371"/>
      <c r="AB221" s="425" t="s">
        <v>4308</v>
      </c>
      <c r="AC221" s="427">
        <v>0.5</v>
      </c>
      <c r="AD221" s="427">
        <v>0</v>
      </c>
      <c r="AE221" s="428">
        <f t="shared" si="237"/>
        <v>0.5</v>
      </c>
      <c r="AF221" s="437" t="str">
        <f t="shared" si="238"/>
        <v>⚪</v>
      </c>
      <c r="AG221" s="430">
        <f t="shared" si="239"/>
        <v>5284464.2753433371</v>
      </c>
      <c r="AH221" s="375">
        <f t="shared" si="240"/>
        <v>0</v>
      </c>
      <c r="AI221" s="431">
        <f t="shared" si="241"/>
        <v>5284464.2753433371</v>
      </c>
      <c r="AJ221" s="375"/>
      <c r="AK221" s="430">
        <f t="shared" si="242"/>
        <v>305051.25506194239</v>
      </c>
      <c r="AL221" s="375">
        <f t="shared" si="243"/>
        <v>0</v>
      </c>
      <c r="AM221" s="432">
        <f t="shared" si="244"/>
        <v>4901317.4891186859</v>
      </c>
      <c r="AN221" s="432">
        <f t="shared" si="245"/>
        <v>78095.531162709754</v>
      </c>
      <c r="AO221" s="433">
        <f t="shared" si="246"/>
        <v>5284464.275343338</v>
      </c>
      <c r="AQ221" s="563">
        <f t="shared" si="247"/>
        <v>433080.03062225535</v>
      </c>
      <c r="AR221" s="563">
        <f t="shared" si="248"/>
        <v>7362360.5205783406</v>
      </c>
    </row>
    <row r="222" spans="1:44" ht="10.5" customHeight="1" x14ac:dyDescent="0.35">
      <c r="A222" s="412" t="s">
        <v>106</v>
      </c>
      <c r="B222" s="412" t="s">
        <v>25</v>
      </c>
      <c r="C222" s="412" t="s">
        <v>25</v>
      </c>
      <c r="D222" s="412" t="s">
        <v>106</v>
      </c>
      <c r="F222" s="434">
        <v>24.07</v>
      </c>
      <c r="G222" s="414" t="s">
        <v>4112</v>
      </c>
      <c r="H222" s="465" t="s">
        <v>4316</v>
      </c>
      <c r="I222" s="434" t="s">
        <v>98</v>
      </c>
      <c r="J222" s="421">
        <v>1</v>
      </c>
      <c r="K222" s="418">
        <v>250000</v>
      </c>
      <c r="L222" s="418">
        <v>0</v>
      </c>
      <c r="M222" s="418">
        <v>3651634.8465943201</v>
      </c>
      <c r="N222" s="418">
        <v>58524.5226989148</v>
      </c>
      <c r="O222" s="419">
        <f t="shared" si="227"/>
        <v>3960159.3692932348</v>
      </c>
      <c r="P222" s="420">
        <f t="shared" si="228"/>
        <v>5684948.6392857013</v>
      </c>
      <c r="Q222" s="403"/>
      <c r="R222" s="421">
        <f t="shared" si="229"/>
        <v>358883.82948463818</v>
      </c>
      <c r="S222" s="421">
        <f t="shared" si="230"/>
        <v>0</v>
      </c>
      <c r="T222" s="421">
        <f t="shared" si="231"/>
        <v>5242050.7905012751</v>
      </c>
      <c r="U222" s="421">
        <f t="shared" si="232"/>
        <v>84014.019299788692</v>
      </c>
      <c r="V222" s="422">
        <f t="shared" si="233"/>
        <v>5684948.6392857013</v>
      </c>
      <c r="W222" s="423"/>
      <c r="X222" s="421">
        <f t="shared" si="234"/>
        <v>358883.82948463818</v>
      </c>
      <c r="Y222" s="421">
        <f t="shared" si="235"/>
        <v>5326064.8098010635</v>
      </c>
      <c r="Z222" s="422">
        <f t="shared" si="236"/>
        <v>5684948.6392857013</v>
      </c>
      <c r="AA222" s="424"/>
      <c r="AB222" s="425" t="s">
        <v>4308</v>
      </c>
      <c r="AC222" s="427">
        <v>0</v>
      </c>
      <c r="AD222" s="427">
        <v>0</v>
      </c>
      <c r="AE222" s="428">
        <f t="shared" si="237"/>
        <v>0</v>
      </c>
      <c r="AF222" s="437" t="str">
        <f t="shared" si="238"/>
        <v>⚪</v>
      </c>
      <c r="AG222" s="430">
        <f t="shared" si="239"/>
        <v>0</v>
      </c>
      <c r="AH222" s="375">
        <f t="shared" si="240"/>
        <v>0</v>
      </c>
      <c r="AI222" s="431">
        <f t="shared" si="241"/>
        <v>0</v>
      </c>
      <c r="AJ222" s="375"/>
      <c r="AK222" s="430">
        <f t="shared" si="242"/>
        <v>0</v>
      </c>
      <c r="AL222" s="375">
        <f t="shared" si="243"/>
        <v>0</v>
      </c>
      <c r="AM222" s="432">
        <f t="shared" si="244"/>
        <v>0</v>
      </c>
      <c r="AN222" s="432">
        <f t="shared" si="245"/>
        <v>0</v>
      </c>
      <c r="AO222" s="433">
        <f t="shared" si="246"/>
        <v>0</v>
      </c>
      <c r="AQ222" s="563">
        <f t="shared" si="247"/>
        <v>3960159.3692932348</v>
      </c>
      <c r="AR222" s="563">
        <f t="shared" si="248"/>
        <v>3960159.3692932348</v>
      </c>
    </row>
    <row r="223" spans="1:44" ht="10.5" customHeight="1" x14ac:dyDescent="0.35">
      <c r="A223" s="412" t="s">
        <v>4317</v>
      </c>
      <c r="B223" s="412" t="s">
        <v>25</v>
      </c>
      <c r="C223" s="412" t="s">
        <v>4317</v>
      </c>
      <c r="D223" s="412" t="s">
        <v>25</v>
      </c>
      <c r="F223" s="434">
        <v>24.08</v>
      </c>
      <c r="G223" s="414" t="s">
        <v>4112</v>
      </c>
      <c r="H223" s="465" t="s">
        <v>4318</v>
      </c>
      <c r="I223" s="434" t="s">
        <v>3877</v>
      </c>
      <c r="J223" s="439">
        <v>17</v>
      </c>
      <c r="K223" s="418">
        <v>0</v>
      </c>
      <c r="L223" s="418">
        <v>300000</v>
      </c>
      <c r="M223" s="418">
        <v>0</v>
      </c>
      <c r="N223" s="418">
        <v>0</v>
      </c>
      <c r="O223" s="419">
        <f t="shared" si="227"/>
        <v>300000</v>
      </c>
      <c r="P223" s="420">
        <f t="shared" si="228"/>
        <v>430660.5953815658</v>
      </c>
      <c r="Q223" s="403"/>
      <c r="R223" s="421">
        <f t="shared" si="229"/>
        <v>0</v>
      </c>
      <c r="S223" s="421">
        <f t="shared" si="230"/>
        <v>430660.5953815658</v>
      </c>
      <c r="T223" s="421">
        <f t="shared" si="231"/>
        <v>0</v>
      </c>
      <c r="U223" s="421">
        <f t="shared" si="232"/>
        <v>0</v>
      </c>
      <c r="V223" s="422">
        <f t="shared" si="233"/>
        <v>430660.5953815658</v>
      </c>
      <c r="W223" s="423"/>
      <c r="X223" s="421">
        <f t="shared" si="234"/>
        <v>0</v>
      </c>
      <c r="Y223" s="421">
        <f t="shared" si="235"/>
        <v>7321230.1214866182</v>
      </c>
      <c r="Z223" s="422">
        <f t="shared" si="236"/>
        <v>7321230.1214866182</v>
      </c>
      <c r="AA223" s="371"/>
      <c r="AB223" s="425" t="s">
        <v>4308</v>
      </c>
      <c r="AC223" s="427">
        <v>0.6</v>
      </c>
      <c r="AD223" s="427">
        <v>0</v>
      </c>
      <c r="AE223" s="428">
        <f t="shared" si="237"/>
        <v>0.6</v>
      </c>
      <c r="AF223" s="437" t="str">
        <f t="shared" si="238"/>
        <v>⚪</v>
      </c>
      <c r="AG223" s="430">
        <f t="shared" si="239"/>
        <v>4392738.0728919711</v>
      </c>
      <c r="AH223" s="375">
        <f t="shared" si="240"/>
        <v>0</v>
      </c>
      <c r="AI223" s="431">
        <f t="shared" si="241"/>
        <v>4392738.0728919711</v>
      </c>
      <c r="AJ223" s="375"/>
      <c r="AK223" s="430">
        <f t="shared" si="242"/>
        <v>0</v>
      </c>
      <c r="AL223" s="375">
        <f t="shared" si="243"/>
        <v>4392738.0728919711</v>
      </c>
      <c r="AM223" s="432">
        <f t="shared" si="244"/>
        <v>0</v>
      </c>
      <c r="AN223" s="432">
        <f t="shared" si="245"/>
        <v>0</v>
      </c>
      <c r="AO223" s="433">
        <f t="shared" si="246"/>
        <v>4392738.0728919711</v>
      </c>
      <c r="AQ223" s="563">
        <f t="shared" si="247"/>
        <v>300000</v>
      </c>
      <c r="AR223" s="563">
        <f t="shared" si="248"/>
        <v>5100000</v>
      </c>
    </row>
    <row r="224" spans="1:44" ht="10.5" customHeight="1" x14ac:dyDescent="0.35">
      <c r="A224" s="412" t="s">
        <v>4119</v>
      </c>
      <c r="B224" s="412" t="s">
        <v>25</v>
      </c>
      <c r="C224" s="412" t="s">
        <v>25</v>
      </c>
      <c r="D224" s="412" t="s">
        <v>106</v>
      </c>
      <c r="F224" s="434">
        <v>24.09</v>
      </c>
      <c r="G224" s="450" t="s">
        <v>4112</v>
      </c>
      <c r="H224" s="490" t="s">
        <v>1757</v>
      </c>
      <c r="I224" s="449" t="s">
        <v>3877</v>
      </c>
      <c r="J224" s="439">
        <v>17</v>
      </c>
      <c r="K224" s="418">
        <v>200000</v>
      </c>
      <c r="L224" s="418">
        <v>0</v>
      </c>
      <c r="M224" s="418">
        <v>60860.580776571762</v>
      </c>
      <c r="N224" s="418">
        <v>0</v>
      </c>
      <c r="O224" s="419">
        <f t="shared" si="227"/>
        <v>260860.58077657176</v>
      </c>
      <c r="P224" s="420">
        <f t="shared" si="228"/>
        <v>374474.57676273142</v>
      </c>
      <c r="Q224" s="403"/>
      <c r="R224" s="421">
        <f t="shared" si="229"/>
        <v>287107.06358771049</v>
      </c>
      <c r="S224" s="421">
        <f t="shared" si="230"/>
        <v>0</v>
      </c>
      <c r="T224" s="421">
        <f t="shared" si="231"/>
        <v>87367.513175020911</v>
      </c>
      <c r="U224" s="421">
        <f t="shared" si="232"/>
        <v>0</v>
      </c>
      <c r="V224" s="422">
        <f t="shared" si="233"/>
        <v>374474.57676273142</v>
      </c>
      <c r="W224" s="423"/>
      <c r="X224" s="421">
        <f t="shared" si="234"/>
        <v>4880820.0809910782</v>
      </c>
      <c r="Y224" s="421">
        <f t="shared" si="235"/>
        <v>1485247.7239753557</v>
      </c>
      <c r="Z224" s="422">
        <f t="shared" si="236"/>
        <v>6366067.8049664339</v>
      </c>
      <c r="AA224" s="371"/>
      <c r="AB224" s="425" t="s">
        <v>4308</v>
      </c>
      <c r="AC224" s="427">
        <v>0.5</v>
      </c>
      <c r="AD224" s="427">
        <v>0</v>
      </c>
      <c r="AE224" s="428">
        <f t="shared" si="237"/>
        <v>0.5</v>
      </c>
      <c r="AF224" s="437" t="str">
        <f t="shared" si="238"/>
        <v>⚪</v>
      </c>
      <c r="AG224" s="430">
        <f t="shared" si="239"/>
        <v>3183033.902483217</v>
      </c>
      <c r="AH224" s="375">
        <f t="shared" si="240"/>
        <v>0</v>
      </c>
      <c r="AI224" s="431">
        <f t="shared" si="241"/>
        <v>3183033.902483217</v>
      </c>
      <c r="AJ224" s="375"/>
      <c r="AK224" s="430">
        <f t="shared" si="242"/>
        <v>2440410.0404955391</v>
      </c>
      <c r="AL224" s="375">
        <f t="shared" si="243"/>
        <v>0</v>
      </c>
      <c r="AM224" s="432">
        <f t="shared" si="244"/>
        <v>742623.86198767775</v>
      </c>
      <c r="AN224" s="432">
        <f t="shared" si="245"/>
        <v>0</v>
      </c>
      <c r="AO224" s="433">
        <f t="shared" si="246"/>
        <v>3183033.902483217</v>
      </c>
      <c r="AQ224" s="563">
        <f t="shared" si="247"/>
        <v>260860.58077657176</v>
      </c>
      <c r="AR224" s="563">
        <f t="shared" si="248"/>
        <v>4434629.8732017204</v>
      </c>
    </row>
    <row r="225" spans="1:44" ht="10.5" customHeight="1" x14ac:dyDescent="0.25">
      <c r="A225" s="412" t="s">
        <v>25</v>
      </c>
      <c r="B225" s="412" t="s">
        <v>25</v>
      </c>
      <c r="C225" s="412" t="s">
        <v>25</v>
      </c>
      <c r="D225" s="412" t="s">
        <v>25</v>
      </c>
      <c r="F225" s="396">
        <v>25</v>
      </c>
      <c r="G225" s="397"/>
      <c r="H225" s="398" t="s">
        <v>4319</v>
      </c>
      <c r="I225" s="399"/>
      <c r="J225" s="400"/>
      <c r="K225" s="400"/>
      <c r="L225" s="400"/>
      <c r="M225" s="400"/>
      <c r="N225" s="400"/>
      <c r="O225" s="401"/>
      <c r="P225" s="402"/>
      <c r="Q225" s="403"/>
      <c r="R225" s="400"/>
      <c r="S225" s="400"/>
      <c r="T225" s="400"/>
      <c r="U225" s="400"/>
      <c r="V225" s="402"/>
      <c r="X225" s="400"/>
      <c r="Y225" s="400"/>
      <c r="Z225" s="402"/>
      <c r="AA225" s="404">
        <f>+SUM(Z226:Z227)</f>
        <v>118901916.23721412</v>
      </c>
      <c r="AB225" s="405" t="s">
        <v>4319</v>
      </c>
      <c r="AC225" s="406"/>
      <c r="AD225" s="440"/>
      <c r="AE225" s="441"/>
      <c r="AF225" s="441"/>
      <c r="AG225" s="408"/>
      <c r="AH225" s="409"/>
      <c r="AI225" s="410"/>
      <c r="AJ225" s="411"/>
      <c r="AK225" s="408"/>
      <c r="AL225" s="409"/>
      <c r="AM225" s="442"/>
      <c r="AN225" s="442"/>
      <c r="AO225" s="410"/>
    </row>
    <row r="226" spans="1:44" ht="10.5" customHeight="1" x14ac:dyDescent="0.35">
      <c r="A226" s="412" t="s">
        <v>4320</v>
      </c>
      <c r="B226" s="412" t="s">
        <v>25</v>
      </c>
      <c r="C226" s="412" t="s">
        <v>4320</v>
      </c>
      <c r="D226" s="412" t="s">
        <v>25</v>
      </c>
      <c r="F226" s="413">
        <v>25.01</v>
      </c>
      <c r="G226" s="460" t="s">
        <v>4112</v>
      </c>
      <c r="H226" s="415" t="s">
        <v>4321</v>
      </c>
      <c r="I226" s="416" t="s">
        <v>3877</v>
      </c>
      <c r="J226" s="461">
        <v>17</v>
      </c>
      <c r="K226" s="418">
        <v>0</v>
      </c>
      <c r="L226" s="418">
        <v>4372210.5819999985</v>
      </c>
      <c r="M226" s="418">
        <v>0</v>
      </c>
      <c r="N226" s="418">
        <v>0</v>
      </c>
      <c r="O226" s="419">
        <f>+SUM(K226:N226)</f>
        <v>4372210.5819999985</v>
      </c>
      <c r="P226" s="420">
        <f>+O226*$P$2</f>
        <v>6276462.7079256717</v>
      </c>
      <c r="Q226" s="403"/>
      <c r="R226" s="421">
        <f t="shared" ref="R226:U227" si="249">+K226*$P$2</f>
        <v>0</v>
      </c>
      <c r="S226" s="421">
        <f t="shared" si="249"/>
        <v>6276462.7079256717</v>
      </c>
      <c r="T226" s="421">
        <f t="shared" si="249"/>
        <v>0</v>
      </c>
      <c r="U226" s="421">
        <f t="shared" si="249"/>
        <v>0</v>
      </c>
      <c r="V226" s="422">
        <f>+SUM(R226:U226)</f>
        <v>6276462.7079256717</v>
      </c>
      <c r="W226" s="423"/>
      <c r="X226" s="421">
        <f>+R226*J226</f>
        <v>0</v>
      </c>
      <c r="Y226" s="421">
        <f>+Z226-X226</f>
        <v>106699866.03473642</v>
      </c>
      <c r="Z226" s="422">
        <f>+V226*J226</f>
        <v>106699866.03473642</v>
      </c>
      <c r="AA226" s="371"/>
      <c r="AB226" s="425" t="s">
        <v>4319</v>
      </c>
      <c r="AC226" s="427">
        <v>0.6</v>
      </c>
      <c r="AD226" s="427">
        <v>0</v>
      </c>
      <c r="AE226" s="428">
        <f>AC226+AD226</f>
        <v>0.6</v>
      </c>
      <c r="AF226" s="437" t="str">
        <f>IF($AE226=1,"🔴","⚪")</f>
        <v>⚪</v>
      </c>
      <c r="AG226" s="430">
        <f>AC226*Z226</f>
        <v>64019919.620841853</v>
      </c>
      <c r="AH226" s="375">
        <f>AD226*Z226</f>
        <v>0</v>
      </c>
      <c r="AI226" s="431">
        <f>AE226*Z226</f>
        <v>64019919.620841853</v>
      </c>
      <c r="AJ226" s="375"/>
      <c r="AK226" s="430">
        <f>AE226*X226</f>
        <v>0</v>
      </c>
      <c r="AL226" s="375">
        <f>AE226*S226*J226</f>
        <v>64019919.620841853</v>
      </c>
      <c r="AM226" s="432">
        <f>AE226*T226*J226</f>
        <v>0</v>
      </c>
      <c r="AN226" s="432">
        <f>AE226*U226*J226</f>
        <v>0</v>
      </c>
      <c r="AO226" s="433">
        <f>AK226+AL226+AM226+AN226</f>
        <v>64019919.620841853</v>
      </c>
      <c r="AQ226" s="563">
        <f>+O226</f>
        <v>4372210.5819999985</v>
      </c>
      <c r="AR226" s="563">
        <f>+O226*J226</f>
        <v>74327579.893999979</v>
      </c>
    </row>
    <row r="227" spans="1:44" ht="10.5" customHeight="1" x14ac:dyDescent="0.35">
      <c r="A227" s="412" t="s">
        <v>4317</v>
      </c>
      <c r="B227" s="412" t="s">
        <v>25</v>
      </c>
      <c r="C227" s="412" t="s">
        <v>4317</v>
      </c>
      <c r="D227" s="412" t="s">
        <v>25</v>
      </c>
      <c r="F227" s="449">
        <v>25.02</v>
      </c>
      <c r="G227" s="450" t="s">
        <v>4112</v>
      </c>
      <c r="H227" s="459" t="s">
        <v>4322</v>
      </c>
      <c r="I227" s="452" t="s">
        <v>3877</v>
      </c>
      <c r="J227" s="453">
        <v>17</v>
      </c>
      <c r="K227" s="418">
        <v>0</v>
      </c>
      <c r="L227" s="418">
        <v>500000</v>
      </c>
      <c r="M227" s="418">
        <v>0</v>
      </c>
      <c r="N227" s="418">
        <v>0</v>
      </c>
      <c r="O227" s="419">
        <f>+SUM(K227:N227)</f>
        <v>500000</v>
      </c>
      <c r="P227" s="420">
        <f>+O227*$P$2</f>
        <v>717767.65896927635</v>
      </c>
      <c r="Q227" s="403"/>
      <c r="R227" s="421">
        <f t="shared" si="249"/>
        <v>0</v>
      </c>
      <c r="S227" s="421">
        <f t="shared" si="249"/>
        <v>717767.65896927635</v>
      </c>
      <c r="T227" s="421">
        <f t="shared" si="249"/>
        <v>0</v>
      </c>
      <c r="U227" s="421">
        <f t="shared" si="249"/>
        <v>0</v>
      </c>
      <c r="V227" s="422">
        <f>+SUM(R227:U227)</f>
        <v>717767.65896927635</v>
      </c>
      <c r="W227" s="423"/>
      <c r="X227" s="421">
        <f>+R227*J227</f>
        <v>0</v>
      </c>
      <c r="Y227" s="421">
        <f>+Z227-X227</f>
        <v>12202050.202477697</v>
      </c>
      <c r="Z227" s="422">
        <f>+V227*J227</f>
        <v>12202050.202477697</v>
      </c>
      <c r="AA227" s="371"/>
      <c r="AB227" s="425" t="s">
        <v>4319</v>
      </c>
      <c r="AC227" s="427">
        <v>0.6</v>
      </c>
      <c r="AD227" s="427">
        <v>0</v>
      </c>
      <c r="AE227" s="428">
        <f>AC227+AD227</f>
        <v>0.6</v>
      </c>
      <c r="AF227" s="437" t="str">
        <f>IF($AE227=1,"🔴","⚪")</f>
        <v>⚪</v>
      </c>
      <c r="AG227" s="430">
        <f>AC227*Z227</f>
        <v>7321230.1214866182</v>
      </c>
      <c r="AH227" s="375">
        <f>AD227*Z227</f>
        <v>0</v>
      </c>
      <c r="AI227" s="431">
        <f>AE227*Z227</f>
        <v>7321230.1214866182</v>
      </c>
      <c r="AJ227" s="375"/>
      <c r="AK227" s="430">
        <f>AE227*X227</f>
        <v>0</v>
      </c>
      <c r="AL227" s="375">
        <f>AE227*S227*J227</f>
        <v>7321230.1214866182</v>
      </c>
      <c r="AM227" s="432">
        <f>AE227*T227*J227</f>
        <v>0</v>
      </c>
      <c r="AN227" s="432">
        <f>AE227*U227*J227</f>
        <v>0</v>
      </c>
      <c r="AO227" s="433">
        <f>AK227+AL227+AM227+AN227</f>
        <v>7321230.1214866182</v>
      </c>
      <c r="AQ227" s="563">
        <f>+O227</f>
        <v>500000</v>
      </c>
      <c r="AR227" s="563">
        <f>+O227*J227</f>
        <v>8500000</v>
      </c>
    </row>
    <row r="228" spans="1:44" ht="10.5" customHeight="1" x14ac:dyDescent="0.35">
      <c r="F228" s="396"/>
      <c r="G228" s="397"/>
      <c r="H228" s="398" t="s">
        <v>4323</v>
      </c>
      <c r="I228" s="399"/>
      <c r="J228" s="400"/>
      <c r="K228" s="400"/>
      <c r="L228" s="400"/>
      <c r="M228" s="400"/>
      <c r="N228" s="400"/>
      <c r="O228" s="401">
        <f>SUMPRODUCT(O5:O227,J5:J227)</f>
        <v>1016173633.3255379</v>
      </c>
      <c r="P228" s="402">
        <f>+O228*$P$2</f>
        <v>1458753139.7967503</v>
      </c>
      <c r="Q228" s="403"/>
      <c r="R228" s="400"/>
      <c r="S228" s="400"/>
      <c r="T228" s="400"/>
      <c r="U228" s="400"/>
      <c r="V228" s="402"/>
      <c r="X228" s="400"/>
      <c r="Y228" s="400"/>
      <c r="Z228" s="371"/>
      <c r="AA228" s="371">
        <f>+SUM(AA4:AA227)</f>
        <v>1458753139.7967508</v>
      </c>
      <c r="AB228" s="511" t="s">
        <v>4324</v>
      </c>
      <c r="AC228" s="512"/>
      <c r="AD228" s="513"/>
      <c r="AE228" s="514"/>
      <c r="AF228" s="514"/>
      <c r="AG228" s="515"/>
      <c r="AH228" s="515"/>
      <c r="AI228" s="515"/>
      <c r="AJ228" s="516"/>
      <c r="AK228" s="515"/>
      <c r="AL228" s="515"/>
      <c r="AM228" s="515"/>
      <c r="AN228" s="515"/>
      <c r="AO228" s="515"/>
      <c r="AQ228" s="563">
        <f>IFERROR(O228/J228,0)</f>
        <v>0</v>
      </c>
      <c r="AR228" s="563">
        <f>+O228</f>
        <v>1016173633.3255379</v>
      </c>
    </row>
    <row r="229" spans="1:44" ht="10.5" customHeight="1" x14ac:dyDescent="0.25">
      <c r="F229" s="517"/>
      <c r="G229" s="517"/>
      <c r="H229" s="518"/>
      <c r="I229" s="519"/>
      <c r="J229" s="520"/>
      <c r="K229" s="520"/>
      <c r="L229" s="520"/>
      <c r="M229" s="520"/>
      <c r="N229" s="520"/>
      <c r="O229" s="521"/>
      <c r="P229" s="522"/>
      <c r="Q229" s="403"/>
      <c r="R229" s="520"/>
      <c r="S229" s="520"/>
      <c r="T229" s="520"/>
      <c r="U229" s="520"/>
      <c r="V229" s="523"/>
      <c r="X229" s="520"/>
      <c r="Y229" s="520"/>
      <c r="Z229" s="523"/>
      <c r="AA229" s="371"/>
      <c r="AC229" s="524"/>
      <c r="AD229" s="524"/>
    </row>
  </sheetData>
  <autoFilter ref="F3:AO228" xr:uid="{00000000-0009-0000-0000-000003000000}"/>
  <conditionalFormatting sqref="AF5:AF13">
    <cfRule type="expression" dxfId="101" priority="93">
      <formula>AE5=1</formula>
    </cfRule>
    <cfRule type="expression" dxfId="100" priority="92">
      <formula>AE5=0</formula>
    </cfRule>
    <cfRule type="expression" dxfId="99" priority="94">
      <formula>AE5&gt;1</formula>
    </cfRule>
  </conditionalFormatting>
  <conditionalFormatting sqref="AF15:AF19">
    <cfRule type="expression" dxfId="98" priority="89">
      <formula>AE15=0</formula>
    </cfRule>
    <cfRule type="expression" dxfId="97" priority="91">
      <formula>AE15&gt;0</formula>
    </cfRule>
    <cfRule type="expression" dxfId="96" priority="90">
      <formula>AE15=1</formula>
    </cfRule>
  </conditionalFormatting>
  <conditionalFormatting sqref="AF21:AF41">
    <cfRule type="expression" dxfId="95" priority="88">
      <formula>AE21&gt;0</formula>
    </cfRule>
    <cfRule type="expression" dxfId="94" priority="87">
      <formula>AE21&gt;0</formula>
    </cfRule>
    <cfRule type="expression" dxfId="93" priority="86">
      <formula>AE21=0</formula>
    </cfRule>
  </conditionalFormatting>
  <conditionalFormatting sqref="AF43:AF56">
    <cfRule type="expression" dxfId="92" priority="84">
      <formula>AE43&gt;0</formula>
    </cfRule>
    <cfRule type="expression" dxfId="91" priority="85">
      <formula>AE43&gt;0</formula>
    </cfRule>
    <cfRule type="expression" dxfId="90" priority="83">
      <formula>AE43=0</formula>
    </cfRule>
  </conditionalFormatting>
  <conditionalFormatting sqref="AF58:AF64">
    <cfRule type="expression" dxfId="89" priority="82">
      <formula>AE58&gt;0</formula>
    </cfRule>
    <cfRule type="expression" dxfId="88" priority="81">
      <formula>AE58&gt;0</formula>
    </cfRule>
    <cfRule type="expression" dxfId="87" priority="80">
      <formula>AE58=0</formula>
    </cfRule>
  </conditionalFormatting>
  <conditionalFormatting sqref="AF66">
    <cfRule type="expression" dxfId="86" priority="77">
      <formula>AE66=0</formula>
    </cfRule>
    <cfRule type="expression" dxfId="85" priority="79">
      <formula>AE66&gt;0</formula>
    </cfRule>
    <cfRule type="expression" dxfId="84" priority="78">
      <formula>AE66&gt;0</formula>
    </cfRule>
  </conditionalFormatting>
  <conditionalFormatting sqref="AF68:AF73">
    <cfRule type="expression" dxfId="83" priority="76">
      <formula>AE68&gt;0</formula>
    </cfRule>
    <cfRule type="expression" dxfId="82" priority="75">
      <formula>AE68&gt;0</formula>
    </cfRule>
    <cfRule type="expression" dxfId="81" priority="74">
      <formula>AE68=0</formula>
    </cfRule>
  </conditionalFormatting>
  <conditionalFormatting sqref="AF75:AF82">
    <cfRule type="expression" dxfId="80" priority="72">
      <formula>AE75&gt;0</formula>
    </cfRule>
    <cfRule type="expression" dxfId="79" priority="73">
      <formula>AE75&gt;0</formula>
    </cfRule>
    <cfRule type="expression" dxfId="78" priority="71">
      <formula>AE75=0</formula>
    </cfRule>
  </conditionalFormatting>
  <conditionalFormatting sqref="AF84:AF86">
    <cfRule type="expression" dxfId="77" priority="70">
      <formula>AE84&gt;0</formula>
    </cfRule>
    <cfRule type="expression" dxfId="76" priority="69">
      <formula>AE84&gt;0</formula>
    </cfRule>
    <cfRule type="expression" dxfId="75" priority="68">
      <formula>AE84=0</formula>
    </cfRule>
  </conditionalFormatting>
  <conditionalFormatting sqref="AF88:AF91">
    <cfRule type="expression" dxfId="74" priority="67">
      <formula>AE88&gt;0</formula>
    </cfRule>
    <cfRule type="expression" dxfId="73" priority="66">
      <formula>AE88&gt;0</formula>
    </cfRule>
    <cfRule type="expression" dxfId="72" priority="65">
      <formula>AE88=0</formula>
    </cfRule>
  </conditionalFormatting>
  <conditionalFormatting sqref="AF93:AF103">
    <cfRule type="expression" dxfId="71" priority="64">
      <formula>AE93&gt;0</formula>
    </cfRule>
    <cfRule type="expression" dxfId="70" priority="63">
      <formula>AE93&gt;0</formula>
    </cfRule>
    <cfRule type="expression" dxfId="69" priority="62">
      <formula>AE93=0</formula>
    </cfRule>
  </conditionalFormatting>
  <conditionalFormatting sqref="AF105:AF107">
    <cfRule type="expression" dxfId="68" priority="61">
      <formula>AE105&gt;0</formula>
    </cfRule>
    <cfRule type="expression" dxfId="67" priority="60">
      <formula>AE105&gt;0</formula>
    </cfRule>
    <cfRule type="expression" dxfId="66" priority="59">
      <formula>AE105=0</formula>
    </cfRule>
  </conditionalFormatting>
  <conditionalFormatting sqref="AF109:AF112">
    <cfRule type="expression" dxfId="65" priority="58">
      <formula>AE109&gt;0</formula>
    </cfRule>
    <cfRule type="expression" dxfId="64" priority="57">
      <formula>AE109&gt;0</formula>
    </cfRule>
    <cfRule type="expression" dxfId="63" priority="56">
      <formula>AE109=0</formula>
    </cfRule>
  </conditionalFormatting>
  <conditionalFormatting sqref="AF114:AF120">
    <cfRule type="expression" dxfId="62" priority="55">
      <formula>AE114&gt;0</formula>
    </cfRule>
    <cfRule type="expression" dxfId="61" priority="54">
      <formula>AE114&gt;0</formula>
    </cfRule>
    <cfRule type="expression" dxfId="60" priority="53">
      <formula>AE114=0</formula>
    </cfRule>
  </conditionalFormatting>
  <conditionalFormatting sqref="AF122:AF133">
    <cfRule type="expression" dxfId="59" priority="52">
      <formula>AE122&gt;0</formula>
    </cfRule>
    <cfRule type="expression" dxfId="58" priority="51">
      <formula>AE122&gt;0</formula>
    </cfRule>
    <cfRule type="expression" dxfId="57" priority="50">
      <formula>AE122=0</formula>
    </cfRule>
  </conditionalFormatting>
  <conditionalFormatting sqref="AF135">
    <cfRule type="expression" dxfId="56" priority="47">
      <formula>AE135=0</formula>
    </cfRule>
    <cfRule type="expression" dxfId="55" priority="48">
      <formula>AE135&gt;0</formula>
    </cfRule>
    <cfRule type="expression" dxfId="54" priority="49">
      <formula>AE135&gt;0</formula>
    </cfRule>
  </conditionalFormatting>
  <conditionalFormatting sqref="AF137:AF140">
    <cfRule type="expression" dxfId="53" priority="46">
      <formula>AE137&gt;0</formula>
    </cfRule>
    <cfRule type="expression" dxfId="52" priority="45">
      <formula>AE137&gt;0</formula>
    </cfRule>
    <cfRule type="expression" dxfId="51" priority="44">
      <formula>AE137=0</formula>
    </cfRule>
  </conditionalFormatting>
  <conditionalFormatting sqref="AF142:AF175">
    <cfRule type="expression" dxfId="50" priority="43">
      <formula>AE142&gt;0</formula>
    </cfRule>
    <cfRule type="expression" dxfId="49" priority="42">
      <formula>AE142&gt;0</formula>
    </cfRule>
    <cfRule type="expression" dxfId="48" priority="41">
      <formula>AE142=0</formula>
    </cfRule>
  </conditionalFormatting>
  <conditionalFormatting sqref="AF177:AF179">
    <cfRule type="expression" dxfId="47" priority="40">
      <formula>AE177&gt;0</formula>
    </cfRule>
    <cfRule type="expression" dxfId="46" priority="39">
      <formula>AE177&gt;0</formula>
    </cfRule>
    <cfRule type="expression" dxfId="45" priority="38">
      <formula>AE177=0</formula>
    </cfRule>
  </conditionalFormatting>
  <conditionalFormatting sqref="AF181:AF183">
    <cfRule type="expression" dxfId="44" priority="37">
      <formula>AE181&gt;0</formula>
    </cfRule>
    <cfRule type="expression" dxfId="43" priority="36">
      <formula>AE181&gt;0</formula>
    </cfRule>
    <cfRule type="expression" dxfId="42" priority="35">
      <formula>AE181=0</formula>
    </cfRule>
  </conditionalFormatting>
  <conditionalFormatting sqref="AF185:AF189">
    <cfRule type="expression" dxfId="41" priority="34">
      <formula>AE185&gt;0</formula>
    </cfRule>
    <cfRule type="expression" dxfId="40" priority="33">
      <formula>AE185&gt;0</formula>
    </cfRule>
    <cfRule type="expression" dxfId="39" priority="32">
      <formula>AE185=0</formula>
    </cfRule>
  </conditionalFormatting>
  <conditionalFormatting sqref="AF191">
    <cfRule type="expression" dxfId="38" priority="31">
      <formula>AE191&gt;0</formula>
    </cfRule>
    <cfRule type="expression" dxfId="37" priority="30">
      <formula>AE191&gt;0</formula>
    </cfRule>
    <cfRule type="expression" dxfId="36" priority="29">
      <formula>AE191=0</formula>
    </cfRule>
  </conditionalFormatting>
  <conditionalFormatting sqref="AF193:AF194">
    <cfRule type="expression" dxfId="35" priority="28">
      <formula>AE193&gt;0</formula>
    </cfRule>
    <cfRule type="expression" dxfId="34" priority="27">
      <formula>AE193&gt;0</formula>
    </cfRule>
    <cfRule type="expression" dxfId="33" priority="26">
      <formula>AE193=0</formula>
    </cfRule>
  </conditionalFormatting>
  <conditionalFormatting sqref="AF196">
    <cfRule type="expression" dxfId="32" priority="25">
      <formula>AE196&gt;0</formula>
    </cfRule>
    <cfRule type="expression" dxfId="31" priority="23">
      <formula>AE196=0</formula>
    </cfRule>
    <cfRule type="expression" dxfId="30" priority="24">
      <formula>AE196&gt;0</formula>
    </cfRule>
  </conditionalFormatting>
  <conditionalFormatting sqref="AF198:AF201">
    <cfRule type="expression" dxfId="29" priority="22">
      <formula>AE198&gt;0</formula>
    </cfRule>
    <cfRule type="expression" dxfId="28" priority="21">
      <formula>AE198&gt;0</formula>
    </cfRule>
    <cfRule type="expression" dxfId="27" priority="20">
      <formula>AE198=0</formula>
    </cfRule>
  </conditionalFormatting>
  <conditionalFormatting sqref="AF203:AF204">
    <cfRule type="expression" dxfId="26" priority="18">
      <formula>AE203&gt;0</formula>
    </cfRule>
    <cfRule type="expression" dxfId="25" priority="17">
      <formula>AE203=0</formula>
    </cfRule>
    <cfRule type="expression" dxfId="24" priority="19">
      <formula>AE203&gt;0</formula>
    </cfRule>
  </conditionalFormatting>
  <conditionalFormatting sqref="AF206">
    <cfRule type="expression" dxfId="23" priority="16">
      <formula>AE206&gt;0</formula>
    </cfRule>
    <cfRule type="expression" dxfId="22" priority="15">
      <formula>AE206&gt;0</formula>
    </cfRule>
    <cfRule type="expression" dxfId="21" priority="14">
      <formula>AE206=0</formula>
    </cfRule>
  </conditionalFormatting>
  <conditionalFormatting sqref="AF208:AF209">
    <cfRule type="expression" dxfId="20" priority="13">
      <formula>AE208&gt;0</formula>
    </cfRule>
    <cfRule type="expression" dxfId="19" priority="11">
      <formula>AE208=0</formula>
    </cfRule>
    <cfRule type="expression" dxfId="18" priority="12">
      <formula>AE208&gt;0</formula>
    </cfRule>
  </conditionalFormatting>
  <conditionalFormatting sqref="AF211:AF214">
    <cfRule type="expression" dxfId="17" priority="10">
      <formula>AE211&gt;0</formula>
    </cfRule>
    <cfRule type="expression" dxfId="16" priority="9">
      <formula>AE211&gt;0</formula>
    </cfRule>
    <cfRule type="expression" dxfId="15" priority="8">
      <formula>AE211=0</formula>
    </cfRule>
  </conditionalFormatting>
  <conditionalFormatting sqref="AF216:AF224">
    <cfRule type="expression" dxfId="14" priority="6">
      <formula>AE216&gt;0</formula>
    </cfRule>
    <cfRule type="expression" dxfId="13" priority="5">
      <formula>AE216=0</formula>
    </cfRule>
    <cfRule type="expression" dxfId="12" priority="7">
      <formula>AE216&gt;0</formula>
    </cfRule>
  </conditionalFormatting>
  <conditionalFormatting sqref="AF226:AF227">
    <cfRule type="expression" dxfId="11" priority="2">
      <formula>AE226=0</formula>
    </cfRule>
    <cfRule type="expression" dxfId="10" priority="4">
      <formula>AE226&gt;0</formula>
    </cfRule>
    <cfRule type="expression" dxfId="9" priority="3">
      <formula>AE226&gt;0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0000"/>
  </sheetPr>
  <dimension ref="A2:AT101"/>
  <sheetViews>
    <sheetView zoomScaleNormal="100" workbookViewId="0"/>
  </sheetViews>
  <sheetFormatPr defaultColWidth="8.7265625" defaultRowHeight="10.5" x14ac:dyDescent="0.25"/>
  <cols>
    <col min="1" max="1" width="3" style="19" customWidth="1"/>
    <col min="2" max="2" width="30.1796875" style="19" customWidth="1"/>
    <col min="3" max="3" width="3.1796875" style="19" customWidth="1"/>
    <col min="4" max="4" width="5" style="19" customWidth="1"/>
    <col min="5" max="5" width="4.08984375" style="19" customWidth="1"/>
    <col min="6" max="6" width="11.1796875" style="19" customWidth="1"/>
    <col min="7" max="7" width="13.36328125" style="19" customWidth="1"/>
    <col min="8" max="8" width="12" style="19" customWidth="1"/>
    <col min="9" max="10" width="8.7265625" style="19" customWidth="1"/>
    <col min="11" max="11" width="12.36328125" style="19" customWidth="1"/>
    <col min="12" max="12" width="10.6328125" style="19" customWidth="1"/>
    <col min="13" max="13" width="16.36328125" style="19" customWidth="1"/>
    <col min="14" max="14" width="4.81640625" style="19" customWidth="1"/>
    <col min="15" max="15" width="6.7265625" style="19" customWidth="1"/>
    <col min="16" max="16" width="13.08984375" style="19" customWidth="1"/>
    <col min="17" max="17" width="7.81640625" style="19" customWidth="1"/>
    <col min="18" max="18" width="21" style="19" customWidth="1"/>
    <col min="19" max="22" width="8.7265625" style="19" customWidth="1"/>
    <col min="23" max="16384" width="8.7265625" style="19"/>
  </cols>
  <sheetData>
    <row r="2" spans="1:46" ht="10.5" customHeight="1" x14ac:dyDescent="0.25">
      <c r="A2" s="20"/>
      <c r="B2" s="21"/>
      <c r="C2" s="22"/>
      <c r="D2" s="23"/>
      <c r="E2" s="23"/>
      <c r="F2" s="24"/>
      <c r="G2" s="25"/>
      <c r="H2" s="26">
        <v>45679</v>
      </c>
      <c r="I2" s="27"/>
      <c r="J2" s="25"/>
      <c r="K2" s="25"/>
      <c r="M2" s="27"/>
      <c r="N2" s="28"/>
      <c r="O2" s="28">
        <v>26</v>
      </c>
      <c r="P2" s="28"/>
      <c r="Q2" s="25"/>
      <c r="R2" s="29"/>
      <c r="S2" s="30"/>
      <c r="T2" s="25"/>
      <c r="U2" s="31"/>
      <c r="V2" s="32"/>
      <c r="W2" s="32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</row>
    <row r="3" spans="1:46" ht="20.25" customHeight="1" x14ac:dyDescent="0.25">
      <c r="A3" s="20"/>
      <c r="B3" s="34"/>
      <c r="C3" s="22"/>
      <c r="D3" s="23"/>
      <c r="E3" s="23"/>
      <c r="F3" s="35" t="s">
        <v>4325</v>
      </c>
      <c r="G3" s="36" t="s">
        <v>4326</v>
      </c>
      <c r="H3" s="36" t="s">
        <v>4327</v>
      </c>
      <c r="I3" s="28"/>
      <c r="J3" s="28"/>
      <c r="K3" s="28"/>
      <c r="M3" s="36" t="s">
        <v>4328</v>
      </c>
      <c r="N3" s="37" t="s">
        <v>4329</v>
      </c>
      <c r="O3" s="37" t="s">
        <v>4330</v>
      </c>
      <c r="Q3" s="25"/>
      <c r="R3" s="27"/>
      <c r="S3" s="38"/>
      <c r="T3" s="39"/>
      <c r="U3" s="27"/>
      <c r="V3" s="40"/>
      <c r="W3" s="41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</row>
    <row r="4" spans="1:46" ht="21" customHeight="1" x14ac:dyDescent="0.25">
      <c r="A4" s="20"/>
      <c r="B4" s="34" t="s">
        <v>4331</v>
      </c>
      <c r="C4" s="22"/>
      <c r="D4" s="23"/>
      <c r="E4" s="23"/>
      <c r="F4" s="43">
        <f>+ROUNDUP(N17,0)</f>
        <v>17</v>
      </c>
      <c r="G4" s="44">
        <v>1066.5</v>
      </c>
      <c r="H4" s="44">
        <v>1170</v>
      </c>
      <c r="I4" s="45"/>
      <c r="J4" s="45"/>
      <c r="K4" s="39"/>
      <c r="M4" s="46" t="s">
        <v>4332</v>
      </c>
      <c r="N4" s="47">
        <v>1</v>
      </c>
      <c r="O4" s="47">
        <f t="shared" ref="O4:O16" si="0">+N4*$O$2</f>
        <v>26</v>
      </c>
      <c r="Q4" s="48" t="s">
        <v>4333</v>
      </c>
      <c r="R4" s="39"/>
      <c r="S4" s="49"/>
      <c r="T4" s="50"/>
      <c r="U4" s="51"/>
      <c r="V4" s="51"/>
      <c r="W4" s="41"/>
      <c r="X4" s="52"/>
      <c r="Y4" s="52"/>
      <c r="Z4" s="52"/>
      <c r="AA4" s="52"/>
      <c r="AB4" s="52"/>
      <c r="AC4" s="53"/>
      <c r="AD4" s="54"/>
      <c r="AE4" s="53"/>
      <c r="AF4" s="54"/>
      <c r="AG4" s="53"/>
      <c r="AH4" s="54"/>
      <c r="AI4" s="52"/>
      <c r="AJ4" s="53"/>
      <c r="AK4" s="54"/>
      <c r="AL4" s="53"/>
      <c r="AM4" s="54"/>
      <c r="AN4" s="53"/>
      <c r="AO4" s="54"/>
      <c r="AP4" s="53"/>
      <c r="AQ4" s="54"/>
      <c r="AR4" s="52"/>
      <c r="AS4" s="52"/>
      <c r="AT4" s="52"/>
    </row>
    <row r="5" spans="1:46" ht="10.5" customHeight="1" x14ac:dyDescent="0.25">
      <c r="M5" s="55" t="s">
        <v>4334</v>
      </c>
      <c r="N5" s="56">
        <v>2.5</v>
      </c>
      <c r="O5" s="56">
        <f t="shared" si="0"/>
        <v>65</v>
      </c>
      <c r="P5" s="57"/>
      <c r="Q5" s="58">
        <f>+ROUNDUP(SUM(N4:N5),0)</f>
        <v>4</v>
      </c>
      <c r="T5" s="50"/>
      <c r="U5" s="51"/>
      <c r="V5" s="51"/>
    </row>
    <row r="6" spans="1:46" ht="10.5" customHeight="1" x14ac:dyDescent="0.25">
      <c r="B6" s="59" t="s">
        <v>4335</v>
      </c>
      <c r="C6" s="60" t="s">
        <v>4089</v>
      </c>
      <c r="D6" s="61" t="s">
        <v>6</v>
      </c>
      <c r="E6" s="61"/>
      <c r="F6" s="62" t="s">
        <v>4336</v>
      </c>
      <c r="G6" s="61" t="s">
        <v>4096</v>
      </c>
      <c r="H6" s="63">
        <f>SUM(G7:G10)</f>
        <v>0</v>
      </c>
      <c r="I6" s="64"/>
      <c r="J6" s="64"/>
      <c r="K6" s="51"/>
      <c r="M6" s="65" t="s">
        <v>4337</v>
      </c>
      <c r="N6" s="56">
        <v>1</v>
      </c>
      <c r="O6" s="56">
        <f t="shared" si="0"/>
        <v>26</v>
      </c>
      <c r="Q6" s="66"/>
      <c r="T6" s="50"/>
      <c r="U6" s="51"/>
      <c r="V6" s="51"/>
    </row>
    <row r="7" spans="1:46" ht="10.5" customHeight="1" x14ac:dyDescent="0.25">
      <c r="B7" s="67" t="s">
        <v>4338</v>
      </c>
      <c r="C7" s="68" t="s">
        <v>3877</v>
      </c>
      <c r="D7" s="69">
        <f>+$F$4</f>
        <v>17</v>
      </c>
      <c r="E7" s="69">
        <v>0</v>
      </c>
      <c r="F7" s="70">
        <f>E7*I7+J7</f>
        <v>0</v>
      </c>
      <c r="G7" s="71">
        <f>+F7*D7*E7</f>
        <v>0</v>
      </c>
      <c r="H7" s="64"/>
      <c r="I7" s="72"/>
      <c r="J7" s="64"/>
      <c r="K7" s="51"/>
      <c r="M7" s="65" t="s">
        <v>4339</v>
      </c>
      <c r="N7" s="56">
        <v>0.75</v>
      </c>
      <c r="O7" s="56">
        <f t="shared" si="0"/>
        <v>19.5</v>
      </c>
      <c r="Q7" s="66"/>
      <c r="T7" s="50"/>
      <c r="U7" s="51"/>
      <c r="V7" s="51"/>
    </row>
    <row r="8" spans="1:46" ht="10.5" customHeight="1" x14ac:dyDescent="0.25">
      <c r="B8" s="73" t="s">
        <v>4340</v>
      </c>
      <c r="C8" s="74" t="s">
        <v>3877</v>
      </c>
      <c r="D8" s="69">
        <f>+$F$4</f>
        <v>17</v>
      </c>
      <c r="E8" s="75">
        <v>0</v>
      </c>
      <c r="F8" s="70">
        <f>E8*I8+J8</f>
        <v>0</v>
      </c>
      <c r="G8" s="71">
        <f>+F8*D8*E8</f>
        <v>0</v>
      </c>
      <c r="H8" s="64"/>
      <c r="I8" s="72"/>
      <c r="J8" s="64"/>
      <c r="M8" s="65" t="s">
        <v>4341</v>
      </c>
      <c r="N8" s="56">
        <v>0.75</v>
      </c>
      <c r="O8" s="56">
        <f t="shared" si="0"/>
        <v>19.5</v>
      </c>
      <c r="Q8" s="66"/>
      <c r="T8" s="50"/>
      <c r="U8" s="51"/>
      <c r="V8" s="51"/>
    </row>
    <row r="9" spans="1:46" ht="10.5" customHeight="1" x14ac:dyDescent="0.25">
      <c r="B9" s="73" t="s">
        <v>4342</v>
      </c>
      <c r="C9" s="74" t="s">
        <v>3877</v>
      </c>
      <c r="D9" s="69">
        <f>+$F$4</f>
        <v>17</v>
      </c>
      <c r="E9" s="75">
        <v>1</v>
      </c>
      <c r="F9" s="70">
        <f>E9*I9+J9</f>
        <v>0</v>
      </c>
      <c r="G9" s="71">
        <f>+F9*D9*E9</f>
        <v>0</v>
      </c>
      <c r="H9" s="64"/>
      <c r="I9" s="64"/>
      <c r="J9" s="64"/>
      <c r="M9" s="65" t="s">
        <v>4343</v>
      </c>
      <c r="N9" s="56">
        <v>0.75</v>
      </c>
      <c r="O9" s="56">
        <f t="shared" si="0"/>
        <v>19.5</v>
      </c>
      <c r="P9" s="57" t="s">
        <v>4344</v>
      </c>
      <c r="Q9" s="66"/>
      <c r="T9" s="50"/>
      <c r="U9" s="51"/>
      <c r="V9" s="51"/>
    </row>
    <row r="10" spans="1:46" ht="10.5" customHeight="1" x14ac:dyDescent="0.25">
      <c r="B10" s="73" t="s">
        <v>4345</v>
      </c>
      <c r="C10" s="74" t="s">
        <v>3877</v>
      </c>
      <c r="D10" s="69">
        <f>+$F$4</f>
        <v>17</v>
      </c>
      <c r="E10" s="75">
        <v>2</v>
      </c>
      <c r="F10" s="70">
        <f>E10*I10+J10</f>
        <v>0</v>
      </c>
      <c r="G10" s="71">
        <f>+F10*D10*E10</f>
        <v>0</v>
      </c>
      <c r="H10" s="64"/>
      <c r="I10" s="64"/>
      <c r="J10" s="64"/>
      <c r="M10" s="65" t="s">
        <v>4346</v>
      </c>
      <c r="N10" s="56">
        <v>0.75</v>
      </c>
      <c r="O10" s="56">
        <f t="shared" si="0"/>
        <v>19.5</v>
      </c>
      <c r="Q10" s="66"/>
      <c r="T10" s="50"/>
      <c r="U10" s="51"/>
      <c r="V10" s="51"/>
    </row>
    <row r="11" spans="1:46" ht="10.5" customHeight="1" x14ac:dyDescent="0.25">
      <c r="B11" s="76" t="s">
        <v>4335</v>
      </c>
      <c r="C11" s="77"/>
      <c r="D11" s="78"/>
      <c r="E11" s="78"/>
      <c r="F11" s="79"/>
      <c r="G11" s="80"/>
      <c r="H11" s="81">
        <f>SUM(G12:G19)</f>
        <v>40948076.111000001</v>
      </c>
      <c r="I11" s="64"/>
      <c r="J11" s="64"/>
      <c r="K11" s="51"/>
      <c r="M11" s="65" t="s">
        <v>4347</v>
      </c>
      <c r="N11" s="56">
        <v>0.5</v>
      </c>
      <c r="O11" s="56">
        <f t="shared" si="0"/>
        <v>13</v>
      </c>
      <c r="Q11" s="66" t="s">
        <v>4348</v>
      </c>
      <c r="R11" s="57" t="s">
        <v>4349</v>
      </c>
      <c r="T11" s="57"/>
      <c r="U11" s="57"/>
      <c r="V11" s="57"/>
    </row>
    <row r="12" spans="1:46" ht="10.5" customHeight="1" x14ac:dyDescent="0.25">
      <c r="B12" s="82" t="s">
        <v>4350</v>
      </c>
      <c r="C12" s="83" t="s">
        <v>3877</v>
      </c>
      <c r="D12" s="84">
        <f>+Q5</f>
        <v>4</v>
      </c>
      <c r="E12" s="84">
        <v>1</v>
      </c>
      <c r="F12" s="85"/>
      <c r="G12" s="559">
        <f>+K12</f>
        <v>6018681.1639999999</v>
      </c>
      <c r="H12" s="64"/>
      <c r="J12" s="86">
        <v>1504670.291</v>
      </c>
      <c r="K12" s="69">
        <f>+J12*D12*E12</f>
        <v>6018681.1639999999</v>
      </c>
      <c r="M12" s="55" t="s">
        <v>4351</v>
      </c>
      <c r="N12" s="56">
        <v>2</v>
      </c>
      <c r="O12" s="56">
        <f t="shared" si="0"/>
        <v>52</v>
      </c>
      <c r="Q12" s="66">
        <f>+SUM(N5:N11)</f>
        <v>7</v>
      </c>
      <c r="R12" s="57">
        <f>+ROUNDUP(Q12/3,0)</f>
        <v>3</v>
      </c>
      <c r="T12" s="57"/>
      <c r="U12" s="57"/>
      <c r="V12" s="57"/>
    </row>
    <row r="13" spans="1:46" ht="10.5" customHeight="1" x14ac:dyDescent="0.25">
      <c r="B13" s="73" t="s">
        <v>4352</v>
      </c>
      <c r="C13" s="74" t="s">
        <v>3877</v>
      </c>
      <c r="D13" s="75">
        <f t="shared" ref="D13:D19" si="1">+$F$4</f>
        <v>17</v>
      </c>
      <c r="E13" s="75">
        <v>1</v>
      </c>
      <c r="F13" s="70"/>
      <c r="G13" s="559">
        <f>+K13</f>
        <v>2550000</v>
      </c>
      <c r="H13" s="64"/>
      <c r="J13" s="87">
        <v>150000</v>
      </c>
      <c r="K13" s="70">
        <f>+J13*D13*E13</f>
        <v>2550000</v>
      </c>
      <c r="M13" s="55" t="s">
        <v>4353</v>
      </c>
      <c r="N13" s="56">
        <v>2</v>
      </c>
      <c r="O13" s="56">
        <f t="shared" si="0"/>
        <v>52</v>
      </c>
    </row>
    <row r="14" spans="1:46" ht="10.5" customHeight="1" x14ac:dyDescent="0.25">
      <c r="B14" s="73" t="s">
        <v>4354</v>
      </c>
      <c r="C14" s="74" t="s">
        <v>3877</v>
      </c>
      <c r="D14" s="75">
        <f t="shared" si="1"/>
        <v>17</v>
      </c>
      <c r="E14" s="75">
        <v>0.5</v>
      </c>
      <c r="F14" s="70">
        <v>200000</v>
      </c>
      <c r="G14" s="70">
        <f t="shared" ref="G14:G19" si="2">+F14*D14*E14</f>
        <v>1700000</v>
      </c>
      <c r="H14" s="64"/>
      <c r="I14" s="64"/>
      <c r="J14" s="51"/>
      <c r="K14" s="51"/>
      <c r="M14" s="55" t="s">
        <v>4355</v>
      </c>
      <c r="N14" s="56">
        <v>2</v>
      </c>
      <c r="O14" s="56">
        <f t="shared" si="0"/>
        <v>52</v>
      </c>
    </row>
    <row r="15" spans="1:46" ht="10.5" customHeight="1" x14ac:dyDescent="0.25">
      <c r="B15" s="73" t="s">
        <v>4356</v>
      </c>
      <c r="C15" s="74" t="s">
        <v>3877</v>
      </c>
      <c r="D15" s="75">
        <f t="shared" si="1"/>
        <v>17</v>
      </c>
      <c r="E15" s="75">
        <v>1</v>
      </c>
      <c r="F15" s="70">
        <v>250000</v>
      </c>
      <c r="G15" s="70">
        <f t="shared" si="2"/>
        <v>4250000</v>
      </c>
      <c r="H15" s="64"/>
      <c r="I15" s="64"/>
      <c r="J15" s="51"/>
      <c r="K15" s="51"/>
      <c r="M15" s="55" t="s">
        <v>2779</v>
      </c>
      <c r="N15" s="88">
        <v>2</v>
      </c>
      <c r="O15" s="56">
        <f t="shared" si="0"/>
        <v>52</v>
      </c>
    </row>
    <row r="16" spans="1:46" ht="10.5" customHeight="1" x14ac:dyDescent="0.25">
      <c r="B16" s="73" t="s">
        <v>4357</v>
      </c>
      <c r="C16" s="74" t="s">
        <v>3877</v>
      </c>
      <c r="D16" s="75">
        <f t="shared" si="1"/>
        <v>17</v>
      </c>
      <c r="E16" s="75">
        <v>1</v>
      </c>
      <c r="F16" s="70">
        <v>50000</v>
      </c>
      <c r="G16" s="70">
        <f t="shared" si="2"/>
        <v>850000</v>
      </c>
      <c r="H16" s="64"/>
      <c r="I16" s="64"/>
      <c r="J16" s="51"/>
      <c r="K16" s="51"/>
      <c r="M16" s="89" t="s">
        <v>4358</v>
      </c>
      <c r="N16" s="90">
        <v>1</v>
      </c>
      <c r="O16" s="56">
        <f t="shared" si="0"/>
        <v>26</v>
      </c>
    </row>
    <row r="17" spans="2:15" ht="10.5" customHeight="1" x14ac:dyDescent="0.25">
      <c r="B17" s="73" t="s">
        <v>4359</v>
      </c>
      <c r="C17" s="74" t="s">
        <v>3877</v>
      </c>
      <c r="D17" s="75">
        <f t="shared" si="1"/>
        <v>17</v>
      </c>
      <c r="E17" s="75">
        <v>0</v>
      </c>
      <c r="F17" s="70">
        <v>10000</v>
      </c>
      <c r="G17" s="70">
        <f t="shared" si="2"/>
        <v>0</v>
      </c>
      <c r="H17" s="64"/>
      <c r="I17" s="64"/>
      <c r="J17" s="51"/>
      <c r="K17" s="51"/>
      <c r="N17" s="91">
        <f>SUM(N4:N16)</f>
        <v>17</v>
      </c>
      <c r="O17" s="91">
        <f>SUM(O4:O16)</f>
        <v>442</v>
      </c>
    </row>
    <row r="18" spans="2:15" ht="10.5" customHeight="1" x14ac:dyDescent="0.25">
      <c r="B18" s="73" t="s">
        <v>4360</v>
      </c>
      <c r="C18" s="74" t="s">
        <v>3877</v>
      </c>
      <c r="D18" s="75">
        <f t="shared" si="1"/>
        <v>17</v>
      </c>
      <c r="E18" s="75">
        <v>0</v>
      </c>
      <c r="F18" s="70">
        <v>3009340.5819999999</v>
      </c>
      <c r="G18" s="70">
        <f t="shared" si="2"/>
        <v>0</v>
      </c>
      <c r="H18" s="64"/>
      <c r="K18" s="51"/>
      <c r="L18" s="51"/>
    </row>
    <row r="19" spans="2:15" ht="10.5" customHeight="1" x14ac:dyDescent="0.25">
      <c r="B19" s="73" t="s">
        <v>4361</v>
      </c>
      <c r="C19" s="74" t="s">
        <v>3877</v>
      </c>
      <c r="D19" s="75">
        <f t="shared" si="1"/>
        <v>17</v>
      </c>
      <c r="E19" s="75">
        <v>0.5</v>
      </c>
      <c r="F19" s="70">
        <v>3009340.5819999999</v>
      </c>
      <c r="G19" s="70">
        <f t="shared" si="2"/>
        <v>25579394.947000001</v>
      </c>
      <c r="H19" s="64"/>
      <c r="I19" s="64"/>
      <c r="J19" s="51"/>
      <c r="K19" s="51"/>
      <c r="L19" s="51"/>
    </row>
    <row r="20" spans="2:15" ht="10.5" customHeight="1" x14ac:dyDescent="0.25">
      <c r="B20" s="76" t="s">
        <v>4362</v>
      </c>
      <c r="C20" s="77"/>
      <c r="D20" s="92"/>
      <c r="E20" s="92"/>
      <c r="F20" s="93"/>
      <c r="G20" s="94"/>
      <c r="H20" s="63">
        <f>SUM(G21:G31)</f>
        <v>155823656.2665689</v>
      </c>
      <c r="I20" s="64"/>
      <c r="J20" s="51"/>
      <c r="K20" s="51"/>
    </row>
    <row r="21" spans="2:15" ht="10.5" customHeight="1" x14ac:dyDescent="0.25">
      <c r="B21" s="82" t="s">
        <v>4363</v>
      </c>
      <c r="C21" s="83" t="s">
        <v>3877</v>
      </c>
      <c r="D21" s="84">
        <f t="shared" ref="D21:D30" si="3">+$F$4</f>
        <v>17</v>
      </c>
      <c r="E21" s="84">
        <v>0.15</v>
      </c>
      <c r="F21" s="85">
        <v>5273644.0999999996</v>
      </c>
      <c r="G21" s="85">
        <f>+F21*D21*E21</f>
        <v>13447792.454999998</v>
      </c>
      <c r="H21" s="64"/>
      <c r="I21" s="64"/>
      <c r="J21" s="64"/>
      <c r="K21" s="51"/>
    </row>
    <row r="22" spans="2:15" ht="10.5" customHeight="1" x14ac:dyDescent="0.25">
      <c r="B22" s="73" t="s">
        <v>4364</v>
      </c>
      <c r="C22" s="74" t="s">
        <v>3877</v>
      </c>
      <c r="D22" s="75">
        <f t="shared" si="3"/>
        <v>17</v>
      </c>
      <c r="E22" s="75">
        <v>1</v>
      </c>
      <c r="F22" s="95"/>
      <c r="G22" s="559">
        <f>+K22</f>
        <v>74327579.894000009</v>
      </c>
      <c r="H22" s="64"/>
      <c r="J22" s="87">
        <v>4372210.5820000004</v>
      </c>
      <c r="K22" s="70">
        <f>+J22*D22*E22</f>
        <v>74327579.894000009</v>
      </c>
    </row>
    <row r="23" spans="2:15" ht="10.5" customHeight="1" x14ac:dyDescent="0.25">
      <c r="B23" s="73" t="s">
        <v>4365</v>
      </c>
      <c r="C23" s="74" t="s">
        <v>3877</v>
      </c>
      <c r="D23" s="75">
        <f t="shared" si="3"/>
        <v>17</v>
      </c>
      <c r="E23" s="96">
        <v>0</v>
      </c>
      <c r="F23" s="70">
        <v>3009340.5819999999</v>
      </c>
      <c r="G23" s="70">
        <f>+F23*D23*E23</f>
        <v>0</v>
      </c>
      <c r="H23" s="64"/>
      <c r="I23" s="64"/>
      <c r="J23" s="64"/>
      <c r="K23" s="51"/>
    </row>
    <row r="24" spans="2:15" ht="10.5" customHeight="1" x14ac:dyDescent="0.25">
      <c r="B24" s="73" t="s">
        <v>4366</v>
      </c>
      <c r="C24" s="74" t="s">
        <v>3877</v>
      </c>
      <c r="D24" s="75">
        <f t="shared" si="3"/>
        <v>17</v>
      </c>
      <c r="E24" s="96">
        <v>0</v>
      </c>
      <c r="F24" s="70">
        <f>+F23</f>
        <v>3009340.5819999999</v>
      </c>
      <c r="G24" s="70">
        <f>+F24*D24*E24</f>
        <v>0</v>
      </c>
      <c r="H24" s="64"/>
      <c r="I24" s="64"/>
      <c r="J24" s="64"/>
      <c r="K24" s="51"/>
      <c r="L24" s="97"/>
    </row>
    <row r="25" spans="2:15" ht="10.5" customHeight="1" x14ac:dyDescent="0.25">
      <c r="B25" s="73" t="s">
        <v>4367</v>
      </c>
      <c r="C25" s="74" t="s">
        <v>3877</v>
      </c>
      <c r="D25" s="75">
        <f t="shared" si="3"/>
        <v>17</v>
      </c>
      <c r="E25" s="96">
        <v>0.5</v>
      </c>
      <c r="F25" s="70">
        <v>3545026.5222527301</v>
      </c>
      <c r="G25" s="70">
        <f>+F25*D25*E25</f>
        <v>30132725.439148206</v>
      </c>
      <c r="H25" s="64"/>
      <c r="I25" s="64"/>
      <c r="J25" s="64"/>
      <c r="K25" s="51"/>
    </row>
    <row r="26" spans="2:15" ht="10.5" customHeight="1" x14ac:dyDescent="0.25">
      <c r="B26" s="73" t="s">
        <v>4368</v>
      </c>
      <c r="C26" s="74" t="s">
        <v>3877</v>
      </c>
      <c r="D26" s="75">
        <f t="shared" si="3"/>
        <v>17</v>
      </c>
      <c r="E26" s="75">
        <v>1</v>
      </c>
      <c r="F26" s="70">
        <v>500000</v>
      </c>
      <c r="G26" s="70">
        <f>+F26*D26*E26</f>
        <v>8500000</v>
      </c>
      <c r="H26" s="64"/>
      <c r="I26" s="64"/>
      <c r="J26" s="64"/>
      <c r="K26" s="51"/>
    </row>
    <row r="27" spans="2:15" ht="10.5" customHeight="1" x14ac:dyDescent="0.25">
      <c r="B27" s="73" t="s">
        <v>4369</v>
      </c>
      <c r="C27" s="74" t="s">
        <v>3877</v>
      </c>
      <c r="D27" s="75">
        <f t="shared" si="3"/>
        <v>17</v>
      </c>
      <c r="E27" s="75">
        <v>1</v>
      </c>
      <c r="F27" s="70">
        <f>F26</f>
        <v>500000</v>
      </c>
      <c r="G27" s="70">
        <f>+F27*D27*E27</f>
        <v>8500000</v>
      </c>
      <c r="H27" s="64"/>
      <c r="I27" s="64"/>
      <c r="J27" s="64"/>
      <c r="K27" s="51"/>
    </row>
    <row r="28" spans="2:15" ht="10.5" customHeight="1" x14ac:dyDescent="0.25">
      <c r="B28" s="73" t="s">
        <v>4370</v>
      </c>
      <c r="C28" s="74" t="s">
        <v>3877</v>
      </c>
      <c r="D28" s="75">
        <f t="shared" si="3"/>
        <v>17</v>
      </c>
      <c r="E28" s="75">
        <v>1</v>
      </c>
      <c r="F28" s="95"/>
      <c r="G28" s="559">
        <f>+K28</f>
        <v>8500000</v>
      </c>
      <c r="H28" s="64"/>
      <c r="J28" s="87">
        <f>F26</f>
        <v>500000</v>
      </c>
      <c r="K28" s="70">
        <f>+J28*D28*E28</f>
        <v>8500000</v>
      </c>
    </row>
    <row r="29" spans="2:15" ht="10.5" customHeight="1" x14ac:dyDescent="0.25">
      <c r="B29" s="73" t="s">
        <v>4371</v>
      </c>
      <c r="C29" s="74" t="s">
        <v>3877</v>
      </c>
      <c r="D29" s="75">
        <f t="shared" si="3"/>
        <v>17</v>
      </c>
      <c r="E29" s="75">
        <v>1</v>
      </c>
      <c r="F29" s="70"/>
      <c r="G29" s="70">
        <f>+F29*D29*E29</f>
        <v>0</v>
      </c>
      <c r="H29" s="64"/>
      <c r="K29" s="51"/>
    </row>
    <row r="30" spans="2:15" ht="10.5" customHeight="1" x14ac:dyDescent="0.25">
      <c r="B30" s="73" t="s">
        <v>4372</v>
      </c>
      <c r="C30" s="74" t="s">
        <v>3877</v>
      </c>
      <c r="D30" s="75">
        <f t="shared" si="3"/>
        <v>17</v>
      </c>
      <c r="E30" s="75">
        <v>1</v>
      </c>
      <c r="F30" s="95"/>
      <c r="G30" s="559">
        <f>+K30</f>
        <v>12415558.47842069</v>
      </c>
      <c r="H30" s="64"/>
      <c r="J30" s="87">
        <v>730326.96931886405</v>
      </c>
      <c r="K30" s="70">
        <f>+J30*D30*E30</f>
        <v>12415558.47842069</v>
      </c>
    </row>
    <row r="31" spans="2:15" ht="10.5" customHeight="1" x14ac:dyDescent="0.25">
      <c r="B31" s="98"/>
      <c r="C31" s="99"/>
      <c r="D31" s="100"/>
      <c r="E31" s="100"/>
      <c r="F31" s="101"/>
      <c r="G31" s="101"/>
      <c r="H31" s="64"/>
      <c r="I31" s="64"/>
      <c r="J31" s="51"/>
      <c r="K31" s="51"/>
    </row>
    <row r="32" spans="2:15" ht="10.5" customHeight="1" x14ac:dyDescent="0.25">
      <c r="B32" s="76" t="s">
        <v>4373</v>
      </c>
      <c r="C32" s="77"/>
      <c r="D32" s="92"/>
      <c r="E32" s="92"/>
      <c r="F32" s="93"/>
      <c r="G32" s="94"/>
      <c r="H32" s="63">
        <f>SUM(G33:G41)</f>
        <v>0</v>
      </c>
      <c r="I32" s="64"/>
      <c r="J32" s="51"/>
      <c r="K32" s="51"/>
    </row>
    <row r="33" spans="2:13" ht="10.5" customHeight="1" x14ac:dyDescent="0.25">
      <c r="B33" s="82" t="s">
        <v>4374</v>
      </c>
      <c r="C33" s="83" t="s">
        <v>3877</v>
      </c>
      <c r="D33" s="84"/>
      <c r="E33" s="84"/>
      <c r="F33" s="85">
        <v>130000</v>
      </c>
      <c r="G33" s="85">
        <f>+F33*D33</f>
        <v>0</v>
      </c>
      <c r="H33" s="64"/>
      <c r="I33" s="64"/>
      <c r="J33" s="51"/>
      <c r="K33" s="51"/>
    </row>
    <row r="34" spans="2:13" ht="10.5" customHeight="1" x14ac:dyDescent="0.25">
      <c r="B34" s="73" t="s">
        <v>4375</v>
      </c>
      <c r="C34" s="74" t="s">
        <v>3877</v>
      </c>
      <c r="D34" s="75"/>
      <c r="E34" s="75"/>
      <c r="F34" s="70">
        <v>100000</v>
      </c>
      <c r="G34" s="70">
        <f>+F34*D34</f>
        <v>0</v>
      </c>
      <c r="H34" s="64"/>
      <c r="I34" s="64"/>
      <c r="J34" s="51"/>
      <c r="K34" s="51"/>
    </row>
    <row r="35" spans="2:13" ht="10.5" customHeight="1" x14ac:dyDescent="0.25">
      <c r="B35" s="73" t="s">
        <v>4376</v>
      </c>
      <c r="C35" s="74" t="s">
        <v>3877</v>
      </c>
      <c r="D35" s="75"/>
      <c r="E35" s="75"/>
      <c r="F35" s="70">
        <v>33600</v>
      </c>
      <c r="G35" s="70">
        <f>+F35*D35</f>
        <v>0</v>
      </c>
      <c r="H35" s="64"/>
      <c r="I35" s="64"/>
      <c r="J35" s="51"/>
      <c r="K35" s="51"/>
    </row>
    <row r="36" spans="2:13" ht="10.5" customHeight="1" x14ac:dyDescent="0.25">
      <c r="B36" s="73" t="s">
        <v>4377</v>
      </c>
      <c r="C36" s="74" t="s">
        <v>3877</v>
      </c>
      <c r="D36" s="75"/>
      <c r="E36" s="75"/>
      <c r="F36" s="70">
        <v>89000</v>
      </c>
      <c r="G36" s="70">
        <f>+F36*D36</f>
        <v>0</v>
      </c>
      <c r="H36" s="64"/>
      <c r="I36" s="64"/>
      <c r="J36" s="51"/>
      <c r="K36" s="51"/>
    </row>
    <row r="37" spans="2:13" ht="10.5" customHeight="1" x14ac:dyDescent="0.25">
      <c r="B37" s="73" t="s">
        <v>4378</v>
      </c>
      <c r="C37" s="74" t="s">
        <v>3877</v>
      </c>
      <c r="D37" s="75"/>
      <c r="E37" s="75"/>
      <c r="F37" s="70">
        <v>70000</v>
      </c>
      <c r="G37" s="70">
        <f>+F37*D37</f>
        <v>0</v>
      </c>
      <c r="H37" s="64"/>
      <c r="I37" s="64"/>
      <c r="J37" s="51"/>
      <c r="K37" s="51"/>
    </row>
    <row r="38" spans="2:13" ht="10.5" customHeight="1" x14ac:dyDescent="0.25">
      <c r="B38" s="73"/>
      <c r="C38" s="74"/>
      <c r="D38" s="75"/>
      <c r="E38" s="75"/>
      <c r="F38" s="70"/>
      <c r="G38" s="70"/>
      <c r="H38" s="64"/>
      <c r="I38" s="64"/>
      <c r="J38" s="51"/>
      <c r="K38" s="51"/>
    </row>
    <row r="39" spans="2:13" ht="10.5" customHeight="1" x14ac:dyDescent="0.25">
      <c r="B39" s="73"/>
      <c r="C39" s="74"/>
      <c r="D39" s="75"/>
      <c r="E39" s="75"/>
      <c r="F39" s="70"/>
      <c r="G39" s="70"/>
      <c r="H39" s="64"/>
      <c r="I39" s="64"/>
      <c r="J39" s="51"/>
      <c r="K39" s="51"/>
    </row>
    <row r="40" spans="2:13" ht="10.5" customHeight="1" x14ac:dyDescent="0.25">
      <c r="B40" s="73"/>
      <c r="C40" s="74"/>
      <c r="D40" s="75"/>
      <c r="E40" s="75"/>
      <c r="F40" s="70"/>
      <c r="G40" s="70"/>
      <c r="H40" s="64"/>
      <c r="I40" s="64"/>
      <c r="J40" s="51"/>
      <c r="K40" s="51"/>
    </row>
    <row r="41" spans="2:13" ht="10.5" customHeight="1" x14ac:dyDescent="0.25">
      <c r="B41" s="98"/>
      <c r="C41" s="99"/>
      <c r="D41" s="100"/>
      <c r="E41" s="100"/>
      <c r="F41" s="101"/>
      <c r="G41" s="101"/>
      <c r="H41" s="64"/>
      <c r="I41" s="64"/>
      <c r="J41" s="51"/>
      <c r="K41" s="51"/>
    </row>
    <row r="42" spans="2:13" ht="10.5" customHeight="1" x14ac:dyDescent="0.25">
      <c r="B42" s="76" t="s">
        <v>4379</v>
      </c>
      <c r="C42" s="77"/>
      <c r="D42" s="92"/>
      <c r="E42" s="92"/>
      <c r="F42" s="93"/>
      <c r="G42" s="94"/>
      <c r="H42" s="63">
        <f>SUM(G43:G48)</f>
        <v>82753394.946999997</v>
      </c>
      <c r="I42" s="64"/>
      <c r="J42" s="51"/>
      <c r="K42" s="51"/>
    </row>
    <row r="43" spans="2:13" ht="10.5" customHeight="1" x14ac:dyDescent="0.25">
      <c r="B43" s="67" t="s">
        <v>4380</v>
      </c>
      <c r="C43" s="102" t="s">
        <v>3877</v>
      </c>
      <c r="D43" s="69">
        <f>+$F$4</f>
        <v>17</v>
      </c>
      <c r="E43" s="69">
        <v>0.5</v>
      </c>
      <c r="F43" s="71">
        <v>3009340.5819999999</v>
      </c>
      <c r="G43" s="70">
        <f>+F43*D43*E43</f>
        <v>25579394.947000001</v>
      </c>
      <c r="H43" s="64"/>
      <c r="I43" s="64"/>
      <c r="J43" s="51"/>
      <c r="K43" s="51"/>
    </row>
    <row r="44" spans="2:13" ht="10.5" customHeight="1" x14ac:dyDescent="0.25">
      <c r="B44" s="73" t="s">
        <v>4381</v>
      </c>
      <c r="C44" s="103" t="s">
        <v>98</v>
      </c>
      <c r="D44" s="75">
        <f>+D43</f>
        <v>17</v>
      </c>
      <c r="E44" s="75">
        <v>1</v>
      </c>
      <c r="F44" s="70">
        <v>250000</v>
      </c>
      <c r="G44" s="70">
        <f>+F44*D44</f>
        <v>4250000</v>
      </c>
      <c r="H44" s="64"/>
      <c r="I44" s="64"/>
      <c r="J44" s="51"/>
      <c r="K44" s="51"/>
    </row>
    <row r="45" spans="2:13" ht="10.5" customHeight="1" x14ac:dyDescent="0.25">
      <c r="B45" s="104" t="s">
        <v>4382</v>
      </c>
      <c r="C45" s="103" t="s">
        <v>98</v>
      </c>
      <c r="D45" s="75">
        <v>0.04</v>
      </c>
      <c r="E45" s="75">
        <v>0.7</v>
      </c>
      <c r="F45" s="105">
        <v>1400000000</v>
      </c>
      <c r="G45" s="70">
        <f>+F45*D45*E45</f>
        <v>39200000</v>
      </c>
      <c r="H45" s="64"/>
      <c r="I45" s="64"/>
      <c r="J45" s="51"/>
      <c r="K45" s="63"/>
    </row>
    <row r="46" spans="2:13" ht="10.5" customHeight="1" x14ac:dyDescent="0.25">
      <c r="B46" s="73" t="s">
        <v>4383</v>
      </c>
      <c r="C46" s="103" t="s">
        <v>98</v>
      </c>
      <c r="D46" s="75">
        <f>1.2/100</f>
        <v>1.2E-2</v>
      </c>
      <c r="E46" s="75">
        <f>+E45</f>
        <v>0.7</v>
      </c>
      <c r="F46" s="70">
        <f>+F45*1.15</f>
        <v>1609999999.9999998</v>
      </c>
      <c r="G46" s="70">
        <f>+F46*D46*E46</f>
        <v>13523999.999999996</v>
      </c>
      <c r="H46" s="64"/>
      <c r="I46" s="64"/>
      <c r="J46" s="51"/>
      <c r="K46" s="64"/>
    </row>
    <row r="47" spans="2:13" ht="10.5" customHeight="1" x14ac:dyDescent="0.25">
      <c r="B47" s="73" t="s">
        <v>4384</v>
      </c>
      <c r="C47" s="103" t="s">
        <v>98</v>
      </c>
      <c r="D47" s="75">
        <v>1</v>
      </c>
      <c r="E47" s="75">
        <v>1</v>
      </c>
      <c r="F47" s="70">
        <v>200000</v>
      </c>
      <c r="G47" s="70">
        <f>+F47*D47*E47</f>
        <v>200000</v>
      </c>
      <c r="H47" s="64"/>
      <c r="I47" s="64"/>
      <c r="J47" s="51"/>
      <c r="K47" s="64"/>
      <c r="M47" s="64"/>
    </row>
    <row r="48" spans="2:13" ht="10.5" customHeight="1" x14ac:dyDescent="0.25">
      <c r="B48" s="98"/>
      <c r="C48" s="99"/>
      <c r="D48" s="100"/>
      <c r="E48" s="100"/>
      <c r="F48" s="101"/>
      <c r="G48" s="101"/>
      <c r="H48" s="64"/>
      <c r="I48" s="64"/>
      <c r="J48" s="64"/>
      <c r="K48" s="64"/>
      <c r="M48" s="64"/>
    </row>
    <row r="49" spans="1:13" ht="10.5" customHeight="1" x14ac:dyDescent="0.25">
      <c r="B49" s="106"/>
      <c r="D49" s="107"/>
      <c r="E49" s="107"/>
      <c r="F49" s="108"/>
      <c r="G49" s="107">
        <f>SUM(G7:G48)</f>
        <v>279525127.32456887</v>
      </c>
      <c r="H49" s="81">
        <f>SUM(H6:H48)</f>
        <v>279525127.32456887</v>
      </c>
      <c r="I49" s="64"/>
      <c r="J49" s="64"/>
      <c r="K49" s="81">
        <f>SUM(K6:K48)</f>
        <v>103811819.5364207</v>
      </c>
      <c r="L49" s="109">
        <f>+H49+K49</f>
        <v>383336946.86098957</v>
      </c>
      <c r="M49" s="51"/>
    </row>
    <row r="50" spans="1:13" ht="10.5" customHeight="1" x14ac:dyDescent="0.25">
      <c r="B50" s="106" t="s">
        <v>4385</v>
      </c>
      <c r="D50" s="107"/>
      <c r="E50" s="107"/>
      <c r="F50" s="108"/>
      <c r="G50" s="107"/>
      <c r="H50" s="107"/>
      <c r="I50" s="107"/>
      <c r="K50" s="66" t="s">
        <v>4386</v>
      </c>
      <c r="L50" s="110" t="s">
        <v>4387</v>
      </c>
      <c r="M50" s="51"/>
    </row>
    <row r="51" spans="1:13" ht="10.5" customHeight="1" x14ac:dyDescent="0.25">
      <c r="B51" s="106" t="s">
        <v>4388</v>
      </c>
      <c r="D51" s="107"/>
      <c r="E51" s="107"/>
      <c r="F51" s="108"/>
      <c r="G51" s="107"/>
      <c r="H51" s="107">
        <f>+H50+H49</f>
        <v>279525127.32456887</v>
      </c>
      <c r="I51" s="107"/>
      <c r="M51" s="51"/>
    </row>
    <row r="52" spans="1:13" ht="10.5" customHeight="1" x14ac:dyDescent="0.25">
      <c r="A52" s="111"/>
      <c r="B52" s="106"/>
      <c r="D52" s="112"/>
      <c r="E52" s="112"/>
      <c r="F52" s="113"/>
      <c r="G52" s="112"/>
      <c r="H52" s="112"/>
      <c r="M52" s="51"/>
    </row>
    <row r="53" spans="1:13" ht="10.5" customHeight="1" x14ac:dyDescent="0.25">
      <c r="A53" s="111"/>
      <c r="B53" s="106" t="s">
        <v>4389</v>
      </c>
      <c r="D53" s="112"/>
      <c r="E53" s="112"/>
      <c r="F53" s="113"/>
      <c r="G53" s="51">
        <v>294935283.35845202</v>
      </c>
      <c r="H53" s="114">
        <f>+G53/$H$4</f>
        <v>252081.4387679077</v>
      </c>
      <c r="J53" s="115">
        <f>+H53/$H$59</f>
        <v>0.29208306471517503</v>
      </c>
      <c r="K53" s="116">
        <f>+H53/$H$69</f>
        <v>0.20346630352126072</v>
      </c>
      <c r="M53" s="51"/>
    </row>
    <row r="54" spans="1:13" ht="10.5" customHeight="1" x14ac:dyDescent="0.25">
      <c r="B54" s="106" t="s">
        <v>4390</v>
      </c>
      <c r="F54" s="113"/>
      <c r="G54" s="51">
        <v>64860920.319356501</v>
      </c>
      <c r="H54" s="114">
        <f>+G54/$H$4</f>
        <v>55436.684033638034</v>
      </c>
      <c r="J54" s="115">
        <f>+H54/$H$59</f>
        <v>6.4233672456542698E-2</v>
      </c>
      <c r="K54" s="116">
        <f>+H54/$H$69</f>
        <v>4.474544906967743E-2</v>
      </c>
      <c r="M54" s="51"/>
    </row>
    <row r="55" spans="1:13" ht="10.5" customHeight="1" x14ac:dyDescent="0.25">
      <c r="B55" s="106" t="s">
        <v>4391</v>
      </c>
      <c r="F55" s="113"/>
      <c r="G55" s="51">
        <v>460479039.26572198</v>
      </c>
      <c r="H55" s="114">
        <f>+G55/$H$4</f>
        <v>393571.82843224099</v>
      </c>
      <c r="I55" s="51"/>
      <c r="J55" s="115">
        <f>+H55/$H$59</f>
        <v>0.45602590335849397</v>
      </c>
      <c r="K55" s="116">
        <f>+H55/$H$69</f>
        <v>0.31766958127742423</v>
      </c>
    </row>
    <row r="56" spans="1:13" ht="10.5" customHeight="1" x14ac:dyDescent="0.25">
      <c r="B56" s="106" t="s">
        <v>4392</v>
      </c>
      <c r="F56" s="113"/>
      <c r="G56" s="51">
        <v>167995368.330614</v>
      </c>
      <c r="H56" s="114">
        <f>+G56/$H$4</f>
        <v>143585.78489796069</v>
      </c>
      <c r="I56" s="51"/>
      <c r="J56" s="115">
        <f>+H56/$H$59</f>
        <v>0.16637074235816157</v>
      </c>
      <c r="K56" s="116">
        <f>+H56/$H$69</f>
        <v>0.11589456579659227</v>
      </c>
    </row>
    <row r="57" spans="1:13" ht="10.5" customHeight="1" x14ac:dyDescent="0.25">
      <c r="B57" s="106" t="s">
        <v>4373</v>
      </c>
      <c r="F57" s="113"/>
      <c r="G57" s="51">
        <v>21494482.933074702</v>
      </c>
      <c r="H57" s="114">
        <f>+G57/$H$4</f>
        <v>18371.352934251881</v>
      </c>
      <c r="I57" s="51"/>
      <c r="K57" s="116">
        <f>SUM(K53:K56)</f>
        <v>0.68177589966495467</v>
      </c>
    </row>
    <row r="58" spans="1:13" ht="10.5" customHeight="1" x14ac:dyDescent="0.25">
      <c r="B58" s="106"/>
      <c r="F58" s="113"/>
      <c r="G58" s="51"/>
      <c r="H58" s="114"/>
      <c r="J58" s="116">
        <f>SUM(J53:J57)</f>
        <v>0.97871338288837317</v>
      </c>
      <c r="L58" s="116">
        <f>1-J58</f>
        <v>2.1286617111626827E-2</v>
      </c>
    </row>
    <row r="59" spans="1:13" ht="10.5" customHeight="1" x14ac:dyDescent="0.25">
      <c r="A59" s="117" t="s">
        <v>4393</v>
      </c>
      <c r="B59" s="118"/>
      <c r="C59" s="77"/>
      <c r="D59" s="77"/>
      <c r="E59" s="77"/>
      <c r="F59" s="79"/>
      <c r="G59" s="119">
        <f>SUM(G53:G58)</f>
        <v>1009765094.2072192</v>
      </c>
      <c r="H59" s="120">
        <f>SUM(H53:H58)</f>
        <v>863047.08906599937</v>
      </c>
      <c r="I59" s="51"/>
    </row>
    <row r="60" spans="1:13" ht="10.5" customHeight="1" x14ac:dyDescent="0.25">
      <c r="A60" s="121"/>
      <c r="B60" s="106"/>
      <c r="F60" s="113"/>
      <c r="G60" s="51"/>
      <c r="H60" s="51"/>
      <c r="J60" s="116">
        <f>+G57/G59</f>
        <v>2.1286617111626664E-2</v>
      </c>
      <c r="L60" s="122"/>
    </row>
    <row r="61" spans="1:13" ht="10.5" customHeight="1" x14ac:dyDescent="0.25">
      <c r="A61" s="121"/>
      <c r="B61" s="106" t="s">
        <v>4394</v>
      </c>
      <c r="E61" s="51"/>
      <c r="F61" s="51">
        <f>+H51/G59</f>
        <v>0.27682193505017916</v>
      </c>
      <c r="G61" s="51">
        <f>+F61*$G$59</f>
        <v>279525127.32456887</v>
      </c>
      <c r="H61" s="114">
        <f>+G61/$H$4</f>
        <v>238910.36523467425</v>
      </c>
      <c r="J61" s="123">
        <v>0.03</v>
      </c>
    </row>
    <row r="62" spans="1:13" ht="10.5" customHeight="1" x14ac:dyDescent="0.25">
      <c r="A62" s="121"/>
      <c r="B62" s="106" t="s">
        <v>4373</v>
      </c>
      <c r="E62" s="51">
        <v>3</v>
      </c>
      <c r="F62" s="124">
        <f>+J62</f>
        <v>8.7133828883733354E-3</v>
      </c>
      <c r="G62" s="51">
        <f>+F62*$G$59</f>
        <v>8798469.8931418732</v>
      </c>
      <c r="H62" s="114">
        <f>+G62/$H$4</f>
        <v>7520.0597377280965</v>
      </c>
      <c r="J62" s="116">
        <f>+J61-J60</f>
        <v>8.7133828883733354E-3</v>
      </c>
    </row>
    <row r="63" spans="1:13" ht="10.5" customHeight="1" x14ac:dyDescent="0.25">
      <c r="A63" s="121"/>
      <c r="B63" s="106" t="s">
        <v>4395</v>
      </c>
      <c r="E63" s="51">
        <v>5</v>
      </c>
      <c r="F63" s="124">
        <f>0.05</f>
        <v>0.05</v>
      </c>
      <c r="G63" s="51">
        <f>+F63*$G$59</f>
        <v>50488254.710360967</v>
      </c>
      <c r="H63" s="114">
        <f>+G63/$H$4</f>
        <v>43152.354453299973</v>
      </c>
      <c r="I63" s="125"/>
      <c r="J63" s="122"/>
    </row>
    <row r="64" spans="1:13" ht="10.5" customHeight="1" x14ac:dyDescent="0.25">
      <c r="A64" s="121"/>
      <c r="B64" s="106" t="s">
        <v>4396</v>
      </c>
      <c r="E64" s="51">
        <v>9</v>
      </c>
      <c r="F64" s="51">
        <v>0.1</v>
      </c>
      <c r="G64" s="51">
        <f>+F64*$G$59</f>
        <v>100976509.42072193</v>
      </c>
      <c r="H64" s="114">
        <f>+G64/$H$4</f>
        <v>86304.708906599946</v>
      </c>
      <c r="I64" s="51"/>
    </row>
    <row r="65" spans="1:16" ht="10.5" customHeight="1" x14ac:dyDescent="0.25">
      <c r="A65" s="117" t="s">
        <v>397</v>
      </c>
      <c r="B65" s="118"/>
      <c r="C65" s="77"/>
      <c r="D65" s="77"/>
      <c r="E65" s="126"/>
      <c r="F65" s="126">
        <f>SUM(F61:F64)</f>
        <v>0.43553531793855249</v>
      </c>
      <c r="G65" s="119">
        <f>SUM(G61:G64)</f>
        <v>439788361.34879363</v>
      </c>
      <c r="H65" s="120">
        <f>+G65/$H$4</f>
        <v>375887.48833230225</v>
      </c>
      <c r="I65" s="51"/>
      <c r="K65" s="116">
        <f>+H65/H69</f>
        <v>0.30339575243887901</v>
      </c>
    </row>
    <row r="66" spans="1:16" ht="10.5" customHeight="1" x14ac:dyDescent="0.25">
      <c r="A66" s="121"/>
      <c r="B66" s="106"/>
      <c r="E66" s="51"/>
      <c r="F66" s="51"/>
      <c r="G66" s="51"/>
      <c r="H66" s="51"/>
    </row>
    <row r="67" spans="1:16" ht="10.5" customHeight="1" x14ac:dyDescent="0.25">
      <c r="A67" s="117" t="s">
        <v>4397</v>
      </c>
      <c r="B67" s="118"/>
      <c r="C67" s="77"/>
      <c r="D67" s="77"/>
      <c r="E67" s="126"/>
      <c r="F67" s="119">
        <f>1+F65</f>
        <v>1.4355353179385526</v>
      </c>
      <c r="G67" s="126">
        <f>+G59*F67</f>
        <v>1449553455.5560131</v>
      </c>
      <c r="H67" s="127"/>
      <c r="I67" s="51"/>
      <c r="J67" s="51"/>
      <c r="M67" s="111"/>
      <c r="N67" s="111"/>
      <c r="O67" s="51"/>
    </row>
    <row r="68" spans="1:16" ht="10.5" customHeight="1" x14ac:dyDescent="0.25">
      <c r="B68" s="106"/>
      <c r="E68" s="51"/>
      <c r="F68" s="51"/>
      <c r="G68" s="51"/>
      <c r="H68" s="51"/>
      <c r="M68" s="111"/>
      <c r="N68" s="111"/>
      <c r="O68" s="51"/>
    </row>
    <row r="69" spans="1:16" ht="10.5" customHeight="1" x14ac:dyDescent="0.25">
      <c r="A69" s="117" t="s">
        <v>4398</v>
      </c>
      <c r="B69" s="118"/>
      <c r="C69" s="77"/>
      <c r="D69" s="77"/>
      <c r="E69" s="126"/>
      <c r="F69" s="126"/>
      <c r="G69" s="126">
        <f>+G59+G65</f>
        <v>1449553455.5560129</v>
      </c>
      <c r="H69" s="120">
        <f>+G69/$H$4</f>
        <v>1238934.5773983016</v>
      </c>
      <c r="I69" s="72"/>
      <c r="J69" s="51"/>
      <c r="K69" s="116">
        <f>SUM(K57:K65)</f>
        <v>0.98517165210383362</v>
      </c>
    </row>
    <row r="70" spans="1:16" ht="10.5" customHeight="1" x14ac:dyDescent="0.25">
      <c r="B70" s="106"/>
      <c r="E70" s="51"/>
      <c r="F70" s="51"/>
      <c r="G70" s="51"/>
      <c r="H70" s="128"/>
      <c r="J70" s="51"/>
      <c r="N70" s="125"/>
      <c r="O70" s="125"/>
    </row>
    <row r="71" spans="1:16" ht="10.5" customHeight="1" x14ac:dyDescent="0.25">
      <c r="B71" s="106"/>
      <c r="F71" s="113"/>
      <c r="G71" s="51"/>
      <c r="H71" s="51"/>
      <c r="I71" s="111"/>
      <c r="M71" s="57"/>
      <c r="N71" s="129"/>
      <c r="O71" s="129"/>
    </row>
    <row r="72" spans="1:16" ht="10.5" customHeight="1" x14ac:dyDescent="0.25">
      <c r="B72" s="106"/>
      <c r="F72" s="108"/>
      <c r="G72" s="64"/>
      <c r="H72" s="64"/>
      <c r="I72" s="111"/>
      <c r="M72" s="57"/>
      <c r="N72" s="129"/>
      <c r="O72" s="129"/>
    </row>
    <row r="73" spans="1:16" ht="10.5" customHeight="1" x14ac:dyDescent="0.25">
      <c r="B73" s="106"/>
      <c r="F73" s="130"/>
      <c r="G73" s="64"/>
      <c r="H73" s="64"/>
      <c r="I73" s="111"/>
      <c r="M73" s="57"/>
      <c r="N73" s="129"/>
      <c r="O73" s="129"/>
    </row>
    <row r="74" spans="1:16" ht="10.5" customHeight="1" x14ac:dyDescent="0.25">
      <c r="B74" s="106"/>
      <c r="F74" s="113"/>
      <c r="G74" s="51"/>
      <c r="H74" s="51"/>
      <c r="I74" s="111"/>
      <c r="M74" s="57"/>
      <c r="N74" s="129"/>
      <c r="O74" s="129"/>
    </row>
    <row r="75" spans="1:16" ht="10.5" customHeight="1" x14ac:dyDescent="0.25">
      <c r="B75" s="106"/>
      <c r="F75" s="113"/>
      <c r="G75" s="51"/>
      <c r="H75" s="114"/>
      <c r="K75" s="131"/>
      <c r="M75" s="57"/>
      <c r="N75" s="132"/>
      <c r="O75" s="57"/>
    </row>
    <row r="76" spans="1:16" ht="10.5" customHeight="1" x14ac:dyDescent="0.25">
      <c r="B76" s="106"/>
      <c r="F76" s="113"/>
      <c r="L76" s="129"/>
      <c r="M76" s="57"/>
      <c r="N76" s="57"/>
      <c r="O76" s="57"/>
      <c r="P76" s="125"/>
    </row>
    <row r="77" spans="1:16" ht="10.5" customHeight="1" x14ac:dyDescent="0.25">
      <c r="B77" s="106"/>
      <c r="D77" s="107"/>
      <c r="E77" s="107"/>
      <c r="F77" s="108"/>
      <c r="G77" s="107"/>
      <c r="H77" s="107"/>
      <c r="I77" s="107"/>
      <c r="K77" s="57"/>
      <c r="L77" s="133"/>
      <c r="M77" s="57"/>
      <c r="N77" s="57"/>
      <c r="P77" s="133"/>
    </row>
    <row r="78" spans="1:16" ht="10.5" customHeight="1" x14ac:dyDescent="0.25">
      <c r="B78" s="106"/>
      <c r="D78" s="107"/>
      <c r="E78" s="107"/>
      <c r="F78" s="108"/>
      <c r="G78" s="107"/>
      <c r="H78" s="107"/>
      <c r="I78" s="107"/>
      <c r="K78" s="57"/>
      <c r="L78" s="133"/>
      <c r="M78" s="57"/>
      <c r="N78" s="57"/>
    </row>
    <row r="79" spans="1:16" ht="10.5" customHeight="1" x14ac:dyDescent="0.25">
      <c r="B79" s="106"/>
      <c r="D79" s="107"/>
      <c r="E79" s="107"/>
      <c r="F79" s="108"/>
      <c r="G79" s="107"/>
      <c r="H79" s="107"/>
      <c r="I79" s="107"/>
      <c r="K79" s="57"/>
      <c r="L79" s="134"/>
      <c r="M79" s="57"/>
      <c r="N79" s="57"/>
    </row>
    <row r="80" spans="1:16" ht="10.5" customHeight="1" x14ac:dyDescent="0.25">
      <c r="B80" s="106"/>
      <c r="D80" s="107"/>
      <c r="E80" s="107"/>
      <c r="F80" s="108"/>
      <c r="G80" s="107"/>
      <c r="H80" s="107"/>
      <c r="I80" s="107"/>
      <c r="K80" s="57"/>
      <c r="L80" s="133"/>
      <c r="M80" s="57"/>
      <c r="N80" s="57"/>
    </row>
    <row r="81" spans="1:16" ht="10.5" customHeight="1" x14ac:dyDescent="0.25">
      <c r="B81" s="106"/>
      <c r="D81" s="107"/>
      <c r="E81" s="107"/>
      <c r="F81" s="108"/>
      <c r="G81" s="107"/>
      <c r="H81" s="107"/>
      <c r="I81" s="107"/>
      <c r="K81" s="57"/>
      <c r="L81" s="134"/>
      <c r="M81" s="57"/>
      <c r="N81" s="57"/>
    </row>
    <row r="82" spans="1:16" ht="10.5" customHeight="1" x14ac:dyDescent="0.25">
      <c r="B82" s="106"/>
      <c r="F82" s="108"/>
      <c r="G82" s="107"/>
      <c r="H82" s="107"/>
      <c r="I82" s="107"/>
      <c r="K82" s="135"/>
      <c r="L82" s="64"/>
      <c r="M82" s="57"/>
      <c r="N82" s="57"/>
    </row>
    <row r="83" spans="1:16" ht="10.5" customHeight="1" x14ac:dyDescent="0.25">
      <c r="B83" s="106"/>
      <c r="D83" s="107"/>
      <c r="E83" s="107"/>
      <c r="F83" s="108"/>
      <c r="G83" s="107"/>
      <c r="H83" s="107"/>
      <c r="I83" s="107"/>
      <c r="K83" s="57"/>
      <c r="L83" s="64"/>
      <c r="M83" s="57"/>
      <c r="N83" s="57"/>
    </row>
    <row r="84" spans="1:16" ht="10.5" customHeight="1" x14ac:dyDescent="0.25">
      <c r="B84" s="106"/>
      <c r="D84" s="107"/>
      <c r="E84" s="107"/>
      <c r="F84" s="108"/>
      <c r="G84" s="107"/>
      <c r="H84" s="107"/>
      <c r="I84" s="107"/>
      <c r="K84" s="57"/>
      <c r="L84" s="81"/>
      <c r="M84" s="57"/>
      <c r="N84" s="57"/>
    </row>
    <row r="85" spans="1:16" ht="10.5" customHeight="1" x14ac:dyDescent="0.25">
      <c r="B85" s="106"/>
      <c r="D85" s="107"/>
      <c r="E85" s="107"/>
      <c r="F85" s="108"/>
      <c r="G85" s="107"/>
      <c r="H85" s="107"/>
      <c r="I85" s="107"/>
      <c r="K85" s="57"/>
      <c r="L85" s="57"/>
      <c r="M85" s="57"/>
      <c r="N85" s="57"/>
    </row>
    <row r="86" spans="1:16" ht="10.5" customHeight="1" x14ac:dyDescent="0.25">
      <c r="B86" s="106"/>
      <c r="D86" s="107"/>
      <c r="E86" s="107"/>
      <c r="F86" s="108"/>
      <c r="G86" s="107"/>
      <c r="H86" s="107"/>
      <c r="I86" s="107"/>
      <c r="K86" s="57"/>
      <c r="L86" s="97"/>
      <c r="M86" s="57"/>
      <c r="N86" s="57"/>
    </row>
    <row r="87" spans="1:16" ht="10.5" customHeight="1" x14ac:dyDescent="0.25">
      <c r="B87" s="106"/>
      <c r="D87" s="107"/>
      <c r="E87" s="107"/>
      <c r="F87" s="108"/>
      <c r="G87" s="107"/>
      <c r="H87" s="107"/>
      <c r="I87" s="107"/>
      <c r="K87" s="57"/>
      <c r="L87" s="57"/>
      <c r="M87" s="57"/>
      <c r="N87" s="57"/>
    </row>
    <row r="88" spans="1:16" ht="10.5" customHeight="1" x14ac:dyDescent="0.25">
      <c r="B88" s="106"/>
      <c r="D88" s="107"/>
      <c r="E88" s="107"/>
      <c r="F88" s="108"/>
      <c r="G88" s="107"/>
      <c r="H88" s="107"/>
      <c r="I88" s="107"/>
      <c r="K88" s="57"/>
      <c r="L88" s="97"/>
      <c r="M88" s="57"/>
      <c r="N88" s="57"/>
    </row>
    <row r="89" spans="1:16" ht="10.5" customHeight="1" x14ac:dyDescent="0.25">
      <c r="B89" s="106"/>
      <c r="D89" s="107"/>
      <c r="E89" s="107"/>
      <c r="F89" s="108"/>
      <c r="G89" s="107"/>
      <c r="H89" s="107"/>
      <c r="I89" s="107"/>
    </row>
    <row r="90" spans="1:16" ht="10.5" customHeight="1" x14ac:dyDescent="0.25">
      <c r="B90" s="106"/>
      <c r="D90" s="107"/>
      <c r="E90" s="107"/>
      <c r="F90" s="108"/>
      <c r="G90" s="107"/>
      <c r="H90" s="107"/>
      <c r="I90" s="107"/>
    </row>
    <row r="91" spans="1:16" ht="10.5" customHeight="1" x14ac:dyDescent="0.25">
      <c r="B91" s="106"/>
      <c r="D91" s="107"/>
      <c r="E91" s="107"/>
      <c r="F91" s="108"/>
      <c r="G91" s="107"/>
      <c r="H91" s="107"/>
      <c r="I91" s="107"/>
    </row>
    <row r="92" spans="1:16" ht="10.5" customHeight="1" x14ac:dyDescent="0.25">
      <c r="A92" s="57"/>
      <c r="D92" s="107"/>
      <c r="E92" s="107"/>
      <c r="G92" s="107"/>
      <c r="H92" s="107"/>
      <c r="I92" s="107"/>
      <c r="J92" s="57"/>
      <c r="K92" s="57"/>
      <c r="M92" s="57"/>
      <c r="N92" s="57"/>
      <c r="O92" s="57"/>
      <c r="P92" s="57"/>
    </row>
    <row r="93" spans="1:16" ht="10.5" customHeight="1" x14ac:dyDescent="0.25">
      <c r="A93" s="57"/>
      <c r="D93" s="107"/>
      <c r="E93" s="107"/>
      <c r="G93" s="107"/>
      <c r="H93" s="107"/>
      <c r="I93" s="107"/>
      <c r="J93" s="57"/>
      <c r="K93" s="57"/>
      <c r="M93" s="57"/>
      <c r="N93" s="57"/>
      <c r="O93" s="57"/>
      <c r="P93" s="57"/>
    </row>
    <row r="94" spans="1:16" ht="10.5" customHeight="1" x14ac:dyDescent="0.25">
      <c r="A94" s="57"/>
      <c r="D94" s="107"/>
      <c r="E94" s="107"/>
      <c r="G94" s="107"/>
      <c r="H94" s="107"/>
      <c r="I94" s="107"/>
      <c r="J94" s="57"/>
      <c r="K94" s="57"/>
      <c r="M94" s="57"/>
      <c r="N94" s="57"/>
      <c r="O94" s="57"/>
      <c r="P94" s="57"/>
    </row>
    <row r="95" spans="1:16" ht="10.5" customHeight="1" x14ac:dyDescent="0.25">
      <c r="A95" s="57"/>
      <c r="D95" s="107"/>
      <c r="E95" s="107"/>
      <c r="G95" s="107"/>
      <c r="H95" s="107"/>
      <c r="I95" s="107"/>
      <c r="J95" s="57"/>
      <c r="K95" s="57"/>
      <c r="M95" s="57"/>
      <c r="N95" s="57"/>
      <c r="O95" s="57"/>
      <c r="P95" s="57"/>
    </row>
    <row r="96" spans="1:16" ht="10.5" customHeight="1" x14ac:dyDescent="0.25">
      <c r="A96" s="57"/>
      <c r="D96" s="107"/>
      <c r="E96" s="107"/>
      <c r="G96" s="107"/>
      <c r="H96" s="107"/>
      <c r="I96" s="107"/>
      <c r="J96" s="57"/>
      <c r="K96" s="57"/>
      <c r="M96" s="57"/>
      <c r="N96" s="57"/>
      <c r="O96" s="57"/>
      <c r="P96" s="57"/>
    </row>
    <row r="97" spans="1:16" ht="10.5" customHeight="1" x14ac:dyDescent="0.25">
      <c r="A97" s="57"/>
      <c r="D97" s="107"/>
      <c r="E97" s="107"/>
      <c r="G97" s="107"/>
      <c r="H97" s="107"/>
      <c r="I97" s="107"/>
      <c r="J97" s="57"/>
      <c r="K97" s="57"/>
      <c r="M97" s="57"/>
      <c r="N97" s="57"/>
      <c r="O97" s="57"/>
      <c r="P97" s="57"/>
    </row>
    <row r="98" spans="1:16" ht="10.5" customHeight="1" x14ac:dyDescent="0.25">
      <c r="A98" s="57"/>
      <c r="D98" s="107"/>
      <c r="E98" s="107"/>
      <c r="G98" s="107"/>
      <c r="H98" s="107"/>
      <c r="I98" s="107"/>
      <c r="J98" s="57"/>
      <c r="K98" s="57"/>
      <c r="P98" s="57"/>
    </row>
    <row r="99" spans="1:16" ht="10.5" customHeight="1" x14ac:dyDescent="0.25">
      <c r="A99" s="57"/>
      <c r="D99" s="107"/>
      <c r="E99" s="107"/>
      <c r="G99" s="107"/>
      <c r="H99" s="107"/>
      <c r="I99" s="107"/>
      <c r="J99" s="57"/>
      <c r="K99" s="57"/>
      <c r="P99" s="57"/>
    </row>
    <row r="100" spans="1:16" ht="10.5" customHeight="1" x14ac:dyDescent="0.25">
      <c r="A100" s="57"/>
      <c r="D100" s="107"/>
      <c r="E100" s="107"/>
      <c r="G100" s="107"/>
      <c r="H100" s="107"/>
      <c r="I100" s="107"/>
      <c r="J100" s="57"/>
      <c r="K100" s="57"/>
      <c r="P100" s="57"/>
    </row>
    <row r="101" spans="1:16" ht="10.5" customHeight="1" x14ac:dyDescent="0.25">
      <c r="H101" s="64"/>
      <c r="I101" s="64"/>
      <c r="J101" s="51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95959"/>
  </sheetPr>
  <dimension ref="A1:S1879"/>
  <sheetViews>
    <sheetView tabSelected="1" zoomScaleNormal="100" workbookViewId="0">
      <selection activeCell="P14" sqref="P14"/>
    </sheetView>
  </sheetViews>
  <sheetFormatPr defaultColWidth="8.6328125" defaultRowHeight="12" zeroHeight="1" x14ac:dyDescent="0.3"/>
  <cols>
    <col min="1" max="1" width="10.36328125" style="334" bestFit="1" customWidth="1"/>
    <col min="2" max="2" width="8.26953125" style="334" bestFit="1" customWidth="1"/>
    <col min="3" max="3" width="10.7265625" style="334" bestFit="1" customWidth="1"/>
    <col min="4" max="4" width="13.90625" style="334" bestFit="1" customWidth="1"/>
    <col min="5" max="5" width="32.26953125" style="334" customWidth="1"/>
    <col min="6" max="6" width="12.26953125" style="334" bestFit="1" customWidth="1"/>
    <col min="7" max="7" width="8.7265625" style="334" bestFit="1" customWidth="1"/>
    <col min="8" max="8" width="10.1796875" style="334" bestFit="1" customWidth="1"/>
    <col min="9" max="9" width="9.81640625" style="334" bestFit="1" customWidth="1"/>
    <col min="10" max="10" width="9.54296875" style="334" bestFit="1" customWidth="1"/>
    <col min="11" max="11" width="10.90625" style="334" bestFit="1" customWidth="1"/>
    <col min="12" max="12" width="9.54296875" style="334" bestFit="1" customWidth="1"/>
    <col min="13" max="13" width="13.453125" style="334" bestFit="1" customWidth="1"/>
    <col min="14" max="14" width="12.81640625" style="334" bestFit="1" customWidth="1"/>
    <col min="15" max="15" width="14.54296875" style="344" bestFit="1" customWidth="1"/>
    <col min="16" max="16" width="11" style="344" bestFit="1" customWidth="1"/>
    <col min="17" max="17" width="14.54296875" style="344" bestFit="1" customWidth="1"/>
    <col min="18" max="18" width="11.81640625" style="345" bestFit="1" customWidth="1"/>
    <col min="19" max="19" width="11" style="345" bestFit="1" customWidth="1"/>
    <col min="20" max="23" width="8.6328125" style="334" customWidth="1"/>
    <col min="24" max="16384" width="8.6328125" style="334"/>
  </cols>
  <sheetData>
    <row r="1" spans="1:19" ht="30" customHeight="1" x14ac:dyDescent="0.3">
      <c r="A1" s="331" t="s">
        <v>0</v>
      </c>
      <c r="B1" s="331" t="s">
        <v>1</v>
      </c>
      <c r="C1" s="331" t="s">
        <v>2</v>
      </c>
      <c r="D1" s="331" t="s">
        <v>3</v>
      </c>
      <c r="E1" s="331" t="s">
        <v>4</v>
      </c>
      <c r="F1" s="331" t="s">
        <v>5</v>
      </c>
      <c r="G1" s="331" t="s">
        <v>6</v>
      </c>
      <c r="H1" s="331" t="s">
        <v>7</v>
      </c>
      <c r="I1" s="331" t="s">
        <v>8</v>
      </c>
      <c r="J1" s="331" t="s">
        <v>9</v>
      </c>
      <c r="K1" s="331" t="s">
        <v>10</v>
      </c>
      <c r="L1" s="331" t="s">
        <v>11</v>
      </c>
      <c r="M1" s="331" t="s">
        <v>12</v>
      </c>
      <c r="N1" s="331" t="s">
        <v>13</v>
      </c>
      <c r="O1" s="332" t="s">
        <v>14</v>
      </c>
      <c r="P1" s="332" t="s">
        <v>15</v>
      </c>
      <c r="Q1" s="332" t="s">
        <v>16</v>
      </c>
      <c r="R1" s="333" t="s">
        <v>17</v>
      </c>
      <c r="S1" s="333" t="s">
        <v>18</v>
      </c>
    </row>
    <row r="2" spans="1:19" ht="15" customHeight="1" x14ac:dyDescent="0.3">
      <c r="A2" s="335" t="s">
        <v>19</v>
      </c>
      <c r="B2" s="335" t="s">
        <v>20</v>
      </c>
      <c r="C2" s="335"/>
      <c r="D2" s="335" t="s">
        <v>21</v>
      </c>
      <c r="E2" s="336" t="s">
        <v>22</v>
      </c>
      <c r="F2" s="336"/>
      <c r="G2" s="337">
        <v>1</v>
      </c>
      <c r="H2" s="338">
        <v>0</v>
      </c>
      <c r="I2" s="339">
        <v>804.50568716119994</v>
      </c>
      <c r="J2" s="340">
        <v>804.50568716119994</v>
      </c>
      <c r="K2" s="335" t="s">
        <v>23</v>
      </c>
      <c r="L2" s="335">
        <v>1</v>
      </c>
      <c r="M2" s="335" t="s">
        <v>24</v>
      </c>
      <c r="N2" s="339">
        <v>60</v>
      </c>
      <c r="O2" s="341">
        <v>1</v>
      </c>
      <c r="P2" s="341" t="s">
        <v>25</v>
      </c>
      <c r="Q2" s="341">
        <v>0</v>
      </c>
      <c r="R2" s="342" t="s">
        <v>25</v>
      </c>
      <c r="S2" s="342" t="s">
        <v>25</v>
      </c>
    </row>
    <row r="3" spans="1:19" ht="15" customHeight="1" x14ac:dyDescent="0.3">
      <c r="A3" s="335" t="s">
        <v>19</v>
      </c>
      <c r="B3" s="335" t="s">
        <v>26</v>
      </c>
      <c r="C3" s="335" t="s">
        <v>27</v>
      </c>
      <c r="D3" s="335" t="s">
        <v>28</v>
      </c>
      <c r="E3" s="336" t="s">
        <v>29</v>
      </c>
      <c r="F3" s="336" t="s">
        <v>30</v>
      </c>
      <c r="G3" s="337">
        <v>5.0000000000000001E-3</v>
      </c>
      <c r="H3" s="338">
        <v>0.05</v>
      </c>
      <c r="I3" s="339">
        <v>26907.33</v>
      </c>
      <c r="J3" s="340">
        <v>141.26348250000001</v>
      </c>
      <c r="K3" s="335" t="s">
        <v>31</v>
      </c>
      <c r="L3" s="335">
        <v>1</v>
      </c>
      <c r="M3" s="335" t="s">
        <v>32</v>
      </c>
      <c r="N3" s="339">
        <v>60</v>
      </c>
      <c r="O3" s="341">
        <v>5.0000000000000001E-3</v>
      </c>
      <c r="P3" s="341" t="s">
        <v>25</v>
      </c>
      <c r="Q3" s="341">
        <v>0</v>
      </c>
      <c r="R3" s="342" t="s">
        <v>25</v>
      </c>
      <c r="S3" s="342" t="s">
        <v>25</v>
      </c>
    </row>
    <row r="4" spans="1:19" ht="15" customHeight="1" x14ac:dyDescent="0.3">
      <c r="A4" s="335" t="s">
        <v>19</v>
      </c>
      <c r="B4" s="335" t="s">
        <v>26</v>
      </c>
      <c r="C4" s="335" t="s">
        <v>27</v>
      </c>
      <c r="D4" s="335" t="s">
        <v>33</v>
      </c>
      <c r="E4" s="336" t="s">
        <v>34</v>
      </c>
      <c r="F4" s="336" t="s">
        <v>35</v>
      </c>
      <c r="G4" s="337">
        <v>0.01</v>
      </c>
      <c r="H4" s="338">
        <v>0.05</v>
      </c>
      <c r="I4" s="339">
        <v>735.06</v>
      </c>
      <c r="J4" s="340">
        <v>7.7181300000000004</v>
      </c>
      <c r="K4" s="335" t="s">
        <v>31</v>
      </c>
      <c r="L4" s="335">
        <v>2</v>
      </c>
      <c r="M4" s="335" t="s">
        <v>36</v>
      </c>
      <c r="N4" s="339">
        <v>60</v>
      </c>
      <c r="O4" s="341">
        <v>0.01</v>
      </c>
      <c r="P4" s="341" t="s">
        <v>25</v>
      </c>
      <c r="Q4" s="341">
        <v>0</v>
      </c>
      <c r="R4" s="342" t="s">
        <v>25</v>
      </c>
      <c r="S4" s="342" t="s">
        <v>25</v>
      </c>
    </row>
    <row r="5" spans="1:19" ht="15" customHeight="1" x14ac:dyDescent="0.3">
      <c r="A5" s="335" t="s">
        <v>19</v>
      </c>
      <c r="B5" s="335" t="s">
        <v>26</v>
      </c>
      <c r="C5" s="335" t="s">
        <v>27</v>
      </c>
      <c r="D5" s="335" t="s">
        <v>37</v>
      </c>
      <c r="E5" s="336" t="s">
        <v>38</v>
      </c>
      <c r="F5" s="336" t="s">
        <v>35</v>
      </c>
      <c r="G5" s="337">
        <v>5.0000000000000001E-3</v>
      </c>
      <c r="H5" s="338">
        <v>0.05</v>
      </c>
      <c r="I5" s="339">
        <v>6678.36</v>
      </c>
      <c r="J5" s="340">
        <v>35.061390000000003</v>
      </c>
      <c r="K5" s="335" t="s">
        <v>31</v>
      </c>
      <c r="L5" s="335">
        <v>3</v>
      </c>
      <c r="M5" s="335" t="s">
        <v>39</v>
      </c>
      <c r="N5" s="339">
        <v>60</v>
      </c>
      <c r="O5" s="341">
        <v>5.0000000000000001E-3</v>
      </c>
      <c r="P5" s="341" t="s">
        <v>25</v>
      </c>
      <c r="Q5" s="341">
        <v>0</v>
      </c>
      <c r="R5" s="342" t="s">
        <v>25</v>
      </c>
      <c r="S5" s="342" t="s">
        <v>25</v>
      </c>
    </row>
    <row r="6" spans="1:19" ht="15" customHeight="1" x14ac:dyDescent="0.3">
      <c r="A6" s="335" t="s">
        <v>19</v>
      </c>
      <c r="B6" s="335" t="s">
        <v>26</v>
      </c>
      <c r="C6" s="335" t="s">
        <v>27</v>
      </c>
      <c r="D6" s="335" t="s">
        <v>40</v>
      </c>
      <c r="E6" s="336" t="s">
        <v>41</v>
      </c>
      <c r="F6" s="336" t="s">
        <v>35</v>
      </c>
      <c r="G6" s="337">
        <v>0.01</v>
      </c>
      <c r="H6" s="338">
        <v>0.05</v>
      </c>
      <c r="I6" s="339">
        <v>5282.24</v>
      </c>
      <c r="J6" s="340">
        <v>55.463520000000003</v>
      </c>
      <c r="K6" s="335" t="s">
        <v>31</v>
      </c>
      <c r="L6" s="335">
        <v>4</v>
      </c>
      <c r="M6" s="335" t="s">
        <v>42</v>
      </c>
      <c r="N6" s="339">
        <v>60</v>
      </c>
      <c r="O6" s="341">
        <v>0.01</v>
      </c>
      <c r="P6" s="341" t="s">
        <v>25</v>
      </c>
      <c r="Q6" s="341">
        <v>0</v>
      </c>
      <c r="R6" s="342" t="s">
        <v>25</v>
      </c>
      <c r="S6" s="342" t="s">
        <v>25</v>
      </c>
    </row>
    <row r="7" spans="1:19" ht="15" customHeight="1" x14ac:dyDescent="0.3">
      <c r="A7" s="335" t="s">
        <v>19</v>
      </c>
      <c r="B7" s="335" t="s">
        <v>26</v>
      </c>
      <c r="C7" s="335" t="s">
        <v>27</v>
      </c>
      <c r="D7" s="335" t="s">
        <v>43</v>
      </c>
      <c r="E7" s="336" t="s">
        <v>44</v>
      </c>
      <c r="F7" s="336" t="s">
        <v>45</v>
      </c>
      <c r="G7" s="337">
        <v>0.03</v>
      </c>
      <c r="H7" s="338">
        <v>0.05</v>
      </c>
      <c r="I7" s="339">
        <v>4842</v>
      </c>
      <c r="J7" s="340">
        <v>152.523</v>
      </c>
      <c r="K7" s="335" t="s">
        <v>31</v>
      </c>
      <c r="L7" s="335">
        <v>5</v>
      </c>
      <c r="M7" s="335" t="s">
        <v>46</v>
      </c>
      <c r="N7" s="339">
        <v>60</v>
      </c>
      <c r="O7" s="341">
        <v>0.03</v>
      </c>
      <c r="P7" s="341" t="s">
        <v>25</v>
      </c>
      <c r="Q7" s="341">
        <v>0</v>
      </c>
      <c r="R7" s="342" t="s">
        <v>25</v>
      </c>
      <c r="S7" s="342" t="s">
        <v>25</v>
      </c>
    </row>
    <row r="8" spans="1:19" ht="15" customHeight="1" x14ac:dyDescent="0.3">
      <c r="A8" s="335" t="s">
        <v>19</v>
      </c>
      <c r="B8" s="335" t="s">
        <v>26</v>
      </c>
      <c r="C8" s="335" t="s">
        <v>27</v>
      </c>
      <c r="D8" s="335" t="s">
        <v>47</v>
      </c>
      <c r="E8" s="336" t="s">
        <v>48</v>
      </c>
      <c r="F8" s="336" t="s">
        <v>35</v>
      </c>
      <c r="G8" s="337">
        <v>0.01</v>
      </c>
      <c r="H8" s="338">
        <v>0.05</v>
      </c>
      <c r="I8" s="339">
        <v>12396.694214876001</v>
      </c>
      <c r="J8" s="340">
        <v>130.16528925619801</v>
      </c>
      <c r="K8" s="335" t="s">
        <v>31</v>
      </c>
      <c r="L8" s="335">
        <v>6</v>
      </c>
      <c r="M8" s="335" t="s">
        <v>49</v>
      </c>
      <c r="N8" s="339">
        <v>60</v>
      </c>
      <c r="O8" s="341">
        <v>0.01</v>
      </c>
      <c r="P8" s="341" t="s">
        <v>25</v>
      </c>
      <c r="Q8" s="341">
        <v>0</v>
      </c>
      <c r="R8" s="342" t="s">
        <v>25</v>
      </c>
      <c r="S8" s="342" t="s">
        <v>25</v>
      </c>
    </row>
    <row r="9" spans="1:19" ht="15" customHeight="1" x14ac:dyDescent="0.3">
      <c r="A9" s="335" t="s">
        <v>19</v>
      </c>
      <c r="B9" s="335" t="s">
        <v>26</v>
      </c>
      <c r="C9" s="335" t="s">
        <v>27</v>
      </c>
      <c r="D9" s="335" t="s">
        <v>50</v>
      </c>
      <c r="E9" s="336" t="s">
        <v>51</v>
      </c>
      <c r="F9" s="336" t="s">
        <v>30</v>
      </c>
      <c r="G9" s="337">
        <v>1.4999999999999999E-2</v>
      </c>
      <c r="H9" s="338">
        <v>0.1</v>
      </c>
      <c r="I9" s="339">
        <v>32845.78</v>
      </c>
      <c r="J9" s="340">
        <v>541.95537000000002</v>
      </c>
      <c r="K9" s="335" t="s">
        <v>31</v>
      </c>
      <c r="L9" s="335">
        <v>7</v>
      </c>
      <c r="M9" s="335" t="s">
        <v>52</v>
      </c>
      <c r="N9" s="339">
        <v>60</v>
      </c>
      <c r="O9" s="341">
        <v>1.4999999999999999E-2</v>
      </c>
      <c r="P9" s="341" t="s">
        <v>25</v>
      </c>
      <c r="Q9" s="341">
        <v>0</v>
      </c>
      <c r="R9" s="342" t="s">
        <v>25</v>
      </c>
      <c r="S9" s="342" t="s">
        <v>25</v>
      </c>
    </row>
    <row r="10" spans="1:19" ht="15" customHeight="1" x14ac:dyDescent="0.3">
      <c r="A10" s="335" t="s">
        <v>19</v>
      </c>
      <c r="B10" s="335" t="s">
        <v>26</v>
      </c>
      <c r="C10" s="335" t="s">
        <v>27</v>
      </c>
      <c r="D10" s="335" t="s">
        <v>53</v>
      </c>
      <c r="E10" s="336" t="s">
        <v>54</v>
      </c>
      <c r="F10" s="336" t="s">
        <v>35</v>
      </c>
      <c r="G10" s="337">
        <v>0.05</v>
      </c>
      <c r="H10" s="338">
        <v>0.1</v>
      </c>
      <c r="I10" s="339">
        <v>70192.210000000006</v>
      </c>
      <c r="J10" s="340">
        <v>3860.5715500000001</v>
      </c>
      <c r="K10" s="335" t="s">
        <v>31</v>
      </c>
      <c r="L10" s="335">
        <v>8</v>
      </c>
      <c r="M10" s="335" t="s">
        <v>55</v>
      </c>
      <c r="N10" s="339">
        <v>60</v>
      </c>
      <c r="O10" s="341">
        <v>0.05</v>
      </c>
      <c r="P10" s="341" t="s">
        <v>25</v>
      </c>
      <c r="Q10" s="341">
        <v>0</v>
      </c>
      <c r="R10" s="342" t="s">
        <v>25</v>
      </c>
      <c r="S10" s="342" t="s">
        <v>25</v>
      </c>
    </row>
    <row r="11" spans="1:19" ht="15" customHeight="1" x14ac:dyDescent="0.3">
      <c r="A11" s="335" t="s">
        <v>19</v>
      </c>
      <c r="B11" s="335" t="s">
        <v>56</v>
      </c>
      <c r="C11" s="335" t="s">
        <v>57</v>
      </c>
      <c r="D11" s="343" t="s">
        <v>58</v>
      </c>
      <c r="E11" s="336" t="s">
        <v>59</v>
      </c>
      <c r="F11" s="336" t="s">
        <v>60</v>
      </c>
      <c r="G11" s="337">
        <v>1</v>
      </c>
      <c r="H11" s="338">
        <v>0</v>
      </c>
      <c r="I11" s="339">
        <v>60860.580776572002</v>
      </c>
      <c r="J11" s="340">
        <v>60860.580776572002</v>
      </c>
      <c r="K11" s="335" t="s">
        <v>61</v>
      </c>
      <c r="L11" s="335">
        <v>1</v>
      </c>
      <c r="M11" s="335" t="s">
        <v>62</v>
      </c>
      <c r="N11" s="339">
        <v>60</v>
      </c>
      <c r="O11" s="341">
        <v>1.6666666666666701E-2</v>
      </c>
      <c r="P11" s="341" t="s">
        <v>25</v>
      </c>
      <c r="Q11" s="341">
        <v>0</v>
      </c>
      <c r="R11" s="342" t="s">
        <v>25</v>
      </c>
      <c r="S11" s="342" t="s">
        <v>25</v>
      </c>
    </row>
    <row r="12" spans="1:19" ht="15" customHeight="1" x14ac:dyDescent="0.3">
      <c r="A12" s="335" t="s">
        <v>19</v>
      </c>
      <c r="B12" s="335" t="s">
        <v>56</v>
      </c>
      <c r="C12" s="335" t="s">
        <v>57</v>
      </c>
      <c r="D12" s="343" t="s">
        <v>63</v>
      </c>
      <c r="E12" s="336" t="s">
        <v>64</v>
      </c>
      <c r="F12" s="336" t="s">
        <v>60</v>
      </c>
      <c r="G12" s="337">
        <v>1</v>
      </c>
      <c r="H12" s="338">
        <v>0</v>
      </c>
      <c r="I12" s="339">
        <v>85927.097156571996</v>
      </c>
      <c r="J12" s="340">
        <v>85927.097156571996</v>
      </c>
      <c r="K12" s="335" t="s">
        <v>61</v>
      </c>
      <c r="L12" s="335">
        <v>2</v>
      </c>
      <c r="M12" s="335" t="s">
        <v>65</v>
      </c>
      <c r="N12" s="339">
        <v>60</v>
      </c>
      <c r="O12" s="341">
        <v>1.6666666666666701E-2</v>
      </c>
      <c r="P12" s="341" t="s">
        <v>25</v>
      </c>
      <c r="Q12" s="341">
        <v>0</v>
      </c>
      <c r="R12" s="342" t="s">
        <v>25</v>
      </c>
      <c r="S12" s="342" t="s">
        <v>25</v>
      </c>
    </row>
    <row r="13" spans="1:19" ht="15" customHeight="1" x14ac:dyDescent="0.3">
      <c r="A13" s="335" t="s">
        <v>66</v>
      </c>
      <c r="B13" s="335" t="s">
        <v>20</v>
      </c>
      <c r="C13" s="335"/>
      <c r="D13" s="335" t="s">
        <v>67</v>
      </c>
      <c r="E13" s="336" t="s">
        <v>68</v>
      </c>
      <c r="F13" s="336"/>
      <c r="G13" s="337">
        <v>0.5</v>
      </c>
      <c r="H13" s="338">
        <v>0</v>
      </c>
      <c r="I13" s="339">
        <v>571.17949098076099</v>
      </c>
      <c r="J13" s="340">
        <v>285.58974549038101</v>
      </c>
      <c r="K13" s="335" t="s">
        <v>69</v>
      </c>
      <c r="L13" s="335">
        <v>1</v>
      </c>
      <c r="M13" s="335" t="s">
        <v>70</v>
      </c>
      <c r="N13" s="339">
        <v>7</v>
      </c>
      <c r="O13" s="341">
        <v>0.5</v>
      </c>
      <c r="P13" s="341" t="s">
        <v>25</v>
      </c>
      <c r="Q13" s="341">
        <v>0</v>
      </c>
      <c r="R13" s="342" t="s">
        <v>25</v>
      </c>
      <c r="S13" s="342" t="s">
        <v>25</v>
      </c>
    </row>
    <row r="14" spans="1:19" ht="15" customHeight="1" x14ac:dyDescent="0.3">
      <c r="A14" s="335" t="s">
        <v>66</v>
      </c>
      <c r="B14" s="335" t="s">
        <v>20</v>
      </c>
      <c r="C14" s="335"/>
      <c r="D14" s="335" t="s">
        <v>71</v>
      </c>
      <c r="E14" s="336" t="s">
        <v>72</v>
      </c>
      <c r="F14" s="336"/>
      <c r="G14" s="337">
        <v>1</v>
      </c>
      <c r="H14" s="338">
        <v>0</v>
      </c>
      <c r="I14" s="339">
        <v>2287.1357450968098</v>
      </c>
      <c r="J14" s="340">
        <v>2287.1357450968098</v>
      </c>
      <c r="K14" s="335" t="s">
        <v>69</v>
      </c>
      <c r="L14" s="335">
        <v>2</v>
      </c>
      <c r="M14" s="335" t="s">
        <v>73</v>
      </c>
      <c r="N14" s="339">
        <v>7</v>
      </c>
      <c r="O14" s="341">
        <v>1</v>
      </c>
      <c r="P14" s="341" t="s">
        <v>25</v>
      </c>
      <c r="Q14" s="341">
        <v>0</v>
      </c>
      <c r="R14" s="342" t="s">
        <v>25</v>
      </c>
      <c r="S14" s="342" t="s">
        <v>25</v>
      </c>
    </row>
    <row r="15" spans="1:19" ht="15" customHeight="1" x14ac:dyDescent="0.3">
      <c r="A15" s="335" t="s">
        <v>66</v>
      </c>
      <c r="B15" s="335" t="s">
        <v>20</v>
      </c>
      <c r="C15" s="335"/>
      <c r="D15" s="335" t="s">
        <v>74</v>
      </c>
      <c r="E15" s="336" t="s">
        <v>75</v>
      </c>
      <c r="F15" s="336"/>
      <c r="G15" s="337">
        <v>1</v>
      </c>
      <c r="H15" s="338">
        <v>0</v>
      </c>
      <c r="I15" s="339">
        <v>957.25319614994703</v>
      </c>
      <c r="J15" s="340">
        <v>957.25319614994703</v>
      </c>
      <c r="K15" s="335" t="s">
        <v>69</v>
      </c>
      <c r="L15" s="335">
        <v>3</v>
      </c>
      <c r="M15" s="335" t="s">
        <v>76</v>
      </c>
      <c r="N15" s="339">
        <v>7</v>
      </c>
      <c r="O15" s="341">
        <v>1</v>
      </c>
      <c r="P15" s="341" t="s">
        <v>25</v>
      </c>
      <c r="Q15" s="341">
        <v>0</v>
      </c>
      <c r="R15" s="342" t="s">
        <v>25</v>
      </c>
      <c r="S15" s="342" t="s">
        <v>25</v>
      </c>
    </row>
    <row r="16" spans="1:19" ht="15" customHeight="1" x14ac:dyDescent="0.3">
      <c r="A16" s="335" t="s">
        <v>66</v>
      </c>
      <c r="B16" s="335" t="s">
        <v>26</v>
      </c>
      <c r="C16" s="335" t="s">
        <v>27</v>
      </c>
      <c r="D16" s="335" t="s">
        <v>77</v>
      </c>
      <c r="E16" s="336" t="s">
        <v>78</v>
      </c>
      <c r="F16" s="336" t="s">
        <v>35</v>
      </c>
      <c r="G16" s="337">
        <v>0.17</v>
      </c>
      <c r="H16" s="338">
        <v>0.1</v>
      </c>
      <c r="I16" s="339">
        <v>3424.53</v>
      </c>
      <c r="J16" s="340">
        <v>640.38711000000001</v>
      </c>
      <c r="K16" s="335" t="s">
        <v>79</v>
      </c>
      <c r="L16" s="335">
        <v>1</v>
      </c>
      <c r="M16" s="335" t="s">
        <v>80</v>
      </c>
      <c r="N16" s="339">
        <v>7</v>
      </c>
      <c r="O16" s="341">
        <v>0.17</v>
      </c>
      <c r="P16" s="341" t="s">
        <v>25</v>
      </c>
      <c r="Q16" s="341">
        <v>0</v>
      </c>
      <c r="R16" s="342" t="s">
        <v>25</v>
      </c>
      <c r="S16" s="342" t="s">
        <v>25</v>
      </c>
    </row>
    <row r="17" spans="1:19" ht="15" customHeight="1" x14ac:dyDescent="0.3">
      <c r="A17" s="335" t="s">
        <v>66</v>
      </c>
      <c r="B17" s="335" t="s">
        <v>26</v>
      </c>
      <c r="C17" s="335" t="s">
        <v>27</v>
      </c>
      <c r="D17" s="335" t="s">
        <v>81</v>
      </c>
      <c r="E17" s="336" t="s">
        <v>82</v>
      </c>
      <c r="F17" s="336" t="s">
        <v>83</v>
      </c>
      <c r="G17" s="337">
        <v>3.5000000000000003E-2</v>
      </c>
      <c r="H17" s="338">
        <v>0.1</v>
      </c>
      <c r="I17" s="339">
        <v>32399.77</v>
      </c>
      <c r="J17" s="340">
        <v>1247.3911450000001</v>
      </c>
      <c r="K17" s="335" t="s">
        <v>79</v>
      </c>
      <c r="L17" s="335">
        <v>2</v>
      </c>
      <c r="M17" s="335" t="s">
        <v>84</v>
      </c>
      <c r="N17" s="339">
        <v>7</v>
      </c>
      <c r="O17" s="341">
        <v>3.5000000000000003E-2</v>
      </c>
      <c r="P17" s="341" t="s">
        <v>25</v>
      </c>
      <c r="Q17" s="341">
        <v>0</v>
      </c>
      <c r="R17" s="342" t="s">
        <v>25</v>
      </c>
      <c r="S17" s="342" t="s">
        <v>25</v>
      </c>
    </row>
    <row r="18" spans="1:19" ht="15" customHeight="1" x14ac:dyDescent="0.3">
      <c r="A18" s="335" t="s">
        <v>66</v>
      </c>
      <c r="B18" s="335" t="s">
        <v>26</v>
      </c>
      <c r="C18" s="335" t="s">
        <v>27</v>
      </c>
      <c r="D18" s="335" t="s">
        <v>85</v>
      </c>
      <c r="E18" s="336" t="s">
        <v>86</v>
      </c>
      <c r="F18" s="336" t="s">
        <v>87</v>
      </c>
      <c r="G18" s="337">
        <v>0.15</v>
      </c>
      <c r="H18" s="338">
        <v>0.1</v>
      </c>
      <c r="I18" s="339">
        <v>7809.48</v>
      </c>
      <c r="J18" s="340">
        <v>1288.5642</v>
      </c>
      <c r="K18" s="335" t="s">
        <v>79</v>
      </c>
      <c r="L18" s="335">
        <v>3</v>
      </c>
      <c r="M18" s="335" t="s">
        <v>88</v>
      </c>
      <c r="N18" s="339">
        <v>7</v>
      </c>
      <c r="O18" s="341">
        <v>0.15</v>
      </c>
      <c r="P18" s="341" t="s">
        <v>25</v>
      </c>
      <c r="Q18" s="341">
        <v>0</v>
      </c>
      <c r="R18" s="342" t="s">
        <v>25</v>
      </c>
      <c r="S18" s="342" t="s">
        <v>25</v>
      </c>
    </row>
    <row r="19" spans="1:19" ht="15" customHeight="1" x14ac:dyDescent="0.3">
      <c r="A19" s="335" t="s">
        <v>66</v>
      </c>
      <c r="B19" s="335" t="s">
        <v>26</v>
      </c>
      <c r="C19" s="335" t="s">
        <v>27</v>
      </c>
      <c r="D19" s="335" t="s">
        <v>89</v>
      </c>
      <c r="E19" s="336" t="s">
        <v>90</v>
      </c>
      <c r="F19" s="336" t="s">
        <v>91</v>
      </c>
      <c r="G19" s="337">
        <v>0.3</v>
      </c>
      <c r="H19" s="338">
        <v>0.1</v>
      </c>
      <c r="I19" s="339">
        <v>3837.96</v>
      </c>
      <c r="J19" s="340">
        <v>1266.5268000000001</v>
      </c>
      <c r="K19" s="335" t="s">
        <v>79</v>
      </c>
      <c r="L19" s="335">
        <v>4</v>
      </c>
      <c r="M19" s="335" t="s">
        <v>92</v>
      </c>
      <c r="N19" s="339">
        <v>7</v>
      </c>
      <c r="O19" s="341">
        <v>0.3</v>
      </c>
      <c r="P19" s="341" t="s">
        <v>25</v>
      </c>
      <c r="Q19" s="341">
        <v>0</v>
      </c>
      <c r="R19" s="342" t="s">
        <v>25</v>
      </c>
      <c r="S19" s="342" t="s">
        <v>25</v>
      </c>
    </row>
    <row r="20" spans="1:19" ht="15" customHeight="1" x14ac:dyDescent="0.3">
      <c r="A20" s="335" t="s">
        <v>66</v>
      </c>
      <c r="B20" s="335" t="s">
        <v>26</v>
      </c>
      <c r="C20" s="335" t="s">
        <v>27</v>
      </c>
      <c r="D20" s="335" t="s">
        <v>93</v>
      </c>
      <c r="E20" s="336" t="s">
        <v>94</v>
      </c>
      <c r="F20" s="336" t="s">
        <v>35</v>
      </c>
      <c r="G20" s="337">
        <v>60</v>
      </c>
      <c r="H20" s="338">
        <v>0.05</v>
      </c>
      <c r="I20" s="339">
        <v>132.30000000000001</v>
      </c>
      <c r="J20" s="340">
        <v>8334.9</v>
      </c>
      <c r="K20" s="335" t="s">
        <v>79</v>
      </c>
      <c r="L20" s="335">
        <v>5</v>
      </c>
      <c r="M20" s="335" t="s">
        <v>95</v>
      </c>
      <c r="N20" s="339">
        <v>7</v>
      </c>
      <c r="O20" s="341">
        <v>60</v>
      </c>
      <c r="P20" s="341" t="s">
        <v>25</v>
      </c>
      <c r="Q20" s="341">
        <v>0</v>
      </c>
      <c r="R20" s="342" t="s">
        <v>25</v>
      </c>
      <c r="S20" s="342" t="s">
        <v>25</v>
      </c>
    </row>
    <row r="21" spans="1:19" ht="15" customHeight="1" x14ac:dyDescent="0.3">
      <c r="A21" s="335" t="s">
        <v>66</v>
      </c>
      <c r="B21" s="335" t="s">
        <v>26</v>
      </c>
      <c r="C21" s="335" t="s">
        <v>27</v>
      </c>
      <c r="D21" s="335" t="s">
        <v>96</v>
      </c>
      <c r="E21" s="336" t="s">
        <v>97</v>
      </c>
      <c r="F21" s="336" t="s">
        <v>98</v>
      </c>
      <c r="G21" s="337">
        <v>1.31611023</v>
      </c>
      <c r="H21" s="338">
        <v>0</v>
      </c>
      <c r="I21" s="339">
        <v>1</v>
      </c>
      <c r="J21" s="340">
        <v>1.31611023</v>
      </c>
      <c r="K21" s="335" t="s">
        <v>79</v>
      </c>
      <c r="L21" s="335">
        <v>6</v>
      </c>
      <c r="M21" s="335" t="s">
        <v>99</v>
      </c>
      <c r="N21" s="339">
        <v>7</v>
      </c>
      <c r="O21" s="341">
        <v>1.31611023</v>
      </c>
      <c r="P21" s="341" t="s">
        <v>25</v>
      </c>
      <c r="Q21" s="341">
        <v>0</v>
      </c>
      <c r="R21" s="342" t="s">
        <v>25</v>
      </c>
      <c r="S21" s="342" t="s">
        <v>25</v>
      </c>
    </row>
    <row r="22" spans="1:19" ht="15" customHeight="1" x14ac:dyDescent="0.3">
      <c r="A22" s="335" t="s">
        <v>66</v>
      </c>
      <c r="B22" s="335" t="s">
        <v>56</v>
      </c>
      <c r="C22" s="335" t="s">
        <v>57</v>
      </c>
      <c r="D22" s="343" t="s">
        <v>58</v>
      </c>
      <c r="E22" s="336" t="s">
        <v>59</v>
      </c>
      <c r="F22" s="336" t="s">
        <v>60</v>
      </c>
      <c r="G22" s="337">
        <v>1</v>
      </c>
      <c r="H22" s="338">
        <v>0</v>
      </c>
      <c r="I22" s="339">
        <v>60860.580776572002</v>
      </c>
      <c r="J22" s="340">
        <v>60860.580776572002</v>
      </c>
      <c r="K22" s="335" t="s">
        <v>100</v>
      </c>
      <c r="L22" s="335">
        <v>1</v>
      </c>
      <c r="M22" s="335" t="s">
        <v>101</v>
      </c>
      <c r="N22" s="339">
        <v>7</v>
      </c>
      <c r="O22" s="341">
        <v>0.14285714285714299</v>
      </c>
      <c r="P22" s="341" t="s">
        <v>25</v>
      </c>
      <c r="Q22" s="341">
        <v>0</v>
      </c>
      <c r="R22" s="342" t="s">
        <v>25</v>
      </c>
      <c r="S22" s="342" t="s">
        <v>25</v>
      </c>
    </row>
    <row r="23" spans="1:19" ht="15" customHeight="1" x14ac:dyDescent="0.3">
      <c r="A23" s="335" t="s">
        <v>66</v>
      </c>
      <c r="B23" s="335" t="s">
        <v>56</v>
      </c>
      <c r="C23" s="335" t="s">
        <v>57</v>
      </c>
      <c r="D23" s="343" t="s">
        <v>63</v>
      </c>
      <c r="E23" s="336" t="s">
        <v>64</v>
      </c>
      <c r="F23" s="336" t="s">
        <v>60</v>
      </c>
      <c r="G23" s="337">
        <v>1</v>
      </c>
      <c r="H23" s="338">
        <v>0</v>
      </c>
      <c r="I23" s="339">
        <v>85927.097156571996</v>
      </c>
      <c r="J23" s="340">
        <v>85927.097156571996</v>
      </c>
      <c r="K23" s="335" t="s">
        <v>100</v>
      </c>
      <c r="L23" s="335">
        <v>2</v>
      </c>
      <c r="M23" s="335" t="s">
        <v>102</v>
      </c>
      <c r="N23" s="339">
        <v>7</v>
      </c>
      <c r="O23" s="341">
        <v>0.14285714285714299</v>
      </c>
      <c r="P23" s="341" t="s">
        <v>25</v>
      </c>
      <c r="Q23" s="341">
        <v>0</v>
      </c>
      <c r="R23" s="342" t="s">
        <v>25</v>
      </c>
      <c r="S23" s="342" t="s">
        <v>25</v>
      </c>
    </row>
    <row r="24" spans="1:19" ht="15" customHeight="1" x14ac:dyDescent="0.3">
      <c r="A24" s="335" t="s">
        <v>103</v>
      </c>
      <c r="B24" s="335" t="s">
        <v>20</v>
      </c>
      <c r="C24" s="335"/>
      <c r="D24" s="335" t="s">
        <v>67</v>
      </c>
      <c r="E24" s="336" t="s">
        <v>68</v>
      </c>
      <c r="F24" s="336"/>
      <c r="G24" s="337">
        <v>0.5</v>
      </c>
      <c r="H24" s="338">
        <v>0</v>
      </c>
      <c r="I24" s="339">
        <v>571.17949098076099</v>
      </c>
      <c r="J24" s="340">
        <v>285.58974549038101</v>
      </c>
      <c r="K24" s="335" t="s">
        <v>104</v>
      </c>
      <c r="L24" s="335">
        <v>1</v>
      </c>
      <c r="M24" s="335" t="s">
        <v>105</v>
      </c>
      <c r="N24" s="339">
        <v>15</v>
      </c>
      <c r="O24" s="341">
        <v>0.5</v>
      </c>
      <c r="P24" s="341">
        <v>621</v>
      </c>
      <c r="Q24" s="341">
        <v>310.5</v>
      </c>
      <c r="R24" s="342">
        <v>4.01</v>
      </c>
      <c r="S24" s="342" t="s">
        <v>106</v>
      </c>
    </row>
    <row r="25" spans="1:19" ht="15" customHeight="1" x14ac:dyDescent="0.3">
      <c r="A25" s="335" t="s">
        <v>103</v>
      </c>
      <c r="B25" s="335" t="s">
        <v>20</v>
      </c>
      <c r="C25" s="335"/>
      <c r="D25" s="335" t="s">
        <v>71</v>
      </c>
      <c r="E25" s="336" t="s">
        <v>72</v>
      </c>
      <c r="F25" s="336"/>
      <c r="G25" s="337">
        <v>1</v>
      </c>
      <c r="H25" s="338">
        <v>0</v>
      </c>
      <c r="I25" s="339">
        <v>2287.1357450968098</v>
      </c>
      <c r="J25" s="340">
        <v>2287.1357450968098</v>
      </c>
      <c r="K25" s="335" t="s">
        <v>104</v>
      </c>
      <c r="L25" s="335">
        <v>2</v>
      </c>
      <c r="M25" s="335" t="s">
        <v>107</v>
      </c>
      <c r="N25" s="339">
        <v>15</v>
      </c>
      <c r="O25" s="341">
        <v>1</v>
      </c>
      <c r="P25" s="341">
        <v>621</v>
      </c>
      <c r="Q25" s="341">
        <v>621</v>
      </c>
      <c r="R25" s="342">
        <v>4.01</v>
      </c>
      <c r="S25" s="342" t="s">
        <v>106</v>
      </c>
    </row>
    <row r="26" spans="1:19" ht="15" customHeight="1" x14ac:dyDescent="0.3">
      <c r="A26" s="335" t="s">
        <v>103</v>
      </c>
      <c r="B26" s="335" t="s">
        <v>20</v>
      </c>
      <c r="C26" s="335"/>
      <c r="D26" s="335" t="s">
        <v>74</v>
      </c>
      <c r="E26" s="336" t="s">
        <v>75</v>
      </c>
      <c r="F26" s="336"/>
      <c r="G26" s="337">
        <v>1</v>
      </c>
      <c r="H26" s="338">
        <v>0</v>
      </c>
      <c r="I26" s="339">
        <v>957.25319614994703</v>
      </c>
      <c r="J26" s="340">
        <v>957.25319614994703</v>
      </c>
      <c r="K26" s="335" t="s">
        <v>104</v>
      </c>
      <c r="L26" s="335">
        <v>3</v>
      </c>
      <c r="M26" s="335" t="s">
        <v>108</v>
      </c>
      <c r="N26" s="339">
        <v>15</v>
      </c>
      <c r="O26" s="341">
        <v>1</v>
      </c>
      <c r="P26" s="341">
        <v>621</v>
      </c>
      <c r="Q26" s="341">
        <v>621</v>
      </c>
      <c r="R26" s="342">
        <v>4.01</v>
      </c>
      <c r="S26" s="342" t="s">
        <v>106</v>
      </c>
    </row>
    <row r="27" spans="1:19" ht="15" customHeight="1" x14ac:dyDescent="0.3">
      <c r="A27" s="335" t="s">
        <v>103</v>
      </c>
      <c r="B27" s="335" t="s">
        <v>26</v>
      </c>
      <c r="C27" s="335" t="s">
        <v>27</v>
      </c>
      <c r="D27" s="335" t="s">
        <v>77</v>
      </c>
      <c r="E27" s="336" t="s">
        <v>78</v>
      </c>
      <c r="F27" s="336" t="s">
        <v>35</v>
      </c>
      <c r="G27" s="337">
        <v>0.17</v>
      </c>
      <c r="H27" s="338">
        <v>0.1</v>
      </c>
      <c r="I27" s="339">
        <v>3424.53</v>
      </c>
      <c r="J27" s="340">
        <v>640.38711000000001</v>
      </c>
      <c r="K27" s="335" t="s">
        <v>109</v>
      </c>
      <c r="L27" s="335">
        <v>1</v>
      </c>
      <c r="M27" s="335" t="s">
        <v>110</v>
      </c>
      <c r="N27" s="339">
        <v>15</v>
      </c>
      <c r="O27" s="341">
        <v>0.17</v>
      </c>
      <c r="P27" s="341">
        <v>621</v>
      </c>
      <c r="Q27" s="341">
        <v>105.57</v>
      </c>
      <c r="R27" s="342">
        <v>4.01</v>
      </c>
      <c r="S27" s="342" t="s">
        <v>106</v>
      </c>
    </row>
    <row r="28" spans="1:19" ht="15" customHeight="1" x14ac:dyDescent="0.3">
      <c r="A28" s="335" t="s">
        <v>103</v>
      </c>
      <c r="B28" s="335" t="s">
        <v>26</v>
      </c>
      <c r="C28" s="335" t="s">
        <v>27</v>
      </c>
      <c r="D28" s="335" t="s">
        <v>81</v>
      </c>
      <c r="E28" s="336" t="s">
        <v>82</v>
      </c>
      <c r="F28" s="336" t="s">
        <v>83</v>
      </c>
      <c r="G28" s="337">
        <v>1.2E-2</v>
      </c>
      <c r="H28" s="338">
        <v>0.1</v>
      </c>
      <c r="I28" s="339">
        <v>32399.77</v>
      </c>
      <c r="J28" s="340">
        <v>427.676964</v>
      </c>
      <c r="K28" s="335" t="s">
        <v>109</v>
      </c>
      <c r="L28" s="335">
        <v>2</v>
      </c>
      <c r="M28" s="335" t="s">
        <v>111</v>
      </c>
      <c r="N28" s="339">
        <v>15</v>
      </c>
      <c r="O28" s="341">
        <v>1.2E-2</v>
      </c>
      <c r="P28" s="341">
        <v>621</v>
      </c>
      <c r="Q28" s="341">
        <v>7.452</v>
      </c>
      <c r="R28" s="342">
        <v>4.01</v>
      </c>
      <c r="S28" s="342" t="s">
        <v>106</v>
      </c>
    </row>
    <row r="29" spans="1:19" ht="15" customHeight="1" x14ac:dyDescent="0.3">
      <c r="A29" s="335" t="s">
        <v>103</v>
      </c>
      <c r="B29" s="335" t="s">
        <v>26</v>
      </c>
      <c r="C29" s="335" t="s">
        <v>27</v>
      </c>
      <c r="D29" s="335" t="s">
        <v>85</v>
      </c>
      <c r="E29" s="336" t="s">
        <v>86</v>
      </c>
      <c r="F29" s="336" t="s">
        <v>87</v>
      </c>
      <c r="G29" s="337">
        <v>0.05</v>
      </c>
      <c r="H29" s="338">
        <v>0.1</v>
      </c>
      <c r="I29" s="339">
        <v>7809.48</v>
      </c>
      <c r="J29" s="340">
        <v>429.52140000000003</v>
      </c>
      <c r="K29" s="335" t="s">
        <v>109</v>
      </c>
      <c r="L29" s="335">
        <v>3</v>
      </c>
      <c r="M29" s="335" t="s">
        <v>112</v>
      </c>
      <c r="N29" s="339">
        <v>15</v>
      </c>
      <c r="O29" s="341">
        <v>0.05</v>
      </c>
      <c r="P29" s="341">
        <v>621</v>
      </c>
      <c r="Q29" s="341">
        <v>31.05</v>
      </c>
      <c r="R29" s="342">
        <v>4.01</v>
      </c>
      <c r="S29" s="342" t="s">
        <v>106</v>
      </c>
    </row>
    <row r="30" spans="1:19" ht="15" customHeight="1" x14ac:dyDescent="0.3">
      <c r="A30" s="335" t="s">
        <v>103</v>
      </c>
      <c r="B30" s="335" t="s">
        <v>26</v>
      </c>
      <c r="C30" s="335" t="s">
        <v>27</v>
      </c>
      <c r="D30" s="335" t="s">
        <v>89</v>
      </c>
      <c r="E30" s="336" t="s">
        <v>90</v>
      </c>
      <c r="F30" s="336" t="s">
        <v>91</v>
      </c>
      <c r="G30" s="337">
        <v>0.1</v>
      </c>
      <c r="H30" s="338">
        <v>0.1</v>
      </c>
      <c r="I30" s="339">
        <v>3837.96</v>
      </c>
      <c r="J30" s="340">
        <v>422.17559999999997</v>
      </c>
      <c r="K30" s="335" t="s">
        <v>109</v>
      </c>
      <c r="L30" s="335">
        <v>4</v>
      </c>
      <c r="M30" s="335" t="s">
        <v>113</v>
      </c>
      <c r="N30" s="339">
        <v>15</v>
      </c>
      <c r="O30" s="341">
        <v>0.1</v>
      </c>
      <c r="P30" s="341">
        <v>621</v>
      </c>
      <c r="Q30" s="341">
        <v>62.1</v>
      </c>
      <c r="R30" s="342">
        <v>4.01</v>
      </c>
      <c r="S30" s="342" t="s">
        <v>106</v>
      </c>
    </row>
    <row r="31" spans="1:19" ht="15" customHeight="1" x14ac:dyDescent="0.3">
      <c r="A31" s="335" t="s">
        <v>103</v>
      </c>
      <c r="B31" s="335" t="s">
        <v>26</v>
      </c>
      <c r="C31" s="335" t="s">
        <v>27</v>
      </c>
      <c r="D31" s="335" t="s">
        <v>114</v>
      </c>
      <c r="E31" s="336" t="s">
        <v>115</v>
      </c>
      <c r="F31" s="336" t="s">
        <v>35</v>
      </c>
      <c r="G31" s="337">
        <v>15</v>
      </c>
      <c r="H31" s="338">
        <v>0.05</v>
      </c>
      <c r="I31" s="339">
        <v>292.32</v>
      </c>
      <c r="J31" s="340">
        <v>4604.04</v>
      </c>
      <c r="K31" s="335" t="s">
        <v>109</v>
      </c>
      <c r="L31" s="335">
        <v>5</v>
      </c>
      <c r="M31" s="335" t="s">
        <v>116</v>
      </c>
      <c r="N31" s="339">
        <v>15</v>
      </c>
      <c r="O31" s="341">
        <v>15</v>
      </c>
      <c r="P31" s="341">
        <v>621</v>
      </c>
      <c r="Q31" s="341">
        <v>9315</v>
      </c>
      <c r="R31" s="342">
        <v>4.01</v>
      </c>
      <c r="S31" s="342" t="s">
        <v>106</v>
      </c>
    </row>
    <row r="32" spans="1:19" ht="15" customHeight="1" x14ac:dyDescent="0.3">
      <c r="A32" s="335" t="s">
        <v>103</v>
      </c>
      <c r="B32" s="335" t="s">
        <v>26</v>
      </c>
      <c r="C32" s="335" t="s">
        <v>27</v>
      </c>
      <c r="D32" s="335" t="s">
        <v>96</v>
      </c>
      <c r="E32" s="336" t="s">
        <v>97</v>
      </c>
      <c r="F32" s="336" t="s">
        <v>98</v>
      </c>
      <c r="G32" s="337">
        <v>67.195151062199997</v>
      </c>
      <c r="H32" s="338">
        <v>0</v>
      </c>
      <c r="I32" s="339">
        <v>1</v>
      </c>
      <c r="J32" s="340">
        <v>67.195151062199997</v>
      </c>
      <c r="K32" s="335" t="s">
        <v>109</v>
      </c>
      <c r="L32" s="335">
        <v>6</v>
      </c>
      <c r="M32" s="335" t="s">
        <v>117</v>
      </c>
      <c r="N32" s="339">
        <v>15</v>
      </c>
      <c r="O32" s="341">
        <v>67.195151062199997</v>
      </c>
      <c r="P32" s="341">
        <v>621</v>
      </c>
      <c r="Q32" s="341">
        <v>41728.188809626197</v>
      </c>
      <c r="R32" s="342">
        <v>4.01</v>
      </c>
      <c r="S32" s="342" t="s">
        <v>106</v>
      </c>
    </row>
    <row r="33" spans="1:19" ht="15" customHeight="1" x14ac:dyDescent="0.3">
      <c r="A33" s="335" t="s">
        <v>103</v>
      </c>
      <c r="B33" s="335" t="s">
        <v>56</v>
      </c>
      <c r="C33" s="335" t="s">
        <v>57</v>
      </c>
      <c r="D33" s="343" t="s">
        <v>58</v>
      </c>
      <c r="E33" s="336" t="s">
        <v>59</v>
      </c>
      <c r="F33" s="336" t="s">
        <v>60</v>
      </c>
      <c r="G33" s="337">
        <v>1</v>
      </c>
      <c r="H33" s="338">
        <v>0</v>
      </c>
      <c r="I33" s="339">
        <v>60860.580776572002</v>
      </c>
      <c r="J33" s="340">
        <v>60860.580776572002</v>
      </c>
      <c r="K33" s="335" t="s">
        <v>118</v>
      </c>
      <c r="L33" s="335">
        <v>1</v>
      </c>
      <c r="M33" s="335" t="s">
        <v>119</v>
      </c>
      <c r="N33" s="339">
        <v>15</v>
      </c>
      <c r="O33" s="341">
        <v>6.6666666666666693E-2</v>
      </c>
      <c r="P33" s="341">
        <v>621</v>
      </c>
      <c r="Q33" s="341">
        <v>41.4</v>
      </c>
      <c r="R33" s="342">
        <v>4.01</v>
      </c>
      <c r="S33" s="342" t="s">
        <v>106</v>
      </c>
    </row>
    <row r="34" spans="1:19" ht="15" customHeight="1" x14ac:dyDescent="0.3">
      <c r="A34" s="335" t="s">
        <v>103</v>
      </c>
      <c r="B34" s="335" t="s">
        <v>56</v>
      </c>
      <c r="C34" s="335" t="s">
        <v>57</v>
      </c>
      <c r="D34" s="343" t="s">
        <v>63</v>
      </c>
      <c r="E34" s="336" t="s">
        <v>64</v>
      </c>
      <c r="F34" s="336" t="s">
        <v>60</v>
      </c>
      <c r="G34" s="337">
        <v>1</v>
      </c>
      <c r="H34" s="338">
        <v>0</v>
      </c>
      <c r="I34" s="339">
        <v>85927.097156571996</v>
      </c>
      <c r="J34" s="340">
        <v>85927.097156571996</v>
      </c>
      <c r="K34" s="335" t="s">
        <v>118</v>
      </c>
      <c r="L34" s="335">
        <v>2</v>
      </c>
      <c r="M34" s="335" t="s">
        <v>120</v>
      </c>
      <c r="N34" s="339">
        <v>15</v>
      </c>
      <c r="O34" s="341">
        <v>6.6666666666666693E-2</v>
      </c>
      <c r="P34" s="341">
        <v>621</v>
      </c>
      <c r="Q34" s="341">
        <v>41.4</v>
      </c>
      <c r="R34" s="342">
        <v>4.01</v>
      </c>
      <c r="S34" s="342" t="s">
        <v>106</v>
      </c>
    </row>
    <row r="35" spans="1:19" ht="15" customHeight="1" x14ac:dyDescent="0.3">
      <c r="A35" s="335" t="s">
        <v>121</v>
      </c>
      <c r="B35" s="335" t="s">
        <v>20</v>
      </c>
      <c r="C35" s="335"/>
      <c r="D35" s="335" t="s">
        <v>67</v>
      </c>
      <c r="E35" s="336" t="s">
        <v>68</v>
      </c>
      <c r="F35" s="336"/>
      <c r="G35" s="337">
        <v>0.5</v>
      </c>
      <c r="H35" s="338">
        <v>0</v>
      </c>
      <c r="I35" s="339">
        <v>571.17949098076099</v>
      </c>
      <c r="J35" s="340">
        <v>285.58974549038101</v>
      </c>
      <c r="K35" s="335" t="s">
        <v>122</v>
      </c>
      <c r="L35" s="335">
        <v>1</v>
      </c>
      <c r="M35" s="335" t="s">
        <v>123</v>
      </c>
      <c r="N35" s="339">
        <v>15</v>
      </c>
      <c r="O35" s="341">
        <v>0.5</v>
      </c>
      <c r="P35" s="341">
        <v>780</v>
      </c>
      <c r="Q35" s="341">
        <v>390</v>
      </c>
      <c r="R35" s="342">
        <v>4.0199999999999996</v>
      </c>
      <c r="S35" s="342" t="s">
        <v>106</v>
      </c>
    </row>
    <row r="36" spans="1:19" ht="15" customHeight="1" x14ac:dyDescent="0.3">
      <c r="A36" s="335" t="s">
        <v>121</v>
      </c>
      <c r="B36" s="335" t="s">
        <v>20</v>
      </c>
      <c r="C36" s="335"/>
      <c r="D36" s="335" t="s">
        <v>71</v>
      </c>
      <c r="E36" s="336" t="s">
        <v>72</v>
      </c>
      <c r="F36" s="336"/>
      <c r="G36" s="337">
        <v>1</v>
      </c>
      <c r="H36" s="338">
        <v>0</v>
      </c>
      <c r="I36" s="339">
        <v>2287.1357450968098</v>
      </c>
      <c r="J36" s="340">
        <v>2287.1357450968098</v>
      </c>
      <c r="K36" s="335" t="s">
        <v>122</v>
      </c>
      <c r="L36" s="335">
        <v>2</v>
      </c>
      <c r="M36" s="335" t="s">
        <v>124</v>
      </c>
      <c r="N36" s="339">
        <v>15</v>
      </c>
      <c r="O36" s="341">
        <v>1</v>
      </c>
      <c r="P36" s="341">
        <v>780</v>
      </c>
      <c r="Q36" s="341">
        <v>780</v>
      </c>
      <c r="R36" s="342">
        <v>4.0199999999999996</v>
      </c>
      <c r="S36" s="342" t="s">
        <v>106</v>
      </c>
    </row>
    <row r="37" spans="1:19" ht="15" customHeight="1" x14ac:dyDescent="0.3">
      <c r="A37" s="335" t="s">
        <v>121</v>
      </c>
      <c r="B37" s="335" t="s">
        <v>20</v>
      </c>
      <c r="C37" s="335"/>
      <c r="D37" s="335" t="s">
        <v>74</v>
      </c>
      <c r="E37" s="336" t="s">
        <v>75</v>
      </c>
      <c r="F37" s="336"/>
      <c r="G37" s="337">
        <v>1</v>
      </c>
      <c r="H37" s="338">
        <v>0</v>
      </c>
      <c r="I37" s="339">
        <v>957.25319614994703</v>
      </c>
      <c r="J37" s="340">
        <v>957.25319614994703</v>
      </c>
      <c r="K37" s="335" t="s">
        <v>122</v>
      </c>
      <c r="L37" s="335">
        <v>3</v>
      </c>
      <c r="M37" s="335" t="s">
        <v>125</v>
      </c>
      <c r="N37" s="339">
        <v>15</v>
      </c>
      <c r="O37" s="341">
        <v>1</v>
      </c>
      <c r="P37" s="341">
        <v>780</v>
      </c>
      <c r="Q37" s="341">
        <v>780</v>
      </c>
      <c r="R37" s="342">
        <v>4.0199999999999996</v>
      </c>
      <c r="S37" s="342" t="s">
        <v>106</v>
      </c>
    </row>
    <row r="38" spans="1:19" ht="15" customHeight="1" x14ac:dyDescent="0.3">
      <c r="A38" s="335" t="s">
        <v>121</v>
      </c>
      <c r="B38" s="335" t="s">
        <v>26</v>
      </c>
      <c r="C38" s="335" t="s">
        <v>27</v>
      </c>
      <c r="D38" s="335" t="s">
        <v>77</v>
      </c>
      <c r="E38" s="336" t="s">
        <v>78</v>
      </c>
      <c r="F38" s="336" t="s">
        <v>35</v>
      </c>
      <c r="G38" s="337">
        <v>0.17</v>
      </c>
      <c r="H38" s="338">
        <v>0.1</v>
      </c>
      <c r="I38" s="339">
        <v>3424.53</v>
      </c>
      <c r="J38" s="340">
        <v>640.38711000000001</v>
      </c>
      <c r="K38" s="335" t="s">
        <v>126</v>
      </c>
      <c r="L38" s="335">
        <v>1</v>
      </c>
      <c r="M38" s="335" t="s">
        <v>127</v>
      </c>
      <c r="N38" s="339">
        <v>15</v>
      </c>
      <c r="O38" s="341">
        <v>0.17</v>
      </c>
      <c r="P38" s="341">
        <v>780</v>
      </c>
      <c r="Q38" s="341">
        <v>132.6</v>
      </c>
      <c r="R38" s="342">
        <v>4.0199999999999996</v>
      </c>
      <c r="S38" s="342" t="s">
        <v>106</v>
      </c>
    </row>
    <row r="39" spans="1:19" ht="15" customHeight="1" x14ac:dyDescent="0.3">
      <c r="A39" s="335" t="s">
        <v>121</v>
      </c>
      <c r="B39" s="335" t="s">
        <v>26</v>
      </c>
      <c r="C39" s="335" t="s">
        <v>27</v>
      </c>
      <c r="D39" s="335" t="s">
        <v>81</v>
      </c>
      <c r="E39" s="336" t="s">
        <v>82</v>
      </c>
      <c r="F39" s="336" t="s">
        <v>83</v>
      </c>
      <c r="G39" s="337">
        <v>1.7999999999999999E-2</v>
      </c>
      <c r="H39" s="338">
        <v>0.1</v>
      </c>
      <c r="I39" s="339">
        <v>32399.77</v>
      </c>
      <c r="J39" s="340">
        <v>641.515446</v>
      </c>
      <c r="K39" s="335" t="s">
        <v>126</v>
      </c>
      <c r="L39" s="335">
        <v>2</v>
      </c>
      <c r="M39" s="335" t="s">
        <v>128</v>
      </c>
      <c r="N39" s="339">
        <v>15</v>
      </c>
      <c r="O39" s="341">
        <v>1.7999999999999999E-2</v>
      </c>
      <c r="P39" s="341">
        <v>780</v>
      </c>
      <c r="Q39" s="341">
        <v>14.04</v>
      </c>
      <c r="R39" s="342">
        <v>4.0199999999999996</v>
      </c>
      <c r="S39" s="342" t="s">
        <v>106</v>
      </c>
    </row>
    <row r="40" spans="1:19" ht="15" customHeight="1" x14ac:dyDescent="0.3">
      <c r="A40" s="335" t="s">
        <v>121</v>
      </c>
      <c r="B40" s="335" t="s">
        <v>26</v>
      </c>
      <c r="C40" s="335" t="s">
        <v>27</v>
      </c>
      <c r="D40" s="335" t="s">
        <v>85</v>
      </c>
      <c r="E40" s="336" t="s">
        <v>86</v>
      </c>
      <c r="F40" s="336" t="s">
        <v>87</v>
      </c>
      <c r="G40" s="337">
        <v>7.4999999999999997E-2</v>
      </c>
      <c r="H40" s="338">
        <v>0.1</v>
      </c>
      <c r="I40" s="339">
        <v>7809.48</v>
      </c>
      <c r="J40" s="340">
        <v>644.28210000000001</v>
      </c>
      <c r="K40" s="335" t="s">
        <v>126</v>
      </c>
      <c r="L40" s="335">
        <v>3</v>
      </c>
      <c r="M40" s="335" t="s">
        <v>129</v>
      </c>
      <c r="N40" s="339">
        <v>15</v>
      </c>
      <c r="O40" s="341">
        <v>7.4999999999999997E-2</v>
      </c>
      <c r="P40" s="341">
        <v>780</v>
      </c>
      <c r="Q40" s="341">
        <v>58.5</v>
      </c>
      <c r="R40" s="342">
        <v>4.0199999999999996</v>
      </c>
      <c r="S40" s="342" t="s">
        <v>106</v>
      </c>
    </row>
    <row r="41" spans="1:19" ht="15" customHeight="1" x14ac:dyDescent="0.3">
      <c r="A41" s="335" t="s">
        <v>121</v>
      </c>
      <c r="B41" s="335" t="s">
        <v>26</v>
      </c>
      <c r="C41" s="335" t="s">
        <v>27</v>
      </c>
      <c r="D41" s="335" t="s">
        <v>89</v>
      </c>
      <c r="E41" s="336" t="s">
        <v>90</v>
      </c>
      <c r="F41" s="336" t="s">
        <v>91</v>
      </c>
      <c r="G41" s="337">
        <v>0.15</v>
      </c>
      <c r="H41" s="338">
        <v>0.1</v>
      </c>
      <c r="I41" s="339">
        <v>3837.96</v>
      </c>
      <c r="J41" s="340">
        <v>633.26340000000005</v>
      </c>
      <c r="K41" s="335" t="s">
        <v>126</v>
      </c>
      <c r="L41" s="335">
        <v>4</v>
      </c>
      <c r="M41" s="335" t="s">
        <v>130</v>
      </c>
      <c r="N41" s="339">
        <v>15</v>
      </c>
      <c r="O41" s="341">
        <v>0.15</v>
      </c>
      <c r="P41" s="341">
        <v>780</v>
      </c>
      <c r="Q41" s="341">
        <v>117</v>
      </c>
      <c r="R41" s="342">
        <v>4.0199999999999996</v>
      </c>
      <c r="S41" s="342" t="s">
        <v>106</v>
      </c>
    </row>
    <row r="42" spans="1:19" ht="15" customHeight="1" x14ac:dyDescent="0.3">
      <c r="A42" s="335" t="s">
        <v>121</v>
      </c>
      <c r="B42" s="335" t="s">
        <v>26</v>
      </c>
      <c r="C42" s="335" t="s">
        <v>27</v>
      </c>
      <c r="D42" s="335" t="s">
        <v>131</v>
      </c>
      <c r="E42" s="336" t="s">
        <v>132</v>
      </c>
      <c r="F42" s="336" t="s">
        <v>35</v>
      </c>
      <c r="G42" s="337">
        <v>15</v>
      </c>
      <c r="H42" s="338">
        <v>0.05</v>
      </c>
      <c r="I42" s="339">
        <v>365.4</v>
      </c>
      <c r="J42" s="340">
        <v>5755.05</v>
      </c>
      <c r="K42" s="335" t="s">
        <v>126</v>
      </c>
      <c r="L42" s="335">
        <v>5</v>
      </c>
      <c r="M42" s="335" t="s">
        <v>133</v>
      </c>
      <c r="N42" s="339">
        <v>15</v>
      </c>
      <c r="O42" s="341">
        <v>15</v>
      </c>
      <c r="P42" s="341">
        <v>780</v>
      </c>
      <c r="Q42" s="341">
        <v>11700</v>
      </c>
      <c r="R42" s="342">
        <v>4.0199999999999996</v>
      </c>
      <c r="S42" s="342" t="s">
        <v>106</v>
      </c>
    </row>
    <row r="43" spans="1:19" ht="15" customHeight="1" x14ac:dyDescent="0.3">
      <c r="A43" s="335" t="s">
        <v>121</v>
      </c>
      <c r="B43" s="335" t="s">
        <v>26</v>
      </c>
      <c r="C43" s="335" t="s">
        <v>27</v>
      </c>
      <c r="D43" s="335" t="s">
        <v>96</v>
      </c>
      <c r="E43" s="336" t="s">
        <v>97</v>
      </c>
      <c r="F43" s="336" t="s">
        <v>98</v>
      </c>
      <c r="G43" s="337">
        <v>85.639329976799999</v>
      </c>
      <c r="H43" s="338">
        <v>0</v>
      </c>
      <c r="I43" s="339">
        <v>1</v>
      </c>
      <c r="J43" s="340">
        <v>85.639329976799999</v>
      </c>
      <c r="K43" s="335" t="s">
        <v>126</v>
      </c>
      <c r="L43" s="335">
        <v>6</v>
      </c>
      <c r="M43" s="335" t="s">
        <v>134</v>
      </c>
      <c r="N43" s="339">
        <v>15</v>
      </c>
      <c r="O43" s="341">
        <v>85.639329976799999</v>
      </c>
      <c r="P43" s="341">
        <v>780</v>
      </c>
      <c r="Q43" s="341">
        <v>66798.677381903995</v>
      </c>
      <c r="R43" s="342">
        <v>4.0199999999999996</v>
      </c>
      <c r="S43" s="342" t="s">
        <v>106</v>
      </c>
    </row>
    <row r="44" spans="1:19" ht="15" customHeight="1" x14ac:dyDescent="0.3">
      <c r="A44" s="335" t="s">
        <v>121</v>
      </c>
      <c r="B44" s="335" t="s">
        <v>56</v>
      </c>
      <c r="C44" s="335" t="s">
        <v>57</v>
      </c>
      <c r="D44" s="343" t="s">
        <v>58</v>
      </c>
      <c r="E44" s="336" t="s">
        <v>59</v>
      </c>
      <c r="F44" s="336" t="s">
        <v>60</v>
      </c>
      <c r="G44" s="337">
        <v>1</v>
      </c>
      <c r="H44" s="338">
        <v>0</v>
      </c>
      <c r="I44" s="339">
        <v>60860.580776572002</v>
      </c>
      <c r="J44" s="340">
        <v>60860.580776572002</v>
      </c>
      <c r="K44" s="335" t="s">
        <v>135</v>
      </c>
      <c r="L44" s="335">
        <v>1</v>
      </c>
      <c r="M44" s="335" t="s">
        <v>136</v>
      </c>
      <c r="N44" s="339">
        <v>15</v>
      </c>
      <c r="O44" s="341">
        <v>6.6666666666666693E-2</v>
      </c>
      <c r="P44" s="341">
        <v>780</v>
      </c>
      <c r="Q44" s="341">
        <v>52</v>
      </c>
      <c r="R44" s="342">
        <v>4.0199999999999996</v>
      </c>
      <c r="S44" s="342" t="s">
        <v>106</v>
      </c>
    </row>
    <row r="45" spans="1:19" ht="15" customHeight="1" x14ac:dyDescent="0.3">
      <c r="A45" s="335" t="s">
        <v>121</v>
      </c>
      <c r="B45" s="335" t="s">
        <v>56</v>
      </c>
      <c r="C45" s="335" t="s">
        <v>57</v>
      </c>
      <c r="D45" s="343" t="s">
        <v>63</v>
      </c>
      <c r="E45" s="336" t="s">
        <v>64</v>
      </c>
      <c r="F45" s="336" t="s">
        <v>60</v>
      </c>
      <c r="G45" s="337">
        <v>1</v>
      </c>
      <c r="H45" s="338">
        <v>0</v>
      </c>
      <c r="I45" s="339">
        <v>85927.097156571996</v>
      </c>
      <c r="J45" s="340">
        <v>85927.097156571996</v>
      </c>
      <c r="K45" s="335" t="s">
        <v>135</v>
      </c>
      <c r="L45" s="335">
        <v>2</v>
      </c>
      <c r="M45" s="335" t="s">
        <v>137</v>
      </c>
      <c r="N45" s="339">
        <v>15</v>
      </c>
      <c r="O45" s="341">
        <v>6.6666666666666693E-2</v>
      </c>
      <c r="P45" s="341">
        <v>780</v>
      </c>
      <c r="Q45" s="341">
        <v>52</v>
      </c>
      <c r="R45" s="342">
        <v>4.0199999999999996</v>
      </c>
      <c r="S45" s="342" t="s">
        <v>106</v>
      </c>
    </row>
    <row r="46" spans="1:19" ht="15" customHeight="1" x14ac:dyDescent="0.3">
      <c r="A46" s="335" t="s">
        <v>138</v>
      </c>
      <c r="B46" s="335" t="s">
        <v>20</v>
      </c>
      <c r="C46" s="335"/>
      <c r="D46" s="335" t="s">
        <v>67</v>
      </c>
      <c r="E46" s="336" t="s">
        <v>68</v>
      </c>
      <c r="F46" s="336"/>
      <c r="G46" s="337">
        <v>0.5</v>
      </c>
      <c r="H46" s="338">
        <v>0</v>
      </c>
      <c r="I46" s="339">
        <v>571.17949098076099</v>
      </c>
      <c r="J46" s="340">
        <v>285.58974549038101</v>
      </c>
      <c r="K46" s="335" t="s">
        <v>139</v>
      </c>
      <c r="L46" s="335">
        <v>1</v>
      </c>
      <c r="M46" s="335" t="s">
        <v>140</v>
      </c>
      <c r="N46" s="339">
        <v>15</v>
      </c>
      <c r="O46" s="341">
        <v>0.5</v>
      </c>
      <c r="P46" s="341">
        <v>5</v>
      </c>
      <c r="Q46" s="341">
        <v>2.5</v>
      </c>
      <c r="R46" s="342">
        <v>4.0599999999999996</v>
      </c>
      <c r="S46" s="342" t="s">
        <v>106</v>
      </c>
    </row>
    <row r="47" spans="1:19" ht="15" customHeight="1" x14ac:dyDescent="0.3">
      <c r="A47" s="335" t="s">
        <v>138</v>
      </c>
      <c r="B47" s="335" t="s">
        <v>20</v>
      </c>
      <c r="C47" s="335"/>
      <c r="D47" s="335" t="s">
        <v>71</v>
      </c>
      <c r="E47" s="336" t="s">
        <v>72</v>
      </c>
      <c r="F47" s="336"/>
      <c r="G47" s="337">
        <v>1</v>
      </c>
      <c r="H47" s="338">
        <v>0</v>
      </c>
      <c r="I47" s="339">
        <v>2287.1357450968098</v>
      </c>
      <c r="J47" s="340">
        <v>2287.1357450968098</v>
      </c>
      <c r="K47" s="335" t="s">
        <v>139</v>
      </c>
      <c r="L47" s="335">
        <v>2</v>
      </c>
      <c r="M47" s="335" t="s">
        <v>141</v>
      </c>
      <c r="N47" s="339">
        <v>15</v>
      </c>
      <c r="O47" s="341">
        <v>1</v>
      </c>
      <c r="P47" s="341">
        <v>5</v>
      </c>
      <c r="Q47" s="341">
        <v>5</v>
      </c>
      <c r="R47" s="342">
        <v>4.0599999999999996</v>
      </c>
      <c r="S47" s="342" t="s">
        <v>106</v>
      </c>
    </row>
    <row r="48" spans="1:19" ht="15" customHeight="1" x14ac:dyDescent="0.3">
      <c r="A48" s="335" t="s">
        <v>138</v>
      </c>
      <c r="B48" s="335" t="s">
        <v>20</v>
      </c>
      <c r="C48" s="335"/>
      <c r="D48" s="335" t="s">
        <v>74</v>
      </c>
      <c r="E48" s="336" t="s">
        <v>75</v>
      </c>
      <c r="F48" s="336"/>
      <c r="G48" s="337">
        <v>1</v>
      </c>
      <c r="H48" s="338">
        <v>0</v>
      </c>
      <c r="I48" s="339">
        <v>957.25319614994703</v>
      </c>
      <c r="J48" s="340">
        <v>957.25319614994703</v>
      </c>
      <c r="K48" s="335" t="s">
        <v>139</v>
      </c>
      <c r="L48" s="335">
        <v>3</v>
      </c>
      <c r="M48" s="335" t="s">
        <v>142</v>
      </c>
      <c r="N48" s="339">
        <v>15</v>
      </c>
      <c r="O48" s="341">
        <v>1</v>
      </c>
      <c r="P48" s="341">
        <v>5</v>
      </c>
      <c r="Q48" s="341">
        <v>5</v>
      </c>
      <c r="R48" s="342">
        <v>4.0599999999999996</v>
      </c>
      <c r="S48" s="342" t="s">
        <v>106</v>
      </c>
    </row>
    <row r="49" spans="1:19" ht="15" customHeight="1" x14ac:dyDescent="0.3">
      <c r="A49" s="335" t="s">
        <v>138</v>
      </c>
      <c r="B49" s="335" t="s">
        <v>26</v>
      </c>
      <c r="C49" s="335" t="s">
        <v>27</v>
      </c>
      <c r="D49" s="335" t="s">
        <v>77</v>
      </c>
      <c r="E49" s="336" t="s">
        <v>78</v>
      </c>
      <c r="F49" s="336" t="s">
        <v>35</v>
      </c>
      <c r="G49" s="337">
        <v>0.17</v>
      </c>
      <c r="H49" s="338">
        <v>0.1</v>
      </c>
      <c r="I49" s="339">
        <v>3424.53</v>
      </c>
      <c r="J49" s="340">
        <v>640.38711000000001</v>
      </c>
      <c r="K49" s="335" t="s">
        <v>143</v>
      </c>
      <c r="L49" s="335">
        <v>1</v>
      </c>
      <c r="M49" s="335" t="s">
        <v>144</v>
      </c>
      <c r="N49" s="339">
        <v>15</v>
      </c>
      <c r="O49" s="341">
        <v>0.17</v>
      </c>
      <c r="P49" s="341">
        <v>5</v>
      </c>
      <c r="Q49" s="341">
        <v>0.85</v>
      </c>
      <c r="R49" s="342">
        <v>4.0599999999999996</v>
      </c>
      <c r="S49" s="342" t="s">
        <v>106</v>
      </c>
    </row>
    <row r="50" spans="1:19" ht="15" customHeight="1" x14ac:dyDescent="0.3">
      <c r="A50" s="335" t="s">
        <v>138</v>
      </c>
      <c r="B50" s="335" t="s">
        <v>26</v>
      </c>
      <c r="C50" s="335" t="s">
        <v>27</v>
      </c>
      <c r="D50" s="335" t="s">
        <v>81</v>
      </c>
      <c r="E50" s="336" t="s">
        <v>82</v>
      </c>
      <c r="F50" s="336" t="s">
        <v>83</v>
      </c>
      <c r="G50" s="337">
        <v>2.4E-2</v>
      </c>
      <c r="H50" s="338">
        <v>0.1</v>
      </c>
      <c r="I50" s="339">
        <v>32399.77</v>
      </c>
      <c r="J50" s="340">
        <v>855.353928</v>
      </c>
      <c r="K50" s="335" t="s">
        <v>143</v>
      </c>
      <c r="L50" s="335">
        <v>2</v>
      </c>
      <c r="M50" s="335" t="s">
        <v>145</v>
      </c>
      <c r="N50" s="339">
        <v>15</v>
      </c>
      <c r="O50" s="341">
        <v>2.4E-2</v>
      </c>
      <c r="P50" s="341">
        <v>5</v>
      </c>
      <c r="Q50" s="341">
        <v>0.12</v>
      </c>
      <c r="R50" s="342">
        <v>4.0599999999999996</v>
      </c>
      <c r="S50" s="342" t="s">
        <v>106</v>
      </c>
    </row>
    <row r="51" spans="1:19" ht="15" customHeight="1" x14ac:dyDescent="0.3">
      <c r="A51" s="335" t="s">
        <v>138</v>
      </c>
      <c r="B51" s="335" t="s">
        <v>26</v>
      </c>
      <c r="C51" s="335" t="s">
        <v>27</v>
      </c>
      <c r="D51" s="335" t="s">
        <v>85</v>
      </c>
      <c r="E51" s="336" t="s">
        <v>86</v>
      </c>
      <c r="F51" s="336" t="s">
        <v>87</v>
      </c>
      <c r="G51" s="337">
        <v>0.1</v>
      </c>
      <c r="H51" s="338">
        <v>0.1</v>
      </c>
      <c r="I51" s="339">
        <v>7809.48</v>
      </c>
      <c r="J51" s="340">
        <v>859.04280000000006</v>
      </c>
      <c r="K51" s="335" t="s">
        <v>143</v>
      </c>
      <c r="L51" s="335">
        <v>3</v>
      </c>
      <c r="M51" s="335" t="s">
        <v>146</v>
      </c>
      <c r="N51" s="339">
        <v>15</v>
      </c>
      <c r="O51" s="341">
        <v>0.1</v>
      </c>
      <c r="P51" s="341">
        <v>5</v>
      </c>
      <c r="Q51" s="341">
        <v>0.5</v>
      </c>
      <c r="R51" s="342">
        <v>4.0599999999999996</v>
      </c>
      <c r="S51" s="342" t="s">
        <v>106</v>
      </c>
    </row>
    <row r="52" spans="1:19" ht="15" customHeight="1" x14ac:dyDescent="0.3">
      <c r="A52" s="335" t="s">
        <v>138</v>
      </c>
      <c r="B52" s="335" t="s">
        <v>26</v>
      </c>
      <c r="C52" s="335" t="s">
        <v>27</v>
      </c>
      <c r="D52" s="335" t="s">
        <v>89</v>
      </c>
      <c r="E52" s="336" t="s">
        <v>90</v>
      </c>
      <c r="F52" s="336" t="s">
        <v>91</v>
      </c>
      <c r="G52" s="337">
        <v>0.2</v>
      </c>
      <c r="H52" s="338">
        <v>0.1</v>
      </c>
      <c r="I52" s="339">
        <v>3837.96</v>
      </c>
      <c r="J52" s="340">
        <v>844.35119999999995</v>
      </c>
      <c r="K52" s="335" t="s">
        <v>143</v>
      </c>
      <c r="L52" s="335">
        <v>4</v>
      </c>
      <c r="M52" s="335" t="s">
        <v>147</v>
      </c>
      <c r="N52" s="339">
        <v>15</v>
      </c>
      <c r="O52" s="341">
        <v>0.2</v>
      </c>
      <c r="P52" s="341">
        <v>5</v>
      </c>
      <c r="Q52" s="341">
        <v>1</v>
      </c>
      <c r="R52" s="342">
        <v>4.0599999999999996</v>
      </c>
      <c r="S52" s="342" t="s">
        <v>106</v>
      </c>
    </row>
    <row r="53" spans="1:19" ht="15" customHeight="1" x14ac:dyDescent="0.3">
      <c r="A53" s="335" t="s">
        <v>138</v>
      </c>
      <c r="B53" s="335" t="s">
        <v>26</v>
      </c>
      <c r="C53" s="335" t="s">
        <v>27</v>
      </c>
      <c r="D53" s="335" t="s">
        <v>148</v>
      </c>
      <c r="E53" s="336" t="s">
        <v>149</v>
      </c>
      <c r="F53" s="336" t="s">
        <v>35</v>
      </c>
      <c r="G53" s="337">
        <v>15</v>
      </c>
      <c r="H53" s="338">
        <v>0.05</v>
      </c>
      <c r="I53" s="339">
        <v>519.12</v>
      </c>
      <c r="J53" s="340">
        <v>8176.14</v>
      </c>
      <c r="K53" s="335" t="s">
        <v>143</v>
      </c>
      <c r="L53" s="335">
        <v>5</v>
      </c>
      <c r="M53" s="335" t="s">
        <v>150</v>
      </c>
      <c r="N53" s="339">
        <v>15</v>
      </c>
      <c r="O53" s="341">
        <v>15</v>
      </c>
      <c r="P53" s="341">
        <v>5</v>
      </c>
      <c r="Q53" s="341">
        <v>75</v>
      </c>
      <c r="R53" s="342">
        <v>4.0599999999999996</v>
      </c>
      <c r="S53" s="342" t="s">
        <v>106</v>
      </c>
    </row>
    <row r="54" spans="1:19" ht="15" customHeight="1" x14ac:dyDescent="0.3">
      <c r="A54" s="335" t="s">
        <v>138</v>
      </c>
      <c r="B54" s="335" t="s">
        <v>26</v>
      </c>
      <c r="C54" s="335" t="s">
        <v>27</v>
      </c>
      <c r="D54" s="335" t="s">
        <v>96</v>
      </c>
      <c r="E54" s="336" t="s">
        <v>97</v>
      </c>
      <c r="F54" s="336" t="s">
        <v>98</v>
      </c>
      <c r="G54" s="337">
        <v>117.1653328914</v>
      </c>
      <c r="H54" s="338">
        <v>0</v>
      </c>
      <c r="I54" s="339">
        <v>1</v>
      </c>
      <c r="J54" s="340">
        <v>117.1653328914</v>
      </c>
      <c r="K54" s="335" t="s">
        <v>143</v>
      </c>
      <c r="L54" s="335">
        <v>6</v>
      </c>
      <c r="M54" s="335" t="s">
        <v>151</v>
      </c>
      <c r="N54" s="339">
        <v>15</v>
      </c>
      <c r="O54" s="341">
        <v>117.1653328914</v>
      </c>
      <c r="P54" s="341">
        <v>5</v>
      </c>
      <c r="Q54" s="341">
        <v>585.82666445699999</v>
      </c>
      <c r="R54" s="342">
        <v>4.0599999999999996</v>
      </c>
      <c r="S54" s="342" t="s">
        <v>106</v>
      </c>
    </row>
    <row r="55" spans="1:19" ht="15" customHeight="1" x14ac:dyDescent="0.3">
      <c r="A55" s="335" t="s">
        <v>138</v>
      </c>
      <c r="B55" s="335" t="s">
        <v>56</v>
      </c>
      <c r="C55" s="335" t="s">
        <v>57</v>
      </c>
      <c r="D55" s="343" t="s">
        <v>58</v>
      </c>
      <c r="E55" s="336" t="s">
        <v>59</v>
      </c>
      <c r="F55" s="336" t="s">
        <v>60</v>
      </c>
      <c r="G55" s="337">
        <v>1</v>
      </c>
      <c r="H55" s="338">
        <v>0</v>
      </c>
      <c r="I55" s="339">
        <v>60860.580776572002</v>
      </c>
      <c r="J55" s="340">
        <v>60860.580776572002</v>
      </c>
      <c r="K55" s="335" t="s">
        <v>152</v>
      </c>
      <c r="L55" s="335">
        <v>1</v>
      </c>
      <c r="M55" s="335" t="s">
        <v>153</v>
      </c>
      <c r="N55" s="339">
        <v>15</v>
      </c>
      <c r="O55" s="341">
        <v>6.6666666666666693E-2</v>
      </c>
      <c r="P55" s="341">
        <v>5</v>
      </c>
      <c r="Q55" s="341">
        <v>0.33333333333333298</v>
      </c>
      <c r="R55" s="342">
        <v>4.0599999999999996</v>
      </c>
      <c r="S55" s="342" t="s">
        <v>106</v>
      </c>
    </row>
    <row r="56" spans="1:19" ht="15" customHeight="1" x14ac:dyDescent="0.3">
      <c r="A56" s="335" t="s">
        <v>138</v>
      </c>
      <c r="B56" s="335" t="s">
        <v>56</v>
      </c>
      <c r="C56" s="335" t="s">
        <v>57</v>
      </c>
      <c r="D56" s="343" t="s">
        <v>63</v>
      </c>
      <c r="E56" s="336" t="s">
        <v>64</v>
      </c>
      <c r="F56" s="336" t="s">
        <v>60</v>
      </c>
      <c r="G56" s="337">
        <v>1</v>
      </c>
      <c r="H56" s="338">
        <v>0</v>
      </c>
      <c r="I56" s="339">
        <v>85927.097156571996</v>
      </c>
      <c r="J56" s="340">
        <v>85927.097156571996</v>
      </c>
      <c r="K56" s="335" t="s">
        <v>152</v>
      </c>
      <c r="L56" s="335">
        <v>2</v>
      </c>
      <c r="M56" s="335" t="s">
        <v>154</v>
      </c>
      <c r="N56" s="339">
        <v>15</v>
      </c>
      <c r="O56" s="341">
        <v>6.6666666666666693E-2</v>
      </c>
      <c r="P56" s="341">
        <v>5</v>
      </c>
      <c r="Q56" s="341">
        <v>0.33333333333333298</v>
      </c>
      <c r="R56" s="342">
        <v>4.0599999999999996</v>
      </c>
      <c r="S56" s="342" t="s">
        <v>106</v>
      </c>
    </row>
    <row r="57" spans="1:19" ht="15" customHeight="1" x14ac:dyDescent="0.3">
      <c r="A57" s="335" t="s">
        <v>155</v>
      </c>
      <c r="B57" s="335" t="s">
        <v>20</v>
      </c>
      <c r="C57" s="335"/>
      <c r="D57" s="335" t="s">
        <v>67</v>
      </c>
      <c r="E57" s="336" t="s">
        <v>68</v>
      </c>
      <c r="F57" s="336"/>
      <c r="G57" s="337">
        <v>0.5</v>
      </c>
      <c r="H57" s="338">
        <v>0</v>
      </c>
      <c r="I57" s="339">
        <v>571.17949098076099</v>
      </c>
      <c r="J57" s="340">
        <v>285.58974549038101</v>
      </c>
      <c r="K57" s="335" t="s">
        <v>156</v>
      </c>
      <c r="L57" s="335">
        <v>1</v>
      </c>
      <c r="M57" s="335" t="s">
        <v>157</v>
      </c>
      <c r="N57" s="339">
        <v>4</v>
      </c>
      <c r="O57" s="341">
        <v>0.5</v>
      </c>
      <c r="P57" s="341" t="s">
        <v>25</v>
      </c>
      <c r="Q57" s="341">
        <v>0</v>
      </c>
      <c r="R57" s="342" t="s">
        <v>25</v>
      </c>
      <c r="S57" s="342" t="s">
        <v>25</v>
      </c>
    </row>
    <row r="58" spans="1:19" ht="15" customHeight="1" x14ac:dyDescent="0.3">
      <c r="A58" s="335" t="s">
        <v>155</v>
      </c>
      <c r="B58" s="335" t="s">
        <v>20</v>
      </c>
      <c r="C58" s="335"/>
      <c r="D58" s="335" t="s">
        <v>71</v>
      </c>
      <c r="E58" s="336" t="s">
        <v>72</v>
      </c>
      <c r="F58" s="336"/>
      <c r="G58" s="337">
        <v>1</v>
      </c>
      <c r="H58" s="338">
        <v>0</v>
      </c>
      <c r="I58" s="339">
        <v>2287.1357450968098</v>
      </c>
      <c r="J58" s="340">
        <v>2287.1357450968098</v>
      </c>
      <c r="K58" s="335" t="s">
        <v>156</v>
      </c>
      <c r="L58" s="335">
        <v>2</v>
      </c>
      <c r="M58" s="335" t="s">
        <v>158</v>
      </c>
      <c r="N58" s="339">
        <v>4</v>
      </c>
      <c r="O58" s="341">
        <v>1</v>
      </c>
      <c r="P58" s="341" t="s">
        <v>25</v>
      </c>
      <c r="Q58" s="341">
        <v>0</v>
      </c>
      <c r="R58" s="342" t="s">
        <v>25</v>
      </c>
      <c r="S58" s="342" t="s">
        <v>25</v>
      </c>
    </row>
    <row r="59" spans="1:19" ht="15" customHeight="1" x14ac:dyDescent="0.3">
      <c r="A59" s="335" t="s">
        <v>155</v>
      </c>
      <c r="B59" s="335" t="s">
        <v>20</v>
      </c>
      <c r="C59" s="335"/>
      <c r="D59" s="335" t="s">
        <v>74</v>
      </c>
      <c r="E59" s="336" t="s">
        <v>75</v>
      </c>
      <c r="F59" s="336"/>
      <c r="G59" s="337">
        <v>1</v>
      </c>
      <c r="H59" s="338">
        <v>0</v>
      </c>
      <c r="I59" s="339">
        <v>957.25319614994703</v>
      </c>
      <c r="J59" s="340">
        <v>957.25319614994703</v>
      </c>
      <c r="K59" s="335" t="s">
        <v>156</v>
      </c>
      <c r="L59" s="335">
        <v>3</v>
      </c>
      <c r="M59" s="335" t="s">
        <v>159</v>
      </c>
      <c r="N59" s="339">
        <v>4</v>
      </c>
      <c r="O59" s="341">
        <v>1</v>
      </c>
      <c r="P59" s="341" t="s">
        <v>25</v>
      </c>
      <c r="Q59" s="341">
        <v>0</v>
      </c>
      <c r="R59" s="342" t="s">
        <v>25</v>
      </c>
      <c r="S59" s="342" t="s">
        <v>25</v>
      </c>
    </row>
    <row r="60" spans="1:19" ht="15" customHeight="1" x14ac:dyDescent="0.3">
      <c r="A60" s="335" t="s">
        <v>155</v>
      </c>
      <c r="B60" s="335" t="s">
        <v>26</v>
      </c>
      <c r="C60" s="335" t="s">
        <v>27</v>
      </c>
      <c r="D60" s="335" t="s">
        <v>77</v>
      </c>
      <c r="E60" s="336" t="s">
        <v>78</v>
      </c>
      <c r="F60" s="336" t="s">
        <v>35</v>
      </c>
      <c r="G60" s="337">
        <v>0.34</v>
      </c>
      <c r="H60" s="338">
        <v>0.1</v>
      </c>
      <c r="I60" s="339">
        <v>3424.53</v>
      </c>
      <c r="J60" s="340">
        <v>1280.77422</v>
      </c>
      <c r="K60" s="335" t="s">
        <v>160</v>
      </c>
      <c r="L60" s="335">
        <v>1</v>
      </c>
      <c r="M60" s="335" t="s">
        <v>161</v>
      </c>
      <c r="N60" s="339">
        <v>4</v>
      </c>
      <c r="O60" s="341">
        <v>0.34</v>
      </c>
      <c r="P60" s="341" t="s">
        <v>25</v>
      </c>
      <c r="Q60" s="341">
        <v>0</v>
      </c>
      <c r="R60" s="342" t="s">
        <v>25</v>
      </c>
      <c r="S60" s="342" t="s">
        <v>25</v>
      </c>
    </row>
    <row r="61" spans="1:19" ht="15" customHeight="1" x14ac:dyDescent="0.3">
      <c r="A61" s="335" t="s">
        <v>155</v>
      </c>
      <c r="B61" s="335" t="s">
        <v>26</v>
      </c>
      <c r="C61" s="335" t="s">
        <v>27</v>
      </c>
      <c r="D61" s="335" t="s">
        <v>81</v>
      </c>
      <c r="E61" s="336" t="s">
        <v>82</v>
      </c>
      <c r="F61" s="336" t="s">
        <v>83</v>
      </c>
      <c r="G61" s="337">
        <v>5.2999999999999999E-2</v>
      </c>
      <c r="H61" s="338">
        <v>0.1</v>
      </c>
      <c r="I61" s="339">
        <v>32399.77</v>
      </c>
      <c r="J61" s="340">
        <v>1888.9065909999999</v>
      </c>
      <c r="K61" s="335" t="s">
        <v>160</v>
      </c>
      <c r="L61" s="335">
        <v>2</v>
      </c>
      <c r="M61" s="335" t="s">
        <v>162</v>
      </c>
      <c r="N61" s="339">
        <v>4</v>
      </c>
      <c r="O61" s="341">
        <v>5.2999999999999999E-2</v>
      </c>
      <c r="P61" s="341" t="s">
        <v>25</v>
      </c>
      <c r="Q61" s="341">
        <v>0</v>
      </c>
      <c r="R61" s="342" t="s">
        <v>25</v>
      </c>
      <c r="S61" s="342" t="s">
        <v>25</v>
      </c>
    </row>
    <row r="62" spans="1:19" ht="15" customHeight="1" x14ac:dyDescent="0.3">
      <c r="A62" s="335" t="s">
        <v>155</v>
      </c>
      <c r="B62" s="335" t="s">
        <v>26</v>
      </c>
      <c r="C62" s="335" t="s">
        <v>27</v>
      </c>
      <c r="D62" s="335" t="s">
        <v>85</v>
      </c>
      <c r="E62" s="336" t="s">
        <v>86</v>
      </c>
      <c r="F62" s="336" t="s">
        <v>87</v>
      </c>
      <c r="G62" s="337">
        <v>0.254</v>
      </c>
      <c r="H62" s="338">
        <v>0.1</v>
      </c>
      <c r="I62" s="339">
        <v>7809.48</v>
      </c>
      <c r="J62" s="340">
        <v>2181.9687119999999</v>
      </c>
      <c r="K62" s="335" t="s">
        <v>160</v>
      </c>
      <c r="L62" s="335">
        <v>3</v>
      </c>
      <c r="M62" s="335" t="s">
        <v>163</v>
      </c>
      <c r="N62" s="339">
        <v>4</v>
      </c>
      <c r="O62" s="341">
        <v>0.254</v>
      </c>
      <c r="P62" s="341" t="s">
        <v>25</v>
      </c>
      <c r="Q62" s="341">
        <v>0</v>
      </c>
      <c r="R62" s="342" t="s">
        <v>25</v>
      </c>
      <c r="S62" s="342" t="s">
        <v>25</v>
      </c>
    </row>
    <row r="63" spans="1:19" ht="15" customHeight="1" x14ac:dyDescent="0.3">
      <c r="A63" s="335" t="s">
        <v>155</v>
      </c>
      <c r="B63" s="335" t="s">
        <v>26</v>
      </c>
      <c r="C63" s="335" t="s">
        <v>27</v>
      </c>
      <c r="D63" s="335" t="s">
        <v>89</v>
      </c>
      <c r="E63" s="336" t="s">
        <v>90</v>
      </c>
      <c r="F63" s="336" t="s">
        <v>91</v>
      </c>
      <c r="G63" s="337">
        <v>0.4</v>
      </c>
      <c r="H63" s="338">
        <v>0.1</v>
      </c>
      <c r="I63" s="339">
        <v>3837.96</v>
      </c>
      <c r="J63" s="340">
        <v>1688.7023999999999</v>
      </c>
      <c r="K63" s="335" t="s">
        <v>160</v>
      </c>
      <c r="L63" s="335">
        <v>4</v>
      </c>
      <c r="M63" s="335" t="s">
        <v>164</v>
      </c>
      <c r="N63" s="339">
        <v>4</v>
      </c>
      <c r="O63" s="341">
        <v>0.4</v>
      </c>
      <c r="P63" s="341" t="s">
        <v>25</v>
      </c>
      <c r="Q63" s="341">
        <v>0</v>
      </c>
      <c r="R63" s="342" t="s">
        <v>25</v>
      </c>
      <c r="S63" s="342" t="s">
        <v>25</v>
      </c>
    </row>
    <row r="64" spans="1:19" ht="15" customHeight="1" x14ac:dyDescent="0.3">
      <c r="A64" s="335" t="s">
        <v>155</v>
      </c>
      <c r="B64" s="335" t="s">
        <v>26</v>
      </c>
      <c r="C64" s="335" t="s">
        <v>27</v>
      </c>
      <c r="D64" s="335" t="s">
        <v>165</v>
      </c>
      <c r="E64" s="336" t="s">
        <v>166</v>
      </c>
      <c r="F64" s="336" t="s">
        <v>167</v>
      </c>
      <c r="G64" s="337">
        <v>0.1</v>
      </c>
      <c r="H64" s="338">
        <v>0.05</v>
      </c>
      <c r="I64" s="339">
        <v>1256.1279999999999</v>
      </c>
      <c r="J64" s="340">
        <v>131.89344</v>
      </c>
      <c r="K64" s="335" t="s">
        <v>160</v>
      </c>
      <c r="L64" s="335">
        <v>5</v>
      </c>
      <c r="M64" s="335" t="s">
        <v>168</v>
      </c>
      <c r="N64" s="339">
        <v>4</v>
      </c>
      <c r="O64" s="341">
        <v>0.1</v>
      </c>
      <c r="P64" s="341" t="s">
        <v>25</v>
      </c>
      <c r="Q64" s="341">
        <v>0</v>
      </c>
      <c r="R64" s="342" t="s">
        <v>25</v>
      </c>
      <c r="S64" s="342" t="s">
        <v>25</v>
      </c>
    </row>
    <row r="65" spans="1:19" ht="15" customHeight="1" x14ac:dyDescent="0.3">
      <c r="A65" s="335" t="s">
        <v>155</v>
      </c>
      <c r="B65" s="335" t="s">
        <v>26</v>
      </c>
      <c r="C65" s="335" t="s">
        <v>27</v>
      </c>
      <c r="D65" s="335" t="s">
        <v>114</v>
      </c>
      <c r="E65" s="336" t="s">
        <v>115</v>
      </c>
      <c r="F65" s="336" t="s">
        <v>35</v>
      </c>
      <c r="G65" s="337">
        <v>15</v>
      </c>
      <c r="H65" s="338">
        <v>0.05</v>
      </c>
      <c r="I65" s="339">
        <v>292.32</v>
      </c>
      <c r="J65" s="340">
        <v>4604.04</v>
      </c>
      <c r="K65" s="335" t="s">
        <v>160</v>
      </c>
      <c r="L65" s="335">
        <v>6</v>
      </c>
      <c r="M65" s="335" t="s">
        <v>169</v>
      </c>
      <c r="N65" s="339">
        <v>4</v>
      </c>
      <c r="O65" s="341">
        <v>15</v>
      </c>
      <c r="P65" s="341" t="s">
        <v>25</v>
      </c>
      <c r="Q65" s="341">
        <v>0</v>
      </c>
      <c r="R65" s="342" t="s">
        <v>25</v>
      </c>
      <c r="S65" s="342" t="s">
        <v>25</v>
      </c>
    </row>
    <row r="66" spans="1:19" ht="15" customHeight="1" x14ac:dyDescent="0.3">
      <c r="A66" s="335" t="s">
        <v>155</v>
      </c>
      <c r="B66" s="335" t="s">
        <v>26</v>
      </c>
      <c r="C66" s="335" t="s">
        <v>27</v>
      </c>
      <c r="D66" s="335" t="s">
        <v>170</v>
      </c>
      <c r="E66" s="336" t="s">
        <v>171</v>
      </c>
      <c r="F66" s="336" t="s">
        <v>35</v>
      </c>
      <c r="G66" s="337">
        <v>60</v>
      </c>
      <c r="H66" s="338">
        <v>0.05</v>
      </c>
      <c r="I66" s="339">
        <v>233.44</v>
      </c>
      <c r="J66" s="340">
        <v>14706.72</v>
      </c>
      <c r="K66" s="335" t="s">
        <v>160</v>
      </c>
      <c r="L66" s="335">
        <v>7</v>
      </c>
      <c r="M66" s="335" t="s">
        <v>172</v>
      </c>
      <c r="N66" s="339">
        <v>4</v>
      </c>
      <c r="O66" s="341">
        <v>60</v>
      </c>
      <c r="P66" s="341" t="s">
        <v>25</v>
      </c>
      <c r="Q66" s="341">
        <v>0</v>
      </c>
      <c r="R66" s="342" t="s">
        <v>25</v>
      </c>
      <c r="S66" s="342" t="s">
        <v>25</v>
      </c>
    </row>
    <row r="67" spans="1:19" ht="15" customHeight="1" x14ac:dyDescent="0.3">
      <c r="A67" s="335" t="s">
        <v>155</v>
      </c>
      <c r="B67" s="335" t="s">
        <v>26</v>
      </c>
      <c r="C67" s="335" t="s">
        <v>27</v>
      </c>
      <c r="D67" s="335" t="s">
        <v>96</v>
      </c>
      <c r="E67" s="336" t="s">
        <v>97</v>
      </c>
      <c r="F67" s="336" t="s">
        <v>98</v>
      </c>
      <c r="G67" s="337">
        <v>285.29000000000002</v>
      </c>
      <c r="H67" s="338">
        <v>0</v>
      </c>
      <c r="I67" s="339">
        <v>1</v>
      </c>
      <c r="J67" s="340">
        <v>285.29000000000002</v>
      </c>
      <c r="K67" s="335" t="s">
        <v>160</v>
      </c>
      <c r="L67" s="335">
        <v>8</v>
      </c>
      <c r="M67" s="335" t="s">
        <v>173</v>
      </c>
      <c r="N67" s="339">
        <v>4</v>
      </c>
      <c r="O67" s="341">
        <v>285.29000000000002</v>
      </c>
      <c r="P67" s="341" t="s">
        <v>25</v>
      </c>
      <c r="Q67" s="341">
        <v>0</v>
      </c>
      <c r="R67" s="342" t="s">
        <v>25</v>
      </c>
      <c r="S67" s="342" t="s">
        <v>25</v>
      </c>
    </row>
    <row r="68" spans="1:19" ht="15" customHeight="1" x14ac:dyDescent="0.3">
      <c r="A68" s="335" t="s">
        <v>155</v>
      </c>
      <c r="B68" s="335" t="s">
        <v>26</v>
      </c>
      <c r="C68" s="335" t="s">
        <v>27</v>
      </c>
      <c r="D68" s="335" t="s">
        <v>28</v>
      </c>
      <c r="E68" s="336" t="s">
        <v>29</v>
      </c>
      <c r="F68" s="336" t="s">
        <v>30</v>
      </c>
      <c r="G68" s="337">
        <v>5.0000000000000001E-3</v>
      </c>
      <c r="H68" s="338">
        <v>0.05</v>
      </c>
      <c r="I68" s="339">
        <v>26907.33</v>
      </c>
      <c r="J68" s="340">
        <v>141.26348250000001</v>
      </c>
      <c r="K68" s="335" t="s">
        <v>160</v>
      </c>
      <c r="L68" s="335">
        <v>9</v>
      </c>
      <c r="M68" s="335" t="s">
        <v>174</v>
      </c>
      <c r="N68" s="339">
        <v>4</v>
      </c>
      <c r="O68" s="341">
        <v>5.0000000000000001E-3</v>
      </c>
      <c r="P68" s="341" t="s">
        <v>25</v>
      </c>
      <c r="Q68" s="341">
        <v>0</v>
      </c>
      <c r="R68" s="342" t="s">
        <v>25</v>
      </c>
      <c r="S68" s="342" t="s">
        <v>25</v>
      </c>
    </row>
    <row r="69" spans="1:19" ht="15" customHeight="1" x14ac:dyDescent="0.3">
      <c r="A69" s="335" t="s">
        <v>155</v>
      </c>
      <c r="B69" s="335" t="s">
        <v>26</v>
      </c>
      <c r="C69" s="335" t="s">
        <v>27</v>
      </c>
      <c r="D69" s="335" t="s">
        <v>37</v>
      </c>
      <c r="E69" s="336" t="s">
        <v>38</v>
      </c>
      <c r="F69" s="336" t="s">
        <v>35</v>
      </c>
      <c r="G69" s="337">
        <v>0.01</v>
      </c>
      <c r="H69" s="338">
        <v>0.05</v>
      </c>
      <c r="I69" s="339">
        <v>6678.36</v>
      </c>
      <c r="J69" s="340">
        <v>70.122780000000006</v>
      </c>
      <c r="K69" s="335" t="s">
        <v>160</v>
      </c>
      <c r="L69" s="335">
        <v>10</v>
      </c>
      <c r="M69" s="335" t="s">
        <v>175</v>
      </c>
      <c r="N69" s="339">
        <v>4</v>
      </c>
      <c r="O69" s="341">
        <v>0.01</v>
      </c>
      <c r="P69" s="341" t="s">
        <v>25</v>
      </c>
      <c r="Q69" s="341">
        <v>0</v>
      </c>
      <c r="R69" s="342" t="s">
        <v>25</v>
      </c>
      <c r="S69" s="342" t="s">
        <v>25</v>
      </c>
    </row>
    <row r="70" spans="1:19" ht="15" customHeight="1" x14ac:dyDescent="0.3">
      <c r="A70" s="335" t="s">
        <v>155</v>
      </c>
      <c r="B70" s="335" t="s">
        <v>26</v>
      </c>
      <c r="C70" s="335" t="s">
        <v>27</v>
      </c>
      <c r="D70" s="335" t="s">
        <v>50</v>
      </c>
      <c r="E70" s="336" t="s">
        <v>51</v>
      </c>
      <c r="F70" s="336" t="s">
        <v>30</v>
      </c>
      <c r="G70" s="337">
        <v>2.7777777777777801E-2</v>
      </c>
      <c r="H70" s="338">
        <v>0.1</v>
      </c>
      <c r="I70" s="339">
        <v>32845.78</v>
      </c>
      <c r="J70" s="340">
        <v>1003.62105555556</v>
      </c>
      <c r="K70" s="335" t="s">
        <v>160</v>
      </c>
      <c r="L70" s="335">
        <v>11</v>
      </c>
      <c r="M70" s="335" t="s">
        <v>176</v>
      </c>
      <c r="N70" s="339">
        <v>4</v>
      </c>
      <c r="O70" s="341">
        <v>2.7777777777777801E-2</v>
      </c>
      <c r="P70" s="341" t="s">
        <v>25</v>
      </c>
      <c r="Q70" s="341">
        <v>0</v>
      </c>
      <c r="R70" s="342" t="s">
        <v>25</v>
      </c>
      <c r="S70" s="342" t="s">
        <v>25</v>
      </c>
    </row>
    <row r="71" spans="1:19" ht="15" customHeight="1" x14ac:dyDescent="0.3">
      <c r="A71" s="335" t="s">
        <v>155</v>
      </c>
      <c r="B71" s="335" t="s">
        <v>56</v>
      </c>
      <c r="C71" s="335" t="s">
        <v>57</v>
      </c>
      <c r="D71" s="343" t="s">
        <v>58</v>
      </c>
      <c r="E71" s="336" t="s">
        <v>59</v>
      </c>
      <c r="F71" s="336" t="s">
        <v>60</v>
      </c>
      <c r="G71" s="337">
        <v>0.91</v>
      </c>
      <c r="H71" s="338">
        <v>0</v>
      </c>
      <c r="I71" s="339">
        <v>60860.580776572002</v>
      </c>
      <c r="J71" s="340">
        <v>55383.128506680499</v>
      </c>
      <c r="K71" s="335" t="s">
        <v>177</v>
      </c>
      <c r="L71" s="335">
        <v>1</v>
      </c>
      <c r="M71" s="335" t="s">
        <v>178</v>
      </c>
      <c r="N71" s="339">
        <v>4</v>
      </c>
      <c r="O71" s="341">
        <v>0.22750000000000001</v>
      </c>
      <c r="P71" s="341" t="s">
        <v>25</v>
      </c>
      <c r="Q71" s="341">
        <v>0</v>
      </c>
      <c r="R71" s="342" t="s">
        <v>25</v>
      </c>
      <c r="S71" s="342" t="s">
        <v>25</v>
      </c>
    </row>
    <row r="72" spans="1:19" ht="15" customHeight="1" x14ac:dyDescent="0.3">
      <c r="A72" s="335" t="s">
        <v>155</v>
      </c>
      <c r="B72" s="335" t="s">
        <v>56</v>
      </c>
      <c r="C72" s="335" t="s">
        <v>57</v>
      </c>
      <c r="D72" s="343" t="s">
        <v>63</v>
      </c>
      <c r="E72" s="336" t="s">
        <v>64</v>
      </c>
      <c r="F72" s="336" t="s">
        <v>60</v>
      </c>
      <c r="G72" s="337">
        <v>1</v>
      </c>
      <c r="H72" s="338">
        <v>0</v>
      </c>
      <c r="I72" s="339">
        <v>85927.097156571996</v>
      </c>
      <c r="J72" s="340">
        <v>85927.097156571996</v>
      </c>
      <c r="K72" s="335" t="s">
        <v>177</v>
      </c>
      <c r="L72" s="335">
        <v>2</v>
      </c>
      <c r="M72" s="335" t="s">
        <v>179</v>
      </c>
      <c r="N72" s="339">
        <v>4</v>
      </c>
      <c r="O72" s="341">
        <v>0.25</v>
      </c>
      <c r="P72" s="341" t="s">
        <v>25</v>
      </c>
      <c r="Q72" s="341">
        <v>0</v>
      </c>
      <c r="R72" s="342" t="s">
        <v>25</v>
      </c>
      <c r="S72" s="342" t="s">
        <v>25</v>
      </c>
    </row>
    <row r="73" spans="1:19" ht="15" customHeight="1" x14ac:dyDescent="0.3">
      <c r="A73" s="335" t="s">
        <v>180</v>
      </c>
      <c r="B73" s="335" t="s">
        <v>20</v>
      </c>
      <c r="C73" s="335"/>
      <c r="D73" s="335" t="s">
        <v>67</v>
      </c>
      <c r="E73" s="336" t="s">
        <v>68</v>
      </c>
      <c r="F73" s="336"/>
      <c r="G73" s="337">
        <v>0.5</v>
      </c>
      <c r="H73" s="338">
        <v>0</v>
      </c>
      <c r="I73" s="339">
        <v>571.17949098076099</v>
      </c>
      <c r="J73" s="340">
        <v>285.58974549038101</v>
      </c>
      <c r="K73" s="335" t="s">
        <v>181</v>
      </c>
      <c r="L73" s="335">
        <v>1</v>
      </c>
      <c r="M73" s="335" t="s">
        <v>182</v>
      </c>
      <c r="N73" s="339">
        <v>15</v>
      </c>
      <c r="O73" s="341">
        <v>0.5</v>
      </c>
      <c r="P73" s="341">
        <v>42</v>
      </c>
      <c r="Q73" s="341">
        <v>21</v>
      </c>
      <c r="R73" s="342">
        <v>4.04</v>
      </c>
      <c r="S73" s="342" t="s">
        <v>106</v>
      </c>
    </row>
    <row r="74" spans="1:19" ht="15" customHeight="1" x14ac:dyDescent="0.3">
      <c r="A74" s="335" t="s">
        <v>180</v>
      </c>
      <c r="B74" s="335" t="s">
        <v>20</v>
      </c>
      <c r="C74" s="335"/>
      <c r="D74" s="335" t="s">
        <v>71</v>
      </c>
      <c r="E74" s="336" t="s">
        <v>72</v>
      </c>
      <c r="F74" s="336"/>
      <c r="G74" s="337">
        <v>1</v>
      </c>
      <c r="H74" s="338">
        <v>0</v>
      </c>
      <c r="I74" s="339">
        <v>2287.1357450968098</v>
      </c>
      <c r="J74" s="340">
        <v>2287.1357450968098</v>
      </c>
      <c r="K74" s="335" t="s">
        <v>181</v>
      </c>
      <c r="L74" s="335">
        <v>2</v>
      </c>
      <c r="M74" s="335" t="s">
        <v>183</v>
      </c>
      <c r="N74" s="339">
        <v>15</v>
      </c>
      <c r="O74" s="341">
        <v>1</v>
      </c>
      <c r="P74" s="341">
        <v>42</v>
      </c>
      <c r="Q74" s="341">
        <v>42</v>
      </c>
      <c r="R74" s="342">
        <v>4.04</v>
      </c>
      <c r="S74" s="342" t="s">
        <v>106</v>
      </c>
    </row>
    <row r="75" spans="1:19" ht="15" customHeight="1" x14ac:dyDescent="0.3">
      <c r="A75" s="335" t="s">
        <v>180</v>
      </c>
      <c r="B75" s="335" t="s">
        <v>20</v>
      </c>
      <c r="C75" s="335"/>
      <c r="D75" s="335" t="s">
        <v>74</v>
      </c>
      <c r="E75" s="336" t="s">
        <v>75</v>
      </c>
      <c r="F75" s="336"/>
      <c r="G75" s="337">
        <v>1</v>
      </c>
      <c r="H75" s="338">
        <v>0</v>
      </c>
      <c r="I75" s="339">
        <v>957.25319614994703</v>
      </c>
      <c r="J75" s="340">
        <v>957.25319614994703</v>
      </c>
      <c r="K75" s="335" t="s">
        <v>181</v>
      </c>
      <c r="L75" s="335">
        <v>3</v>
      </c>
      <c r="M75" s="335" t="s">
        <v>184</v>
      </c>
      <c r="N75" s="339">
        <v>15</v>
      </c>
      <c r="O75" s="341">
        <v>1</v>
      </c>
      <c r="P75" s="341">
        <v>42</v>
      </c>
      <c r="Q75" s="341">
        <v>42</v>
      </c>
      <c r="R75" s="342">
        <v>4.04</v>
      </c>
      <c r="S75" s="342" t="s">
        <v>106</v>
      </c>
    </row>
    <row r="76" spans="1:19" ht="15" customHeight="1" x14ac:dyDescent="0.3">
      <c r="A76" s="335" t="s">
        <v>180</v>
      </c>
      <c r="B76" s="335" t="s">
        <v>26</v>
      </c>
      <c r="C76" s="335" t="s">
        <v>27</v>
      </c>
      <c r="D76" s="335" t="s">
        <v>77</v>
      </c>
      <c r="E76" s="336" t="s">
        <v>78</v>
      </c>
      <c r="F76" s="336" t="s">
        <v>35</v>
      </c>
      <c r="G76" s="337">
        <v>0.17</v>
      </c>
      <c r="H76" s="338">
        <v>0.1</v>
      </c>
      <c r="I76" s="339">
        <v>3424.53</v>
      </c>
      <c r="J76" s="340">
        <v>640.38711000000001</v>
      </c>
      <c r="K76" s="335" t="s">
        <v>185</v>
      </c>
      <c r="L76" s="335">
        <v>1</v>
      </c>
      <c r="M76" s="335" t="s">
        <v>186</v>
      </c>
      <c r="N76" s="339">
        <v>15</v>
      </c>
      <c r="O76" s="341">
        <v>0.17</v>
      </c>
      <c r="P76" s="341">
        <v>42</v>
      </c>
      <c r="Q76" s="341">
        <v>7.14</v>
      </c>
      <c r="R76" s="342">
        <v>4.04</v>
      </c>
      <c r="S76" s="342" t="s">
        <v>106</v>
      </c>
    </row>
    <row r="77" spans="1:19" ht="15" customHeight="1" x14ac:dyDescent="0.3">
      <c r="A77" s="335" t="s">
        <v>180</v>
      </c>
      <c r="B77" s="335" t="s">
        <v>26</v>
      </c>
      <c r="C77" s="335" t="s">
        <v>27</v>
      </c>
      <c r="D77" s="335" t="s">
        <v>81</v>
      </c>
      <c r="E77" s="336" t="s">
        <v>82</v>
      </c>
      <c r="F77" s="336" t="s">
        <v>83</v>
      </c>
      <c r="G77" s="337">
        <v>1.7999999999999999E-2</v>
      </c>
      <c r="H77" s="338">
        <v>0.1</v>
      </c>
      <c r="I77" s="339">
        <v>32399.77</v>
      </c>
      <c r="J77" s="340">
        <v>641.515446</v>
      </c>
      <c r="K77" s="335" t="s">
        <v>185</v>
      </c>
      <c r="L77" s="335">
        <v>2</v>
      </c>
      <c r="M77" s="335" t="s">
        <v>187</v>
      </c>
      <c r="N77" s="339">
        <v>15</v>
      </c>
      <c r="O77" s="341">
        <v>1.7999999999999999E-2</v>
      </c>
      <c r="P77" s="341">
        <v>42</v>
      </c>
      <c r="Q77" s="341">
        <v>0.75600000000000001</v>
      </c>
      <c r="R77" s="342">
        <v>4.04</v>
      </c>
      <c r="S77" s="342" t="s">
        <v>106</v>
      </c>
    </row>
    <row r="78" spans="1:19" ht="15" customHeight="1" x14ac:dyDescent="0.3">
      <c r="A78" s="335" t="s">
        <v>180</v>
      </c>
      <c r="B78" s="335" t="s">
        <v>26</v>
      </c>
      <c r="C78" s="335" t="s">
        <v>27</v>
      </c>
      <c r="D78" s="335" t="s">
        <v>85</v>
      </c>
      <c r="E78" s="336" t="s">
        <v>86</v>
      </c>
      <c r="F78" s="336" t="s">
        <v>87</v>
      </c>
      <c r="G78" s="337">
        <v>7.4999999999999997E-2</v>
      </c>
      <c r="H78" s="338">
        <v>0.1</v>
      </c>
      <c r="I78" s="339">
        <v>7809.48</v>
      </c>
      <c r="J78" s="340">
        <v>644.28210000000001</v>
      </c>
      <c r="K78" s="335" t="s">
        <v>185</v>
      </c>
      <c r="L78" s="335">
        <v>3</v>
      </c>
      <c r="M78" s="335" t="s">
        <v>188</v>
      </c>
      <c r="N78" s="339">
        <v>15</v>
      </c>
      <c r="O78" s="341">
        <v>7.4999999999999997E-2</v>
      </c>
      <c r="P78" s="341">
        <v>42</v>
      </c>
      <c r="Q78" s="341">
        <v>3.15</v>
      </c>
      <c r="R78" s="342">
        <v>4.04</v>
      </c>
      <c r="S78" s="342" t="s">
        <v>106</v>
      </c>
    </row>
    <row r="79" spans="1:19" ht="15" customHeight="1" x14ac:dyDescent="0.3">
      <c r="A79" s="335" t="s">
        <v>180</v>
      </c>
      <c r="B79" s="335" t="s">
        <v>26</v>
      </c>
      <c r="C79" s="335" t="s">
        <v>27</v>
      </c>
      <c r="D79" s="335" t="s">
        <v>89</v>
      </c>
      <c r="E79" s="336" t="s">
        <v>90</v>
      </c>
      <c r="F79" s="336" t="s">
        <v>91</v>
      </c>
      <c r="G79" s="337">
        <v>0.15</v>
      </c>
      <c r="H79" s="338">
        <v>0.1</v>
      </c>
      <c r="I79" s="339">
        <v>3837.96</v>
      </c>
      <c r="J79" s="340">
        <v>633.26340000000005</v>
      </c>
      <c r="K79" s="335" t="s">
        <v>185</v>
      </c>
      <c r="L79" s="335">
        <v>4</v>
      </c>
      <c r="M79" s="335" t="s">
        <v>189</v>
      </c>
      <c r="N79" s="339">
        <v>15</v>
      </c>
      <c r="O79" s="341">
        <v>0.15</v>
      </c>
      <c r="P79" s="341">
        <v>42</v>
      </c>
      <c r="Q79" s="341">
        <v>6.3</v>
      </c>
      <c r="R79" s="342">
        <v>4.04</v>
      </c>
      <c r="S79" s="342" t="s">
        <v>106</v>
      </c>
    </row>
    <row r="80" spans="1:19" ht="15" customHeight="1" x14ac:dyDescent="0.3">
      <c r="A80" s="335" t="s">
        <v>180</v>
      </c>
      <c r="B80" s="335" t="s">
        <v>26</v>
      </c>
      <c r="C80" s="335" t="s">
        <v>27</v>
      </c>
      <c r="D80" s="335" t="s">
        <v>190</v>
      </c>
      <c r="E80" s="336" t="s">
        <v>191</v>
      </c>
      <c r="F80" s="336" t="s">
        <v>35</v>
      </c>
      <c r="G80" s="337">
        <v>15</v>
      </c>
      <c r="H80" s="338">
        <v>0.05</v>
      </c>
      <c r="I80" s="339">
        <v>563.22</v>
      </c>
      <c r="J80" s="340">
        <v>8870.7150000000001</v>
      </c>
      <c r="K80" s="335" t="s">
        <v>185</v>
      </c>
      <c r="L80" s="335">
        <v>5</v>
      </c>
      <c r="M80" s="335" t="s">
        <v>192</v>
      </c>
      <c r="N80" s="339">
        <v>15</v>
      </c>
      <c r="O80" s="341">
        <v>15</v>
      </c>
      <c r="P80" s="341">
        <v>42</v>
      </c>
      <c r="Q80" s="341">
        <v>630</v>
      </c>
      <c r="R80" s="342">
        <v>4.04</v>
      </c>
      <c r="S80" s="342" t="s">
        <v>106</v>
      </c>
    </row>
    <row r="81" spans="1:19" ht="15" customHeight="1" x14ac:dyDescent="0.3">
      <c r="A81" s="335" t="s">
        <v>180</v>
      </c>
      <c r="B81" s="335" t="s">
        <v>26</v>
      </c>
      <c r="C81" s="335" t="s">
        <v>27</v>
      </c>
      <c r="D81" s="335" t="s">
        <v>96</v>
      </c>
      <c r="E81" s="336" t="s">
        <v>97</v>
      </c>
      <c r="F81" s="336" t="s">
        <v>98</v>
      </c>
      <c r="G81" s="337">
        <v>117.73067947680001</v>
      </c>
      <c r="H81" s="338">
        <v>0</v>
      </c>
      <c r="I81" s="339">
        <v>1</v>
      </c>
      <c r="J81" s="340">
        <v>117.73067947680001</v>
      </c>
      <c r="K81" s="335" t="s">
        <v>185</v>
      </c>
      <c r="L81" s="335">
        <v>6</v>
      </c>
      <c r="M81" s="335" t="s">
        <v>193</v>
      </c>
      <c r="N81" s="339">
        <v>15</v>
      </c>
      <c r="O81" s="341">
        <v>117.73067947680001</v>
      </c>
      <c r="P81" s="341">
        <v>42</v>
      </c>
      <c r="Q81" s="341">
        <v>4944.6885380255999</v>
      </c>
      <c r="R81" s="342">
        <v>4.04</v>
      </c>
      <c r="S81" s="342" t="s">
        <v>106</v>
      </c>
    </row>
    <row r="82" spans="1:19" ht="15" customHeight="1" x14ac:dyDescent="0.3">
      <c r="A82" s="335" t="s">
        <v>180</v>
      </c>
      <c r="B82" s="335" t="s">
        <v>56</v>
      </c>
      <c r="C82" s="335" t="s">
        <v>57</v>
      </c>
      <c r="D82" s="343" t="s">
        <v>58</v>
      </c>
      <c r="E82" s="336" t="s">
        <v>59</v>
      </c>
      <c r="F82" s="336" t="s">
        <v>60</v>
      </c>
      <c r="G82" s="337">
        <v>1</v>
      </c>
      <c r="H82" s="338">
        <v>0</v>
      </c>
      <c r="I82" s="339">
        <v>60860.580776572002</v>
      </c>
      <c r="J82" s="340">
        <v>60860.580776572002</v>
      </c>
      <c r="K82" s="335" t="s">
        <v>194</v>
      </c>
      <c r="L82" s="335">
        <v>1</v>
      </c>
      <c r="M82" s="335" t="s">
        <v>195</v>
      </c>
      <c r="N82" s="339">
        <v>15</v>
      </c>
      <c r="O82" s="341">
        <v>6.6666666666666693E-2</v>
      </c>
      <c r="P82" s="341">
        <v>42</v>
      </c>
      <c r="Q82" s="341">
        <v>2.8</v>
      </c>
      <c r="R82" s="342">
        <v>4.04</v>
      </c>
      <c r="S82" s="342" t="s">
        <v>106</v>
      </c>
    </row>
    <row r="83" spans="1:19" ht="15" customHeight="1" x14ac:dyDescent="0.3">
      <c r="A83" s="335" t="s">
        <v>180</v>
      </c>
      <c r="B83" s="335" t="s">
        <v>56</v>
      </c>
      <c r="C83" s="335" t="s">
        <v>57</v>
      </c>
      <c r="D83" s="343" t="s">
        <v>63</v>
      </c>
      <c r="E83" s="336" t="s">
        <v>64</v>
      </c>
      <c r="F83" s="336" t="s">
        <v>60</v>
      </c>
      <c r="G83" s="337">
        <v>1</v>
      </c>
      <c r="H83" s="338">
        <v>0</v>
      </c>
      <c r="I83" s="339">
        <v>85927.097156571996</v>
      </c>
      <c r="J83" s="340">
        <v>85927.097156571996</v>
      </c>
      <c r="K83" s="335" t="s">
        <v>194</v>
      </c>
      <c r="L83" s="335">
        <v>2</v>
      </c>
      <c r="M83" s="335" t="s">
        <v>196</v>
      </c>
      <c r="N83" s="339">
        <v>15</v>
      </c>
      <c r="O83" s="341">
        <v>6.6666666666666693E-2</v>
      </c>
      <c r="P83" s="341">
        <v>42</v>
      </c>
      <c r="Q83" s="341">
        <v>2.8</v>
      </c>
      <c r="R83" s="342">
        <v>4.04</v>
      </c>
      <c r="S83" s="342" t="s">
        <v>106</v>
      </c>
    </row>
    <row r="84" spans="1:19" ht="15" customHeight="1" x14ac:dyDescent="0.3">
      <c r="A84" s="335" t="s">
        <v>197</v>
      </c>
      <c r="B84" s="335" t="s">
        <v>20</v>
      </c>
      <c r="C84" s="335"/>
      <c r="D84" s="335" t="s">
        <v>71</v>
      </c>
      <c r="E84" s="336" t="s">
        <v>72</v>
      </c>
      <c r="F84" s="336"/>
      <c r="G84" s="337">
        <v>0.25</v>
      </c>
      <c r="H84" s="338">
        <v>0</v>
      </c>
      <c r="I84" s="339">
        <v>2287.1357450968098</v>
      </c>
      <c r="J84" s="340">
        <v>571.78393627420098</v>
      </c>
      <c r="K84" s="335" t="s">
        <v>198</v>
      </c>
      <c r="L84" s="335">
        <v>1</v>
      </c>
      <c r="M84" s="335" t="s">
        <v>199</v>
      </c>
      <c r="N84" s="339">
        <v>2</v>
      </c>
      <c r="O84" s="341">
        <v>0.25</v>
      </c>
      <c r="P84" s="341" t="s">
        <v>25</v>
      </c>
      <c r="Q84" s="341">
        <v>0</v>
      </c>
      <c r="R84" s="342" t="s">
        <v>25</v>
      </c>
      <c r="S84" s="342" t="s">
        <v>25</v>
      </c>
    </row>
    <row r="85" spans="1:19" ht="15" customHeight="1" x14ac:dyDescent="0.3">
      <c r="A85" s="335" t="s">
        <v>197</v>
      </c>
      <c r="B85" s="335" t="s">
        <v>20</v>
      </c>
      <c r="C85" s="335"/>
      <c r="D85" s="335" t="s">
        <v>74</v>
      </c>
      <c r="E85" s="336" t="s">
        <v>75</v>
      </c>
      <c r="F85" s="336"/>
      <c r="G85" s="337">
        <v>0.25</v>
      </c>
      <c r="H85" s="338">
        <v>0</v>
      </c>
      <c r="I85" s="339">
        <v>957.25319614994703</v>
      </c>
      <c r="J85" s="340">
        <v>239.31329903748701</v>
      </c>
      <c r="K85" s="335" t="s">
        <v>198</v>
      </c>
      <c r="L85" s="335">
        <v>2</v>
      </c>
      <c r="M85" s="335" t="s">
        <v>200</v>
      </c>
      <c r="N85" s="339">
        <v>2</v>
      </c>
      <c r="O85" s="341">
        <v>0.25</v>
      </c>
      <c r="P85" s="341" t="s">
        <v>25</v>
      </c>
      <c r="Q85" s="341">
        <v>0</v>
      </c>
      <c r="R85" s="342" t="s">
        <v>25</v>
      </c>
      <c r="S85" s="342" t="s">
        <v>25</v>
      </c>
    </row>
    <row r="86" spans="1:19" ht="15" customHeight="1" x14ac:dyDescent="0.3">
      <c r="A86" s="335" t="s">
        <v>197</v>
      </c>
      <c r="B86" s="335" t="s">
        <v>26</v>
      </c>
      <c r="C86" s="335" t="s">
        <v>27</v>
      </c>
      <c r="D86" s="335" t="s">
        <v>81</v>
      </c>
      <c r="E86" s="336" t="s">
        <v>82</v>
      </c>
      <c r="F86" s="336" t="s">
        <v>83</v>
      </c>
      <c r="G86" s="337">
        <v>3.5999999999999997E-2</v>
      </c>
      <c r="H86" s="338">
        <v>0.1</v>
      </c>
      <c r="I86" s="339">
        <v>32399.77</v>
      </c>
      <c r="J86" s="340">
        <v>1283.030892</v>
      </c>
      <c r="K86" s="335" t="s">
        <v>201</v>
      </c>
      <c r="L86" s="335">
        <v>1</v>
      </c>
      <c r="M86" s="335" t="s">
        <v>202</v>
      </c>
      <c r="N86" s="339">
        <v>2</v>
      </c>
      <c r="O86" s="341">
        <v>3.5999999999999997E-2</v>
      </c>
      <c r="P86" s="341" t="s">
        <v>25</v>
      </c>
      <c r="Q86" s="341">
        <v>0</v>
      </c>
      <c r="R86" s="342" t="s">
        <v>25</v>
      </c>
      <c r="S86" s="342" t="s">
        <v>25</v>
      </c>
    </row>
    <row r="87" spans="1:19" ht="15" customHeight="1" x14ac:dyDescent="0.3">
      <c r="A87" s="335" t="s">
        <v>197</v>
      </c>
      <c r="B87" s="335" t="s">
        <v>26</v>
      </c>
      <c r="C87" s="335" t="s">
        <v>27</v>
      </c>
      <c r="D87" s="335" t="s">
        <v>85</v>
      </c>
      <c r="E87" s="336" t="s">
        <v>86</v>
      </c>
      <c r="F87" s="336" t="s">
        <v>87</v>
      </c>
      <c r="G87" s="337">
        <v>0.32400000000000001</v>
      </c>
      <c r="H87" s="338">
        <v>0.1</v>
      </c>
      <c r="I87" s="339">
        <v>7809.48</v>
      </c>
      <c r="J87" s="340">
        <v>2783.2986719999999</v>
      </c>
      <c r="K87" s="335" t="s">
        <v>201</v>
      </c>
      <c r="L87" s="335">
        <v>2</v>
      </c>
      <c r="M87" s="335" t="s">
        <v>203</v>
      </c>
      <c r="N87" s="339">
        <v>2</v>
      </c>
      <c r="O87" s="341">
        <v>0.32400000000000001</v>
      </c>
      <c r="P87" s="341" t="s">
        <v>25</v>
      </c>
      <c r="Q87" s="341">
        <v>0</v>
      </c>
      <c r="R87" s="342" t="s">
        <v>25</v>
      </c>
      <c r="S87" s="342" t="s">
        <v>25</v>
      </c>
    </row>
    <row r="88" spans="1:19" ht="15" customHeight="1" x14ac:dyDescent="0.3">
      <c r="A88" s="335" t="s">
        <v>197</v>
      </c>
      <c r="B88" s="335" t="s">
        <v>56</v>
      </c>
      <c r="C88" s="335" t="s">
        <v>57</v>
      </c>
      <c r="D88" s="343" t="s">
        <v>58</v>
      </c>
      <c r="E88" s="336" t="s">
        <v>59</v>
      </c>
      <c r="F88" s="336" t="s">
        <v>60</v>
      </c>
      <c r="G88" s="337">
        <v>0.75</v>
      </c>
      <c r="H88" s="338">
        <v>0</v>
      </c>
      <c r="I88" s="339">
        <v>60860.580776572002</v>
      </c>
      <c r="J88" s="340">
        <v>45645.435582429003</v>
      </c>
      <c r="K88" s="335" t="s">
        <v>204</v>
      </c>
      <c r="L88" s="335">
        <v>1</v>
      </c>
      <c r="M88" s="335" t="s">
        <v>205</v>
      </c>
      <c r="N88" s="339">
        <v>2</v>
      </c>
      <c r="O88" s="341">
        <v>0.375</v>
      </c>
      <c r="P88" s="341" t="s">
        <v>25</v>
      </c>
      <c r="Q88" s="341">
        <v>0</v>
      </c>
      <c r="R88" s="342" t="s">
        <v>25</v>
      </c>
      <c r="S88" s="342" t="s">
        <v>25</v>
      </c>
    </row>
    <row r="89" spans="1:19" ht="15" customHeight="1" x14ac:dyDescent="0.3">
      <c r="A89" s="335" t="s">
        <v>197</v>
      </c>
      <c r="B89" s="335" t="s">
        <v>56</v>
      </c>
      <c r="C89" s="335" t="s">
        <v>57</v>
      </c>
      <c r="D89" s="343" t="s">
        <v>63</v>
      </c>
      <c r="E89" s="336" t="s">
        <v>64</v>
      </c>
      <c r="F89" s="336" t="s">
        <v>60</v>
      </c>
      <c r="G89" s="337">
        <v>0.75</v>
      </c>
      <c r="H89" s="338">
        <v>0</v>
      </c>
      <c r="I89" s="339">
        <v>85927.097156571996</v>
      </c>
      <c r="J89" s="340">
        <v>64445.322867429</v>
      </c>
      <c r="K89" s="335" t="s">
        <v>204</v>
      </c>
      <c r="L89" s="335">
        <v>2</v>
      </c>
      <c r="M89" s="335" t="s">
        <v>206</v>
      </c>
      <c r="N89" s="339">
        <v>2</v>
      </c>
      <c r="O89" s="341">
        <v>0.375</v>
      </c>
      <c r="P89" s="341" t="s">
        <v>25</v>
      </c>
      <c r="Q89" s="341">
        <v>0</v>
      </c>
      <c r="R89" s="342" t="s">
        <v>25</v>
      </c>
      <c r="S89" s="342" t="s">
        <v>25</v>
      </c>
    </row>
    <row r="90" spans="1:19" ht="15" customHeight="1" x14ac:dyDescent="0.3">
      <c r="A90" s="335" t="s">
        <v>207</v>
      </c>
      <c r="B90" s="335" t="s">
        <v>20</v>
      </c>
      <c r="C90" s="335"/>
      <c r="D90" s="335" t="s">
        <v>71</v>
      </c>
      <c r="E90" s="336" t="s">
        <v>72</v>
      </c>
      <c r="F90" s="336"/>
      <c r="G90" s="337">
        <v>0.25</v>
      </c>
      <c r="H90" s="338">
        <v>0</v>
      </c>
      <c r="I90" s="339">
        <v>2287.1357450968098</v>
      </c>
      <c r="J90" s="340">
        <v>571.78393627420098</v>
      </c>
      <c r="K90" s="335" t="s">
        <v>208</v>
      </c>
      <c r="L90" s="335">
        <v>1</v>
      </c>
      <c r="M90" s="335" t="s">
        <v>209</v>
      </c>
      <c r="N90" s="339">
        <v>4</v>
      </c>
      <c r="O90" s="341">
        <v>0.25</v>
      </c>
      <c r="P90" s="341" t="s">
        <v>25</v>
      </c>
      <c r="Q90" s="341">
        <v>0</v>
      </c>
      <c r="R90" s="342" t="s">
        <v>25</v>
      </c>
      <c r="S90" s="342" t="s">
        <v>25</v>
      </c>
    </row>
    <row r="91" spans="1:19" ht="15" customHeight="1" x14ac:dyDescent="0.3">
      <c r="A91" s="335" t="s">
        <v>207</v>
      </c>
      <c r="B91" s="335" t="s">
        <v>20</v>
      </c>
      <c r="C91" s="335"/>
      <c r="D91" s="335" t="s">
        <v>74</v>
      </c>
      <c r="E91" s="336" t="s">
        <v>75</v>
      </c>
      <c r="F91" s="336"/>
      <c r="G91" s="337">
        <v>0.25</v>
      </c>
      <c r="H91" s="338">
        <v>0</v>
      </c>
      <c r="I91" s="339">
        <v>957.25319614994703</v>
      </c>
      <c r="J91" s="340">
        <v>239.31329903748701</v>
      </c>
      <c r="K91" s="335" t="s">
        <v>208</v>
      </c>
      <c r="L91" s="335">
        <v>2</v>
      </c>
      <c r="M91" s="335" t="s">
        <v>210</v>
      </c>
      <c r="N91" s="339">
        <v>4</v>
      </c>
      <c r="O91" s="341">
        <v>0.25</v>
      </c>
      <c r="P91" s="341" t="s">
        <v>25</v>
      </c>
      <c r="Q91" s="341">
        <v>0</v>
      </c>
      <c r="R91" s="342" t="s">
        <v>25</v>
      </c>
      <c r="S91" s="342" t="s">
        <v>25</v>
      </c>
    </row>
    <row r="92" spans="1:19" ht="15" customHeight="1" x14ac:dyDescent="0.3">
      <c r="A92" s="335" t="s">
        <v>207</v>
      </c>
      <c r="B92" s="335" t="s">
        <v>26</v>
      </c>
      <c r="C92" s="335" t="s">
        <v>27</v>
      </c>
      <c r="D92" s="335" t="s">
        <v>81</v>
      </c>
      <c r="E92" s="336" t="s">
        <v>82</v>
      </c>
      <c r="F92" s="336" t="s">
        <v>83</v>
      </c>
      <c r="G92" s="337">
        <v>1.38E-2</v>
      </c>
      <c r="H92" s="338">
        <v>0.05</v>
      </c>
      <c r="I92" s="339">
        <v>32399.77</v>
      </c>
      <c r="J92" s="340">
        <v>469.47266730000001</v>
      </c>
      <c r="K92" s="335" t="s">
        <v>211</v>
      </c>
      <c r="L92" s="335">
        <v>1</v>
      </c>
      <c r="M92" s="335" t="s">
        <v>212</v>
      </c>
      <c r="N92" s="339">
        <v>4</v>
      </c>
      <c r="O92" s="341">
        <v>1.38E-2</v>
      </c>
      <c r="P92" s="341" t="s">
        <v>25</v>
      </c>
      <c r="Q92" s="341">
        <v>0</v>
      </c>
      <c r="R92" s="342" t="s">
        <v>25</v>
      </c>
      <c r="S92" s="342" t="s">
        <v>25</v>
      </c>
    </row>
    <row r="93" spans="1:19" ht="15" customHeight="1" x14ac:dyDescent="0.3">
      <c r="A93" s="335" t="s">
        <v>207</v>
      </c>
      <c r="B93" s="335" t="s">
        <v>26</v>
      </c>
      <c r="C93" s="335" t="s">
        <v>27</v>
      </c>
      <c r="D93" s="335" t="s">
        <v>85</v>
      </c>
      <c r="E93" s="336" t="s">
        <v>86</v>
      </c>
      <c r="F93" s="336" t="s">
        <v>87</v>
      </c>
      <c r="G93" s="337">
        <v>0.1242</v>
      </c>
      <c r="H93" s="338">
        <v>0.05</v>
      </c>
      <c r="I93" s="339">
        <v>7809.48</v>
      </c>
      <c r="J93" s="340">
        <v>1018.4342868</v>
      </c>
      <c r="K93" s="335" t="s">
        <v>211</v>
      </c>
      <c r="L93" s="335">
        <v>2</v>
      </c>
      <c r="M93" s="335" t="s">
        <v>213</v>
      </c>
      <c r="N93" s="339">
        <v>4</v>
      </c>
      <c r="O93" s="341">
        <v>0.1242</v>
      </c>
      <c r="P93" s="341" t="s">
        <v>25</v>
      </c>
      <c r="Q93" s="341">
        <v>0</v>
      </c>
      <c r="R93" s="342" t="s">
        <v>25</v>
      </c>
      <c r="S93" s="342" t="s">
        <v>25</v>
      </c>
    </row>
    <row r="94" spans="1:19" ht="15" customHeight="1" x14ac:dyDescent="0.3">
      <c r="A94" s="335" t="s">
        <v>207</v>
      </c>
      <c r="B94" s="335" t="s">
        <v>56</v>
      </c>
      <c r="C94" s="335" t="s">
        <v>57</v>
      </c>
      <c r="D94" s="343" t="s">
        <v>58</v>
      </c>
      <c r="E94" s="336" t="s">
        <v>59</v>
      </c>
      <c r="F94" s="336" t="s">
        <v>60</v>
      </c>
      <c r="G94" s="337">
        <v>1</v>
      </c>
      <c r="H94" s="338">
        <v>0</v>
      </c>
      <c r="I94" s="339">
        <v>60860.580776572002</v>
      </c>
      <c r="J94" s="340">
        <v>60860.580776572002</v>
      </c>
      <c r="K94" s="335" t="s">
        <v>214</v>
      </c>
      <c r="L94" s="335">
        <v>1</v>
      </c>
      <c r="M94" s="335" t="s">
        <v>215</v>
      </c>
      <c r="N94" s="339">
        <v>4</v>
      </c>
      <c r="O94" s="341">
        <v>0.25</v>
      </c>
      <c r="P94" s="341" t="s">
        <v>25</v>
      </c>
      <c r="Q94" s="341">
        <v>0</v>
      </c>
      <c r="R94" s="342" t="s">
        <v>25</v>
      </c>
      <c r="S94" s="342" t="s">
        <v>25</v>
      </c>
    </row>
    <row r="95" spans="1:19" ht="15" customHeight="1" x14ac:dyDescent="0.3">
      <c r="A95" s="335" t="s">
        <v>207</v>
      </c>
      <c r="B95" s="335" t="s">
        <v>56</v>
      </c>
      <c r="C95" s="335" t="s">
        <v>57</v>
      </c>
      <c r="D95" s="343" t="s">
        <v>63</v>
      </c>
      <c r="E95" s="336" t="s">
        <v>64</v>
      </c>
      <c r="F95" s="336" t="s">
        <v>60</v>
      </c>
      <c r="G95" s="337">
        <v>1</v>
      </c>
      <c r="H95" s="338">
        <v>0</v>
      </c>
      <c r="I95" s="339">
        <v>85927.097156571996</v>
      </c>
      <c r="J95" s="340">
        <v>85927.097156571996</v>
      </c>
      <c r="K95" s="335" t="s">
        <v>214</v>
      </c>
      <c r="L95" s="335">
        <v>2</v>
      </c>
      <c r="M95" s="335" t="s">
        <v>216</v>
      </c>
      <c r="N95" s="339">
        <v>4</v>
      </c>
      <c r="O95" s="341">
        <v>0.25</v>
      </c>
      <c r="P95" s="341" t="s">
        <v>25</v>
      </c>
      <c r="Q95" s="341">
        <v>0</v>
      </c>
      <c r="R95" s="342" t="s">
        <v>25</v>
      </c>
      <c r="S95" s="342" t="s">
        <v>25</v>
      </c>
    </row>
    <row r="96" spans="1:19" ht="15" customHeight="1" x14ac:dyDescent="0.3">
      <c r="A96" s="335" t="s">
        <v>217</v>
      </c>
      <c r="B96" s="335" t="s">
        <v>20</v>
      </c>
      <c r="C96" s="335"/>
      <c r="D96" s="335" t="s">
        <v>71</v>
      </c>
      <c r="E96" s="336" t="s">
        <v>72</v>
      </c>
      <c r="F96" s="336"/>
      <c r="G96" s="337">
        <v>0.5</v>
      </c>
      <c r="H96" s="338">
        <v>0</v>
      </c>
      <c r="I96" s="339">
        <v>2287.1357450968098</v>
      </c>
      <c r="J96" s="340">
        <v>1143.5678725483999</v>
      </c>
      <c r="K96" s="335" t="s">
        <v>218</v>
      </c>
      <c r="L96" s="335">
        <v>1</v>
      </c>
      <c r="M96" s="335" t="s">
        <v>219</v>
      </c>
      <c r="N96" s="339">
        <v>5</v>
      </c>
      <c r="O96" s="341">
        <v>0.5</v>
      </c>
      <c r="P96" s="341" t="s">
        <v>25</v>
      </c>
      <c r="Q96" s="341">
        <v>0</v>
      </c>
      <c r="R96" s="342" t="s">
        <v>25</v>
      </c>
      <c r="S96" s="342" t="s">
        <v>25</v>
      </c>
    </row>
    <row r="97" spans="1:19" ht="15" customHeight="1" x14ac:dyDescent="0.3">
      <c r="A97" s="335" t="s">
        <v>217</v>
      </c>
      <c r="B97" s="335" t="s">
        <v>20</v>
      </c>
      <c r="C97" s="335"/>
      <c r="D97" s="335" t="s">
        <v>74</v>
      </c>
      <c r="E97" s="336" t="s">
        <v>75</v>
      </c>
      <c r="F97" s="336"/>
      <c r="G97" s="337">
        <v>0.25</v>
      </c>
      <c r="H97" s="338">
        <v>0</v>
      </c>
      <c r="I97" s="339">
        <v>957.25319614994703</v>
      </c>
      <c r="J97" s="340">
        <v>239.31329903748701</v>
      </c>
      <c r="K97" s="335" t="s">
        <v>218</v>
      </c>
      <c r="L97" s="335">
        <v>2</v>
      </c>
      <c r="M97" s="335" t="s">
        <v>220</v>
      </c>
      <c r="N97" s="339">
        <v>5</v>
      </c>
      <c r="O97" s="341">
        <v>0.25</v>
      </c>
      <c r="P97" s="341" t="s">
        <v>25</v>
      </c>
      <c r="Q97" s="341">
        <v>0</v>
      </c>
      <c r="R97" s="342" t="s">
        <v>25</v>
      </c>
      <c r="S97" s="342" t="s">
        <v>25</v>
      </c>
    </row>
    <row r="98" spans="1:19" ht="15" customHeight="1" x14ac:dyDescent="0.3">
      <c r="A98" s="335" t="s">
        <v>217</v>
      </c>
      <c r="B98" s="335" t="s">
        <v>26</v>
      </c>
      <c r="C98" s="335" t="s">
        <v>27</v>
      </c>
      <c r="D98" s="335" t="s">
        <v>81</v>
      </c>
      <c r="E98" s="336" t="s">
        <v>82</v>
      </c>
      <c r="F98" s="336" t="s">
        <v>83</v>
      </c>
      <c r="G98" s="337">
        <v>1.8E-3</v>
      </c>
      <c r="H98" s="338">
        <v>0.1</v>
      </c>
      <c r="I98" s="339">
        <v>32399.77</v>
      </c>
      <c r="J98" s="340">
        <v>64.151544599999994</v>
      </c>
      <c r="K98" s="335" t="s">
        <v>221</v>
      </c>
      <c r="L98" s="335">
        <v>1</v>
      </c>
      <c r="M98" s="335" t="s">
        <v>222</v>
      </c>
      <c r="N98" s="339">
        <v>5</v>
      </c>
      <c r="O98" s="341">
        <v>1.8E-3</v>
      </c>
      <c r="P98" s="341" t="s">
        <v>25</v>
      </c>
      <c r="Q98" s="341">
        <v>0</v>
      </c>
      <c r="R98" s="342" t="s">
        <v>25</v>
      </c>
      <c r="S98" s="342" t="s">
        <v>25</v>
      </c>
    </row>
    <row r="99" spans="1:19" ht="15" customHeight="1" x14ac:dyDescent="0.3">
      <c r="A99" s="335" t="s">
        <v>217</v>
      </c>
      <c r="B99" s="335" t="s">
        <v>26</v>
      </c>
      <c r="C99" s="335" t="s">
        <v>27</v>
      </c>
      <c r="D99" s="335" t="s">
        <v>85</v>
      </c>
      <c r="E99" s="336" t="s">
        <v>86</v>
      </c>
      <c r="F99" s="336" t="s">
        <v>87</v>
      </c>
      <c r="G99" s="337">
        <v>1.6199999999999999E-2</v>
      </c>
      <c r="H99" s="338">
        <v>0.1</v>
      </c>
      <c r="I99" s="339">
        <v>7809.48</v>
      </c>
      <c r="J99" s="340">
        <v>139.16493360000001</v>
      </c>
      <c r="K99" s="335" t="s">
        <v>221</v>
      </c>
      <c r="L99" s="335">
        <v>2</v>
      </c>
      <c r="M99" s="335" t="s">
        <v>223</v>
      </c>
      <c r="N99" s="339">
        <v>5</v>
      </c>
      <c r="O99" s="341">
        <v>1.6199999999999999E-2</v>
      </c>
      <c r="P99" s="341" t="s">
        <v>25</v>
      </c>
      <c r="Q99" s="341">
        <v>0</v>
      </c>
      <c r="R99" s="342" t="s">
        <v>25</v>
      </c>
      <c r="S99" s="342" t="s">
        <v>25</v>
      </c>
    </row>
    <row r="100" spans="1:19" ht="15" customHeight="1" x14ac:dyDescent="0.3">
      <c r="A100" s="335" t="s">
        <v>217</v>
      </c>
      <c r="B100" s="335" t="s">
        <v>26</v>
      </c>
      <c r="C100" s="335" t="s">
        <v>27</v>
      </c>
      <c r="D100" s="335" t="s">
        <v>96</v>
      </c>
      <c r="E100" s="336" t="s">
        <v>97</v>
      </c>
      <c r="F100" s="336" t="s">
        <v>98</v>
      </c>
      <c r="G100" s="337">
        <v>1.04707986</v>
      </c>
      <c r="H100" s="338">
        <v>0</v>
      </c>
      <c r="I100" s="339">
        <v>1</v>
      </c>
      <c r="J100" s="340">
        <v>1.04707986</v>
      </c>
      <c r="K100" s="335" t="s">
        <v>221</v>
      </c>
      <c r="L100" s="335">
        <v>3</v>
      </c>
      <c r="M100" s="335" t="s">
        <v>224</v>
      </c>
      <c r="N100" s="339">
        <v>5</v>
      </c>
      <c r="O100" s="341">
        <v>1.04707986</v>
      </c>
      <c r="P100" s="341" t="s">
        <v>25</v>
      </c>
      <c r="Q100" s="341">
        <v>0</v>
      </c>
      <c r="R100" s="342" t="s">
        <v>25</v>
      </c>
      <c r="S100" s="342" t="s">
        <v>25</v>
      </c>
    </row>
    <row r="101" spans="1:19" ht="15" customHeight="1" x14ac:dyDescent="0.3">
      <c r="A101" s="335" t="s">
        <v>217</v>
      </c>
      <c r="B101" s="335" t="s">
        <v>56</v>
      </c>
      <c r="C101" s="335" t="s">
        <v>57</v>
      </c>
      <c r="D101" s="343" t="s">
        <v>58</v>
      </c>
      <c r="E101" s="336" t="s">
        <v>59</v>
      </c>
      <c r="F101" s="336" t="s">
        <v>60</v>
      </c>
      <c r="G101" s="337">
        <v>1</v>
      </c>
      <c r="H101" s="338">
        <v>0</v>
      </c>
      <c r="I101" s="339">
        <v>60860.580776572002</v>
      </c>
      <c r="J101" s="340">
        <v>60860.580776572002</v>
      </c>
      <c r="K101" s="335" t="s">
        <v>225</v>
      </c>
      <c r="L101" s="335">
        <v>1</v>
      </c>
      <c r="M101" s="335" t="s">
        <v>226</v>
      </c>
      <c r="N101" s="339">
        <v>5</v>
      </c>
      <c r="O101" s="341">
        <v>0.2</v>
      </c>
      <c r="P101" s="341" t="s">
        <v>25</v>
      </c>
      <c r="Q101" s="341">
        <v>0</v>
      </c>
      <c r="R101" s="342" t="s">
        <v>25</v>
      </c>
      <c r="S101" s="342" t="s">
        <v>25</v>
      </c>
    </row>
    <row r="102" spans="1:19" ht="15" customHeight="1" x14ac:dyDescent="0.3">
      <c r="A102" s="335" t="s">
        <v>217</v>
      </c>
      <c r="B102" s="335" t="s">
        <v>56</v>
      </c>
      <c r="C102" s="335" t="s">
        <v>57</v>
      </c>
      <c r="D102" s="343" t="s">
        <v>63</v>
      </c>
      <c r="E102" s="336" t="s">
        <v>64</v>
      </c>
      <c r="F102" s="336" t="s">
        <v>60</v>
      </c>
      <c r="G102" s="337">
        <v>1</v>
      </c>
      <c r="H102" s="338">
        <v>0</v>
      </c>
      <c r="I102" s="339">
        <v>85927.097156571996</v>
      </c>
      <c r="J102" s="340">
        <v>85927.097156571996</v>
      </c>
      <c r="K102" s="335" t="s">
        <v>225</v>
      </c>
      <c r="L102" s="335">
        <v>2</v>
      </c>
      <c r="M102" s="335" t="s">
        <v>227</v>
      </c>
      <c r="N102" s="339">
        <v>5</v>
      </c>
      <c r="O102" s="341">
        <v>0.2</v>
      </c>
      <c r="P102" s="341" t="s">
        <v>25</v>
      </c>
      <c r="Q102" s="341">
        <v>0</v>
      </c>
      <c r="R102" s="342" t="s">
        <v>25</v>
      </c>
      <c r="S102" s="342" t="s">
        <v>25</v>
      </c>
    </row>
    <row r="103" spans="1:19" ht="15" customHeight="1" x14ac:dyDescent="0.3">
      <c r="A103" s="335" t="s">
        <v>228</v>
      </c>
      <c r="B103" s="335" t="s">
        <v>20</v>
      </c>
      <c r="C103" s="335"/>
      <c r="D103" s="335" t="s">
        <v>67</v>
      </c>
      <c r="E103" s="336" t="s">
        <v>68</v>
      </c>
      <c r="F103" s="336"/>
      <c r="G103" s="337">
        <v>0.5</v>
      </c>
      <c r="H103" s="338">
        <v>0</v>
      </c>
      <c r="I103" s="339">
        <v>571.17949098076099</v>
      </c>
      <c r="J103" s="340">
        <v>285.58974549038101</v>
      </c>
      <c r="K103" s="335" t="s">
        <v>229</v>
      </c>
      <c r="L103" s="335">
        <v>1</v>
      </c>
      <c r="M103" s="335" t="s">
        <v>230</v>
      </c>
      <c r="N103" s="339">
        <v>28</v>
      </c>
      <c r="O103" s="341">
        <v>0.5</v>
      </c>
      <c r="P103" s="341" t="s">
        <v>25</v>
      </c>
      <c r="Q103" s="341">
        <v>0</v>
      </c>
      <c r="R103" s="342" t="s">
        <v>25</v>
      </c>
      <c r="S103" s="342" t="s">
        <v>25</v>
      </c>
    </row>
    <row r="104" spans="1:19" ht="15" customHeight="1" x14ac:dyDescent="0.3">
      <c r="A104" s="335" t="s">
        <v>228</v>
      </c>
      <c r="B104" s="335" t="s">
        <v>20</v>
      </c>
      <c r="C104" s="335"/>
      <c r="D104" s="335" t="s">
        <v>71</v>
      </c>
      <c r="E104" s="336" t="s">
        <v>72</v>
      </c>
      <c r="F104" s="336"/>
      <c r="G104" s="337">
        <v>1</v>
      </c>
      <c r="H104" s="338">
        <v>0</v>
      </c>
      <c r="I104" s="339">
        <v>2287.1357450968098</v>
      </c>
      <c r="J104" s="340">
        <v>2287.1357450968098</v>
      </c>
      <c r="K104" s="335" t="s">
        <v>229</v>
      </c>
      <c r="L104" s="335">
        <v>2</v>
      </c>
      <c r="M104" s="335" t="s">
        <v>231</v>
      </c>
      <c r="N104" s="339">
        <v>28</v>
      </c>
      <c r="O104" s="341">
        <v>1</v>
      </c>
      <c r="P104" s="341" t="s">
        <v>25</v>
      </c>
      <c r="Q104" s="341">
        <v>0</v>
      </c>
      <c r="R104" s="342" t="s">
        <v>25</v>
      </c>
      <c r="S104" s="342" t="s">
        <v>25</v>
      </c>
    </row>
    <row r="105" spans="1:19" ht="15" customHeight="1" x14ac:dyDescent="0.3">
      <c r="A105" s="335" t="s">
        <v>228</v>
      </c>
      <c r="B105" s="335" t="s">
        <v>20</v>
      </c>
      <c r="C105" s="335"/>
      <c r="D105" s="335" t="s">
        <v>74</v>
      </c>
      <c r="E105" s="336" t="s">
        <v>75</v>
      </c>
      <c r="F105" s="336"/>
      <c r="G105" s="337">
        <v>1</v>
      </c>
      <c r="H105" s="338">
        <v>0</v>
      </c>
      <c r="I105" s="339">
        <v>957.25319614994703</v>
      </c>
      <c r="J105" s="340">
        <v>957.25319614994703</v>
      </c>
      <c r="K105" s="335" t="s">
        <v>229</v>
      </c>
      <c r="L105" s="335">
        <v>3</v>
      </c>
      <c r="M105" s="335" t="s">
        <v>232</v>
      </c>
      <c r="N105" s="339">
        <v>28</v>
      </c>
      <c r="O105" s="341">
        <v>1</v>
      </c>
      <c r="P105" s="341" t="s">
        <v>25</v>
      </c>
      <c r="Q105" s="341">
        <v>0</v>
      </c>
      <c r="R105" s="342" t="s">
        <v>25</v>
      </c>
      <c r="S105" s="342" t="s">
        <v>25</v>
      </c>
    </row>
    <row r="106" spans="1:19" ht="15" customHeight="1" x14ac:dyDescent="0.3">
      <c r="A106" s="335" t="s">
        <v>228</v>
      </c>
      <c r="B106" s="335" t="s">
        <v>26</v>
      </c>
      <c r="C106" s="335" t="s">
        <v>27</v>
      </c>
      <c r="D106" s="335" t="s">
        <v>81</v>
      </c>
      <c r="E106" s="336" t="s">
        <v>82</v>
      </c>
      <c r="F106" s="336" t="s">
        <v>83</v>
      </c>
      <c r="G106" s="337">
        <v>6.0000000000000001E-3</v>
      </c>
      <c r="H106" s="338">
        <v>0.1</v>
      </c>
      <c r="I106" s="339">
        <v>32399.77</v>
      </c>
      <c r="J106" s="340">
        <v>213.838482</v>
      </c>
      <c r="K106" s="335" t="s">
        <v>233</v>
      </c>
      <c r="L106" s="335">
        <v>1</v>
      </c>
      <c r="M106" s="335" t="s">
        <v>234</v>
      </c>
      <c r="N106" s="339">
        <v>28</v>
      </c>
      <c r="O106" s="341">
        <v>6.0000000000000001E-3</v>
      </c>
      <c r="P106" s="341" t="s">
        <v>25</v>
      </c>
      <c r="Q106" s="341">
        <v>0</v>
      </c>
      <c r="R106" s="342" t="s">
        <v>25</v>
      </c>
      <c r="S106" s="342" t="s">
        <v>25</v>
      </c>
    </row>
    <row r="107" spans="1:19" ht="15" customHeight="1" x14ac:dyDescent="0.3">
      <c r="A107" s="335" t="s">
        <v>228</v>
      </c>
      <c r="B107" s="335" t="s">
        <v>26</v>
      </c>
      <c r="C107" s="335" t="s">
        <v>27</v>
      </c>
      <c r="D107" s="335" t="s">
        <v>85</v>
      </c>
      <c r="E107" s="336" t="s">
        <v>86</v>
      </c>
      <c r="F107" s="336" t="s">
        <v>87</v>
      </c>
      <c r="G107" s="337">
        <v>5.3999999999999999E-2</v>
      </c>
      <c r="H107" s="338">
        <v>0.1</v>
      </c>
      <c r="I107" s="339">
        <v>7809.48</v>
      </c>
      <c r="J107" s="340">
        <v>463.88311199999998</v>
      </c>
      <c r="K107" s="335" t="s">
        <v>233</v>
      </c>
      <c r="L107" s="335">
        <v>2</v>
      </c>
      <c r="M107" s="335" t="s">
        <v>235</v>
      </c>
      <c r="N107" s="339">
        <v>28</v>
      </c>
      <c r="O107" s="341">
        <v>5.3999999999999999E-2</v>
      </c>
      <c r="P107" s="341" t="s">
        <v>25</v>
      </c>
      <c r="Q107" s="341">
        <v>0</v>
      </c>
      <c r="R107" s="342" t="s">
        <v>25</v>
      </c>
      <c r="S107" s="342" t="s">
        <v>25</v>
      </c>
    </row>
    <row r="108" spans="1:19" ht="15" customHeight="1" x14ac:dyDescent="0.3">
      <c r="A108" s="335" t="s">
        <v>228</v>
      </c>
      <c r="B108" s="335" t="s">
        <v>26</v>
      </c>
      <c r="C108" s="335" t="s">
        <v>27</v>
      </c>
      <c r="D108" s="335" t="s">
        <v>165</v>
      </c>
      <c r="E108" s="336" t="s">
        <v>166</v>
      </c>
      <c r="F108" s="336" t="s">
        <v>167</v>
      </c>
      <c r="G108" s="337">
        <v>0.1</v>
      </c>
      <c r="H108" s="338">
        <v>0.05</v>
      </c>
      <c r="I108" s="339">
        <v>1256.1279999999999</v>
      </c>
      <c r="J108" s="340">
        <v>131.89344</v>
      </c>
      <c r="K108" s="335" t="s">
        <v>233</v>
      </c>
      <c r="L108" s="335">
        <v>3</v>
      </c>
      <c r="M108" s="335" t="s">
        <v>236</v>
      </c>
      <c r="N108" s="339">
        <v>28</v>
      </c>
      <c r="O108" s="341">
        <v>0.1</v>
      </c>
      <c r="P108" s="341" t="s">
        <v>25</v>
      </c>
      <c r="Q108" s="341">
        <v>0</v>
      </c>
      <c r="R108" s="342" t="s">
        <v>25</v>
      </c>
      <c r="S108" s="342" t="s">
        <v>25</v>
      </c>
    </row>
    <row r="109" spans="1:19" ht="15" customHeight="1" x14ac:dyDescent="0.3">
      <c r="A109" s="335" t="s">
        <v>228</v>
      </c>
      <c r="B109" s="335" t="s">
        <v>56</v>
      </c>
      <c r="C109" s="335" t="s">
        <v>57</v>
      </c>
      <c r="D109" s="343" t="s">
        <v>58</v>
      </c>
      <c r="E109" s="336" t="s">
        <v>59</v>
      </c>
      <c r="F109" s="336" t="s">
        <v>60</v>
      </c>
      <c r="G109" s="337">
        <v>0.4</v>
      </c>
      <c r="H109" s="338">
        <v>0</v>
      </c>
      <c r="I109" s="339">
        <v>60860.580776572002</v>
      </c>
      <c r="J109" s="340">
        <v>24344.232310628799</v>
      </c>
      <c r="K109" s="335" t="s">
        <v>237</v>
      </c>
      <c r="L109" s="335">
        <v>1</v>
      </c>
      <c r="M109" s="335" t="s">
        <v>238</v>
      </c>
      <c r="N109" s="339">
        <v>28</v>
      </c>
      <c r="O109" s="341">
        <v>1.4285714285714299E-2</v>
      </c>
      <c r="P109" s="341" t="s">
        <v>25</v>
      </c>
      <c r="Q109" s="341">
        <v>0</v>
      </c>
      <c r="R109" s="342" t="s">
        <v>25</v>
      </c>
      <c r="S109" s="342" t="s">
        <v>25</v>
      </c>
    </row>
    <row r="110" spans="1:19" ht="15" customHeight="1" x14ac:dyDescent="0.3">
      <c r="A110" s="335" t="s">
        <v>228</v>
      </c>
      <c r="B110" s="335" t="s">
        <v>56</v>
      </c>
      <c r="C110" s="335" t="s">
        <v>57</v>
      </c>
      <c r="D110" s="343" t="s">
        <v>63</v>
      </c>
      <c r="E110" s="336" t="s">
        <v>64</v>
      </c>
      <c r="F110" s="336" t="s">
        <v>60</v>
      </c>
      <c r="G110" s="337">
        <v>1</v>
      </c>
      <c r="H110" s="338">
        <v>0</v>
      </c>
      <c r="I110" s="339">
        <v>85927.097156571996</v>
      </c>
      <c r="J110" s="340">
        <v>85927.097156571996</v>
      </c>
      <c r="K110" s="335" t="s">
        <v>237</v>
      </c>
      <c r="L110" s="335">
        <v>2</v>
      </c>
      <c r="M110" s="335" t="s">
        <v>239</v>
      </c>
      <c r="N110" s="339">
        <v>28</v>
      </c>
      <c r="O110" s="341">
        <v>3.5714285714285698E-2</v>
      </c>
      <c r="P110" s="341" t="s">
        <v>25</v>
      </c>
      <c r="Q110" s="341">
        <v>0</v>
      </c>
      <c r="R110" s="342" t="s">
        <v>25</v>
      </c>
      <c r="S110" s="342" t="s">
        <v>25</v>
      </c>
    </row>
    <row r="111" spans="1:19" ht="15" customHeight="1" x14ac:dyDescent="0.3">
      <c r="A111" s="335" t="s">
        <v>240</v>
      </c>
      <c r="B111" s="335" t="s">
        <v>20</v>
      </c>
      <c r="C111" s="335"/>
      <c r="D111" s="335" t="s">
        <v>67</v>
      </c>
      <c r="E111" s="336" t="s">
        <v>68</v>
      </c>
      <c r="F111" s="336"/>
      <c r="G111" s="337">
        <v>0.5</v>
      </c>
      <c r="H111" s="338">
        <v>0</v>
      </c>
      <c r="I111" s="339">
        <v>571.17949098076099</v>
      </c>
      <c r="J111" s="340">
        <v>285.58974549038101</v>
      </c>
      <c r="K111" s="335" t="s">
        <v>241</v>
      </c>
      <c r="L111" s="335">
        <v>1</v>
      </c>
      <c r="M111" s="335" t="s">
        <v>242</v>
      </c>
      <c r="N111" s="339">
        <v>6</v>
      </c>
      <c r="O111" s="341">
        <v>0.5</v>
      </c>
      <c r="P111" s="341" t="s">
        <v>25</v>
      </c>
      <c r="Q111" s="341">
        <v>0</v>
      </c>
      <c r="R111" s="342" t="s">
        <v>25</v>
      </c>
      <c r="S111" s="342" t="s">
        <v>25</v>
      </c>
    </row>
    <row r="112" spans="1:19" ht="15" customHeight="1" x14ac:dyDescent="0.3">
      <c r="A112" s="335" t="s">
        <v>240</v>
      </c>
      <c r="B112" s="335" t="s">
        <v>20</v>
      </c>
      <c r="C112" s="335"/>
      <c r="D112" s="335" t="s">
        <v>71</v>
      </c>
      <c r="E112" s="336" t="s">
        <v>72</v>
      </c>
      <c r="F112" s="336"/>
      <c r="G112" s="337">
        <v>1</v>
      </c>
      <c r="H112" s="338">
        <v>0</v>
      </c>
      <c r="I112" s="339">
        <v>2287.1357450968098</v>
      </c>
      <c r="J112" s="340">
        <v>2287.1357450968098</v>
      </c>
      <c r="K112" s="335" t="s">
        <v>241</v>
      </c>
      <c r="L112" s="335">
        <v>2</v>
      </c>
      <c r="M112" s="335" t="s">
        <v>243</v>
      </c>
      <c r="N112" s="339">
        <v>6</v>
      </c>
      <c r="O112" s="341">
        <v>1</v>
      </c>
      <c r="P112" s="341" t="s">
        <v>25</v>
      </c>
      <c r="Q112" s="341">
        <v>0</v>
      </c>
      <c r="R112" s="342" t="s">
        <v>25</v>
      </c>
      <c r="S112" s="342" t="s">
        <v>25</v>
      </c>
    </row>
    <row r="113" spans="1:19" ht="15" customHeight="1" x14ac:dyDescent="0.3">
      <c r="A113" s="335" t="s">
        <v>240</v>
      </c>
      <c r="B113" s="335" t="s">
        <v>20</v>
      </c>
      <c r="C113" s="335"/>
      <c r="D113" s="335" t="s">
        <v>74</v>
      </c>
      <c r="E113" s="336" t="s">
        <v>75</v>
      </c>
      <c r="F113" s="336"/>
      <c r="G113" s="337">
        <v>1</v>
      </c>
      <c r="H113" s="338">
        <v>0</v>
      </c>
      <c r="I113" s="339">
        <v>957.25319614994703</v>
      </c>
      <c r="J113" s="340">
        <v>957.25319614994703</v>
      </c>
      <c r="K113" s="335" t="s">
        <v>241</v>
      </c>
      <c r="L113" s="335">
        <v>3</v>
      </c>
      <c r="M113" s="335" t="s">
        <v>244</v>
      </c>
      <c r="N113" s="339">
        <v>6</v>
      </c>
      <c r="O113" s="341">
        <v>1</v>
      </c>
      <c r="P113" s="341" t="s">
        <v>25</v>
      </c>
      <c r="Q113" s="341">
        <v>0</v>
      </c>
      <c r="R113" s="342" t="s">
        <v>25</v>
      </c>
      <c r="S113" s="342" t="s">
        <v>25</v>
      </c>
    </row>
    <row r="114" spans="1:19" ht="15" customHeight="1" x14ac:dyDescent="0.3">
      <c r="A114" s="335" t="s">
        <v>240</v>
      </c>
      <c r="B114" s="335" t="s">
        <v>26</v>
      </c>
      <c r="C114" s="335" t="s">
        <v>27</v>
      </c>
      <c r="D114" s="335" t="s">
        <v>81</v>
      </c>
      <c r="E114" s="336" t="s">
        <v>82</v>
      </c>
      <c r="F114" s="336" t="s">
        <v>83</v>
      </c>
      <c r="G114" s="337">
        <v>2.7E-2</v>
      </c>
      <c r="H114" s="338">
        <v>0.1</v>
      </c>
      <c r="I114" s="339">
        <v>32399.77</v>
      </c>
      <c r="J114" s="340">
        <v>962.27316900000005</v>
      </c>
      <c r="K114" s="335" t="s">
        <v>245</v>
      </c>
      <c r="L114" s="335">
        <v>1</v>
      </c>
      <c r="M114" s="335" t="s">
        <v>246</v>
      </c>
      <c r="N114" s="339">
        <v>6</v>
      </c>
      <c r="O114" s="341">
        <v>2.7E-2</v>
      </c>
      <c r="P114" s="341" t="s">
        <v>25</v>
      </c>
      <c r="Q114" s="341">
        <v>0</v>
      </c>
      <c r="R114" s="342" t="s">
        <v>25</v>
      </c>
      <c r="S114" s="342" t="s">
        <v>25</v>
      </c>
    </row>
    <row r="115" spans="1:19" ht="15" customHeight="1" x14ac:dyDescent="0.3">
      <c r="A115" s="335" t="s">
        <v>240</v>
      </c>
      <c r="B115" s="335" t="s">
        <v>26</v>
      </c>
      <c r="C115" s="335" t="s">
        <v>27</v>
      </c>
      <c r="D115" s="335" t="s">
        <v>85</v>
      </c>
      <c r="E115" s="336" t="s">
        <v>86</v>
      </c>
      <c r="F115" s="336" t="s">
        <v>87</v>
      </c>
      <c r="G115" s="337">
        <v>4.5999999999999999E-2</v>
      </c>
      <c r="H115" s="338">
        <v>0.1</v>
      </c>
      <c r="I115" s="339">
        <v>7809.48</v>
      </c>
      <c r="J115" s="340">
        <v>395.15968800000002</v>
      </c>
      <c r="K115" s="335" t="s">
        <v>245</v>
      </c>
      <c r="L115" s="335">
        <v>2</v>
      </c>
      <c r="M115" s="335" t="s">
        <v>247</v>
      </c>
      <c r="N115" s="339">
        <v>6</v>
      </c>
      <c r="O115" s="341">
        <v>4.5999999999999999E-2</v>
      </c>
      <c r="P115" s="341" t="s">
        <v>25</v>
      </c>
      <c r="Q115" s="341">
        <v>0</v>
      </c>
      <c r="R115" s="342" t="s">
        <v>25</v>
      </c>
      <c r="S115" s="342" t="s">
        <v>25</v>
      </c>
    </row>
    <row r="116" spans="1:19" ht="15" customHeight="1" x14ac:dyDescent="0.3">
      <c r="A116" s="335" t="s">
        <v>240</v>
      </c>
      <c r="B116" s="335" t="s">
        <v>26</v>
      </c>
      <c r="C116" s="335" t="s">
        <v>27</v>
      </c>
      <c r="D116" s="335" t="s">
        <v>89</v>
      </c>
      <c r="E116" s="336" t="s">
        <v>90</v>
      </c>
      <c r="F116" s="336" t="s">
        <v>91</v>
      </c>
      <c r="G116" s="337">
        <v>0.14399999999999999</v>
      </c>
      <c r="H116" s="338">
        <v>0.1</v>
      </c>
      <c r="I116" s="339">
        <v>3837.96</v>
      </c>
      <c r="J116" s="340">
        <v>607.932864</v>
      </c>
      <c r="K116" s="335" t="s">
        <v>245</v>
      </c>
      <c r="L116" s="335">
        <v>3</v>
      </c>
      <c r="M116" s="335" t="s">
        <v>248</v>
      </c>
      <c r="N116" s="339">
        <v>6</v>
      </c>
      <c r="O116" s="341">
        <v>0.14399999999999999</v>
      </c>
      <c r="P116" s="341" t="s">
        <v>25</v>
      </c>
      <c r="Q116" s="341">
        <v>0</v>
      </c>
      <c r="R116" s="342" t="s">
        <v>25</v>
      </c>
      <c r="S116" s="342" t="s">
        <v>25</v>
      </c>
    </row>
    <row r="117" spans="1:19" ht="15" customHeight="1" x14ac:dyDescent="0.3">
      <c r="A117" s="335" t="s">
        <v>240</v>
      </c>
      <c r="B117" s="335" t="s">
        <v>26</v>
      </c>
      <c r="C117" s="335" t="s">
        <v>27</v>
      </c>
      <c r="D117" s="335" t="s">
        <v>249</v>
      </c>
      <c r="E117" s="336" t="s">
        <v>250</v>
      </c>
      <c r="F117" s="336" t="s">
        <v>91</v>
      </c>
      <c r="G117" s="337">
        <v>6.4000000000000001E-2</v>
      </c>
      <c r="H117" s="338">
        <v>0.1</v>
      </c>
      <c r="I117" s="339">
        <v>10936.8</v>
      </c>
      <c r="J117" s="340">
        <v>769.95072000000005</v>
      </c>
      <c r="K117" s="335" t="s">
        <v>245</v>
      </c>
      <c r="L117" s="335">
        <v>4</v>
      </c>
      <c r="M117" s="335" t="s">
        <v>251</v>
      </c>
      <c r="N117" s="339">
        <v>6</v>
      </c>
      <c r="O117" s="341">
        <v>6.4000000000000001E-2</v>
      </c>
      <c r="P117" s="341" t="s">
        <v>25</v>
      </c>
      <c r="Q117" s="341">
        <v>0</v>
      </c>
      <c r="R117" s="342" t="s">
        <v>25</v>
      </c>
      <c r="S117" s="342" t="s">
        <v>25</v>
      </c>
    </row>
    <row r="118" spans="1:19" ht="15" customHeight="1" x14ac:dyDescent="0.3">
      <c r="A118" s="335" t="s">
        <v>240</v>
      </c>
      <c r="B118" s="335" t="s">
        <v>56</v>
      </c>
      <c r="C118" s="335" t="s">
        <v>57</v>
      </c>
      <c r="D118" s="343" t="s">
        <v>58</v>
      </c>
      <c r="E118" s="336" t="s">
        <v>59</v>
      </c>
      <c r="F118" s="336" t="s">
        <v>60</v>
      </c>
      <c r="G118" s="337">
        <v>0.65</v>
      </c>
      <c r="H118" s="338">
        <v>0</v>
      </c>
      <c r="I118" s="339">
        <v>60860.580776572002</v>
      </c>
      <c r="J118" s="340">
        <v>39559.377504771801</v>
      </c>
      <c r="K118" s="335" t="s">
        <v>252</v>
      </c>
      <c r="L118" s="335">
        <v>1</v>
      </c>
      <c r="M118" s="335" t="s">
        <v>253</v>
      </c>
      <c r="N118" s="339">
        <v>6</v>
      </c>
      <c r="O118" s="341">
        <v>0.108333333333333</v>
      </c>
      <c r="P118" s="341" t="s">
        <v>25</v>
      </c>
      <c r="Q118" s="341">
        <v>0</v>
      </c>
      <c r="R118" s="342" t="s">
        <v>25</v>
      </c>
      <c r="S118" s="342" t="s">
        <v>25</v>
      </c>
    </row>
    <row r="119" spans="1:19" ht="15" customHeight="1" x14ac:dyDescent="0.3">
      <c r="A119" s="335" t="s">
        <v>240</v>
      </c>
      <c r="B119" s="335" t="s">
        <v>56</v>
      </c>
      <c r="C119" s="335" t="s">
        <v>57</v>
      </c>
      <c r="D119" s="343" t="s">
        <v>63</v>
      </c>
      <c r="E119" s="336" t="s">
        <v>64</v>
      </c>
      <c r="F119" s="336" t="s">
        <v>60</v>
      </c>
      <c r="G119" s="337">
        <v>1</v>
      </c>
      <c r="H119" s="338">
        <v>0</v>
      </c>
      <c r="I119" s="339">
        <v>85927.097156571996</v>
      </c>
      <c r="J119" s="340">
        <v>85927.097156571996</v>
      </c>
      <c r="K119" s="335" t="s">
        <v>252</v>
      </c>
      <c r="L119" s="335">
        <v>2</v>
      </c>
      <c r="M119" s="335" t="s">
        <v>254</v>
      </c>
      <c r="N119" s="339">
        <v>6</v>
      </c>
      <c r="O119" s="341">
        <v>0.16666666666666699</v>
      </c>
      <c r="P119" s="341" t="s">
        <v>25</v>
      </c>
      <c r="Q119" s="341">
        <v>0</v>
      </c>
      <c r="R119" s="342" t="s">
        <v>25</v>
      </c>
      <c r="S119" s="342" t="s">
        <v>25</v>
      </c>
    </row>
    <row r="120" spans="1:19" ht="15" customHeight="1" x14ac:dyDescent="0.3">
      <c r="A120" s="335" t="s">
        <v>255</v>
      </c>
      <c r="B120" s="335" t="s">
        <v>20</v>
      </c>
      <c r="C120" s="335"/>
      <c r="D120" s="335" t="s">
        <v>67</v>
      </c>
      <c r="E120" s="336" t="s">
        <v>68</v>
      </c>
      <c r="F120" s="336"/>
      <c r="G120" s="337">
        <v>0.5</v>
      </c>
      <c r="H120" s="338">
        <v>0</v>
      </c>
      <c r="I120" s="339">
        <v>571.17949098076099</v>
      </c>
      <c r="J120" s="340">
        <v>285.58974549038101</v>
      </c>
      <c r="K120" s="335" t="s">
        <v>256</v>
      </c>
      <c r="L120" s="335">
        <v>1</v>
      </c>
      <c r="M120" s="335" t="s">
        <v>257</v>
      </c>
      <c r="N120" s="339">
        <v>11.5</v>
      </c>
      <c r="O120" s="341">
        <v>0.5</v>
      </c>
      <c r="P120" s="341">
        <v>879</v>
      </c>
      <c r="Q120" s="341">
        <v>439.5</v>
      </c>
      <c r="R120" s="342">
        <v>7.01</v>
      </c>
      <c r="S120" s="342" t="s">
        <v>106</v>
      </c>
    </row>
    <row r="121" spans="1:19" ht="15" customHeight="1" x14ac:dyDescent="0.3">
      <c r="A121" s="335" t="s">
        <v>255</v>
      </c>
      <c r="B121" s="335" t="s">
        <v>20</v>
      </c>
      <c r="C121" s="335"/>
      <c r="D121" s="335" t="s">
        <v>71</v>
      </c>
      <c r="E121" s="336" t="s">
        <v>72</v>
      </c>
      <c r="F121" s="336"/>
      <c r="G121" s="337">
        <v>1</v>
      </c>
      <c r="H121" s="338">
        <v>0</v>
      </c>
      <c r="I121" s="339">
        <v>2287.1357450968098</v>
      </c>
      <c r="J121" s="340">
        <v>2287.1357450968098</v>
      </c>
      <c r="K121" s="335" t="s">
        <v>256</v>
      </c>
      <c r="L121" s="335">
        <v>2</v>
      </c>
      <c r="M121" s="335" t="s">
        <v>258</v>
      </c>
      <c r="N121" s="339">
        <v>11.5</v>
      </c>
      <c r="O121" s="341">
        <v>1</v>
      </c>
      <c r="P121" s="341">
        <v>879</v>
      </c>
      <c r="Q121" s="341">
        <v>879</v>
      </c>
      <c r="R121" s="342">
        <v>7.01</v>
      </c>
      <c r="S121" s="342" t="s">
        <v>106</v>
      </c>
    </row>
    <row r="122" spans="1:19" ht="15" customHeight="1" x14ac:dyDescent="0.3">
      <c r="A122" s="335" t="s">
        <v>255</v>
      </c>
      <c r="B122" s="335" t="s">
        <v>20</v>
      </c>
      <c r="C122" s="335"/>
      <c r="D122" s="335" t="s">
        <v>74</v>
      </c>
      <c r="E122" s="336" t="s">
        <v>75</v>
      </c>
      <c r="F122" s="336"/>
      <c r="G122" s="337">
        <v>1</v>
      </c>
      <c r="H122" s="338">
        <v>0</v>
      </c>
      <c r="I122" s="339">
        <v>957.25319614994703</v>
      </c>
      <c r="J122" s="340">
        <v>957.25319614994703</v>
      </c>
      <c r="K122" s="335" t="s">
        <v>256</v>
      </c>
      <c r="L122" s="335">
        <v>3</v>
      </c>
      <c r="M122" s="335" t="s">
        <v>259</v>
      </c>
      <c r="N122" s="339">
        <v>11.5</v>
      </c>
      <c r="O122" s="341">
        <v>1</v>
      </c>
      <c r="P122" s="341">
        <v>879</v>
      </c>
      <c r="Q122" s="341">
        <v>879</v>
      </c>
      <c r="R122" s="342">
        <v>7.01</v>
      </c>
      <c r="S122" s="342" t="s">
        <v>106</v>
      </c>
    </row>
    <row r="123" spans="1:19" ht="15" customHeight="1" x14ac:dyDescent="0.3">
      <c r="A123" s="335" t="s">
        <v>255</v>
      </c>
      <c r="B123" s="335" t="s">
        <v>26</v>
      </c>
      <c r="C123" s="335" t="s">
        <v>27</v>
      </c>
      <c r="D123" s="335" t="s">
        <v>81</v>
      </c>
      <c r="E123" s="336" t="s">
        <v>82</v>
      </c>
      <c r="F123" s="336" t="s">
        <v>83</v>
      </c>
      <c r="G123" s="337">
        <v>2.5999999999999999E-2</v>
      </c>
      <c r="H123" s="338">
        <v>0.1</v>
      </c>
      <c r="I123" s="339">
        <v>32399.77</v>
      </c>
      <c r="J123" s="340">
        <v>926.633422</v>
      </c>
      <c r="K123" s="335" t="s">
        <v>260</v>
      </c>
      <c r="L123" s="335">
        <v>1</v>
      </c>
      <c r="M123" s="335" t="s">
        <v>261</v>
      </c>
      <c r="N123" s="339">
        <v>11.5</v>
      </c>
      <c r="O123" s="341">
        <v>2.5999999999999999E-2</v>
      </c>
      <c r="P123" s="341">
        <v>879</v>
      </c>
      <c r="Q123" s="341">
        <v>22.853999999999999</v>
      </c>
      <c r="R123" s="342">
        <v>7.01</v>
      </c>
      <c r="S123" s="342" t="s">
        <v>106</v>
      </c>
    </row>
    <row r="124" spans="1:19" ht="15" customHeight="1" x14ac:dyDescent="0.3">
      <c r="A124" s="335" t="s">
        <v>255</v>
      </c>
      <c r="B124" s="335" t="s">
        <v>26</v>
      </c>
      <c r="C124" s="335" t="s">
        <v>27</v>
      </c>
      <c r="D124" s="335" t="s">
        <v>85</v>
      </c>
      <c r="E124" s="336" t="s">
        <v>86</v>
      </c>
      <c r="F124" s="336" t="s">
        <v>87</v>
      </c>
      <c r="G124" s="337">
        <v>0.314</v>
      </c>
      <c r="H124" s="338">
        <v>0.1</v>
      </c>
      <c r="I124" s="339">
        <v>7809.48</v>
      </c>
      <c r="J124" s="340">
        <v>2697.3943920000002</v>
      </c>
      <c r="K124" s="335" t="s">
        <v>260</v>
      </c>
      <c r="L124" s="335">
        <v>2</v>
      </c>
      <c r="M124" s="335" t="s">
        <v>262</v>
      </c>
      <c r="N124" s="339">
        <v>11.5</v>
      </c>
      <c r="O124" s="341">
        <v>0.314</v>
      </c>
      <c r="P124" s="341">
        <v>879</v>
      </c>
      <c r="Q124" s="341">
        <v>276.00599999999997</v>
      </c>
      <c r="R124" s="342">
        <v>7.01</v>
      </c>
      <c r="S124" s="342" t="s">
        <v>106</v>
      </c>
    </row>
    <row r="125" spans="1:19" ht="15" customHeight="1" x14ac:dyDescent="0.3">
      <c r="A125" s="335" t="s">
        <v>255</v>
      </c>
      <c r="B125" s="335" t="s">
        <v>26</v>
      </c>
      <c r="C125" s="335" t="s">
        <v>27</v>
      </c>
      <c r="D125" s="335" t="s">
        <v>89</v>
      </c>
      <c r="E125" s="336" t="s">
        <v>90</v>
      </c>
      <c r="F125" s="336" t="s">
        <v>91</v>
      </c>
      <c r="G125" s="337">
        <v>0.06</v>
      </c>
      <c r="H125" s="338">
        <v>0.1</v>
      </c>
      <c r="I125" s="339">
        <v>3837.96</v>
      </c>
      <c r="J125" s="340">
        <v>253.30536000000001</v>
      </c>
      <c r="K125" s="335" t="s">
        <v>260</v>
      </c>
      <c r="L125" s="335">
        <v>3</v>
      </c>
      <c r="M125" s="335" t="s">
        <v>263</v>
      </c>
      <c r="N125" s="339">
        <v>11.5</v>
      </c>
      <c r="O125" s="341">
        <v>0.06</v>
      </c>
      <c r="P125" s="341">
        <v>879</v>
      </c>
      <c r="Q125" s="341">
        <v>52.74</v>
      </c>
      <c r="R125" s="342">
        <v>7.01</v>
      </c>
      <c r="S125" s="342" t="s">
        <v>106</v>
      </c>
    </row>
    <row r="126" spans="1:19" ht="15" customHeight="1" x14ac:dyDescent="0.3">
      <c r="A126" s="335" t="s">
        <v>255</v>
      </c>
      <c r="B126" s="335" t="s">
        <v>26</v>
      </c>
      <c r="C126" s="335" t="s">
        <v>27</v>
      </c>
      <c r="D126" s="335" t="s">
        <v>165</v>
      </c>
      <c r="E126" s="336" t="s">
        <v>166</v>
      </c>
      <c r="F126" s="336" t="s">
        <v>167</v>
      </c>
      <c r="G126" s="337">
        <v>0.1</v>
      </c>
      <c r="H126" s="338">
        <v>0.05</v>
      </c>
      <c r="I126" s="339">
        <v>1256.1279999999999</v>
      </c>
      <c r="J126" s="340">
        <v>131.89344</v>
      </c>
      <c r="K126" s="335" t="s">
        <v>260</v>
      </c>
      <c r="L126" s="335">
        <v>4</v>
      </c>
      <c r="M126" s="335" t="s">
        <v>264</v>
      </c>
      <c r="N126" s="339">
        <v>11.5</v>
      </c>
      <c r="O126" s="341">
        <v>0.1</v>
      </c>
      <c r="P126" s="341">
        <v>879</v>
      </c>
      <c r="Q126" s="341">
        <v>87.9</v>
      </c>
      <c r="R126" s="342">
        <v>7.01</v>
      </c>
      <c r="S126" s="342" t="s">
        <v>106</v>
      </c>
    </row>
    <row r="127" spans="1:19" ht="15" customHeight="1" x14ac:dyDescent="0.3">
      <c r="A127" s="335" t="s">
        <v>255</v>
      </c>
      <c r="B127" s="335" t="s">
        <v>56</v>
      </c>
      <c r="C127" s="335" t="s">
        <v>57</v>
      </c>
      <c r="D127" s="343" t="s">
        <v>58</v>
      </c>
      <c r="E127" s="336" t="s">
        <v>59</v>
      </c>
      <c r="F127" s="336" t="s">
        <v>60</v>
      </c>
      <c r="G127" s="337">
        <v>0.6</v>
      </c>
      <c r="H127" s="338">
        <v>0</v>
      </c>
      <c r="I127" s="339">
        <v>60860.580776572002</v>
      </c>
      <c r="J127" s="340">
        <v>36516.3484659432</v>
      </c>
      <c r="K127" s="335" t="s">
        <v>265</v>
      </c>
      <c r="L127" s="335">
        <v>1</v>
      </c>
      <c r="M127" s="335" t="s">
        <v>266</v>
      </c>
      <c r="N127" s="339">
        <v>11.5</v>
      </c>
      <c r="O127" s="341">
        <v>5.21739130434783E-2</v>
      </c>
      <c r="P127" s="341">
        <v>879</v>
      </c>
      <c r="Q127" s="341">
        <v>45.860869565217399</v>
      </c>
      <c r="R127" s="342">
        <v>7.01</v>
      </c>
      <c r="S127" s="342" t="s">
        <v>106</v>
      </c>
    </row>
    <row r="128" spans="1:19" ht="15" customHeight="1" x14ac:dyDescent="0.3">
      <c r="A128" s="335" t="s">
        <v>255</v>
      </c>
      <c r="B128" s="335" t="s">
        <v>56</v>
      </c>
      <c r="C128" s="335" t="s">
        <v>57</v>
      </c>
      <c r="D128" s="343" t="s">
        <v>63</v>
      </c>
      <c r="E128" s="336" t="s">
        <v>64</v>
      </c>
      <c r="F128" s="336" t="s">
        <v>60</v>
      </c>
      <c r="G128" s="337">
        <v>1</v>
      </c>
      <c r="H128" s="338">
        <v>0</v>
      </c>
      <c r="I128" s="339">
        <v>85927.097156571996</v>
      </c>
      <c r="J128" s="340">
        <v>85927.097156571996</v>
      </c>
      <c r="K128" s="335" t="s">
        <v>265</v>
      </c>
      <c r="L128" s="335">
        <v>2</v>
      </c>
      <c r="M128" s="335" t="s">
        <v>267</v>
      </c>
      <c r="N128" s="339">
        <v>11.5</v>
      </c>
      <c r="O128" s="341">
        <v>8.6956521739130405E-2</v>
      </c>
      <c r="P128" s="341">
        <v>879</v>
      </c>
      <c r="Q128" s="341">
        <v>76.434782608695699</v>
      </c>
      <c r="R128" s="342">
        <v>7.01</v>
      </c>
      <c r="S128" s="342" t="s">
        <v>106</v>
      </c>
    </row>
    <row r="129" spans="1:19" ht="15" customHeight="1" x14ac:dyDescent="0.3">
      <c r="A129" s="335" t="s">
        <v>268</v>
      </c>
      <c r="B129" s="335" t="s">
        <v>20</v>
      </c>
      <c r="C129" s="335"/>
      <c r="D129" s="335" t="s">
        <v>269</v>
      </c>
      <c r="E129" s="336" t="s">
        <v>270</v>
      </c>
      <c r="F129" s="336"/>
      <c r="G129" s="337">
        <v>1</v>
      </c>
      <c r="H129" s="338">
        <v>0</v>
      </c>
      <c r="I129" s="339">
        <v>2910.1331666666701</v>
      </c>
      <c r="J129" s="340">
        <v>2910.1331666666701</v>
      </c>
      <c r="K129" s="335" t="s">
        <v>271</v>
      </c>
      <c r="L129" s="335">
        <v>1</v>
      </c>
      <c r="M129" s="335" t="s">
        <v>272</v>
      </c>
      <c r="N129" s="339">
        <v>8</v>
      </c>
      <c r="O129" s="341">
        <v>1</v>
      </c>
      <c r="P129" s="341" t="s">
        <v>25</v>
      </c>
      <c r="Q129" s="341">
        <v>0</v>
      </c>
      <c r="R129" s="342" t="s">
        <v>25</v>
      </c>
      <c r="S129" s="342" t="s">
        <v>25</v>
      </c>
    </row>
    <row r="130" spans="1:19" ht="15" customHeight="1" x14ac:dyDescent="0.3">
      <c r="A130" s="335" t="s">
        <v>268</v>
      </c>
      <c r="B130" s="335" t="s">
        <v>20</v>
      </c>
      <c r="C130" s="335"/>
      <c r="D130" s="335" t="s">
        <v>71</v>
      </c>
      <c r="E130" s="336" t="s">
        <v>72</v>
      </c>
      <c r="F130" s="336"/>
      <c r="G130" s="337">
        <v>1</v>
      </c>
      <c r="H130" s="338">
        <v>0</v>
      </c>
      <c r="I130" s="339">
        <v>2287.1357450968098</v>
      </c>
      <c r="J130" s="340">
        <v>2287.1357450968098</v>
      </c>
      <c r="K130" s="335" t="s">
        <v>271</v>
      </c>
      <c r="L130" s="335">
        <v>2</v>
      </c>
      <c r="M130" s="335" t="s">
        <v>273</v>
      </c>
      <c r="N130" s="339">
        <v>8</v>
      </c>
      <c r="O130" s="341">
        <v>1</v>
      </c>
      <c r="P130" s="341" t="s">
        <v>25</v>
      </c>
      <c r="Q130" s="341">
        <v>0</v>
      </c>
      <c r="R130" s="342" t="s">
        <v>25</v>
      </c>
      <c r="S130" s="342" t="s">
        <v>25</v>
      </c>
    </row>
    <row r="131" spans="1:19" ht="15" customHeight="1" x14ac:dyDescent="0.3">
      <c r="A131" s="335" t="s">
        <v>268</v>
      </c>
      <c r="B131" s="335" t="s">
        <v>20</v>
      </c>
      <c r="C131" s="335"/>
      <c r="D131" s="335" t="s">
        <v>74</v>
      </c>
      <c r="E131" s="336" t="s">
        <v>75</v>
      </c>
      <c r="F131" s="336"/>
      <c r="G131" s="337">
        <v>1</v>
      </c>
      <c r="H131" s="338">
        <v>0</v>
      </c>
      <c r="I131" s="339">
        <v>957.25319614994703</v>
      </c>
      <c r="J131" s="340">
        <v>957.25319614994703</v>
      </c>
      <c r="K131" s="335" t="s">
        <v>271</v>
      </c>
      <c r="L131" s="335">
        <v>3</v>
      </c>
      <c r="M131" s="335" t="s">
        <v>274</v>
      </c>
      <c r="N131" s="339">
        <v>8</v>
      </c>
      <c r="O131" s="341">
        <v>1</v>
      </c>
      <c r="P131" s="341" t="s">
        <v>25</v>
      </c>
      <c r="Q131" s="341">
        <v>0</v>
      </c>
      <c r="R131" s="342" t="s">
        <v>25</v>
      </c>
      <c r="S131" s="342" t="s">
        <v>25</v>
      </c>
    </row>
    <row r="132" spans="1:19" ht="15" customHeight="1" x14ac:dyDescent="0.3">
      <c r="A132" s="335" t="s">
        <v>268</v>
      </c>
      <c r="B132" s="335" t="s">
        <v>26</v>
      </c>
      <c r="C132" s="335" t="s">
        <v>27</v>
      </c>
      <c r="D132" s="335" t="s">
        <v>81</v>
      </c>
      <c r="E132" s="336" t="s">
        <v>82</v>
      </c>
      <c r="F132" s="336" t="s">
        <v>83</v>
      </c>
      <c r="G132" s="337">
        <v>2.5999999999999999E-2</v>
      </c>
      <c r="H132" s="338">
        <v>0.1</v>
      </c>
      <c r="I132" s="339">
        <v>32399.77</v>
      </c>
      <c r="J132" s="340">
        <v>926.633422</v>
      </c>
      <c r="K132" s="335" t="s">
        <v>275</v>
      </c>
      <c r="L132" s="335">
        <v>1</v>
      </c>
      <c r="M132" s="335" t="s">
        <v>276</v>
      </c>
      <c r="N132" s="339">
        <v>8</v>
      </c>
      <c r="O132" s="341">
        <v>2.5999999999999999E-2</v>
      </c>
      <c r="P132" s="341" t="s">
        <v>25</v>
      </c>
      <c r="Q132" s="341">
        <v>0</v>
      </c>
      <c r="R132" s="342" t="s">
        <v>25</v>
      </c>
      <c r="S132" s="342" t="s">
        <v>25</v>
      </c>
    </row>
    <row r="133" spans="1:19" ht="15" customHeight="1" x14ac:dyDescent="0.3">
      <c r="A133" s="335" t="s">
        <v>268</v>
      </c>
      <c r="B133" s="335" t="s">
        <v>26</v>
      </c>
      <c r="C133" s="335" t="s">
        <v>27</v>
      </c>
      <c r="D133" s="335" t="s">
        <v>85</v>
      </c>
      <c r="E133" s="336" t="s">
        <v>86</v>
      </c>
      <c r="F133" s="336" t="s">
        <v>87</v>
      </c>
      <c r="G133" s="337">
        <v>0.314</v>
      </c>
      <c r="H133" s="338">
        <v>0.1</v>
      </c>
      <c r="I133" s="339">
        <v>7809.48</v>
      </c>
      <c r="J133" s="340">
        <v>2697.3943920000002</v>
      </c>
      <c r="K133" s="335" t="s">
        <v>275</v>
      </c>
      <c r="L133" s="335">
        <v>2</v>
      </c>
      <c r="M133" s="335" t="s">
        <v>277</v>
      </c>
      <c r="N133" s="339">
        <v>8</v>
      </c>
      <c r="O133" s="341">
        <v>0.314</v>
      </c>
      <c r="P133" s="341" t="s">
        <v>25</v>
      </c>
      <c r="Q133" s="341">
        <v>0</v>
      </c>
      <c r="R133" s="342" t="s">
        <v>25</v>
      </c>
      <c r="S133" s="342" t="s">
        <v>25</v>
      </c>
    </row>
    <row r="134" spans="1:19" ht="15" customHeight="1" x14ac:dyDescent="0.3">
      <c r="A134" s="335" t="s">
        <v>268</v>
      </c>
      <c r="B134" s="335" t="s">
        <v>26</v>
      </c>
      <c r="C134" s="335" t="s">
        <v>27</v>
      </c>
      <c r="D134" s="335" t="s">
        <v>89</v>
      </c>
      <c r="E134" s="336" t="s">
        <v>90</v>
      </c>
      <c r="F134" s="336" t="s">
        <v>91</v>
      </c>
      <c r="G134" s="337">
        <v>0.06</v>
      </c>
      <c r="H134" s="338">
        <v>0.1</v>
      </c>
      <c r="I134" s="339">
        <v>3837.96</v>
      </c>
      <c r="J134" s="340">
        <v>253.30536000000001</v>
      </c>
      <c r="K134" s="335" t="s">
        <v>275</v>
      </c>
      <c r="L134" s="335">
        <v>3</v>
      </c>
      <c r="M134" s="335" t="s">
        <v>278</v>
      </c>
      <c r="N134" s="339">
        <v>8</v>
      </c>
      <c r="O134" s="341">
        <v>0.06</v>
      </c>
      <c r="P134" s="341" t="s">
        <v>25</v>
      </c>
      <c r="Q134" s="341">
        <v>0</v>
      </c>
      <c r="R134" s="342" t="s">
        <v>25</v>
      </c>
      <c r="S134" s="342" t="s">
        <v>25</v>
      </c>
    </row>
    <row r="135" spans="1:19" ht="15" customHeight="1" x14ac:dyDescent="0.3">
      <c r="A135" s="335" t="s">
        <v>268</v>
      </c>
      <c r="B135" s="335" t="s">
        <v>26</v>
      </c>
      <c r="C135" s="335" t="s">
        <v>27</v>
      </c>
      <c r="D135" s="335" t="s">
        <v>165</v>
      </c>
      <c r="E135" s="336" t="s">
        <v>166</v>
      </c>
      <c r="F135" s="336" t="s">
        <v>167</v>
      </c>
      <c r="G135" s="337">
        <v>0.1</v>
      </c>
      <c r="H135" s="338">
        <v>0.05</v>
      </c>
      <c r="I135" s="339">
        <v>1256.1279999999999</v>
      </c>
      <c r="J135" s="340">
        <v>131.89344</v>
      </c>
      <c r="K135" s="335" t="s">
        <v>275</v>
      </c>
      <c r="L135" s="335">
        <v>4</v>
      </c>
      <c r="M135" s="335" t="s">
        <v>279</v>
      </c>
      <c r="N135" s="339">
        <v>8</v>
      </c>
      <c r="O135" s="341">
        <v>0.1</v>
      </c>
      <c r="P135" s="341" t="s">
        <v>25</v>
      </c>
      <c r="Q135" s="341">
        <v>0</v>
      </c>
      <c r="R135" s="342" t="s">
        <v>25</v>
      </c>
      <c r="S135" s="342" t="s">
        <v>25</v>
      </c>
    </row>
    <row r="136" spans="1:19" ht="15" customHeight="1" x14ac:dyDescent="0.3">
      <c r="A136" s="335" t="s">
        <v>268</v>
      </c>
      <c r="B136" s="335" t="s">
        <v>56</v>
      </c>
      <c r="C136" s="335" t="s">
        <v>57</v>
      </c>
      <c r="D136" s="343" t="s">
        <v>58</v>
      </c>
      <c r="E136" s="336" t="s">
        <v>59</v>
      </c>
      <c r="F136" s="336" t="s">
        <v>60</v>
      </c>
      <c r="G136" s="337">
        <v>0.6</v>
      </c>
      <c r="H136" s="338">
        <v>0</v>
      </c>
      <c r="I136" s="339">
        <v>60860.580776572002</v>
      </c>
      <c r="J136" s="340">
        <v>36516.3484659432</v>
      </c>
      <c r="K136" s="335" t="s">
        <v>280</v>
      </c>
      <c r="L136" s="335">
        <v>1</v>
      </c>
      <c r="M136" s="335" t="s">
        <v>281</v>
      </c>
      <c r="N136" s="339">
        <v>8</v>
      </c>
      <c r="O136" s="341">
        <v>7.4999999999999997E-2</v>
      </c>
      <c r="P136" s="341" t="s">
        <v>25</v>
      </c>
      <c r="Q136" s="341">
        <v>0</v>
      </c>
      <c r="R136" s="342" t="s">
        <v>25</v>
      </c>
      <c r="S136" s="342" t="s">
        <v>25</v>
      </c>
    </row>
    <row r="137" spans="1:19" ht="15" customHeight="1" x14ac:dyDescent="0.3">
      <c r="A137" s="335" t="s">
        <v>268</v>
      </c>
      <c r="B137" s="335" t="s">
        <v>56</v>
      </c>
      <c r="C137" s="335" t="s">
        <v>57</v>
      </c>
      <c r="D137" s="343" t="s">
        <v>63</v>
      </c>
      <c r="E137" s="336" t="s">
        <v>64</v>
      </c>
      <c r="F137" s="336" t="s">
        <v>60</v>
      </c>
      <c r="G137" s="337">
        <v>1</v>
      </c>
      <c r="H137" s="338">
        <v>0</v>
      </c>
      <c r="I137" s="339">
        <v>85927.097156571996</v>
      </c>
      <c r="J137" s="340">
        <v>85927.097156571996</v>
      </c>
      <c r="K137" s="335" t="s">
        <v>280</v>
      </c>
      <c r="L137" s="335">
        <v>2</v>
      </c>
      <c r="M137" s="335" t="s">
        <v>282</v>
      </c>
      <c r="N137" s="339">
        <v>8</v>
      </c>
      <c r="O137" s="341">
        <v>0.125</v>
      </c>
      <c r="P137" s="341" t="s">
        <v>25</v>
      </c>
      <c r="Q137" s="341">
        <v>0</v>
      </c>
      <c r="R137" s="342" t="s">
        <v>25</v>
      </c>
      <c r="S137" s="342" t="s">
        <v>25</v>
      </c>
    </row>
    <row r="138" spans="1:19" ht="15" customHeight="1" x14ac:dyDescent="0.3">
      <c r="A138" s="335" t="s">
        <v>283</v>
      </c>
      <c r="B138" s="335" t="s">
        <v>20</v>
      </c>
      <c r="C138" s="335"/>
      <c r="D138" s="335" t="s">
        <v>71</v>
      </c>
      <c r="E138" s="336" t="s">
        <v>72</v>
      </c>
      <c r="F138" s="336"/>
      <c r="G138" s="337">
        <v>1</v>
      </c>
      <c r="H138" s="338">
        <v>0</v>
      </c>
      <c r="I138" s="339">
        <v>2287.1357450968098</v>
      </c>
      <c r="J138" s="340">
        <v>2287.1357450968098</v>
      </c>
      <c r="K138" s="335" t="s">
        <v>284</v>
      </c>
      <c r="L138" s="335">
        <v>1</v>
      </c>
      <c r="M138" s="335" t="s">
        <v>285</v>
      </c>
      <c r="N138" s="339">
        <v>1.4</v>
      </c>
      <c r="O138" s="341">
        <v>1</v>
      </c>
      <c r="P138" s="341" t="s">
        <v>25</v>
      </c>
      <c r="Q138" s="341">
        <v>0</v>
      </c>
      <c r="R138" s="342" t="s">
        <v>25</v>
      </c>
      <c r="S138" s="342" t="s">
        <v>25</v>
      </c>
    </row>
    <row r="139" spans="1:19" ht="15" customHeight="1" x14ac:dyDescent="0.3">
      <c r="A139" s="335" t="s">
        <v>283</v>
      </c>
      <c r="B139" s="335" t="s">
        <v>20</v>
      </c>
      <c r="C139" s="335"/>
      <c r="D139" s="335" t="s">
        <v>74</v>
      </c>
      <c r="E139" s="336" t="s">
        <v>75</v>
      </c>
      <c r="F139" s="336"/>
      <c r="G139" s="337">
        <v>1</v>
      </c>
      <c r="H139" s="338">
        <v>0</v>
      </c>
      <c r="I139" s="339">
        <v>957.25319614994703</v>
      </c>
      <c r="J139" s="340">
        <v>957.25319614994703</v>
      </c>
      <c r="K139" s="335" t="s">
        <v>284</v>
      </c>
      <c r="L139" s="335">
        <v>2</v>
      </c>
      <c r="M139" s="335" t="s">
        <v>286</v>
      </c>
      <c r="N139" s="339">
        <v>1.4</v>
      </c>
      <c r="O139" s="341">
        <v>1</v>
      </c>
      <c r="P139" s="341" t="s">
        <v>25</v>
      </c>
      <c r="Q139" s="341">
        <v>0</v>
      </c>
      <c r="R139" s="342" t="s">
        <v>25</v>
      </c>
      <c r="S139" s="342" t="s">
        <v>25</v>
      </c>
    </row>
    <row r="140" spans="1:19" ht="15" customHeight="1" x14ac:dyDescent="0.3">
      <c r="A140" s="335" t="s">
        <v>283</v>
      </c>
      <c r="B140" s="335" t="s">
        <v>26</v>
      </c>
      <c r="C140" s="335" t="s">
        <v>27</v>
      </c>
      <c r="D140" s="335" t="s">
        <v>81</v>
      </c>
      <c r="E140" s="336" t="s">
        <v>82</v>
      </c>
      <c r="F140" s="336" t="s">
        <v>83</v>
      </c>
      <c r="G140" s="337">
        <v>0.51500000000000001</v>
      </c>
      <c r="H140" s="338">
        <v>0.1</v>
      </c>
      <c r="I140" s="339">
        <v>32399.77</v>
      </c>
      <c r="J140" s="340">
        <v>18354.469705</v>
      </c>
      <c r="K140" s="335" t="s">
        <v>287</v>
      </c>
      <c r="L140" s="335">
        <v>1</v>
      </c>
      <c r="M140" s="335" t="s">
        <v>288</v>
      </c>
      <c r="N140" s="339">
        <v>1.4</v>
      </c>
      <c r="O140" s="341">
        <v>0.51500000000000001</v>
      </c>
      <c r="P140" s="341" t="s">
        <v>25</v>
      </c>
      <c r="Q140" s="341">
        <v>0</v>
      </c>
      <c r="R140" s="342" t="s">
        <v>25</v>
      </c>
      <c r="S140" s="342" t="s">
        <v>25</v>
      </c>
    </row>
    <row r="141" spans="1:19" ht="15" customHeight="1" x14ac:dyDescent="0.3">
      <c r="A141" s="335" t="s">
        <v>283</v>
      </c>
      <c r="B141" s="335" t="s">
        <v>26</v>
      </c>
      <c r="C141" s="335" t="s">
        <v>27</v>
      </c>
      <c r="D141" s="335" t="s">
        <v>289</v>
      </c>
      <c r="E141" s="336" t="s">
        <v>290</v>
      </c>
      <c r="F141" s="336" t="s">
        <v>83</v>
      </c>
      <c r="G141" s="337">
        <v>0.77</v>
      </c>
      <c r="H141" s="338">
        <v>0.1</v>
      </c>
      <c r="I141" s="339">
        <v>34246.800000000003</v>
      </c>
      <c r="J141" s="340">
        <v>29007.0396</v>
      </c>
      <c r="K141" s="335" t="s">
        <v>287</v>
      </c>
      <c r="L141" s="335">
        <v>2</v>
      </c>
      <c r="M141" s="335" t="s">
        <v>291</v>
      </c>
      <c r="N141" s="339">
        <v>1.4</v>
      </c>
      <c r="O141" s="341">
        <v>0.77</v>
      </c>
      <c r="P141" s="341" t="s">
        <v>25</v>
      </c>
      <c r="Q141" s="341">
        <v>0</v>
      </c>
      <c r="R141" s="342" t="s">
        <v>25</v>
      </c>
      <c r="S141" s="342" t="s">
        <v>25</v>
      </c>
    </row>
    <row r="142" spans="1:19" ht="15" customHeight="1" x14ac:dyDescent="0.3">
      <c r="A142" s="335" t="s">
        <v>283</v>
      </c>
      <c r="B142" s="335" t="s">
        <v>26</v>
      </c>
      <c r="C142" s="335" t="s">
        <v>27</v>
      </c>
      <c r="D142" s="335" t="s">
        <v>85</v>
      </c>
      <c r="E142" s="336" t="s">
        <v>86</v>
      </c>
      <c r="F142" s="336" t="s">
        <v>87</v>
      </c>
      <c r="G142" s="337">
        <v>0.748</v>
      </c>
      <c r="H142" s="338">
        <v>0.1</v>
      </c>
      <c r="I142" s="339">
        <v>7809.48</v>
      </c>
      <c r="J142" s="340">
        <v>6425.640144</v>
      </c>
      <c r="K142" s="335" t="s">
        <v>287</v>
      </c>
      <c r="L142" s="335">
        <v>3</v>
      </c>
      <c r="M142" s="335" t="s">
        <v>292</v>
      </c>
      <c r="N142" s="339">
        <v>1.4</v>
      </c>
      <c r="O142" s="341">
        <v>0.748</v>
      </c>
      <c r="P142" s="341" t="s">
        <v>25</v>
      </c>
      <c r="Q142" s="341">
        <v>0</v>
      </c>
      <c r="R142" s="342" t="s">
        <v>25</v>
      </c>
      <c r="S142" s="342" t="s">
        <v>25</v>
      </c>
    </row>
    <row r="143" spans="1:19" ht="15" customHeight="1" x14ac:dyDescent="0.3">
      <c r="A143" s="335" t="s">
        <v>283</v>
      </c>
      <c r="B143" s="335" t="s">
        <v>26</v>
      </c>
      <c r="C143" s="335" t="s">
        <v>27</v>
      </c>
      <c r="D143" s="335" t="s">
        <v>89</v>
      </c>
      <c r="E143" s="336" t="s">
        <v>90</v>
      </c>
      <c r="F143" s="336" t="s">
        <v>91</v>
      </c>
      <c r="G143" s="337">
        <v>3.24</v>
      </c>
      <c r="H143" s="338">
        <v>0.1</v>
      </c>
      <c r="I143" s="339">
        <v>3837.96</v>
      </c>
      <c r="J143" s="340">
        <v>13678.489439999999</v>
      </c>
      <c r="K143" s="335" t="s">
        <v>287</v>
      </c>
      <c r="L143" s="335">
        <v>4</v>
      </c>
      <c r="M143" s="335" t="s">
        <v>293</v>
      </c>
      <c r="N143" s="339">
        <v>1.4</v>
      </c>
      <c r="O143" s="341">
        <v>3.24</v>
      </c>
      <c r="P143" s="341" t="s">
        <v>25</v>
      </c>
      <c r="Q143" s="341">
        <v>0</v>
      </c>
      <c r="R143" s="342" t="s">
        <v>25</v>
      </c>
      <c r="S143" s="342" t="s">
        <v>25</v>
      </c>
    </row>
    <row r="144" spans="1:19" ht="15" customHeight="1" x14ac:dyDescent="0.3">
      <c r="A144" s="335" t="s">
        <v>283</v>
      </c>
      <c r="B144" s="335" t="s">
        <v>56</v>
      </c>
      <c r="C144" s="335" t="s">
        <v>57</v>
      </c>
      <c r="D144" s="343" t="s">
        <v>58</v>
      </c>
      <c r="E144" s="336" t="s">
        <v>59</v>
      </c>
      <c r="F144" s="336" t="s">
        <v>60</v>
      </c>
      <c r="G144" s="337">
        <v>1</v>
      </c>
      <c r="H144" s="338">
        <v>0</v>
      </c>
      <c r="I144" s="339">
        <v>60860.580776572002</v>
      </c>
      <c r="J144" s="340">
        <v>60860.580776572002</v>
      </c>
      <c r="K144" s="335" t="s">
        <v>294</v>
      </c>
      <c r="L144" s="335">
        <v>1</v>
      </c>
      <c r="M144" s="335" t="s">
        <v>295</v>
      </c>
      <c r="N144" s="339">
        <v>1.4</v>
      </c>
      <c r="O144" s="341">
        <v>0.71428571428571397</v>
      </c>
      <c r="P144" s="341" t="s">
        <v>25</v>
      </c>
      <c r="Q144" s="341">
        <v>0</v>
      </c>
      <c r="R144" s="342" t="s">
        <v>25</v>
      </c>
      <c r="S144" s="342" t="s">
        <v>25</v>
      </c>
    </row>
    <row r="145" spans="1:19" ht="15" customHeight="1" x14ac:dyDescent="0.3">
      <c r="A145" s="335" t="s">
        <v>283</v>
      </c>
      <c r="B145" s="335" t="s">
        <v>56</v>
      </c>
      <c r="C145" s="335" t="s">
        <v>57</v>
      </c>
      <c r="D145" s="343" t="s">
        <v>63</v>
      </c>
      <c r="E145" s="336" t="s">
        <v>64</v>
      </c>
      <c r="F145" s="336" t="s">
        <v>60</v>
      </c>
      <c r="G145" s="337">
        <v>0.75</v>
      </c>
      <c r="H145" s="338">
        <v>0</v>
      </c>
      <c r="I145" s="339">
        <v>85927.097156571996</v>
      </c>
      <c r="J145" s="340">
        <v>64445.322867429</v>
      </c>
      <c r="K145" s="335" t="s">
        <v>294</v>
      </c>
      <c r="L145" s="335">
        <v>2</v>
      </c>
      <c r="M145" s="335" t="s">
        <v>296</v>
      </c>
      <c r="N145" s="339">
        <v>1.4</v>
      </c>
      <c r="O145" s="341">
        <v>0.53571428571428603</v>
      </c>
      <c r="P145" s="341" t="s">
        <v>25</v>
      </c>
      <c r="Q145" s="341">
        <v>0</v>
      </c>
      <c r="R145" s="342" t="s">
        <v>25</v>
      </c>
      <c r="S145" s="342" t="s">
        <v>25</v>
      </c>
    </row>
    <row r="146" spans="1:19" ht="15" customHeight="1" x14ac:dyDescent="0.3">
      <c r="A146" s="335" t="s">
        <v>297</v>
      </c>
      <c r="B146" s="335" t="s">
        <v>20</v>
      </c>
      <c r="C146" s="335"/>
      <c r="D146" s="335" t="s">
        <v>71</v>
      </c>
      <c r="E146" s="336" t="s">
        <v>72</v>
      </c>
      <c r="F146" s="336"/>
      <c r="G146" s="337">
        <v>1</v>
      </c>
      <c r="H146" s="338">
        <v>0</v>
      </c>
      <c r="I146" s="339">
        <v>2287.1357450968098</v>
      </c>
      <c r="J146" s="340">
        <v>2287.1357450968098</v>
      </c>
      <c r="K146" s="335" t="s">
        <v>298</v>
      </c>
      <c r="L146" s="335">
        <v>1</v>
      </c>
      <c r="M146" s="335" t="s">
        <v>299</v>
      </c>
      <c r="N146" s="339">
        <v>15</v>
      </c>
      <c r="O146" s="341">
        <v>1</v>
      </c>
      <c r="P146" s="341" t="s">
        <v>25</v>
      </c>
      <c r="Q146" s="341">
        <v>0</v>
      </c>
      <c r="R146" s="342" t="s">
        <v>25</v>
      </c>
      <c r="S146" s="342" t="s">
        <v>25</v>
      </c>
    </row>
    <row r="147" spans="1:19" ht="15" customHeight="1" x14ac:dyDescent="0.3">
      <c r="A147" s="335" t="s">
        <v>297</v>
      </c>
      <c r="B147" s="335" t="s">
        <v>20</v>
      </c>
      <c r="C147" s="335"/>
      <c r="D147" s="335" t="s">
        <v>74</v>
      </c>
      <c r="E147" s="336" t="s">
        <v>75</v>
      </c>
      <c r="F147" s="336"/>
      <c r="G147" s="337">
        <v>1</v>
      </c>
      <c r="H147" s="338">
        <v>0</v>
      </c>
      <c r="I147" s="339">
        <v>957.25319614994703</v>
      </c>
      <c r="J147" s="340">
        <v>957.25319614994703</v>
      </c>
      <c r="K147" s="335" t="s">
        <v>298</v>
      </c>
      <c r="L147" s="335">
        <v>2</v>
      </c>
      <c r="M147" s="335" t="s">
        <v>300</v>
      </c>
      <c r="N147" s="339">
        <v>15</v>
      </c>
      <c r="O147" s="341">
        <v>1</v>
      </c>
      <c r="P147" s="341" t="s">
        <v>25</v>
      </c>
      <c r="Q147" s="341">
        <v>0</v>
      </c>
      <c r="R147" s="342" t="s">
        <v>25</v>
      </c>
      <c r="S147" s="342" t="s">
        <v>25</v>
      </c>
    </row>
    <row r="148" spans="1:19" ht="15" customHeight="1" x14ac:dyDescent="0.3">
      <c r="A148" s="335" t="s">
        <v>297</v>
      </c>
      <c r="B148" s="335" t="s">
        <v>26</v>
      </c>
      <c r="C148" s="335" t="s">
        <v>27</v>
      </c>
      <c r="D148" s="335" t="s">
        <v>81</v>
      </c>
      <c r="E148" s="336" t="s">
        <v>82</v>
      </c>
      <c r="F148" s="336" t="s">
        <v>83</v>
      </c>
      <c r="G148" s="337">
        <v>0.03</v>
      </c>
      <c r="H148" s="338">
        <v>0.1</v>
      </c>
      <c r="I148" s="339">
        <v>32399.77</v>
      </c>
      <c r="J148" s="340">
        <v>1069.1924100000001</v>
      </c>
      <c r="K148" s="335" t="s">
        <v>301</v>
      </c>
      <c r="L148" s="335">
        <v>1</v>
      </c>
      <c r="M148" s="335" t="s">
        <v>302</v>
      </c>
      <c r="N148" s="339">
        <v>15</v>
      </c>
      <c r="O148" s="341">
        <v>0.03</v>
      </c>
      <c r="P148" s="341" t="s">
        <v>25</v>
      </c>
      <c r="Q148" s="341">
        <v>0</v>
      </c>
      <c r="R148" s="342" t="s">
        <v>25</v>
      </c>
      <c r="S148" s="342" t="s">
        <v>25</v>
      </c>
    </row>
    <row r="149" spans="1:19" ht="15" customHeight="1" x14ac:dyDescent="0.3">
      <c r="A149" s="335" t="s">
        <v>297</v>
      </c>
      <c r="B149" s="335" t="s">
        <v>26</v>
      </c>
      <c r="C149" s="335" t="s">
        <v>27</v>
      </c>
      <c r="D149" s="335" t="s">
        <v>85</v>
      </c>
      <c r="E149" s="336" t="s">
        <v>86</v>
      </c>
      <c r="F149" s="336" t="s">
        <v>87</v>
      </c>
      <c r="G149" s="337">
        <v>0.27</v>
      </c>
      <c r="H149" s="338">
        <v>0.1</v>
      </c>
      <c r="I149" s="339">
        <v>7809.48</v>
      </c>
      <c r="J149" s="340">
        <v>2319.4155599999999</v>
      </c>
      <c r="K149" s="335" t="s">
        <v>301</v>
      </c>
      <c r="L149" s="335">
        <v>2</v>
      </c>
      <c r="M149" s="335" t="s">
        <v>303</v>
      </c>
      <c r="N149" s="339">
        <v>15</v>
      </c>
      <c r="O149" s="341">
        <v>0.27</v>
      </c>
      <c r="P149" s="341" t="s">
        <v>25</v>
      </c>
      <c r="Q149" s="341">
        <v>0</v>
      </c>
      <c r="R149" s="342" t="s">
        <v>25</v>
      </c>
      <c r="S149" s="342" t="s">
        <v>25</v>
      </c>
    </row>
    <row r="150" spans="1:19" ht="15" customHeight="1" x14ac:dyDescent="0.3">
      <c r="A150" s="335" t="s">
        <v>297</v>
      </c>
      <c r="B150" s="335" t="s">
        <v>56</v>
      </c>
      <c r="C150" s="335" t="s">
        <v>57</v>
      </c>
      <c r="D150" s="343" t="s">
        <v>58</v>
      </c>
      <c r="E150" s="336" t="s">
        <v>59</v>
      </c>
      <c r="F150" s="336" t="s">
        <v>60</v>
      </c>
      <c r="G150" s="337">
        <v>0.45</v>
      </c>
      <c r="H150" s="338">
        <v>0</v>
      </c>
      <c r="I150" s="339">
        <v>60860.580776572002</v>
      </c>
      <c r="J150" s="340">
        <v>27387.2613494574</v>
      </c>
      <c r="K150" s="335" t="s">
        <v>304</v>
      </c>
      <c r="L150" s="335">
        <v>1</v>
      </c>
      <c r="M150" s="335" t="s">
        <v>305</v>
      </c>
      <c r="N150" s="339">
        <v>15</v>
      </c>
      <c r="O150" s="341">
        <v>0.03</v>
      </c>
      <c r="P150" s="341" t="s">
        <v>25</v>
      </c>
      <c r="Q150" s="341">
        <v>0</v>
      </c>
      <c r="R150" s="342" t="s">
        <v>25</v>
      </c>
      <c r="S150" s="342" t="s">
        <v>25</v>
      </c>
    </row>
    <row r="151" spans="1:19" ht="15" customHeight="1" x14ac:dyDescent="0.3">
      <c r="A151" s="335" t="s">
        <v>297</v>
      </c>
      <c r="B151" s="335" t="s">
        <v>56</v>
      </c>
      <c r="C151" s="335" t="s">
        <v>57</v>
      </c>
      <c r="D151" s="343" t="s">
        <v>63</v>
      </c>
      <c r="E151" s="336" t="s">
        <v>64</v>
      </c>
      <c r="F151" s="336" t="s">
        <v>60</v>
      </c>
      <c r="G151" s="337">
        <v>1</v>
      </c>
      <c r="H151" s="338">
        <v>0</v>
      </c>
      <c r="I151" s="339">
        <v>85927.097156571996</v>
      </c>
      <c r="J151" s="340">
        <v>85927.097156571996</v>
      </c>
      <c r="K151" s="335" t="s">
        <v>304</v>
      </c>
      <c r="L151" s="335">
        <v>2</v>
      </c>
      <c r="M151" s="335" t="s">
        <v>306</v>
      </c>
      <c r="N151" s="339">
        <v>15</v>
      </c>
      <c r="O151" s="341">
        <v>6.6666666666666693E-2</v>
      </c>
      <c r="P151" s="341" t="s">
        <v>25</v>
      </c>
      <c r="Q151" s="341">
        <v>0</v>
      </c>
      <c r="R151" s="342" t="s">
        <v>25</v>
      </c>
      <c r="S151" s="342" t="s">
        <v>25</v>
      </c>
    </row>
    <row r="152" spans="1:19" ht="15" customHeight="1" x14ac:dyDescent="0.3">
      <c r="A152" s="335" t="s">
        <v>307</v>
      </c>
      <c r="B152" s="335" t="s">
        <v>20</v>
      </c>
      <c r="C152" s="335"/>
      <c r="D152" s="335" t="s">
        <v>71</v>
      </c>
      <c r="E152" s="336" t="s">
        <v>72</v>
      </c>
      <c r="F152" s="336"/>
      <c r="G152" s="337">
        <v>1</v>
      </c>
      <c r="H152" s="338">
        <v>0</v>
      </c>
      <c r="I152" s="339">
        <v>2287.1357450968098</v>
      </c>
      <c r="J152" s="340">
        <v>2287.1357450968098</v>
      </c>
      <c r="K152" s="335" t="s">
        <v>308</v>
      </c>
      <c r="L152" s="335">
        <v>1</v>
      </c>
      <c r="M152" s="335" t="s">
        <v>309</v>
      </c>
      <c r="N152" s="339">
        <v>35</v>
      </c>
      <c r="O152" s="341">
        <v>1</v>
      </c>
      <c r="P152" s="341" t="s">
        <v>25</v>
      </c>
      <c r="Q152" s="341">
        <v>0</v>
      </c>
      <c r="R152" s="342" t="s">
        <v>25</v>
      </c>
      <c r="S152" s="342" t="s">
        <v>25</v>
      </c>
    </row>
    <row r="153" spans="1:19" ht="15" customHeight="1" x14ac:dyDescent="0.3">
      <c r="A153" s="335" t="s">
        <v>307</v>
      </c>
      <c r="B153" s="335" t="s">
        <v>20</v>
      </c>
      <c r="C153" s="335"/>
      <c r="D153" s="335" t="s">
        <v>74</v>
      </c>
      <c r="E153" s="336" t="s">
        <v>75</v>
      </c>
      <c r="F153" s="336"/>
      <c r="G153" s="337">
        <v>2</v>
      </c>
      <c r="H153" s="338">
        <v>0</v>
      </c>
      <c r="I153" s="339">
        <v>957.25319614994703</v>
      </c>
      <c r="J153" s="340">
        <v>1914.5063922999</v>
      </c>
      <c r="K153" s="335" t="s">
        <v>308</v>
      </c>
      <c r="L153" s="335">
        <v>2</v>
      </c>
      <c r="M153" s="335" t="s">
        <v>310</v>
      </c>
      <c r="N153" s="339">
        <v>35</v>
      </c>
      <c r="O153" s="341">
        <v>2</v>
      </c>
      <c r="P153" s="341" t="s">
        <v>25</v>
      </c>
      <c r="Q153" s="341">
        <v>0</v>
      </c>
      <c r="R153" s="342" t="s">
        <v>25</v>
      </c>
      <c r="S153" s="342" t="s">
        <v>25</v>
      </c>
    </row>
    <row r="154" spans="1:19" ht="15" customHeight="1" x14ac:dyDescent="0.3">
      <c r="A154" s="335" t="s">
        <v>307</v>
      </c>
      <c r="B154" s="335" t="s">
        <v>26</v>
      </c>
      <c r="C154" s="335" t="s">
        <v>27</v>
      </c>
      <c r="D154" s="335" t="s">
        <v>311</v>
      </c>
      <c r="E154" s="336" t="s">
        <v>312</v>
      </c>
      <c r="F154" s="336" t="s">
        <v>30</v>
      </c>
      <c r="G154" s="337">
        <v>2.4499999999999999E-3</v>
      </c>
      <c r="H154" s="338">
        <v>0.05</v>
      </c>
      <c r="I154" s="339">
        <v>252066.115702479</v>
      </c>
      <c r="J154" s="340">
        <v>648.44008264462695</v>
      </c>
      <c r="K154" s="335" t="s">
        <v>313</v>
      </c>
      <c r="L154" s="335">
        <v>1</v>
      </c>
      <c r="M154" s="335" t="s">
        <v>314</v>
      </c>
      <c r="N154" s="339">
        <v>35</v>
      </c>
      <c r="O154" s="341">
        <v>2.4499999999999999E-3</v>
      </c>
      <c r="P154" s="341" t="s">
        <v>25</v>
      </c>
      <c r="Q154" s="341">
        <v>0</v>
      </c>
      <c r="R154" s="342" t="s">
        <v>25</v>
      </c>
      <c r="S154" s="342" t="s">
        <v>25</v>
      </c>
    </row>
    <row r="155" spans="1:19" ht="15" customHeight="1" x14ac:dyDescent="0.3">
      <c r="A155" s="335" t="s">
        <v>307</v>
      </c>
      <c r="B155" s="335" t="s">
        <v>26</v>
      </c>
      <c r="C155" s="335" t="s">
        <v>27</v>
      </c>
      <c r="D155" s="335" t="s">
        <v>81</v>
      </c>
      <c r="E155" s="336" t="s">
        <v>82</v>
      </c>
      <c r="F155" s="336" t="s">
        <v>83</v>
      </c>
      <c r="G155" s="337">
        <v>5.9499999999999997E-2</v>
      </c>
      <c r="H155" s="338">
        <v>0.1</v>
      </c>
      <c r="I155" s="339">
        <v>32399.77</v>
      </c>
      <c r="J155" s="340">
        <v>2120.5649465000001</v>
      </c>
      <c r="K155" s="335" t="s">
        <v>313</v>
      </c>
      <c r="L155" s="335">
        <v>2</v>
      </c>
      <c r="M155" s="335" t="s">
        <v>315</v>
      </c>
      <c r="N155" s="339">
        <v>35</v>
      </c>
      <c r="O155" s="341">
        <v>5.9499999999999997E-2</v>
      </c>
      <c r="P155" s="341" t="s">
        <v>25</v>
      </c>
      <c r="Q155" s="341">
        <v>0</v>
      </c>
      <c r="R155" s="342" t="s">
        <v>25</v>
      </c>
      <c r="S155" s="342" t="s">
        <v>25</v>
      </c>
    </row>
    <row r="156" spans="1:19" ht="15" customHeight="1" x14ac:dyDescent="0.3">
      <c r="A156" s="335" t="s">
        <v>307</v>
      </c>
      <c r="B156" s="335" t="s">
        <v>26</v>
      </c>
      <c r="C156" s="335" t="s">
        <v>27</v>
      </c>
      <c r="D156" s="335" t="s">
        <v>85</v>
      </c>
      <c r="E156" s="336" t="s">
        <v>86</v>
      </c>
      <c r="F156" s="336" t="s">
        <v>87</v>
      </c>
      <c r="G156" s="337">
        <v>0.42</v>
      </c>
      <c r="H156" s="338">
        <v>0.1</v>
      </c>
      <c r="I156" s="339">
        <v>7809.48</v>
      </c>
      <c r="J156" s="340">
        <v>3607.9797600000002</v>
      </c>
      <c r="K156" s="335" t="s">
        <v>313</v>
      </c>
      <c r="L156" s="335">
        <v>3</v>
      </c>
      <c r="M156" s="335" t="s">
        <v>316</v>
      </c>
      <c r="N156" s="339">
        <v>35</v>
      </c>
      <c r="O156" s="341">
        <v>0.42</v>
      </c>
      <c r="P156" s="341" t="s">
        <v>25</v>
      </c>
      <c r="Q156" s="341">
        <v>0</v>
      </c>
      <c r="R156" s="342" t="s">
        <v>25</v>
      </c>
      <c r="S156" s="342" t="s">
        <v>25</v>
      </c>
    </row>
    <row r="157" spans="1:19" ht="15" customHeight="1" x14ac:dyDescent="0.3">
      <c r="A157" s="335" t="s">
        <v>307</v>
      </c>
      <c r="B157" s="335" t="s">
        <v>26</v>
      </c>
      <c r="C157" s="335" t="s">
        <v>27</v>
      </c>
      <c r="D157" s="335" t="s">
        <v>89</v>
      </c>
      <c r="E157" s="336" t="s">
        <v>90</v>
      </c>
      <c r="F157" s="336" t="s">
        <v>91</v>
      </c>
      <c r="G157" s="337">
        <v>0.14000000000000001</v>
      </c>
      <c r="H157" s="338">
        <v>0.1</v>
      </c>
      <c r="I157" s="339">
        <v>3837.96</v>
      </c>
      <c r="J157" s="340">
        <v>591.04584</v>
      </c>
      <c r="K157" s="335" t="s">
        <v>313</v>
      </c>
      <c r="L157" s="335">
        <v>4</v>
      </c>
      <c r="M157" s="335" t="s">
        <v>317</v>
      </c>
      <c r="N157" s="339">
        <v>35</v>
      </c>
      <c r="O157" s="341">
        <v>0.14000000000000001</v>
      </c>
      <c r="P157" s="341" t="s">
        <v>25</v>
      </c>
      <c r="Q157" s="341">
        <v>0</v>
      </c>
      <c r="R157" s="342" t="s">
        <v>25</v>
      </c>
      <c r="S157" s="342" t="s">
        <v>25</v>
      </c>
    </row>
    <row r="158" spans="1:19" ht="15" customHeight="1" x14ac:dyDescent="0.3">
      <c r="A158" s="335" t="s">
        <v>307</v>
      </c>
      <c r="B158" s="335" t="s">
        <v>56</v>
      </c>
      <c r="C158" s="335" t="s">
        <v>57</v>
      </c>
      <c r="D158" s="343" t="s">
        <v>58</v>
      </c>
      <c r="E158" s="336" t="s">
        <v>59</v>
      </c>
      <c r="F158" s="336" t="s">
        <v>60</v>
      </c>
      <c r="G158" s="337">
        <v>3</v>
      </c>
      <c r="H158" s="338">
        <v>0</v>
      </c>
      <c r="I158" s="339">
        <v>60860.580776572002</v>
      </c>
      <c r="J158" s="340">
        <v>182581.74232971601</v>
      </c>
      <c r="K158" s="335" t="s">
        <v>318</v>
      </c>
      <c r="L158" s="335">
        <v>1</v>
      </c>
      <c r="M158" s="335" t="s">
        <v>319</v>
      </c>
      <c r="N158" s="339">
        <v>35</v>
      </c>
      <c r="O158" s="341">
        <v>8.5714285714285701E-2</v>
      </c>
      <c r="P158" s="341" t="s">
        <v>25</v>
      </c>
      <c r="Q158" s="341">
        <v>0</v>
      </c>
      <c r="R158" s="342" t="s">
        <v>25</v>
      </c>
      <c r="S158" s="342" t="s">
        <v>25</v>
      </c>
    </row>
    <row r="159" spans="1:19" ht="15" customHeight="1" x14ac:dyDescent="0.3">
      <c r="A159" s="335" t="s">
        <v>307</v>
      </c>
      <c r="B159" s="335" t="s">
        <v>56</v>
      </c>
      <c r="C159" s="335" t="s">
        <v>57</v>
      </c>
      <c r="D159" s="343" t="s">
        <v>63</v>
      </c>
      <c r="E159" s="336" t="s">
        <v>64</v>
      </c>
      <c r="F159" s="336" t="s">
        <v>60</v>
      </c>
      <c r="G159" s="337">
        <v>2</v>
      </c>
      <c r="H159" s="338">
        <v>0</v>
      </c>
      <c r="I159" s="339">
        <v>85927.097156571996</v>
      </c>
      <c r="J159" s="340">
        <v>171854.19431314399</v>
      </c>
      <c r="K159" s="335" t="s">
        <v>318</v>
      </c>
      <c r="L159" s="335">
        <v>2</v>
      </c>
      <c r="M159" s="335" t="s">
        <v>320</v>
      </c>
      <c r="N159" s="339">
        <v>35</v>
      </c>
      <c r="O159" s="341">
        <v>5.7142857142857099E-2</v>
      </c>
      <c r="P159" s="341" t="s">
        <v>25</v>
      </c>
      <c r="Q159" s="341">
        <v>0</v>
      </c>
      <c r="R159" s="342" t="s">
        <v>25</v>
      </c>
      <c r="S159" s="342" t="s">
        <v>25</v>
      </c>
    </row>
    <row r="160" spans="1:19" ht="15" customHeight="1" x14ac:dyDescent="0.3">
      <c r="A160" s="335" t="s">
        <v>321</v>
      </c>
      <c r="B160" s="335" t="s">
        <v>20</v>
      </c>
      <c r="C160" s="335"/>
      <c r="D160" s="335" t="s">
        <v>71</v>
      </c>
      <c r="E160" s="336" t="s">
        <v>72</v>
      </c>
      <c r="F160" s="336"/>
      <c r="G160" s="337">
        <v>1</v>
      </c>
      <c r="H160" s="338">
        <v>0</v>
      </c>
      <c r="I160" s="339">
        <v>2287.1357450968098</v>
      </c>
      <c r="J160" s="340">
        <v>2287.1357450968098</v>
      </c>
      <c r="K160" s="335" t="s">
        <v>322</v>
      </c>
      <c r="L160" s="335">
        <v>1</v>
      </c>
      <c r="M160" s="335" t="s">
        <v>323</v>
      </c>
      <c r="N160" s="339">
        <v>15</v>
      </c>
      <c r="O160" s="341">
        <v>1</v>
      </c>
      <c r="P160" s="341" t="s">
        <v>25</v>
      </c>
      <c r="Q160" s="341">
        <v>0</v>
      </c>
      <c r="R160" s="342" t="s">
        <v>25</v>
      </c>
      <c r="S160" s="342" t="s">
        <v>25</v>
      </c>
    </row>
    <row r="161" spans="1:19" ht="15" customHeight="1" x14ac:dyDescent="0.3">
      <c r="A161" s="335" t="s">
        <v>321</v>
      </c>
      <c r="B161" s="335" t="s">
        <v>20</v>
      </c>
      <c r="C161" s="335"/>
      <c r="D161" s="335" t="s">
        <v>74</v>
      </c>
      <c r="E161" s="336" t="s">
        <v>75</v>
      </c>
      <c r="F161" s="336"/>
      <c r="G161" s="337">
        <v>1</v>
      </c>
      <c r="H161" s="338">
        <v>0</v>
      </c>
      <c r="I161" s="339">
        <v>957.25319614994703</v>
      </c>
      <c r="J161" s="340">
        <v>957.25319614994703</v>
      </c>
      <c r="K161" s="335" t="s">
        <v>322</v>
      </c>
      <c r="L161" s="335">
        <v>2</v>
      </c>
      <c r="M161" s="335" t="s">
        <v>324</v>
      </c>
      <c r="N161" s="339">
        <v>15</v>
      </c>
      <c r="O161" s="341">
        <v>1</v>
      </c>
      <c r="P161" s="341" t="s">
        <v>25</v>
      </c>
      <c r="Q161" s="341">
        <v>0</v>
      </c>
      <c r="R161" s="342" t="s">
        <v>25</v>
      </c>
      <c r="S161" s="342" t="s">
        <v>25</v>
      </c>
    </row>
    <row r="162" spans="1:19" ht="15" customHeight="1" x14ac:dyDescent="0.3">
      <c r="A162" s="335" t="s">
        <v>321</v>
      </c>
      <c r="B162" s="335" t="s">
        <v>26</v>
      </c>
      <c r="C162" s="335" t="s">
        <v>27</v>
      </c>
      <c r="D162" s="335" t="s">
        <v>81</v>
      </c>
      <c r="E162" s="336" t="s">
        <v>82</v>
      </c>
      <c r="F162" s="336" t="s">
        <v>83</v>
      </c>
      <c r="G162" s="337">
        <v>0.03</v>
      </c>
      <c r="H162" s="338">
        <v>0.1</v>
      </c>
      <c r="I162" s="339">
        <v>32399.77</v>
      </c>
      <c r="J162" s="340">
        <v>1069.1924100000001</v>
      </c>
      <c r="K162" s="335" t="s">
        <v>325</v>
      </c>
      <c r="L162" s="335">
        <v>1</v>
      </c>
      <c r="M162" s="335" t="s">
        <v>326</v>
      </c>
      <c r="N162" s="339">
        <v>15</v>
      </c>
      <c r="O162" s="341">
        <v>0.03</v>
      </c>
      <c r="P162" s="341" t="s">
        <v>25</v>
      </c>
      <c r="Q162" s="341">
        <v>0</v>
      </c>
      <c r="R162" s="342" t="s">
        <v>25</v>
      </c>
      <c r="S162" s="342" t="s">
        <v>25</v>
      </c>
    </row>
    <row r="163" spans="1:19" ht="15" customHeight="1" x14ac:dyDescent="0.3">
      <c r="A163" s="335" t="s">
        <v>321</v>
      </c>
      <c r="B163" s="335" t="s">
        <v>26</v>
      </c>
      <c r="C163" s="335" t="s">
        <v>27</v>
      </c>
      <c r="D163" s="335" t="s">
        <v>85</v>
      </c>
      <c r="E163" s="336" t="s">
        <v>86</v>
      </c>
      <c r="F163" s="336" t="s">
        <v>87</v>
      </c>
      <c r="G163" s="337">
        <v>0.27</v>
      </c>
      <c r="H163" s="338">
        <v>0.1</v>
      </c>
      <c r="I163" s="339">
        <v>7809.48</v>
      </c>
      <c r="J163" s="340">
        <v>2319.4155599999999</v>
      </c>
      <c r="K163" s="335" t="s">
        <v>325</v>
      </c>
      <c r="L163" s="335">
        <v>2</v>
      </c>
      <c r="M163" s="335" t="s">
        <v>327</v>
      </c>
      <c r="N163" s="339">
        <v>15</v>
      </c>
      <c r="O163" s="341">
        <v>0.27</v>
      </c>
      <c r="P163" s="341" t="s">
        <v>25</v>
      </c>
      <c r="Q163" s="341">
        <v>0</v>
      </c>
      <c r="R163" s="342" t="s">
        <v>25</v>
      </c>
      <c r="S163" s="342" t="s">
        <v>25</v>
      </c>
    </row>
    <row r="164" spans="1:19" ht="15" customHeight="1" x14ac:dyDescent="0.3">
      <c r="A164" s="335" t="s">
        <v>321</v>
      </c>
      <c r="B164" s="335" t="s">
        <v>26</v>
      </c>
      <c r="C164" s="335" t="s">
        <v>27</v>
      </c>
      <c r="D164" s="335" t="s">
        <v>165</v>
      </c>
      <c r="E164" s="336" t="s">
        <v>166</v>
      </c>
      <c r="F164" s="336" t="s">
        <v>167</v>
      </c>
      <c r="G164" s="337">
        <v>0.5</v>
      </c>
      <c r="H164" s="338">
        <v>0.05</v>
      </c>
      <c r="I164" s="339">
        <v>1256.1279999999999</v>
      </c>
      <c r="J164" s="340">
        <v>659.46720000000005</v>
      </c>
      <c r="K164" s="335" t="s">
        <v>325</v>
      </c>
      <c r="L164" s="335">
        <v>3</v>
      </c>
      <c r="M164" s="335" t="s">
        <v>328</v>
      </c>
      <c r="N164" s="339">
        <v>15</v>
      </c>
      <c r="O164" s="341">
        <v>0.5</v>
      </c>
      <c r="P164" s="341" t="s">
        <v>25</v>
      </c>
      <c r="Q164" s="341">
        <v>0</v>
      </c>
      <c r="R164" s="342" t="s">
        <v>25</v>
      </c>
      <c r="S164" s="342" t="s">
        <v>25</v>
      </c>
    </row>
    <row r="165" spans="1:19" ht="15" customHeight="1" x14ac:dyDescent="0.3">
      <c r="A165" s="335" t="s">
        <v>321</v>
      </c>
      <c r="B165" s="335" t="s">
        <v>56</v>
      </c>
      <c r="C165" s="335" t="s">
        <v>57</v>
      </c>
      <c r="D165" s="343" t="s">
        <v>58</v>
      </c>
      <c r="E165" s="336" t="s">
        <v>59</v>
      </c>
      <c r="F165" s="336" t="s">
        <v>60</v>
      </c>
      <c r="G165" s="337">
        <v>0.45</v>
      </c>
      <c r="H165" s="338">
        <v>0</v>
      </c>
      <c r="I165" s="339">
        <v>60860.580776572002</v>
      </c>
      <c r="J165" s="340">
        <v>27387.2613494574</v>
      </c>
      <c r="K165" s="335" t="s">
        <v>329</v>
      </c>
      <c r="L165" s="335">
        <v>1</v>
      </c>
      <c r="M165" s="335" t="s">
        <v>330</v>
      </c>
      <c r="N165" s="339">
        <v>15</v>
      </c>
      <c r="O165" s="341">
        <v>0.03</v>
      </c>
      <c r="P165" s="341" t="s">
        <v>25</v>
      </c>
      <c r="Q165" s="341">
        <v>0</v>
      </c>
      <c r="R165" s="342" t="s">
        <v>25</v>
      </c>
      <c r="S165" s="342" t="s">
        <v>25</v>
      </c>
    </row>
    <row r="166" spans="1:19" ht="15" customHeight="1" x14ac:dyDescent="0.3">
      <c r="A166" s="335" t="s">
        <v>321</v>
      </c>
      <c r="B166" s="335" t="s">
        <v>56</v>
      </c>
      <c r="C166" s="335" t="s">
        <v>57</v>
      </c>
      <c r="D166" s="343" t="s">
        <v>63</v>
      </c>
      <c r="E166" s="336" t="s">
        <v>64</v>
      </c>
      <c r="F166" s="336" t="s">
        <v>60</v>
      </c>
      <c r="G166" s="337">
        <v>1</v>
      </c>
      <c r="H166" s="338">
        <v>0</v>
      </c>
      <c r="I166" s="339">
        <v>85927.097156571996</v>
      </c>
      <c r="J166" s="340">
        <v>85927.097156571996</v>
      </c>
      <c r="K166" s="335" t="s">
        <v>329</v>
      </c>
      <c r="L166" s="335">
        <v>2</v>
      </c>
      <c r="M166" s="335" t="s">
        <v>331</v>
      </c>
      <c r="N166" s="339">
        <v>15</v>
      </c>
      <c r="O166" s="341">
        <v>6.6666666666666693E-2</v>
      </c>
      <c r="P166" s="341" t="s">
        <v>25</v>
      </c>
      <c r="Q166" s="341">
        <v>0</v>
      </c>
      <c r="R166" s="342" t="s">
        <v>25</v>
      </c>
      <c r="S166" s="342" t="s">
        <v>25</v>
      </c>
    </row>
    <row r="167" spans="1:19" ht="15" customHeight="1" x14ac:dyDescent="0.3">
      <c r="A167" s="335" t="s">
        <v>332</v>
      </c>
      <c r="B167" s="335" t="s">
        <v>20</v>
      </c>
      <c r="C167" s="335"/>
      <c r="D167" s="335" t="s">
        <v>71</v>
      </c>
      <c r="E167" s="336" t="s">
        <v>72</v>
      </c>
      <c r="F167" s="336"/>
      <c r="G167" s="337">
        <v>1</v>
      </c>
      <c r="H167" s="338">
        <v>0</v>
      </c>
      <c r="I167" s="339">
        <v>2287.1357450968098</v>
      </c>
      <c r="J167" s="340">
        <v>2287.1357450968098</v>
      </c>
      <c r="K167" s="335" t="s">
        <v>333</v>
      </c>
      <c r="L167" s="335">
        <v>1</v>
      </c>
      <c r="M167" s="335" t="s">
        <v>334</v>
      </c>
      <c r="N167" s="339">
        <v>11.5</v>
      </c>
      <c r="O167" s="341">
        <v>1</v>
      </c>
      <c r="P167" s="341" t="s">
        <v>25</v>
      </c>
      <c r="Q167" s="341">
        <v>0</v>
      </c>
      <c r="R167" s="342" t="s">
        <v>25</v>
      </c>
      <c r="S167" s="342" t="s">
        <v>25</v>
      </c>
    </row>
    <row r="168" spans="1:19" ht="15" customHeight="1" x14ac:dyDescent="0.3">
      <c r="A168" s="335" t="s">
        <v>332</v>
      </c>
      <c r="B168" s="335" t="s">
        <v>20</v>
      </c>
      <c r="C168" s="335"/>
      <c r="D168" s="335" t="s">
        <v>74</v>
      </c>
      <c r="E168" s="336" t="s">
        <v>75</v>
      </c>
      <c r="F168" s="336"/>
      <c r="G168" s="337">
        <v>1</v>
      </c>
      <c r="H168" s="338">
        <v>0</v>
      </c>
      <c r="I168" s="339">
        <v>957.25319614994703</v>
      </c>
      <c r="J168" s="340">
        <v>957.25319614994703</v>
      </c>
      <c r="K168" s="335" t="s">
        <v>333</v>
      </c>
      <c r="L168" s="335">
        <v>2</v>
      </c>
      <c r="M168" s="335" t="s">
        <v>335</v>
      </c>
      <c r="N168" s="339">
        <v>11.5</v>
      </c>
      <c r="O168" s="341">
        <v>1</v>
      </c>
      <c r="P168" s="341" t="s">
        <v>25</v>
      </c>
      <c r="Q168" s="341">
        <v>0</v>
      </c>
      <c r="R168" s="342" t="s">
        <v>25</v>
      </c>
      <c r="S168" s="342" t="s">
        <v>25</v>
      </c>
    </row>
    <row r="169" spans="1:19" ht="15" customHeight="1" x14ac:dyDescent="0.3">
      <c r="A169" s="335" t="s">
        <v>332</v>
      </c>
      <c r="B169" s="335" t="s">
        <v>26</v>
      </c>
      <c r="C169" s="335" t="s">
        <v>27</v>
      </c>
      <c r="D169" s="335" t="s">
        <v>81</v>
      </c>
      <c r="E169" s="336" t="s">
        <v>82</v>
      </c>
      <c r="F169" s="336" t="s">
        <v>83</v>
      </c>
      <c r="G169" s="337">
        <v>3.5999999999999997E-2</v>
      </c>
      <c r="H169" s="338">
        <v>0.1</v>
      </c>
      <c r="I169" s="339">
        <v>32399.77</v>
      </c>
      <c r="J169" s="340">
        <v>1283.030892</v>
      </c>
      <c r="K169" s="335" t="s">
        <v>336</v>
      </c>
      <c r="L169" s="335">
        <v>1</v>
      </c>
      <c r="M169" s="335" t="s">
        <v>337</v>
      </c>
      <c r="N169" s="339">
        <v>11.5</v>
      </c>
      <c r="O169" s="341">
        <v>3.5999999999999997E-2</v>
      </c>
      <c r="P169" s="341" t="s">
        <v>25</v>
      </c>
      <c r="Q169" s="341">
        <v>0</v>
      </c>
      <c r="R169" s="342" t="s">
        <v>25</v>
      </c>
      <c r="S169" s="342" t="s">
        <v>25</v>
      </c>
    </row>
    <row r="170" spans="1:19" ht="15" customHeight="1" x14ac:dyDescent="0.3">
      <c r="A170" s="335" t="s">
        <v>332</v>
      </c>
      <c r="B170" s="335" t="s">
        <v>26</v>
      </c>
      <c r="C170" s="335" t="s">
        <v>27</v>
      </c>
      <c r="D170" s="335" t="s">
        <v>85</v>
      </c>
      <c r="E170" s="336" t="s">
        <v>86</v>
      </c>
      <c r="F170" s="336" t="s">
        <v>87</v>
      </c>
      <c r="G170" s="337">
        <v>0.32400000000000001</v>
      </c>
      <c r="H170" s="338">
        <v>0.1</v>
      </c>
      <c r="I170" s="339">
        <v>7809.48</v>
      </c>
      <c r="J170" s="340">
        <v>2783.2986719999999</v>
      </c>
      <c r="K170" s="335" t="s">
        <v>336</v>
      </c>
      <c r="L170" s="335">
        <v>2</v>
      </c>
      <c r="M170" s="335" t="s">
        <v>338</v>
      </c>
      <c r="N170" s="339">
        <v>11.5</v>
      </c>
      <c r="O170" s="341">
        <v>0.32400000000000001</v>
      </c>
      <c r="P170" s="341" t="s">
        <v>25</v>
      </c>
      <c r="Q170" s="341">
        <v>0</v>
      </c>
      <c r="R170" s="342" t="s">
        <v>25</v>
      </c>
      <c r="S170" s="342" t="s">
        <v>25</v>
      </c>
    </row>
    <row r="171" spans="1:19" ht="15" customHeight="1" x14ac:dyDescent="0.3">
      <c r="A171" s="335" t="s">
        <v>332</v>
      </c>
      <c r="B171" s="335" t="s">
        <v>56</v>
      </c>
      <c r="C171" s="335" t="s">
        <v>57</v>
      </c>
      <c r="D171" s="343" t="s">
        <v>58</v>
      </c>
      <c r="E171" s="336" t="s">
        <v>59</v>
      </c>
      <c r="F171" s="336" t="s">
        <v>60</v>
      </c>
      <c r="G171" s="337">
        <v>0.5</v>
      </c>
      <c r="H171" s="338">
        <v>0</v>
      </c>
      <c r="I171" s="339">
        <v>60860.580776572002</v>
      </c>
      <c r="J171" s="340">
        <v>30430.290388286001</v>
      </c>
      <c r="K171" s="335" t="s">
        <v>339</v>
      </c>
      <c r="L171" s="335">
        <v>1</v>
      </c>
      <c r="M171" s="335" t="s">
        <v>340</v>
      </c>
      <c r="N171" s="339">
        <v>11.5</v>
      </c>
      <c r="O171" s="341">
        <v>4.3478260869565202E-2</v>
      </c>
      <c r="P171" s="341" t="s">
        <v>25</v>
      </c>
      <c r="Q171" s="341">
        <v>0</v>
      </c>
      <c r="R171" s="342" t="s">
        <v>25</v>
      </c>
      <c r="S171" s="342" t="s">
        <v>25</v>
      </c>
    </row>
    <row r="172" spans="1:19" ht="15" customHeight="1" x14ac:dyDescent="0.3">
      <c r="A172" s="335" t="s">
        <v>332</v>
      </c>
      <c r="B172" s="335" t="s">
        <v>56</v>
      </c>
      <c r="C172" s="335" t="s">
        <v>57</v>
      </c>
      <c r="D172" s="343" t="s">
        <v>63</v>
      </c>
      <c r="E172" s="336" t="s">
        <v>64</v>
      </c>
      <c r="F172" s="336" t="s">
        <v>60</v>
      </c>
      <c r="G172" s="337">
        <v>1</v>
      </c>
      <c r="H172" s="338">
        <v>0</v>
      </c>
      <c r="I172" s="339">
        <v>85927.097156571996</v>
      </c>
      <c r="J172" s="340">
        <v>85927.097156571996</v>
      </c>
      <c r="K172" s="335" t="s">
        <v>339</v>
      </c>
      <c r="L172" s="335">
        <v>2</v>
      </c>
      <c r="M172" s="335" t="s">
        <v>341</v>
      </c>
      <c r="N172" s="339">
        <v>11.5</v>
      </c>
      <c r="O172" s="341">
        <v>8.6956521739130405E-2</v>
      </c>
      <c r="P172" s="341" t="s">
        <v>25</v>
      </c>
      <c r="Q172" s="341">
        <v>0</v>
      </c>
      <c r="R172" s="342" t="s">
        <v>25</v>
      </c>
      <c r="S172" s="342" t="s">
        <v>25</v>
      </c>
    </row>
    <row r="173" spans="1:19" ht="15" customHeight="1" x14ac:dyDescent="0.3">
      <c r="A173" s="335" t="s">
        <v>342</v>
      </c>
      <c r="B173" s="335" t="s">
        <v>20</v>
      </c>
      <c r="C173" s="335"/>
      <c r="D173" s="335" t="s">
        <v>67</v>
      </c>
      <c r="E173" s="336" t="s">
        <v>68</v>
      </c>
      <c r="F173" s="336"/>
      <c r="G173" s="337">
        <v>0.5</v>
      </c>
      <c r="H173" s="338">
        <v>0</v>
      </c>
      <c r="I173" s="339">
        <v>571.17949098076099</v>
      </c>
      <c r="J173" s="340">
        <v>285.58974549038101</v>
      </c>
      <c r="K173" s="335" t="s">
        <v>343</v>
      </c>
      <c r="L173" s="335">
        <v>1</v>
      </c>
      <c r="M173" s="335" t="s">
        <v>344</v>
      </c>
      <c r="N173" s="339">
        <v>15</v>
      </c>
      <c r="O173" s="341">
        <v>0.5</v>
      </c>
      <c r="P173" s="341" t="s">
        <v>25</v>
      </c>
      <c r="Q173" s="341">
        <v>0</v>
      </c>
      <c r="R173" s="342" t="s">
        <v>25</v>
      </c>
      <c r="S173" s="342" t="s">
        <v>25</v>
      </c>
    </row>
    <row r="174" spans="1:19" ht="15" customHeight="1" x14ac:dyDescent="0.3">
      <c r="A174" s="335" t="s">
        <v>342</v>
      </c>
      <c r="B174" s="335" t="s">
        <v>20</v>
      </c>
      <c r="C174" s="335"/>
      <c r="D174" s="335" t="s">
        <v>71</v>
      </c>
      <c r="E174" s="336" t="s">
        <v>72</v>
      </c>
      <c r="F174" s="336"/>
      <c r="G174" s="337">
        <v>1</v>
      </c>
      <c r="H174" s="338">
        <v>0</v>
      </c>
      <c r="I174" s="339">
        <v>2287.1357450968098</v>
      </c>
      <c r="J174" s="340">
        <v>2287.1357450968098</v>
      </c>
      <c r="K174" s="335" t="s">
        <v>343</v>
      </c>
      <c r="L174" s="335">
        <v>2</v>
      </c>
      <c r="M174" s="335" t="s">
        <v>345</v>
      </c>
      <c r="N174" s="339">
        <v>15</v>
      </c>
      <c r="O174" s="341">
        <v>1</v>
      </c>
      <c r="P174" s="341" t="s">
        <v>25</v>
      </c>
      <c r="Q174" s="341">
        <v>0</v>
      </c>
      <c r="R174" s="342" t="s">
        <v>25</v>
      </c>
      <c r="S174" s="342" t="s">
        <v>25</v>
      </c>
    </row>
    <row r="175" spans="1:19" ht="15" customHeight="1" x14ac:dyDescent="0.3">
      <c r="A175" s="335" t="s">
        <v>342</v>
      </c>
      <c r="B175" s="335" t="s">
        <v>20</v>
      </c>
      <c r="C175" s="335"/>
      <c r="D175" s="335" t="s">
        <v>74</v>
      </c>
      <c r="E175" s="336" t="s">
        <v>75</v>
      </c>
      <c r="F175" s="336"/>
      <c r="G175" s="337">
        <v>1</v>
      </c>
      <c r="H175" s="338">
        <v>0</v>
      </c>
      <c r="I175" s="339">
        <v>957.25319614994703</v>
      </c>
      <c r="J175" s="340">
        <v>957.25319614994703</v>
      </c>
      <c r="K175" s="335" t="s">
        <v>343</v>
      </c>
      <c r="L175" s="335">
        <v>3</v>
      </c>
      <c r="M175" s="335" t="s">
        <v>346</v>
      </c>
      <c r="N175" s="339">
        <v>15</v>
      </c>
      <c r="O175" s="341">
        <v>1</v>
      </c>
      <c r="P175" s="341" t="s">
        <v>25</v>
      </c>
      <c r="Q175" s="341">
        <v>0</v>
      </c>
      <c r="R175" s="342" t="s">
        <v>25</v>
      </c>
      <c r="S175" s="342" t="s">
        <v>25</v>
      </c>
    </row>
    <row r="176" spans="1:19" ht="15" customHeight="1" x14ac:dyDescent="0.3">
      <c r="A176" s="335" t="s">
        <v>342</v>
      </c>
      <c r="B176" s="335" t="s">
        <v>26</v>
      </c>
      <c r="C176" s="335" t="s">
        <v>27</v>
      </c>
      <c r="D176" s="335" t="s">
        <v>77</v>
      </c>
      <c r="E176" s="336" t="s">
        <v>78</v>
      </c>
      <c r="F176" s="336" t="s">
        <v>35</v>
      </c>
      <c r="G176" s="337">
        <v>0.17</v>
      </c>
      <c r="H176" s="338">
        <v>0.1</v>
      </c>
      <c r="I176" s="339">
        <v>3424.53</v>
      </c>
      <c r="J176" s="340">
        <v>640.38711000000001</v>
      </c>
      <c r="K176" s="335" t="s">
        <v>347</v>
      </c>
      <c r="L176" s="335">
        <v>1</v>
      </c>
      <c r="M176" s="335" t="s">
        <v>348</v>
      </c>
      <c r="N176" s="339">
        <v>15</v>
      </c>
      <c r="O176" s="341">
        <v>0.17</v>
      </c>
      <c r="P176" s="341" t="s">
        <v>25</v>
      </c>
      <c r="Q176" s="341">
        <v>0</v>
      </c>
      <c r="R176" s="342" t="s">
        <v>25</v>
      </c>
      <c r="S176" s="342" t="s">
        <v>25</v>
      </c>
    </row>
    <row r="177" spans="1:19" ht="15" customHeight="1" x14ac:dyDescent="0.3">
      <c r="A177" s="335" t="s">
        <v>342</v>
      </c>
      <c r="B177" s="335" t="s">
        <v>26</v>
      </c>
      <c r="C177" s="335" t="s">
        <v>27</v>
      </c>
      <c r="D177" s="335" t="s">
        <v>81</v>
      </c>
      <c r="E177" s="336" t="s">
        <v>82</v>
      </c>
      <c r="F177" s="336" t="s">
        <v>83</v>
      </c>
      <c r="G177" s="337">
        <v>0.03</v>
      </c>
      <c r="H177" s="338">
        <v>0.05</v>
      </c>
      <c r="I177" s="339">
        <v>32399.77</v>
      </c>
      <c r="J177" s="340">
        <v>1020.592755</v>
      </c>
      <c r="K177" s="335" t="s">
        <v>347</v>
      </c>
      <c r="L177" s="335">
        <v>2</v>
      </c>
      <c r="M177" s="335" t="s">
        <v>349</v>
      </c>
      <c r="N177" s="339">
        <v>15</v>
      </c>
      <c r="O177" s="341">
        <v>0.03</v>
      </c>
      <c r="P177" s="341" t="s">
        <v>25</v>
      </c>
      <c r="Q177" s="341">
        <v>0</v>
      </c>
      <c r="R177" s="342" t="s">
        <v>25</v>
      </c>
      <c r="S177" s="342" t="s">
        <v>25</v>
      </c>
    </row>
    <row r="178" spans="1:19" ht="15" customHeight="1" x14ac:dyDescent="0.3">
      <c r="A178" s="335" t="s">
        <v>342</v>
      </c>
      <c r="B178" s="335" t="s">
        <v>26</v>
      </c>
      <c r="C178" s="335" t="s">
        <v>27</v>
      </c>
      <c r="D178" s="335" t="s">
        <v>85</v>
      </c>
      <c r="E178" s="336" t="s">
        <v>86</v>
      </c>
      <c r="F178" s="336" t="s">
        <v>87</v>
      </c>
      <c r="G178" s="337">
        <v>0.125</v>
      </c>
      <c r="H178" s="338">
        <v>0.03</v>
      </c>
      <c r="I178" s="339">
        <v>7809.48</v>
      </c>
      <c r="J178" s="340">
        <v>1005.47055</v>
      </c>
      <c r="K178" s="335" t="s">
        <v>347</v>
      </c>
      <c r="L178" s="335">
        <v>3</v>
      </c>
      <c r="M178" s="335" t="s">
        <v>350</v>
      </c>
      <c r="N178" s="339">
        <v>15</v>
      </c>
      <c r="O178" s="341">
        <v>0.125</v>
      </c>
      <c r="P178" s="341" t="s">
        <v>25</v>
      </c>
      <c r="Q178" s="341">
        <v>0</v>
      </c>
      <c r="R178" s="342" t="s">
        <v>25</v>
      </c>
      <c r="S178" s="342" t="s">
        <v>25</v>
      </c>
    </row>
    <row r="179" spans="1:19" ht="15" customHeight="1" x14ac:dyDescent="0.3">
      <c r="A179" s="335" t="s">
        <v>342</v>
      </c>
      <c r="B179" s="335" t="s">
        <v>26</v>
      </c>
      <c r="C179" s="335" t="s">
        <v>27</v>
      </c>
      <c r="D179" s="335" t="s">
        <v>89</v>
      </c>
      <c r="E179" s="336" t="s">
        <v>90</v>
      </c>
      <c r="F179" s="336" t="s">
        <v>91</v>
      </c>
      <c r="G179" s="337">
        <v>0.25</v>
      </c>
      <c r="H179" s="338">
        <v>0.05</v>
      </c>
      <c r="I179" s="339">
        <v>3837.96</v>
      </c>
      <c r="J179" s="340">
        <v>1007.4645</v>
      </c>
      <c r="K179" s="335" t="s">
        <v>347</v>
      </c>
      <c r="L179" s="335">
        <v>4</v>
      </c>
      <c r="M179" s="335" t="s">
        <v>351</v>
      </c>
      <c r="N179" s="339">
        <v>15</v>
      </c>
      <c r="O179" s="341">
        <v>0.25</v>
      </c>
      <c r="P179" s="341" t="s">
        <v>25</v>
      </c>
      <c r="Q179" s="341">
        <v>0</v>
      </c>
      <c r="R179" s="342" t="s">
        <v>25</v>
      </c>
      <c r="S179" s="342" t="s">
        <v>25</v>
      </c>
    </row>
    <row r="180" spans="1:19" ht="15" customHeight="1" x14ac:dyDescent="0.3">
      <c r="A180" s="335" t="s">
        <v>342</v>
      </c>
      <c r="B180" s="335" t="s">
        <v>26</v>
      </c>
      <c r="C180" s="335" t="s">
        <v>27</v>
      </c>
      <c r="D180" s="335" t="s">
        <v>148</v>
      </c>
      <c r="E180" s="336" t="s">
        <v>149</v>
      </c>
      <c r="F180" s="336" t="s">
        <v>35</v>
      </c>
      <c r="G180" s="337">
        <v>15</v>
      </c>
      <c r="H180" s="338">
        <v>0.05</v>
      </c>
      <c r="I180" s="339">
        <v>519.12</v>
      </c>
      <c r="J180" s="340">
        <v>8176.14</v>
      </c>
      <c r="K180" s="335" t="s">
        <v>347</v>
      </c>
      <c r="L180" s="335">
        <v>5</v>
      </c>
      <c r="M180" s="335" t="s">
        <v>352</v>
      </c>
      <c r="N180" s="339">
        <v>15</v>
      </c>
      <c r="O180" s="341">
        <v>15</v>
      </c>
      <c r="P180" s="341" t="s">
        <v>25</v>
      </c>
      <c r="Q180" s="341">
        <v>0</v>
      </c>
      <c r="R180" s="342" t="s">
        <v>25</v>
      </c>
      <c r="S180" s="342" t="s">
        <v>25</v>
      </c>
    </row>
    <row r="181" spans="1:19" ht="15" customHeight="1" x14ac:dyDescent="0.3">
      <c r="A181" s="335" t="s">
        <v>342</v>
      </c>
      <c r="B181" s="335" t="s">
        <v>56</v>
      </c>
      <c r="C181" s="335" t="s">
        <v>57</v>
      </c>
      <c r="D181" s="343" t="s">
        <v>58</v>
      </c>
      <c r="E181" s="336" t="s">
        <v>59</v>
      </c>
      <c r="F181" s="336" t="s">
        <v>60</v>
      </c>
      <c r="G181" s="337">
        <v>1</v>
      </c>
      <c r="H181" s="338">
        <v>0</v>
      </c>
      <c r="I181" s="339">
        <v>60860.580776572002</v>
      </c>
      <c r="J181" s="340">
        <v>60860.580776572002</v>
      </c>
      <c r="K181" s="335" t="s">
        <v>353</v>
      </c>
      <c r="L181" s="335">
        <v>1</v>
      </c>
      <c r="M181" s="335" t="s">
        <v>354</v>
      </c>
      <c r="N181" s="339">
        <v>15</v>
      </c>
      <c r="O181" s="341">
        <v>6.6666666666666693E-2</v>
      </c>
      <c r="P181" s="341" t="s">
        <v>25</v>
      </c>
      <c r="Q181" s="341">
        <v>0</v>
      </c>
      <c r="R181" s="342" t="s">
        <v>25</v>
      </c>
      <c r="S181" s="342" t="s">
        <v>25</v>
      </c>
    </row>
    <row r="182" spans="1:19" ht="15" customHeight="1" x14ac:dyDescent="0.3">
      <c r="A182" s="335" t="s">
        <v>342</v>
      </c>
      <c r="B182" s="335" t="s">
        <v>56</v>
      </c>
      <c r="C182" s="335" t="s">
        <v>57</v>
      </c>
      <c r="D182" s="343" t="s">
        <v>63</v>
      </c>
      <c r="E182" s="336" t="s">
        <v>64</v>
      </c>
      <c r="F182" s="336" t="s">
        <v>60</v>
      </c>
      <c r="G182" s="337">
        <v>1</v>
      </c>
      <c r="H182" s="338">
        <v>0</v>
      </c>
      <c r="I182" s="339">
        <v>85927.097156571996</v>
      </c>
      <c r="J182" s="340">
        <v>85927.097156571996</v>
      </c>
      <c r="K182" s="335" t="s">
        <v>353</v>
      </c>
      <c r="L182" s="335">
        <v>2</v>
      </c>
      <c r="M182" s="335" t="s">
        <v>355</v>
      </c>
      <c r="N182" s="339">
        <v>15</v>
      </c>
      <c r="O182" s="341">
        <v>6.6666666666666693E-2</v>
      </c>
      <c r="P182" s="341" t="s">
        <v>25</v>
      </c>
      <c r="Q182" s="341">
        <v>0</v>
      </c>
      <c r="R182" s="342" t="s">
        <v>25</v>
      </c>
      <c r="S182" s="342" t="s">
        <v>25</v>
      </c>
    </row>
    <row r="183" spans="1:19" ht="15" customHeight="1" x14ac:dyDescent="0.3">
      <c r="A183" s="335" t="s">
        <v>356</v>
      </c>
      <c r="B183" s="335" t="s">
        <v>20</v>
      </c>
      <c r="C183" s="335"/>
      <c r="D183" s="335" t="s">
        <v>21</v>
      </c>
      <c r="E183" s="336" t="s">
        <v>22</v>
      </c>
      <c r="F183" s="336"/>
      <c r="G183" s="337">
        <v>1</v>
      </c>
      <c r="H183" s="338">
        <v>0</v>
      </c>
      <c r="I183" s="339">
        <v>804.50568716119994</v>
      </c>
      <c r="J183" s="340">
        <v>804.50568716119994</v>
      </c>
      <c r="K183" s="335" t="s">
        <v>357</v>
      </c>
      <c r="L183" s="335">
        <v>1</v>
      </c>
      <c r="M183" s="335" t="s">
        <v>358</v>
      </c>
      <c r="N183" s="339">
        <v>25</v>
      </c>
      <c r="O183" s="341">
        <v>1</v>
      </c>
      <c r="P183" s="341" t="s">
        <v>25</v>
      </c>
      <c r="Q183" s="341">
        <v>0</v>
      </c>
      <c r="R183" s="342" t="s">
        <v>25</v>
      </c>
      <c r="S183" s="342" t="s">
        <v>25</v>
      </c>
    </row>
    <row r="184" spans="1:19" ht="15" customHeight="1" x14ac:dyDescent="0.3">
      <c r="A184" s="335" t="s">
        <v>356</v>
      </c>
      <c r="B184" s="335" t="s">
        <v>26</v>
      </c>
      <c r="C184" s="335" t="s">
        <v>27</v>
      </c>
      <c r="D184" s="335" t="s">
        <v>28</v>
      </c>
      <c r="E184" s="336" t="s">
        <v>29</v>
      </c>
      <c r="F184" s="336" t="s">
        <v>30</v>
      </c>
      <c r="G184" s="337">
        <v>0.01</v>
      </c>
      <c r="H184" s="338">
        <v>0.05</v>
      </c>
      <c r="I184" s="339">
        <v>26907.33</v>
      </c>
      <c r="J184" s="340">
        <v>282.52696500000002</v>
      </c>
      <c r="K184" s="335" t="s">
        <v>359</v>
      </c>
      <c r="L184" s="335">
        <v>1</v>
      </c>
      <c r="M184" s="335" t="s">
        <v>360</v>
      </c>
      <c r="N184" s="339">
        <v>25</v>
      </c>
      <c r="O184" s="341">
        <v>0.01</v>
      </c>
      <c r="P184" s="341" t="s">
        <v>25</v>
      </c>
      <c r="Q184" s="341">
        <v>0</v>
      </c>
      <c r="R184" s="342" t="s">
        <v>25</v>
      </c>
      <c r="S184" s="342" t="s">
        <v>25</v>
      </c>
    </row>
    <row r="185" spans="1:19" ht="15" customHeight="1" x14ac:dyDescent="0.3">
      <c r="A185" s="335" t="s">
        <v>356</v>
      </c>
      <c r="B185" s="335" t="s">
        <v>26</v>
      </c>
      <c r="C185" s="335" t="s">
        <v>27</v>
      </c>
      <c r="D185" s="335" t="s">
        <v>33</v>
      </c>
      <c r="E185" s="336" t="s">
        <v>34</v>
      </c>
      <c r="F185" s="336" t="s">
        <v>35</v>
      </c>
      <c r="G185" s="337">
        <v>0.02</v>
      </c>
      <c r="H185" s="338">
        <v>0.05</v>
      </c>
      <c r="I185" s="339">
        <v>735.06</v>
      </c>
      <c r="J185" s="340">
        <v>15.436260000000001</v>
      </c>
      <c r="K185" s="335" t="s">
        <v>359</v>
      </c>
      <c r="L185" s="335">
        <v>2</v>
      </c>
      <c r="M185" s="335" t="s">
        <v>361</v>
      </c>
      <c r="N185" s="339">
        <v>25</v>
      </c>
      <c r="O185" s="341">
        <v>0.02</v>
      </c>
      <c r="P185" s="341" t="s">
        <v>25</v>
      </c>
      <c r="Q185" s="341">
        <v>0</v>
      </c>
      <c r="R185" s="342" t="s">
        <v>25</v>
      </c>
      <c r="S185" s="342" t="s">
        <v>25</v>
      </c>
    </row>
    <row r="186" spans="1:19" ht="15" customHeight="1" x14ac:dyDescent="0.3">
      <c r="A186" s="335" t="s">
        <v>356</v>
      </c>
      <c r="B186" s="335" t="s">
        <v>26</v>
      </c>
      <c r="C186" s="335" t="s">
        <v>27</v>
      </c>
      <c r="D186" s="335" t="s">
        <v>37</v>
      </c>
      <c r="E186" s="336" t="s">
        <v>38</v>
      </c>
      <c r="F186" s="336" t="s">
        <v>35</v>
      </c>
      <c r="G186" s="337">
        <v>0.01</v>
      </c>
      <c r="H186" s="338">
        <v>0.05</v>
      </c>
      <c r="I186" s="339">
        <v>6678.36</v>
      </c>
      <c r="J186" s="340">
        <v>70.122780000000006</v>
      </c>
      <c r="K186" s="335" t="s">
        <v>359</v>
      </c>
      <c r="L186" s="335">
        <v>3</v>
      </c>
      <c r="M186" s="335" t="s">
        <v>362</v>
      </c>
      <c r="N186" s="339">
        <v>25</v>
      </c>
      <c r="O186" s="341">
        <v>0.01</v>
      </c>
      <c r="P186" s="341" t="s">
        <v>25</v>
      </c>
      <c r="Q186" s="341">
        <v>0</v>
      </c>
      <c r="R186" s="342" t="s">
        <v>25</v>
      </c>
      <c r="S186" s="342" t="s">
        <v>25</v>
      </c>
    </row>
    <row r="187" spans="1:19" ht="15" customHeight="1" x14ac:dyDescent="0.3">
      <c r="A187" s="335" t="s">
        <v>356</v>
      </c>
      <c r="B187" s="335" t="s">
        <v>26</v>
      </c>
      <c r="C187" s="335" t="s">
        <v>27</v>
      </c>
      <c r="D187" s="335" t="s">
        <v>40</v>
      </c>
      <c r="E187" s="336" t="s">
        <v>41</v>
      </c>
      <c r="F187" s="336" t="s">
        <v>35</v>
      </c>
      <c r="G187" s="337">
        <v>0.02</v>
      </c>
      <c r="H187" s="338">
        <v>0.05</v>
      </c>
      <c r="I187" s="339">
        <v>5282.24</v>
      </c>
      <c r="J187" s="340">
        <v>110.92704000000001</v>
      </c>
      <c r="K187" s="335" t="s">
        <v>359</v>
      </c>
      <c r="L187" s="335">
        <v>4</v>
      </c>
      <c r="M187" s="335" t="s">
        <v>363</v>
      </c>
      <c r="N187" s="339">
        <v>25</v>
      </c>
      <c r="O187" s="341">
        <v>0.02</v>
      </c>
      <c r="P187" s="341" t="s">
        <v>25</v>
      </c>
      <c r="Q187" s="341">
        <v>0</v>
      </c>
      <c r="R187" s="342" t="s">
        <v>25</v>
      </c>
      <c r="S187" s="342" t="s">
        <v>25</v>
      </c>
    </row>
    <row r="188" spans="1:19" ht="15" customHeight="1" x14ac:dyDescent="0.3">
      <c r="A188" s="335" t="s">
        <v>356</v>
      </c>
      <c r="B188" s="335" t="s">
        <v>26</v>
      </c>
      <c r="C188" s="335" t="s">
        <v>27</v>
      </c>
      <c r="D188" s="335" t="s">
        <v>43</v>
      </c>
      <c r="E188" s="336" t="s">
        <v>44</v>
      </c>
      <c r="F188" s="336" t="s">
        <v>45</v>
      </c>
      <c r="G188" s="337">
        <v>0.06</v>
      </c>
      <c r="H188" s="338">
        <v>0.05</v>
      </c>
      <c r="I188" s="339">
        <v>4842</v>
      </c>
      <c r="J188" s="340">
        <v>305.04599999999999</v>
      </c>
      <c r="K188" s="335" t="s">
        <v>359</v>
      </c>
      <c r="L188" s="335">
        <v>5</v>
      </c>
      <c r="M188" s="335" t="s">
        <v>364</v>
      </c>
      <c r="N188" s="339">
        <v>25</v>
      </c>
      <c r="O188" s="341">
        <v>0.06</v>
      </c>
      <c r="P188" s="341" t="s">
        <v>25</v>
      </c>
      <c r="Q188" s="341">
        <v>0</v>
      </c>
      <c r="R188" s="342" t="s">
        <v>25</v>
      </c>
      <c r="S188" s="342" t="s">
        <v>25</v>
      </c>
    </row>
    <row r="189" spans="1:19" ht="15" customHeight="1" x14ac:dyDescent="0.3">
      <c r="A189" s="335" t="s">
        <v>356</v>
      </c>
      <c r="B189" s="335" t="s">
        <v>26</v>
      </c>
      <c r="C189" s="335" t="s">
        <v>27</v>
      </c>
      <c r="D189" s="335" t="s">
        <v>47</v>
      </c>
      <c r="E189" s="336" t="s">
        <v>48</v>
      </c>
      <c r="F189" s="336" t="s">
        <v>35</v>
      </c>
      <c r="G189" s="337">
        <v>0.02</v>
      </c>
      <c r="H189" s="338">
        <v>0.05</v>
      </c>
      <c r="I189" s="339">
        <v>12396.694214876001</v>
      </c>
      <c r="J189" s="340">
        <v>260.33057851239602</v>
      </c>
      <c r="K189" s="335" t="s">
        <v>359</v>
      </c>
      <c r="L189" s="335">
        <v>6</v>
      </c>
      <c r="M189" s="335" t="s">
        <v>365</v>
      </c>
      <c r="N189" s="339">
        <v>25</v>
      </c>
      <c r="O189" s="341">
        <v>0.02</v>
      </c>
      <c r="P189" s="341" t="s">
        <v>25</v>
      </c>
      <c r="Q189" s="341">
        <v>0</v>
      </c>
      <c r="R189" s="342" t="s">
        <v>25</v>
      </c>
      <c r="S189" s="342" t="s">
        <v>25</v>
      </c>
    </row>
    <row r="190" spans="1:19" ht="15" customHeight="1" x14ac:dyDescent="0.3">
      <c r="A190" s="335" t="s">
        <v>356</v>
      </c>
      <c r="B190" s="335" t="s">
        <v>26</v>
      </c>
      <c r="C190" s="335" t="s">
        <v>27</v>
      </c>
      <c r="D190" s="335" t="s">
        <v>50</v>
      </c>
      <c r="E190" s="336" t="s">
        <v>51</v>
      </c>
      <c r="F190" s="336" t="s">
        <v>30</v>
      </c>
      <c r="G190" s="337">
        <v>2.7777777777777801E-2</v>
      </c>
      <c r="H190" s="338">
        <v>0.1</v>
      </c>
      <c r="I190" s="339">
        <v>32845.78</v>
      </c>
      <c r="J190" s="340">
        <v>1003.62105555556</v>
      </c>
      <c r="K190" s="335" t="s">
        <v>359</v>
      </c>
      <c r="L190" s="335">
        <v>7</v>
      </c>
      <c r="M190" s="335" t="s">
        <v>366</v>
      </c>
      <c r="N190" s="339">
        <v>25</v>
      </c>
      <c r="O190" s="341">
        <v>2.7777777777777801E-2</v>
      </c>
      <c r="P190" s="341" t="s">
        <v>25</v>
      </c>
      <c r="Q190" s="341">
        <v>0</v>
      </c>
      <c r="R190" s="342" t="s">
        <v>25</v>
      </c>
      <c r="S190" s="342" t="s">
        <v>25</v>
      </c>
    </row>
    <row r="191" spans="1:19" ht="15" customHeight="1" x14ac:dyDescent="0.3">
      <c r="A191" s="335" t="s">
        <v>356</v>
      </c>
      <c r="B191" s="335" t="s">
        <v>26</v>
      </c>
      <c r="C191" s="335" t="s">
        <v>27</v>
      </c>
      <c r="D191" s="335" t="s">
        <v>53</v>
      </c>
      <c r="E191" s="336" t="s">
        <v>54</v>
      </c>
      <c r="F191" s="336" t="s">
        <v>35</v>
      </c>
      <c r="G191" s="337">
        <v>0.1</v>
      </c>
      <c r="H191" s="338">
        <v>0.1</v>
      </c>
      <c r="I191" s="339">
        <v>70192.210000000006</v>
      </c>
      <c r="J191" s="340">
        <v>7721.1431000000002</v>
      </c>
      <c r="K191" s="335" t="s">
        <v>359</v>
      </c>
      <c r="L191" s="335">
        <v>8</v>
      </c>
      <c r="M191" s="335" t="s">
        <v>367</v>
      </c>
      <c r="N191" s="339">
        <v>25</v>
      </c>
      <c r="O191" s="341">
        <v>0.1</v>
      </c>
      <c r="P191" s="341" t="s">
        <v>25</v>
      </c>
      <c r="Q191" s="341">
        <v>0</v>
      </c>
      <c r="R191" s="342" t="s">
        <v>25</v>
      </c>
      <c r="S191" s="342" t="s">
        <v>25</v>
      </c>
    </row>
    <row r="192" spans="1:19" ht="15" customHeight="1" x14ac:dyDescent="0.3">
      <c r="A192" s="335" t="s">
        <v>356</v>
      </c>
      <c r="B192" s="335" t="s">
        <v>56</v>
      </c>
      <c r="C192" s="335" t="s">
        <v>57</v>
      </c>
      <c r="D192" s="343" t="s">
        <v>58</v>
      </c>
      <c r="E192" s="336" t="s">
        <v>59</v>
      </c>
      <c r="F192" s="336" t="s">
        <v>60</v>
      </c>
      <c r="G192" s="337">
        <v>1</v>
      </c>
      <c r="H192" s="338">
        <v>0</v>
      </c>
      <c r="I192" s="339">
        <v>60860.580776572002</v>
      </c>
      <c r="J192" s="340">
        <v>60860.580776572002</v>
      </c>
      <c r="K192" s="335" t="s">
        <v>368</v>
      </c>
      <c r="L192" s="335">
        <v>1</v>
      </c>
      <c r="M192" s="335" t="s">
        <v>369</v>
      </c>
      <c r="N192" s="339">
        <v>25</v>
      </c>
      <c r="O192" s="341">
        <v>0.04</v>
      </c>
      <c r="P192" s="341" t="s">
        <v>25</v>
      </c>
      <c r="Q192" s="341">
        <v>0</v>
      </c>
      <c r="R192" s="342" t="s">
        <v>25</v>
      </c>
      <c r="S192" s="342" t="s">
        <v>25</v>
      </c>
    </row>
    <row r="193" spans="1:19" ht="15" customHeight="1" x14ac:dyDescent="0.3">
      <c r="A193" s="335" t="s">
        <v>356</v>
      </c>
      <c r="B193" s="335" t="s">
        <v>56</v>
      </c>
      <c r="C193" s="335" t="s">
        <v>57</v>
      </c>
      <c r="D193" s="343" t="s">
        <v>63</v>
      </c>
      <c r="E193" s="336" t="s">
        <v>64</v>
      </c>
      <c r="F193" s="336" t="s">
        <v>60</v>
      </c>
      <c r="G193" s="337">
        <v>1</v>
      </c>
      <c r="H193" s="338">
        <v>0</v>
      </c>
      <c r="I193" s="339">
        <v>85927.097156571996</v>
      </c>
      <c r="J193" s="340">
        <v>85927.097156571996</v>
      </c>
      <c r="K193" s="335" t="s">
        <v>368</v>
      </c>
      <c r="L193" s="335">
        <v>2</v>
      </c>
      <c r="M193" s="335" t="s">
        <v>370</v>
      </c>
      <c r="N193" s="339">
        <v>25</v>
      </c>
      <c r="O193" s="341">
        <v>0.04</v>
      </c>
      <c r="P193" s="341" t="s">
        <v>25</v>
      </c>
      <c r="Q193" s="341">
        <v>0</v>
      </c>
      <c r="R193" s="342" t="s">
        <v>25</v>
      </c>
      <c r="S193" s="342" t="s">
        <v>25</v>
      </c>
    </row>
    <row r="194" spans="1:19" ht="15" customHeight="1" x14ac:dyDescent="0.3">
      <c r="A194" s="335" t="s">
        <v>371</v>
      </c>
      <c r="B194" s="335" t="s">
        <v>20</v>
      </c>
      <c r="C194" s="335"/>
      <c r="D194" s="335" t="s">
        <v>372</v>
      </c>
      <c r="E194" s="336" t="s">
        <v>373</v>
      </c>
      <c r="F194" s="336"/>
      <c r="G194" s="337">
        <v>1</v>
      </c>
      <c r="H194" s="338">
        <v>0</v>
      </c>
      <c r="I194" s="339">
        <v>1723.6259595547101</v>
      </c>
      <c r="J194" s="340">
        <v>1723.6259595547101</v>
      </c>
      <c r="K194" s="335" t="s">
        <v>374</v>
      </c>
      <c r="L194" s="335">
        <v>1</v>
      </c>
      <c r="M194" s="335" t="s">
        <v>375</v>
      </c>
      <c r="N194" s="339">
        <v>15.5</v>
      </c>
      <c r="O194" s="341">
        <v>1</v>
      </c>
      <c r="P194" s="341" t="s">
        <v>25</v>
      </c>
      <c r="Q194" s="341">
        <v>0</v>
      </c>
      <c r="R194" s="342" t="s">
        <v>25</v>
      </c>
      <c r="S194" s="342" t="s">
        <v>25</v>
      </c>
    </row>
    <row r="195" spans="1:19" ht="15" customHeight="1" x14ac:dyDescent="0.3">
      <c r="A195" s="335" t="s">
        <v>371</v>
      </c>
      <c r="B195" s="335" t="s">
        <v>20</v>
      </c>
      <c r="C195" s="335"/>
      <c r="D195" s="335" t="s">
        <v>376</v>
      </c>
      <c r="E195" s="336" t="s">
        <v>377</v>
      </c>
      <c r="F195" s="336"/>
      <c r="G195" s="337">
        <v>1</v>
      </c>
      <c r="H195" s="338">
        <v>0</v>
      </c>
      <c r="I195" s="339">
        <v>200.25307946474501</v>
      </c>
      <c r="J195" s="340">
        <v>200.25307946474501</v>
      </c>
      <c r="K195" s="335" t="s">
        <v>374</v>
      </c>
      <c r="L195" s="335">
        <v>2</v>
      </c>
      <c r="M195" s="335" t="s">
        <v>378</v>
      </c>
      <c r="N195" s="339">
        <v>15.5</v>
      </c>
      <c r="O195" s="341">
        <v>1</v>
      </c>
      <c r="P195" s="341" t="s">
        <v>25</v>
      </c>
      <c r="Q195" s="341">
        <v>0</v>
      </c>
      <c r="R195" s="342" t="s">
        <v>25</v>
      </c>
      <c r="S195" s="342" t="s">
        <v>25</v>
      </c>
    </row>
    <row r="196" spans="1:19" ht="15" customHeight="1" x14ac:dyDescent="0.3">
      <c r="A196" s="335" t="s">
        <v>371</v>
      </c>
      <c r="B196" s="335" t="s">
        <v>26</v>
      </c>
      <c r="C196" s="335" t="s">
        <v>27</v>
      </c>
      <c r="D196" s="335" t="s">
        <v>379</v>
      </c>
      <c r="E196" s="336" t="s">
        <v>380</v>
      </c>
      <c r="F196" s="336" t="s">
        <v>30</v>
      </c>
      <c r="G196" s="337">
        <v>4.0000000000000001E-3</v>
      </c>
      <c r="H196" s="338">
        <v>0.05</v>
      </c>
      <c r="I196" s="339">
        <v>30467.49</v>
      </c>
      <c r="J196" s="340">
        <v>127.963458</v>
      </c>
      <c r="K196" s="335" t="s">
        <v>381</v>
      </c>
      <c r="L196" s="335">
        <v>1</v>
      </c>
      <c r="M196" s="335" t="s">
        <v>382</v>
      </c>
      <c r="N196" s="339">
        <v>15.5</v>
      </c>
      <c r="O196" s="341">
        <v>4.0000000000000001E-3</v>
      </c>
      <c r="P196" s="341" t="s">
        <v>25</v>
      </c>
      <c r="Q196" s="341">
        <v>0</v>
      </c>
      <c r="R196" s="342" t="s">
        <v>25</v>
      </c>
      <c r="S196" s="342" t="s">
        <v>25</v>
      </c>
    </row>
    <row r="197" spans="1:19" ht="15" customHeight="1" x14ac:dyDescent="0.3">
      <c r="A197" s="335" t="s">
        <v>371</v>
      </c>
      <c r="B197" s="335" t="s">
        <v>26</v>
      </c>
      <c r="C197" s="335" t="s">
        <v>27</v>
      </c>
      <c r="D197" s="335" t="s">
        <v>383</v>
      </c>
      <c r="E197" s="336" t="s">
        <v>384</v>
      </c>
      <c r="F197" s="336" t="s">
        <v>35</v>
      </c>
      <c r="G197" s="337">
        <v>0.01</v>
      </c>
      <c r="H197" s="338">
        <v>0.05</v>
      </c>
      <c r="I197" s="339">
        <v>5661.4</v>
      </c>
      <c r="J197" s="340">
        <v>59.444699999999997</v>
      </c>
      <c r="K197" s="335" t="s">
        <v>381</v>
      </c>
      <c r="L197" s="335">
        <v>2</v>
      </c>
      <c r="M197" s="335" t="s">
        <v>385</v>
      </c>
      <c r="N197" s="339">
        <v>15.5</v>
      </c>
      <c r="O197" s="341">
        <v>0.01</v>
      </c>
      <c r="P197" s="341" t="s">
        <v>25</v>
      </c>
      <c r="Q197" s="341">
        <v>0</v>
      </c>
      <c r="R197" s="342" t="s">
        <v>25</v>
      </c>
      <c r="S197" s="342" t="s">
        <v>25</v>
      </c>
    </row>
    <row r="198" spans="1:19" ht="15" customHeight="1" x14ac:dyDescent="0.3">
      <c r="A198" s="335" t="s">
        <v>371</v>
      </c>
      <c r="B198" s="335" t="s">
        <v>26</v>
      </c>
      <c r="C198" s="335" t="s">
        <v>27</v>
      </c>
      <c r="D198" s="335" t="s">
        <v>386</v>
      </c>
      <c r="E198" s="336" t="s">
        <v>387</v>
      </c>
      <c r="F198" s="336" t="s">
        <v>35</v>
      </c>
      <c r="G198" s="337">
        <v>0.01</v>
      </c>
      <c r="H198" s="338">
        <v>0.1</v>
      </c>
      <c r="I198" s="339">
        <v>3293.01</v>
      </c>
      <c r="J198" s="340">
        <v>36.223109999999998</v>
      </c>
      <c r="K198" s="335" t="s">
        <v>381</v>
      </c>
      <c r="L198" s="335">
        <v>3</v>
      </c>
      <c r="M198" s="335" t="s">
        <v>388</v>
      </c>
      <c r="N198" s="339">
        <v>15.5</v>
      </c>
      <c r="O198" s="341">
        <v>0.01</v>
      </c>
      <c r="P198" s="341" t="s">
        <v>25</v>
      </c>
      <c r="Q198" s="341">
        <v>0</v>
      </c>
      <c r="R198" s="342" t="s">
        <v>25</v>
      </c>
      <c r="S198" s="342" t="s">
        <v>25</v>
      </c>
    </row>
    <row r="199" spans="1:19" ht="15" customHeight="1" x14ac:dyDescent="0.3">
      <c r="A199" s="335" t="s">
        <v>371</v>
      </c>
      <c r="B199" s="335" t="s">
        <v>26</v>
      </c>
      <c r="C199" s="335" t="s">
        <v>27</v>
      </c>
      <c r="D199" s="335" t="s">
        <v>33</v>
      </c>
      <c r="E199" s="336" t="s">
        <v>34</v>
      </c>
      <c r="F199" s="336" t="s">
        <v>35</v>
      </c>
      <c r="G199" s="337">
        <v>0.01</v>
      </c>
      <c r="H199" s="338">
        <v>0.05</v>
      </c>
      <c r="I199" s="339">
        <v>735.06</v>
      </c>
      <c r="J199" s="340">
        <v>7.7181300000000004</v>
      </c>
      <c r="K199" s="335" t="s">
        <v>381</v>
      </c>
      <c r="L199" s="335">
        <v>4</v>
      </c>
      <c r="M199" s="335" t="s">
        <v>389</v>
      </c>
      <c r="N199" s="339">
        <v>15.5</v>
      </c>
      <c r="O199" s="341">
        <v>0.01</v>
      </c>
      <c r="P199" s="341" t="s">
        <v>25</v>
      </c>
      <c r="Q199" s="341">
        <v>0</v>
      </c>
      <c r="R199" s="342" t="s">
        <v>25</v>
      </c>
      <c r="S199" s="342" t="s">
        <v>25</v>
      </c>
    </row>
    <row r="200" spans="1:19" ht="15" customHeight="1" x14ac:dyDescent="0.3">
      <c r="A200" s="335" t="s">
        <v>371</v>
      </c>
      <c r="B200" s="335" t="s">
        <v>26</v>
      </c>
      <c r="C200" s="335" t="s">
        <v>27</v>
      </c>
      <c r="D200" s="335" t="s">
        <v>37</v>
      </c>
      <c r="E200" s="336" t="s">
        <v>38</v>
      </c>
      <c r="F200" s="336" t="s">
        <v>35</v>
      </c>
      <c r="G200" s="337">
        <v>5.0000000000000001E-3</v>
      </c>
      <c r="H200" s="338">
        <v>0.05</v>
      </c>
      <c r="I200" s="339">
        <v>6678.36</v>
      </c>
      <c r="J200" s="340">
        <v>35.061390000000003</v>
      </c>
      <c r="K200" s="335" t="s">
        <v>381</v>
      </c>
      <c r="L200" s="335">
        <v>5</v>
      </c>
      <c r="M200" s="335" t="s">
        <v>390</v>
      </c>
      <c r="N200" s="339">
        <v>15.5</v>
      </c>
      <c r="O200" s="341">
        <v>5.0000000000000001E-3</v>
      </c>
      <c r="P200" s="341" t="s">
        <v>25</v>
      </c>
      <c r="Q200" s="341">
        <v>0</v>
      </c>
      <c r="R200" s="342" t="s">
        <v>25</v>
      </c>
      <c r="S200" s="342" t="s">
        <v>25</v>
      </c>
    </row>
    <row r="201" spans="1:19" ht="15" customHeight="1" x14ac:dyDescent="0.3">
      <c r="A201" s="335" t="s">
        <v>371</v>
      </c>
      <c r="B201" s="335" t="s">
        <v>26</v>
      </c>
      <c r="C201" s="335" t="s">
        <v>27</v>
      </c>
      <c r="D201" s="335" t="s">
        <v>40</v>
      </c>
      <c r="E201" s="336" t="s">
        <v>41</v>
      </c>
      <c r="F201" s="336" t="s">
        <v>35</v>
      </c>
      <c r="G201" s="337">
        <v>5.0000000000000001E-3</v>
      </c>
      <c r="H201" s="338">
        <v>0.05</v>
      </c>
      <c r="I201" s="339">
        <v>5282.24</v>
      </c>
      <c r="J201" s="340">
        <v>27.731760000000001</v>
      </c>
      <c r="K201" s="335" t="s">
        <v>381</v>
      </c>
      <c r="L201" s="335">
        <v>6</v>
      </c>
      <c r="M201" s="335" t="s">
        <v>391</v>
      </c>
      <c r="N201" s="339">
        <v>15.5</v>
      </c>
      <c r="O201" s="341">
        <v>5.0000000000000001E-3</v>
      </c>
      <c r="P201" s="341" t="s">
        <v>25</v>
      </c>
      <c r="Q201" s="341">
        <v>0</v>
      </c>
      <c r="R201" s="342" t="s">
        <v>25</v>
      </c>
      <c r="S201" s="342" t="s">
        <v>25</v>
      </c>
    </row>
    <row r="202" spans="1:19" ht="15" customHeight="1" x14ac:dyDescent="0.3">
      <c r="A202" s="335" t="s">
        <v>371</v>
      </c>
      <c r="B202" s="335" t="s">
        <v>26</v>
      </c>
      <c r="C202" s="335" t="s">
        <v>27</v>
      </c>
      <c r="D202" s="335" t="s">
        <v>392</v>
      </c>
      <c r="E202" s="336" t="s">
        <v>393</v>
      </c>
      <c r="F202" s="336" t="s">
        <v>35</v>
      </c>
      <c r="G202" s="337">
        <v>0.01</v>
      </c>
      <c r="H202" s="338">
        <v>0.05</v>
      </c>
      <c r="I202" s="339">
        <v>7427.6</v>
      </c>
      <c r="J202" s="340">
        <v>77.989800000000002</v>
      </c>
      <c r="K202" s="335" t="s">
        <v>381</v>
      </c>
      <c r="L202" s="335">
        <v>7</v>
      </c>
      <c r="M202" s="335" t="s">
        <v>394</v>
      </c>
      <c r="N202" s="339">
        <v>15.5</v>
      </c>
      <c r="O202" s="341">
        <v>0.01</v>
      </c>
      <c r="P202" s="341" t="s">
        <v>25</v>
      </c>
      <c r="Q202" s="341">
        <v>0</v>
      </c>
      <c r="R202" s="342" t="s">
        <v>25</v>
      </c>
      <c r="S202" s="342" t="s">
        <v>25</v>
      </c>
    </row>
    <row r="203" spans="1:19" ht="15" customHeight="1" x14ac:dyDescent="0.3">
      <c r="A203" s="335" t="s">
        <v>371</v>
      </c>
      <c r="B203" s="335" t="s">
        <v>26</v>
      </c>
      <c r="C203" s="335" t="s">
        <v>27</v>
      </c>
      <c r="D203" s="335" t="s">
        <v>395</v>
      </c>
      <c r="E203" s="336" t="s">
        <v>396</v>
      </c>
      <c r="F203" s="336" t="s">
        <v>397</v>
      </c>
      <c r="G203" s="337">
        <v>1.2500000000000001E-2</v>
      </c>
      <c r="H203" s="338">
        <v>0.1</v>
      </c>
      <c r="I203" s="339">
        <v>120622.23</v>
      </c>
      <c r="J203" s="340">
        <v>1658.5556624999999</v>
      </c>
      <c r="K203" s="335" t="s">
        <v>381</v>
      </c>
      <c r="L203" s="335">
        <v>8</v>
      </c>
      <c r="M203" s="335" t="s">
        <v>398</v>
      </c>
      <c r="N203" s="339">
        <v>15.5</v>
      </c>
      <c r="O203" s="341">
        <v>1.2500000000000001E-2</v>
      </c>
      <c r="P203" s="341" t="s">
        <v>25</v>
      </c>
      <c r="Q203" s="341">
        <v>0</v>
      </c>
      <c r="R203" s="342" t="s">
        <v>25</v>
      </c>
      <c r="S203" s="342" t="s">
        <v>25</v>
      </c>
    </row>
    <row r="204" spans="1:19" ht="15" customHeight="1" x14ac:dyDescent="0.3">
      <c r="A204" s="335" t="s">
        <v>371</v>
      </c>
      <c r="B204" s="335" t="s">
        <v>56</v>
      </c>
      <c r="C204" s="335" t="s">
        <v>57</v>
      </c>
      <c r="D204" s="343" t="s">
        <v>63</v>
      </c>
      <c r="E204" s="336" t="s">
        <v>64</v>
      </c>
      <c r="F204" s="336" t="s">
        <v>60</v>
      </c>
      <c r="G204" s="337">
        <v>1</v>
      </c>
      <c r="H204" s="338">
        <v>0</v>
      </c>
      <c r="I204" s="339">
        <v>85927.097156571996</v>
      </c>
      <c r="J204" s="340">
        <v>85927.097156571996</v>
      </c>
      <c r="K204" s="335" t="s">
        <v>399</v>
      </c>
      <c r="L204" s="335">
        <v>1</v>
      </c>
      <c r="M204" s="335" t="s">
        <v>400</v>
      </c>
      <c r="N204" s="339">
        <v>15.5</v>
      </c>
      <c r="O204" s="341">
        <v>6.4516129032258104E-2</v>
      </c>
      <c r="P204" s="341" t="s">
        <v>25</v>
      </c>
      <c r="Q204" s="341">
        <v>0</v>
      </c>
      <c r="R204" s="342" t="s">
        <v>25</v>
      </c>
      <c r="S204" s="342" t="s">
        <v>25</v>
      </c>
    </row>
    <row r="205" spans="1:19" ht="15" customHeight="1" x14ac:dyDescent="0.3">
      <c r="A205" s="335" t="s">
        <v>401</v>
      </c>
      <c r="B205" s="335" t="s">
        <v>20</v>
      </c>
      <c r="C205" s="335"/>
      <c r="D205" s="335" t="s">
        <v>67</v>
      </c>
      <c r="E205" s="336" t="s">
        <v>68</v>
      </c>
      <c r="F205" s="336"/>
      <c r="G205" s="337">
        <v>0.5</v>
      </c>
      <c r="H205" s="338">
        <v>0</v>
      </c>
      <c r="I205" s="339">
        <v>571.17949098076099</v>
      </c>
      <c r="J205" s="340">
        <v>285.58974549038101</v>
      </c>
      <c r="K205" s="335" t="s">
        <v>402</v>
      </c>
      <c r="L205" s="335">
        <v>1</v>
      </c>
      <c r="M205" s="335" t="s">
        <v>403</v>
      </c>
      <c r="N205" s="339">
        <v>15</v>
      </c>
      <c r="O205" s="341">
        <v>0.5</v>
      </c>
      <c r="P205" s="341" t="s">
        <v>25</v>
      </c>
      <c r="Q205" s="341">
        <v>0</v>
      </c>
      <c r="R205" s="342" t="s">
        <v>25</v>
      </c>
      <c r="S205" s="342" t="s">
        <v>25</v>
      </c>
    </row>
    <row r="206" spans="1:19" ht="15" customHeight="1" x14ac:dyDescent="0.3">
      <c r="A206" s="335" t="s">
        <v>401</v>
      </c>
      <c r="B206" s="335" t="s">
        <v>20</v>
      </c>
      <c r="C206" s="335"/>
      <c r="D206" s="335" t="s">
        <v>71</v>
      </c>
      <c r="E206" s="336" t="s">
        <v>72</v>
      </c>
      <c r="F206" s="336"/>
      <c r="G206" s="337">
        <v>1</v>
      </c>
      <c r="H206" s="338">
        <v>0</v>
      </c>
      <c r="I206" s="339">
        <v>2287.1357450968098</v>
      </c>
      <c r="J206" s="340">
        <v>2287.1357450968098</v>
      </c>
      <c r="K206" s="335" t="s">
        <v>402</v>
      </c>
      <c r="L206" s="335">
        <v>2</v>
      </c>
      <c r="M206" s="335" t="s">
        <v>404</v>
      </c>
      <c r="N206" s="339">
        <v>15</v>
      </c>
      <c r="O206" s="341">
        <v>1</v>
      </c>
      <c r="P206" s="341" t="s">
        <v>25</v>
      </c>
      <c r="Q206" s="341">
        <v>0</v>
      </c>
      <c r="R206" s="342" t="s">
        <v>25</v>
      </c>
      <c r="S206" s="342" t="s">
        <v>25</v>
      </c>
    </row>
    <row r="207" spans="1:19" ht="15" customHeight="1" x14ac:dyDescent="0.3">
      <c r="A207" s="335" t="s">
        <v>401</v>
      </c>
      <c r="B207" s="335" t="s">
        <v>20</v>
      </c>
      <c r="C207" s="335"/>
      <c r="D207" s="335" t="s">
        <v>74</v>
      </c>
      <c r="E207" s="336" t="s">
        <v>75</v>
      </c>
      <c r="F207" s="336"/>
      <c r="G207" s="337">
        <v>1</v>
      </c>
      <c r="H207" s="338">
        <v>0</v>
      </c>
      <c r="I207" s="339">
        <v>957.25319614994703</v>
      </c>
      <c r="J207" s="340">
        <v>957.25319614994703</v>
      </c>
      <c r="K207" s="335" t="s">
        <v>402</v>
      </c>
      <c r="L207" s="335">
        <v>3</v>
      </c>
      <c r="M207" s="335" t="s">
        <v>405</v>
      </c>
      <c r="N207" s="339">
        <v>15</v>
      </c>
      <c r="O207" s="341">
        <v>1</v>
      </c>
      <c r="P207" s="341" t="s">
        <v>25</v>
      </c>
      <c r="Q207" s="341">
        <v>0</v>
      </c>
      <c r="R207" s="342" t="s">
        <v>25</v>
      </c>
      <c r="S207" s="342" t="s">
        <v>25</v>
      </c>
    </row>
    <row r="208" spans="1:19" ht="15" customHeight="1" x14ac:dyDescent="0.3">
      <c r="A208" s="335" t="s">
        <v>401</v>
      </c>
      <c r="B208" s="335" t="s">
        <v>26</v>
      </c>
      <c r="C208" s="335" t="s">
        <v>27</v>
      </c>
      <c r="D208" s="335" t="s">
        <v>77</v>
      </c>
      <c r="E208" s="336" t="s">
        <v>78</v>
      </c>
      <c r="F208" s="336" t="s">
        <v>35</v>
      </c>
      <c r="G208" s="337">
        <v>0.17</v>
      </c>
      <c r="H208" s="338">
        <v>0.1</v>
      </c>
      <c r="I208" s="339">
        <v>3424.53</v>
      </c>
      <c r="J208" s="340">
        <v>640.38711000000001</v>
      </c>
      <c r="K208" s="335" t="s">
        <v>406</v>
      </c>
      <c r="L208" s="335">
        <v>1</v>
      </c>
      <c r="M208" s="335" t="s">
        <v>407</v>
      </c>
      <c r="N208" s="339">
        <v>15</v>
      </c>
      <c r="O208" s="341">
        <v>0.17</v>
      </c>
      <c r="P208" s="341" t="s">
        <v>25</v>
      </c>
      <c r="Q208" s="341">
        <v>0</v>
      </c>
      <c r="R208" s="342" t="s">
        <v>25</v>
      </c>
      <c r="S208" s="342" t="s">
        <v>25</v>
      </c>
    </row>
    <row r="209" spans="1:19" ht="15" customHeight="1" x14ac:dyDescent="0.3">
      <c r="A209" s="335" t="s">
        <v>401</v>
      </c>
      <c r="B209" s="335" t="s">
        <v>26</v>
      </c>
      <c r="C209" s="335" t="s">
        <v>27</v>
      </c>
      <c r="D209" s="335" t="s">
        <v>81</v>
      </c>
      <c r="E209" s="336" t="s">
        <v>82</v>
      </c>
      <c r="F209" s="336" t="s">
        <v>83</v>
      </c>
      <c r="G209" s="337">
        <v>2.4E-2</v>
      </c>
      <c r="H209" s="338">
        <v>0.1</v>
      </c>
      <c r="I209" s="339">
        <v>32399.77</v>
      </c>
      <c r="J209" s="340">
        <v>855.353928</v>
      </c>
      <c r="K209" s="335" t="s">
        <v>406</v>
      </c>
      <c r="L209" s="335">
        <v>2</v>
      </c>
      <c r="M209" s="335" t="s">
        <v>408</v>
      </c>
      <c r="N209" s="339">
        <v>15</v>
      </c>
      <c r="O209" s="341">
        <v>2.4E-2</v>
      </c>
      <c r="P209" s="341" t="s">
        <v>25</v>
      </c>
      <c r="Q209" s="341">
        <v>0</v>
      </c>
      <c r="R209" s="342" t="s">
        <v>25</v>
      </c>
      <c r="S209" s="342" t="s">
        <v>25</v>
      </c>
    </row>
    <row r="210" spans="1:19" ht="15" customHeight="1" x14ac:dyDescent="0.3">
      <c r="A210" s="335" t="s">
        <v>401</v>
      </c>
      <c r="B210" s="335" t="s">
        <v>26</v>
      </c>
      <c r="C210" s="335" t="s">
        <v>27</v>
      </c>
      <c r="D210" s="335" t="s">
        <v>85</v>
      </c>
      <c r="E210" s="336" t="s">
        <v>86</v>
      </c>
      <c r="F210" s="336" t="s">
        <v>87</v>
      </c>
      <c r="G210" s="337">
        <v>0.1</v>
      </c>
      <c r="H210" s="338">
        <v>0.1</v>
      </c>
      <c r="I210" s="339">
        <v>7809.48</v>
      </c>
      <c r="J210" s="340">
        <v>859.04280000000006</v>
      </c>
      <c r="K210" s="335" t="s">
        <v>406</v>
      </c>
      <c r="L210" s="335">
        <v>3</v>
      </c>
      <c r="M210" s="335" t="s">
        <v>409</v>
      </c>
      <c r="N210" s="339">
        <v>15</v>
      </c>
      <c r="O210" s="341">
        <v>0.1</v>
      </c>
      <c r="P210" s="341" t="s">
        <v>25</v>
      </c>
      <c r="Q210" s="341">
        <v>0</v>
      </c>
      <c r="R210" s="342" t="s">
        <v>25</v>
      </c>
      <c r="S210" s="342" t="s">
        <v>25</v>
      </c>
    </row>
    <row r="211" spans="1:19" ht="15" customHeight="1" x14ac:dyDescent="0.3">
      <c r="A211" s="335" t="s">
        <v>401</v>
      </c>
      <c r="B211" s="335" t="s">
        <v>26</v>
      </c>
      <c r="C211" s="335" t="s">
        <v>27</v>
      </c>
      <c r="D211" s="335" t="s">
        <v>89</v>
      </c>
      <c r="E211" s="336" t="s">
        <v>90</v>
      </c>
      <c r="F211" s="336" t="s">
        <v>91</v>
      </c>
      <c r="G211" s="337">
        <v>0.2</v>
      </c>
      <c r="H211" s="338">
        <v>0.1</v>
      </c>
      <c r="I211" s="339">
        <v>3837.96</v>
      </c>
      <c r="J211" s="340">
        <v>844.35119999999995</v>
      </c>
      <c r="K211" s="335" t="s">
        <v>406</v>
      </c>
      <c r="L211" s="335">
        <v>4</v>
      </c>
      <c r="M211" s="335" t="s">
        <v>410</v>
      </c>
      <c r="N211" s="339">
        <v>15</v>
      </c>
      <c r="O211" s="341">
        <v>0.2</v>
      </c>
      <c r="P211" s="341" t="s">
        <v>25</v>
      </c>
      <c r="Q211" s="341">
        <v>0</v>
      </c>
      <c r="R211" s="342" t="s">
        <v>25</v>
      </c>
      <c r="S211" s="342" t="s">
        <v>25</v>
      </c>
    </row>
    <row r="212" spans="1:19" ht="15" customHeight="1" x14ac:dyDescent="0.3">
      <c r="A212" s="335" t="s">
        <v>401</v>
      </c>
      <c r="B212" s="335" t="s">
        <v>26</v>
      </c>
      <c r="C212" s="335" t="s">
        <v>27</v>
      </c>
      <c r="D212" s="335" t="s">
        <v>131</v>
      </c>
      <c r="E212" s="336" t="s">
        <v>132</v>
      </c>
      <c r="F212" s="336" t="s">
        <v>35</v>
      </c>
      <c r="G212" s="337">
        <v>15</v>
      </c>
      <c r="H212" s="338">
        <v>0.05</v>
      </c>
      <c r="I212" s="339">
        <v>365.4</v>
      </c>
      <c r="J212" s="340">
        <v>5755.05</v>
      </c>
      <c r="K212" s="335" t="s">
        <v>406</v>
      </c>
      <c r="L212" s="335">
        <v>5</v>
      </c>
      <c r="M212" s="335" t="s">
        <v>411</v>
      </c>
      <c r="N212" s="339">
        <v>15</v>
      </c>
      <c r="O212" s="341">
        <v>15</v>
      </c>
      <c r="P212" s="341" t="s">
        <v>25</v>
      </c>
      <c r="Q212" s="341">
        <v>0</v>
      </c>
      <c r="R212" s="342" t="s">
        <v>25</v>
      </c>
      <c r="S212" s="342" t="s">
        <v>25</v>
      </c>
    </row>
    <row r="213" spans="1:19" ht="15" customHeight="1" x14ac:dyDescent="0.3">
      <c r="A213" s="335" t="s">
        <v>401</v>
      </c>
      <c r="B213" s="335" t="s">
        <v>26</v>
      </c>
      <c r="C213" s="335" t="s">
        <v>27</v>
      </c>
      <c r="D213" s="335" t="s">
        <v>96</v>
      </c>
      <c r="E213" s="336" t="s">
        <v>97</v>
      </c>
      <c r="F213" s="336" t="s">
        <v>98</v>
      </c>
      <c r="G213" s="337">
        <v>1.4557741900000001</v>
      </c>
      <c r="H213" s="338">
        <v>0</v>
      </c>
      <c r="I213" s="339">
        <v>1</v>
      </c>
      <c r="J213" s="340">
        <v>1.4557741900000001</v>
      </c>
      <c r="K213" s="335" t="s">
        <v>406</v>
      </c>
      <c r="L213" s="335">
        <v>6</v>
      </c>
      <c r="M213" s="335" t="s">
        <v>412</v>
      </c>
      <c r="N213" s="339">
        <v>15</v>
      </c>
      <c r="O213" s="341">
        <v>1.4557741900000001</v>
      </c>
      <c r="P213" s="341" t="s">
        <v>25</v>
      </c>
      <c r="Q213" s="341">
        <v>0</v>
      </c>
      <c r="R213" s="342" t="s">
        <v>25</v>
      </c>
      <c r="S213" s="342" t="s">
        <v>25</v>
      </c>
    </row>
    <row r="214" spans="1:19" ht="15" customHeight="1" x14ac:dyDescent="0.3">
      <c r="A214" s="335" t="s">
        <v>401</v>
      </c>
      <c r="B214" s="335" t="s">
        <v>56</v>
      </c>
      <c r="C214" s="335" t="s">
        <v>57</v>
      </c>
      <c r="D214" s="343" t="s">
        <v>413</v>
      </c>
      <c r="E214" s="336" t="s">
        <v>414</v>
      </c>
      <c r="F214" s="336" t="s">
        <v>60</v>
      </c>
      <c r="G214" s="337">
        <v>1</v>
      </c>
      <c r="H214" s="338">
        <v>0</v>
      </c>
      <c r="I214" s="339">
        <v>65493.071636572</v>
      </c>
      <c r="J214" s="340">
        <v>65493.071636572</v>
      </c>
      <c r="K214" s="335" t="s">
        <v>415</v>
      </c>
      <c r="L214" s="335">
        <v>1</v>
      </c>
      <c r="M214" s="335" t="s">
        <v>416</v>
      </c>
      <c r="N214" s="339">
        <v>15</v>
      </c>
      <c r="O214" s="341">
        <v>6.6666666666666693E-2</v>
      </c>
      <c r="P214" s="341" t="s">
        <v>25</v>
      </c>
      <c r="Q214" s="341">
        <v>0</v>
      </c>
      <c r="R214" s="342" t="s">
        <v>25</v>
      </c>
      <c r="S214" s="342" t="s">
        <v>25</v>
      </c>
    </row>
    <row r="215" spans="1:19" ht="15" customHeight="1" x14ac:dyDescent="0.3">
      <c r="A215" s="335" t="s">
        <v>401</v>
      </c>
      <c r="B215" s="335" t="s">
        <v>56</v>
      </c>
      <c r="C215" s="335" t="s">
        <v>57</v>
      </c>
      <c r="D215" s="343" t="s">
        <v>63</v>
      </c>
      <c r="E215" s="336" t="s">
        <v>64</v>
      </c>
      <c r="F215" s="336" t="s">
        <v>60</v>
      </c>
      <c r="G215" s="337">
        <v>1</v>
      </c>
      <c r="H215" s="338">
        <v>0</v>
      </c>
      <c r="I215" s="339">
        <v>85927.097156571996</v>
      </c>
      <c r="J215" s="340">
        <v>85927.097156571996</v>
      </c>
      <c r="K215" s="335" t="s">
        <v>415</v>
      </c>
      <c r="L215" s="335">
        <v>2</v>
      </c>
      <c r="M215" s="335" t="s">
        <v>417</v>
      </c>
      <c r="N215" s="339">
        <v>15</v>
      </c>
      <c r="O215" s="341">
        <v>6.6666666666666693E-2</v>
      </c>
      <c r="P215" s="341" t="s">
        <v>25</v>
      </c>
      <c r="Q215" s="341">
        <v>0</v>
      </c>
      <c r="R215" s="342" t="s">
        <v>25</v>
      </c>
      <c r="S215" s="342" t="s">
        <v>25</v>
      </c>
    </row>
    <row r="216" spans="1:19" ht="15" customHeight="1" x14ac:dyDescent="0.3">
      <c r="A216" s="335" t="s">
        <v>418</v>
      </c>
      <c r="B216" s="335" t="s">
        <v>26</v>
      </c>
      <c r="C216" s="335" t="s">
        <v>27</v>
      </c>
      <c r="D216" s="335" t="s">
        <v>81</v>
      </c>
      <c r="E216" s="336" t="s">
        <v>82</v>
      </c>
      <c r="F216" s="336" t="s">
        <v>83</v>
      </c>
      <c r="G216" s="337">
        <v>0.02</v>
      </c>
      <c r="H216" s="338">
        <v>0.03</v>
      </c>
      <c r="I216" s="339">
        <v>32399.77</v>
      </c>
      <c r="J216" s="340">
        <v>667.43526199999997</v>
      </c>
      <c r="K216" s="335" t="s">
        <v>419</v>
      </c>
      <c r="L216" s="335">
        <v>1</v>
      </c>
      <c r="M216" s="335" t="s">
        <v>420</v>
      </c>
      <c r="N216" s="339">
        <v>15</v>
      </c>
      <c r="O216" s="341">
        <v>0.02</v>
      </c>
      <c r="P216" s="341" t="s">
        <v>25</v>
      </c>
      <c r="Q216" s="341">
        <v>0</v>
      </c>
      <c r="R216" s="342" t="s">
        <v>25</v>
      </c>
      <c r="S216" s="342" t="s">
        <v>25</v>
      </c>
    </row>
    <row r="217" spans="1:19" ht="15" customHeight="1" x14ac:dyDescent="0.3">
      <c r="A217" s="335" t="s">
        <v>418</v>
      </c>
      <c r="B217" s="335" t="s">
        <v>26</v>
      </c>
      <c r="C217" s="335" t="s">
        <v>27</v>
      </c>
      <c r="D217" s="335" t="s">
        <v>85</v>
      </c>
      <c r="E217" s="336" t="s">
        <v>86</v>
      </c>
      <c r="F217" s="336" t="s">
        <v>87</v>
      </c>
      <c r="G217" s="337">
        <v>0.26</v>
      </c>
      <c r="H217" s="338">
        <v>0.03</v>
      </c>
      <c r="I217" s="339">
        <v>7809.48</v>
      </c>
      <c r="J217" s="340">
        <v>2091.3787440000001</v>
      </c>
      <c r="K217" s="335" t="s">
        <v>419</v>
      </c>
      <c r="L217" s="335">
        <v>2</v>
      </c>
      <c r="M217" s="335" t="s">
        <v>421</v>
      </c>
      <c r="N217" s="339">
        <v>15</v>
      </c>
      <c r="O217" s="341">
        <v>0.26</v>
      </c>
      <c r="P217" s="341" t="s">
        <v>25</v>
      </c>
      <c r="Q217" s="341">
        <v>0</v>
      </c>
      <c r="R217" s="342" t="s">
        <v>25</v>
      </c>
      <c r="S217" s="342" t="s">
        <v>25</v>
      </c>
    </row>
    <row r="218" spans="1:19" ht="15" customHeight="1" x14ac:dyDescent="0.3">
      <c r="A218" s="335" t="s">
        <v>418</v>
      </c>
      <c r="B218" s="335" t="s">
        <v>26</v>
      </c>
      <c r="C218" s="335" t="s">
        <v>27</v>
      </c>
      <c r="D218" s="335" t="s">
        <v>89</v>
      </c>
      <c r="E218" s="336" t="s">
        <v>90</v>
      </c>
      <c r="F218" s="336" t="s">
        <v>91</v>
      </c>
      <c r="G218" s="337">
        <v>0.06</v>
      </c>
      <c r="H218" s="338">
        <v>0.05</v>
      </c>
      <c r="I218" s="339">
        <v>3837.96</v>
      </c>
      <c r="J218" s="340">
        <v>241.79148000000001</v>
      </c>
      <c r="K218" s="335" t="s">
        <v>419</v>
      </c>
      <c r="L218" s="335">
        <v>3</v>
      </c>
      <c r="M218" s="335" t="s">
        <v>422</v>
      </c>
      <c r="N218" s="339">
        <v>15</v>
      </c>
      <c r="O218" s="341">
        <v>0.06</v>
      </c>
      <c r="P218" s="341" t="s">
        <v>25</v>
      </c>
      <c r="Q218" s="341">
        <v>0</v>
      </c>
      <c r="R218" s="342" t="s">
        <v>25</v>
      </c>
      <c r="S218" s="342" t="s">
        <v>25</v>
      </c>
    </row>
    <row r="219" spans="1:19" ht="15" customHeight="1" x14ac:dyDescent="0.3">
      <c r="A219" s="335" t="s">
        <v>418</v>
      </c>
      <c r="B219" s="335" t="s">
        <v>56</v>
      </c>
      <c r="C219" s="335" t="s">
        <v>57</v>
      </c>
      <c r="D219" s="343" t="s">
        <v>58</v>
      </c>
      <c r="E219" s="336" t="s">
        <v>59</v>
      </c>
      <c r="F219" s="336" t="s">
        <v>60</v>
      </c>
      <c r="G219" s="337">
        <v>1</v>
      </c>
      <c r="H219" s="338">
        <v>0</v>
      </c>
      <c r="I219" s="339">
        <v>60860.580776572002</v>
      </c>
      <c r="J219" s="340">
        <v>60860.580776572002</v>
      </c>
      <c r="K219" s="335" t="s">
        <v>423</v>
      </c>
      <c r="L219" s="335">
        <v>1</v>
      </c>
      <c r="M219" s="335" t="s">
        <v>424</v>
      </c>
      <c r="N219" s="339">
        <v>15</v>
      </c>
      <c r="O219" s="341">
        <v>6.6666666666666693E-2</v>
      </c>
      <c r="P219" s="341" t="s">
        <v>25</v>
      </c>
      <c r="Q219" s="341">
        <v>0</v>
      </c>
      <c r="R219" s="342" t="s">
        <v>25</v>
      </c>
      <c r="S219" s="342" t="s">
        <v>25</v>
      </c>
    </row>
    <row r="220" spans="1:19" ht="15" customHeight="1" x14ac:dyDescent="0.3">
      <c r="A220" s="335" t="s">
        <v>418</v>
      </c>
      <c r="B220" s="335" t="s">
        <v>56</v>
      </c>
      <c r="C220" s="335" t="s">
        <v>57</v>
      </c>
      <c r="D220" s="343" t="s">
        <v>63</v>
      </c>
      <c r="E220" s="336" t="s">
        <v>64</v>
      </c>
      <c r="F220" s="336" t="s">
        <v>60</v>
      </c>
      <c r="G220" s="337">
        <v>1</v>
      </c>
      <c r="H220" s="338">
        <v>0</v>
      </c>
      <c r="I220" s="339">
        <v>85927.097156571996</v>
      </c>
      <c r="J220" s="340">
        <v>85927.097156571996</v>
      </c>
      <c r="K220" s="335" t="s">
        <v>423</v>
      </c>
      <c r="L220" s="335">
        <v>2</v>
      </c>
      <c r="M220" s="335" t="s">
        <v>425</v>
      </c>
      <c r="N220" s="339">
        <v>15</v>
      </c>
      <c r="O220" s="341">
        <v>6.6666666666666693E-2</v>
      </c>
      <c r="P220" s="341" t="s">
        <v>25</v>
      </c>
      <c r="Q220" s="341">
        <v>0</v>
      </c>
      <c r="R220" s="342" t="s">
        <v>25</v>
      </c>
      <c r="S220" s="342" t="s">
        <v>25</v>
      </c>
    </row>
    <row r="221" spans="1:19" ht="15" customHeight="1" x14ac:dyDescent="0.3">
      <c r="A221" s="335" t="s">
        <v>426</v>
      </c>
      <c r="B221" s="335" t="s">
        <v>20</v>
      </c>
      <c r="C221" s="335"/>
      <c r="D221" s="335" t="s">
        <v>67</v>
      </c>
      <c r="E221" s="336" t="s">
        <v>68</v>
      </c>
      <c r="F221" s="336"/>
      <c r="G221" s="337">
        <v>0.5</v>
      </c>
      <c r="H221" s="338">
        <v>0</v>
      </c>
      <c r="I221" s="339">
        <v>571.17949098076099</v>
      </c>
      <c r="J221" s="340">
        <v>285.58974549038101</v>
      </c>
      <c r="K221" s="335" t="s">
        <v>427</v>
      </c>
      <c r="L221" s="335">
        <v>1</v>
      </c>
      <c r="M221" s="335" t="s">
        <v>428</v>
      </c>
      <c r="N221" s="339">
        <v>11.5</v>
      </c>
      <c r="O221" s="341">
        <v>0.5</v>
      </c>
      <c r="P221" s="341" t="s">
        <v>25</v>
      </c>
      <c r="Q221" s="341">
        <v>0</v>
      </c>
      <c r="R221" s="342" t="s">
        <v>25</v>
      </c>
      <c r="S221" s="342" t="s">
        <v>25</v>
      </c>
    </row>
    <row r="222" spans="1:19" ht="15" customHeight="1" x14ac:dyDescent="0.3">
      <c r="A222" s="335" t="s">
        <v>426</v>
      </c>
      <c r="B222" s="335" t="s">
        <v>20</v>
      </c>
      <c r="C222" s="335"/>
      <c r="D222" s="335" t="s">
        <v>71</v>
      </c>
      <c r="E222" s="336" t="s">
        <v>72</v>
      </c>
      <c r="F222" s="336"/>
      <c r="G222" s="337">
        <v>1</v>
      </c>
      <c r="H222" s="338">
        <v>0</v>
      </c>
      <c r="I222" s="339">
        <v>2287.1357450968098</v>
      </c>
      <c r="J222" s="340">
        <v>2287.1357450968098</v>
      </c>
      <c r="K222" s="335" t="s">
        <v>427</v>
      </c>
      <c r="L222" s="335">
        <v>2</v>
      </c>
      <c r="M222" s="335" t="s">
        <v>429</v>
      </c>
      <c r="N222" s="339">
        <v>11.5</v>
      </c>
      <c r="O222" s="341">
        <v>1</v>
      </c>
      <c r="P222" s="341" t="s">
        <v>25</v>
      </c>
      <c r="Q222" s="341">
        <v>0</v>
      </c>
      <c r="R222" s="342" t="s">
        <v>25</v>
      </c>
      <c r="S222" s="342" t="s">
        <v>25</v>
      </c>
    </row>
    <row r="223" spans="1:19" ht="15" customHeight="1" x14ac:dyDescent="0.3">
      <c r="A223" s="335" t="s">
        <v>426</v>
      </c>
      <c r="B223" s="335" t="s">
        <v>20</v>
      </c>
      <c r="C223" s="335"/>
      <c r="D223" s="335" t="s">
        <v>74</v>
      </c>
      <c r="E223" s="336" t="s">
        <v>75</v>
      </c>
      <c r="F223" s="336"/>
      <c r="G223" s="337">
        <v>1</v>
      </c>
      <c r="H223" s="338">
        <v>0</v>
      </c>
      <c r="I223" s="339">
        <v>957.25319614994703</v>
      </c>
      <c r="J223" s="340">
        <v>957.25319614994703</v>
      </c>
      <c r="K223" s="335" t="s">
        <v>427</v>
      </c>
      <c r="L223" s="335">
        <v>3</v>
      </c>
      <c r="M223" s="335" t="s">
        <v>430</v>
      </c>
      <c r="N223" s="339">
        <v>11.5</v>
      </c>
      <c r="O223" s="341">
        <v>1</v>
      </c>
      <c r="P223" s="341" t="s">
        <v>25</v>
      </c>
      <c r="Q223" s="341">
        <v>0</v>
      </c>
      <c r="R223" s="342" t="s">
        <v>25</v>
      </c>
      <c r="S223" s="342" t="s">
        <v>25</v>
      </c>
    </row>
    <row r="224" spans="1:19" ht="15" customHeight="1" x14ac:dyDescent="0.3">
      <c r="A224" s="335" t="s">
        <v>426</v>
      </c>
      <c r="B224" s="335" t="s">
        <v>26</v>
      </c>
      <c r="C224" s="335" t="s">
        <v>27</v>
      </c>
      <c r="D224" s="335" t="s">
        <v>77</v>
      </c>
      <c r="E224" s="336" t="s">
        <v>78</v>
      </c>
      <c r="F224" s="336" t="s">
        <v>35</v>
      </c>
      <c r="G224" s="337">
        <v>0.17</v>
      </c>
      <c r="H224" s="338">
        <v>0.1</v>
      </c>
      <c r="I224" s="339">
        <v>3424.53</v>
      </c>
      <c r="J224" s="340">
        <v>640.38711000000001</v>
      </c>
      <c r="K224" s="335" t="s">
        <v>431</v>
      </c>
      <c r="L224" s="335">
        <v>1</v>
      </c>
      <c r="M224" s="335" t="s">
        <v>432</v>
      </c>
      <c r="N224" s="339">
        <v>11.5</v>
      </c>
      <c r="O224" s="341">
        <v>0.17</v>
      </c>
      <c r="P224" s="341" t="s">
        <v>25</v>
      </c>
      <c r="Q224" s="341">
        <v>0</v>
      </c>
      <c r="R224" s="342" t="s">
        <v>25</v>
      </c>
      <c r="S224" s="342" t="s">
        <v>25</v>
      </c>
    </row>
    <row r="225" spans="1:19" ht="15" customHeight="1" x14ac:dyDescent="0.3">
      <c r="A225" s="335" t="s">
        <v>426</v>
      </c>
      <c r="B225" s="335" t="s">
        <v>26</v>
      </c>
      <c r="C225" s="335" t="s">
        <v>27</v>
      </c>
      <c r="D225" s="335" t="s">
        <v>81</v>
      </c>
      <c r="E225" s="336" t="s">
        <v>82</v>
      </c>
      <c r="F225" s="336" t="s">
        <v>83</v>
      </c>
      <c r="G225" s="337">
        <v>1.2E-2</v>
      </c>
      <c r="H225" s="338">
        <v>0.1</v>
      </c>
      <c r="I225" s="339">
        <v>32399.77</v>
      </c>
      <c r="J225" s="340">
        <v>427.676964</v>
      </c>
      <c r="K225" s="335" t="s">
        <v>431</v>
      </c>
      <c r="L225" s="335">
        <v>2</v>
      </c>
      <c r="M225" s="335" t="s">
        <v>433</v>
      </c>
      <c r="N225" s="339">
        <v>11.5</v>
      </c>
      <c r="O225" s="341">
        <v>1.2E-2</v>
      </c>
      <c r="P225" s="341" t="s">
        <v>25</v>
      </c>
      <c r="Q225" s="341">
        <v>0</v>
      </c>
      <c r="R225" s="342" t="s">
        <v>25</v>
      </c>
      <c r="S225" s="342" t="s">
        <v>25</v>
      </c>
    </row>
    <row r="226" spans="1:19" ht="15" customHeight="1" x14ac:dyDescent="0.3">
      <c r="A226" s="335" t="s">
        <v>426</v>
      </c>
      <c r="B226" s="335" t="s">
        <v>26</v>
      </c>
      <c r="C226" s="335" t="s">
        <v>27</v>
      </c>
      <c r="D226" s="335" t="s">
        <v>85</v>
      </c>
      <c r="E226" s="336" t="s">
        <v>86</v>
      </c>
      <c r="F226" s="336" t="s">
        <v>87</v>
      </c>
      <c r="G226" s="337">
        <v>5.1999999999999998E-2</v>
      </c>
      <c r="H226" s="338">
        <v>0.1</v>
      </c>
      <c r="I226" s="339">
        <v>7809.48</v>
      </c>
      <c r="J226" s="340">
        <v>446.70225599999998</v>
      </c>
      <c r="K226" s="335" t="s">
        <v>431</v>
      </c>
      <c r="L226" s="335">
        <v>3</v>
      </c>
      <c r="M226" s="335" t="s">
        <v>434</v>
      </c>
      <c r="N226" s="339">
        <v>11.5</v>
      </c>
      <c r="O226" s="341">
        <v>5.1999999999999998E-2</v>
      </c>
      <c r="P226" s="341" t="s">
        <v>25</v>
      </c>
      <c r="Q226" s="341">
        <v>0</v>
      </c>
      <c r="R226" s="342" t="s">
        <v>25</v>
      </c>
      <c r="S226" s="342" t="s">
        <v>25</v>
      </c>
    </row>
    <row r="227" spans="1:19" ht="15" customHeight="1" x14ac:dyDescent="0.3">
      <c r="A227" s="335" t="s">
        <v>426</v>
      </c>
      <c r="B227" s="335" t="s">
        <v>26</v>
      </c>
      <c r="C227" s="335" t="s">
        <v>27</v>
      </c>
      <c r="D227" s="335" t="s">
        <v>89</v>
      </c>
      <c r="E227" s="336" t="s">
        <v>90</v>
      </c>
      <c r="F227" s="336" t="s">
        <v>91</v>
      </c>
      <c r="G227" s="337">
        <v>0.1</v>
      </c>
      <c r="H227" s="338">
        <v>0.1</v>
      </c>
      <c r="I227" s="339">
        <v>3837.96</v>
      </c>
      <c r="J227" s="340">
        <v>422.17559999999997</v>
      </c>
      <c r="K227" s="335" t="s">
        <v>431</v>
      </c>
      <c r="L227" s="335">
        <v>4</v>
      </c>
      <c r="M227" s="335" t="s">
        <v>435</v>
      </c>
      <c r="N227" s="339">
        <v>11.5</v>
      </c>
      <c r="O227" s="341">
        <v>0.1</v>
      </c>
      <c r="P227" s="341" t="s">
        <v>25</v>
      </c>
      <c r="Q227" s="341">
        <v>0</v>
      </c>
      <c r="R227" s="342" t="s">
        <v>25</v>
      </c>
      <c r="S227" s="342" t="s">
        <v>25</v>
      </c>
    </row>
    <row r="228" spans="1:19" ht="15" customHeight="1" x14ac:dyDescent="0.3">
      <c r="A228" s="335" t="s">
        <v>426</v>
      </c>
      <c r="B228" s="335" t="s">
        <v>26</v>
      </c>
      <c r="C228" s="335" t="s">
        <v>27</v>
      </c>
      <c r="D228" s="335" t="s">
        <v>436</v>
      </c>
      <c r="E228" s="336" t="s">
        <v>437</v>
      </c>
      <c r="F228" s="336" t="s">
        <v>35</v>
      </c>
      <c r="G228" s="337">
        <v>12.5</v>
      </c>
      <c r="H228" s="338">
        <v>0.05</v>
      </c>
      <c r="I228" s="339">
        <v>682.52</v>
      </c>
      <c r="J228" s="340">
        <v>8958.0750000000007</v>
      </c>
      <c r="K228" s="335" t="s">
        <v>431</v>
      </c>
      <c r="L228" s="335">
        <v>5</v>
      </c>
      <c r="M228" s="335" t="s">
        <v>438</v>
      </c>
      <c r="N228" s="339">
        <v>11.5</v>
      </c>
      <c r="O228" s="341">
        <v>12.5</v>
      </c>
      <c r="P228" s="341" t="s">
        <v>25</v>
      </c>
      <c r="Q228" s="341">
        <v>0</v>
      </c>
      <c r="R228" s="342" t="s">
        <v>25</v>
      </c>
      <c r="S228" s="342" t="s">
        <v>25</v>
      </c>
    </row>
    <row r="229" spans="1:19" ht="15" customHeight="1" x14ac:dyDescent="0.3">
      <c r="A229" s="335" t="s">
        <v>426</v>
      </c>
      <c r="B229" s="335" t="s">
        <v>26</v>
      </c>
      <c r="C229" s="335" t="s">
        <v>27</v>
      </c>
      <c r="D229" s="335" t="s">
        <v>96</v>
      </c>
      <c r="E229" s="336" t="s">
        <v>97</v>
      </c>
      <c r="F229" s="336" t="s">
        <v>98</v>
      </c>
      <c r="G229" s="337">
        <v>1.1221867400000001</v>
      </c>
      <c r="H229" s="338">
        <v>0</v>
      </c>
      <c r="I229" s="339">
        <v>1</v>
      </c>
      <c r="J229" s="340">
        <v>1.1221867400000001</v>
      </c>
      <c r="K229" s="335" t="s">
        <v>431</v>
      </c>
      <c r="L229" s="335">
        <v>6</v>
      </c>
      <c r="M229" s="335" t="s">
        <v>439</v>
      </c>
      <c r="N229" s="339">
        <v>11.5</v>
      </c>
      <c r="O229" s="341">
        <v>1.1221867400000001</v>
      </c>
      <c r="P229" s="341" t="s">
        <v>25</v>
      </c>
      <c r="Q229" s="341">
        <v>0</v>
      </c>
      <c r="R229" s="342" t="s">
        <v>25</v>
      </c>
      <c r="S229" s="342" t="s">
        <v>25</v>
      </c>
    </row>
    <row r="230" spans="1:19" ht="15" customHeight="1" x14ac:dyDescent="0.3">
      <c r="A230" s="335" t="s">
        <v>426</v>
      </c>
      <c r="B230" s="335" t="s">
        <v>56</v>
      </c>
      <c r="C230" s="335" t="s">
        <v>57</v>
      </c>
      <c r="D230" s="343" t="s">
        <v>58</v>
      </c>
      <c r="E230" s="336" t="s">
        <v>59</v>
      </c>
      <c r="F230" s="336" t="s">
        <v>60</v>
      </c>
      <c r="G230" s="337">
        <v>0.75</v>
      </c>
      <c r="H230" s="338">
        <v>0</v>
      </c>
      <c r="I230" s="339">
        <v>60860.580776572002</v>
      </c>
      <c r="J230" s="340">
        <v>45645.435582429003</v>
      </c>
      <c r="K230" s="335" t="s">
        <v>440</v>
      </c>
      <c r="L230" s="335">
        <v>1</v>
      </c>
      <c r="M230" s="335" t="s">
        <v>441</v>
      </c>
      <c r="N230" s="339">
        <v>11.5</v>
      </c>
      <c r="O230" s="341">
        <v>6.5217391304347797E-2</v>
      </c>
      <c r="P230" s="341" t="s">
        <v>25</v>
      </c>
      <c r="Q230" s="341">
        <v>0</v>
      </c>
      <c r="R230" s="342" t="s">
        <v>25</v>
      </c>
      <c r="S230" s="342" t="s">
        <v>25</v>
      </c>
    </row>
    <row r="231" spans="1:19" ht="15" customHeight="1" x14ac:dyDescent="0.3">
      <c r="A231" s="335" t="s">
        <v>426</v>
      </c>
      <c r="B231" s="335" t="s">
        <v>56</v>
      </c>
      <c r="C231" s="335" t="s">
        <v>57</v>
      </c>
      <c r="D231" s="343" t="s">
        <v>63</v>
      </c>
      <c r="E231" s="336" t="s">
        <v>64</v>
      </c>
      <c r="F231" s="336" t="s">
        <v>60</v>
      </c>
      <c r="G231" s="337">
        <v>1</v>
      </c>
      <c r="H231" s="338">
        <v>0</v>
      </c>
      <c r="I231" s="339">
        <v>85927.097156571996</v>
      </c>
      <c r="J231" s="340">
        <v>85927.097156571996</v>
      </c>
      <c r="K231" s="335" t="s">
        <v>440</v>
      </c>
      <c r="L231" s="335">
        <v>2</v>
      </c>
      <c r="M231" s="335" t="s">
        <v>442</v>
      </c>
      <c r="N231" s="339">
        <v>11.5</v>
      </c>
      <c r="O231" s="341">
        <v>8.6956521739130405E-2</v>
      </c>
      <c r="P231" s="341" t="s">
        <v>25</v>
      </c>
      <c r="Q231" s="341">
        <v>0</v>
      </c>
      <c r="R231" s="342" t="s">
        <v>25</v>
      </c>
      <c r="S231" s="342" t="s">
        <v>25</v>
      </c>
    </row>
    <row r="232" spans="1:19" ht="15" customHeight="1" x14ac:dyDescent="0.3">
      <c r="A232" s="335" t="s">
        <v>443</v>
      </c>
      <c r="B232" s="335" t="s">
        <v>20</v>
      </c>
      <c r="C232" s="335"/>
      <c r="D232" s="335" t="s">
        <v>67</v>
      </c>
      <c r="E232" s="336" t="s">
        <v>68</v>
      </c>
      <c r="F232" s="336"/>
      <c r="G232" s="337">
        <v>0.5</v>
      </c>
      <c r="H232" s="338">
        <v>0</v>
      </c>
      <c r="I232" s="339">
        <v>571.17949098076099</v>
      </c>
      <c r="J232" s="340">
        <v>285.58974549038101</v>
      </c>
      <c r="K232" s="335" t="s">
        <v>444</v>
      </c>
      <c r="L232" s="335">
        <v>1</v>
      </c>
      <c r="M232" s="335" t="s">
        <v>445</v>
      </c>
      <c r="N232" s="339">
        <v>11.5</v>
      </c>
      <c r="O232" s="341">
        <v>0.5</v>
      </c>
      <c r="P232" s="341" t="s">
        <v>25</v>
      </c>
      <c r="Q232" s="341">
        <v>0</v>
      </c>
      <c r="R232" s="342" t="s">
        <v>25</v>
      </c>
      <c r="S232" s="342" t="s">
        <v>25</v>
      </c>
    </row>
    <row r="233" spans="1:19" ht="15" customHeight="1" x14ac:dyDescent="0.3">
      <c r="A233" s="335" t="s">
        <v>443</v>
      </c>
      <c r="B233" s="335" t="s">
        <v>20</v>
      </c>
      <c r="C233" s="335"/>
      <c r="D233" s="335" t="s">
        <v>71</v>
      </c>
      <c r="E233" s="336" t="s">
        <v>72</v>
      </c>
      <c r="F233" s="336"/>
      <c r="G233" s="337">
        <v>1</v>
      </c>
      <c r="H233" s="338">
        <v>0</v>
      </c>
      <c r="I233" s="339">
        <v>2287.1357450968098</v>
      </c>
      <c r="J233" s="340">
        <v>2287.1357450968098</v>
      </c>
      <c r="K233" s="335" t="s">
        <v>444</v>
      </c>
      <c r="L233" s="335">
        <v>2</v>
      </c>
      <c r="M233" s="335" t="s">
        <v>446</v>
      </c>
      <c r="N233" s="339">
        <v>11.5</v>
      </c>
      <c r="O233" s="341">
        <v>1</v>
      </c>
      <c r="P233" s="341" t="s">
        <v>25</v>
      </c>
      <c r="Q233" s="341">
        <v>0</v>
      </c>
      <c r="R233" s="342" t="s">
        <v>25</v>
      </c>
      <c r="S233" s="342" t="s">
        <v>25</v>
      </c>
    </row>
    <row r="234" spans="1:19" ht="15" customHeight="1" x14ac:dyDescent="0.3">
      <c r="A234" s="335" t="s">
        <v>443</v>
      </c>
      <c r="B234" s="335" t="s">
        <v>20</v>
      </c>
      <c r="C234" s="335"/>
      <c r="D234" s="335" t="s">
        <v>74</v>
      </c>
      <c r="E234" s="336" t="s">
        <v>75</v>
      </c>
      <c r="F234" s="336"/>
      <c r="G234" s="337">
        <v>1</v>
      </c>
      <c r="H234" s="338">
        <v>0</v>
      </c>
      <c r="I234" s="339">
        <v>957.25319614994703</v>
      </c>
      <c r="J234" s="340">
        <v>957.25319614994703</v>
      </c>
      <c r="K234" s="335" t="s">
        <v>444</v>
      </c>
      <c r="L234" s="335">
        <v>3</v>
      </c>
      <c r="M234" s="335" t="s">
        <v>447</v>
      </c>
      <c r="N234" s="339">
        <v>11.5</v>
      </c>
      <c r="O234" s="341">
        <v>1</v>
      </c>
      <c r="P234" s="341" t="s">
        <v>25</v>
      </c>
      <c r="Q234" s="341">
        <v>0</v>
      </c>
      <c r="R234" s="342" t="s">
        <v>25</v>
      </c>
      <c r="S234" s="342" t="s">
        <v>25</v>
      </c>
    </row>
    <row r="235" spans="1:19" ht="15" customHeight="1" x14ac:dyDescent="0.3">
      <c r="A235" s="335" t="s">
        <v>443</v>
      </c>
      <c r="B235" s="335" t="s">
        <v>26</v>
      </c>
      <c r="C235" s="335" t="s">
        <v>27</v>
      </c>
      <c r="D235" s="335" t="s">
        <v>77</v>
      </c>
      <c r="E235" s="336" t="s">
        <v>78</v>
      </c>
      <c r="F235" s="336" t="s">
        <v>35</v>
      </c>
      <c r="G235" s="337">
        <v>0.17</v>
      </c>
      <c r="H235" s="338">
        <v>0.1</v>
      </c>
      <c r="I235" s="339">
        <v>3424.53</v>
      </c>
      <c r="J235" s="340">
        <v>640.38711000000001</v>
      </c>
      <c r="K235" s="335" t="s">
        <v>448</v>
      </c>
      <c r="L235" s="335">
        <v>1</v>
      </c>
      <c r="M235" s="335" t="s">
        <v>449</v>
      </c>
      <c r="N235" s="339">
        <v>11.5</v>
      </c>
      <c r="O235" s="341">
        <v>0.17</v>
      </c>
      <c r="P235" s="341" t="s">
        <v>25</v>
      </c>
      <c r="Q235" s="341">
        <v>0</v>
      </c>
      <c r="R235" s="342" t="s">
        <v>25</v>
      </c>
      <c r="S235" s="342" t="s">
        <v>25</v>
      </c>
    </row>
    <row r="236" spans="1:19" ht="15" customHeight="1" x14ac:dyDescent="0.3">
      <c r="A236" s="335" t="s">
        <v>443</v>
      </c>
      <c r="B236" s="335" t="s">
        <v>26</v>
      </c>
      <c r="C236" s="335" t="s">
        <v>27</v>
      </c>
      <c r="D236" s="335" t="s">
        <v>81</v>
      </c>
      <c r="E236" s="336" t="s">
        <v>82</v>
      </c>
      <c r="F236" s="336" t="s">
        <v>83</v>
      </c>
      <c r="G236" s="337">
        <v>1.44E-2</v>
      </c>
      <c r="H236" s="338">
        <v>0.1</v>
      </c>
      <c r="I236" s="339">
        <v>32399.77</v>
      </c>
      <c r="J236" s="340">
        <v>513.21235679999995</v>
      </c>
      <c r="K236" s="335" t="s">
        <v>448</v>
      </c>
      <c r="L236" s="335">
        <v>2</v>
      </c>
      <c r="M236" s="335" t="s">
        <v>450</v>
      </c>
      <c r="N236" s="339">
        <v>11.5</v>
      </c>
      <c r="O236" s="341">
        <v>1.44E-2</v>
      </c>
      <c r="P236" s="341" t="s">
        <v>25</v>
      </c>
      <c r="Q236" s="341">
        <v>0</v>
      </c>
      <c r="R236" s="342" t="s">
        <v>25</v>
      </c>
      <c r="S236" s="342" t="s">
        <v>25</v>
      </c>
    </row>
    <row r="237" spans="1:19" ht="15" customHeight="1" x14ac:dyDescent="0.3">
      <c r="A237" s="335" t="s">
        <v>443</v>
      </c>
      <c r="B237" s="335" t="s">
        <v>26</v>
      </c>
      <c r="C237" s="335" t="s">
        <v>27</v>
      </c>
      <c r="D237" s="335" t="s">
        <v>85</v>
      </c>
      <c r="E237" s="336" t="s">
        <v>86</v>
      </c>
      <c r="F237" s="336" t="s">
        <v>87</v>
      </c>
      <c r="G237" s="337">
        <v>6.2399999999999997E-2</v>
      </c>
      <c r="H237" s="338">
        <v>0.1</v>
      </c>
      <c r="I237" s="339">
        <v>7809.48</v>
      </c>
      <c r="J237" s="340">
        <v>536.0427072</v>
      </c>
      <c r="K237" s="335" t="s">
        <v>448</v>
      </c>
      <c r="L237" s="335">
        <v>3</v>
      </c>
      <c r="M237" s="335" t="s">
        <v>451</v>
      </c>
      <c r="N237" s="339">
        <v>11.5</v>
      </c>
      <c r="O237" s="341">
        <v>6.2399999999999997E-2</v>
      </c>
      <c r="P237" s="341" t="s">
        <v>25</v>
      </c>
      <c r="Q237" s="341">
        <v>0</v>
      </c>
      <c r="R237" s="342" t="s">
        <v>25</v>
      </c>
      <c r="S237" s="342" t="s">
        <v>25</v>
      </c>
    </row>
    <row r="238" spans="1:19" ht="15" customHeight="1" x14ac:dyDescent="0.3">
      <c r="A238" s="335" t="s">
        <v>443</v>
      </c>
      <c r="B238" s="335" t="s">
        <v>26</v>
      </c>
      <c r="C238" s="335" t="s">
        <v>27</v>
      </c>
      <c r="D238" s="335" t="s">
        <v>89</v>
      </c>
      <c r="E238" s="336" t="s">
        <v>90</v>
      </c>
      <c r="F238" s="336" t="s">
        <v>91</v>
      </c>
      <c r="G238" s="337">
        <v>0.12</v>
      </c>
      <c r="H238" s="338">
        <v>0.1</v>
      </c>
      <c r="I238" s="339">
        <v>3837.96</v>
      </c>
      <c r="J238" s="340">
        <v>506.61072000000001</v>
      </c>
      <c r="K238" s="335" t="s">
        <v>448</v>
      </c>
      <c r="L238" s="335">
        <v>4</v>
      </c>
      <c r="M238" s="335" t="s">
        <v>452</v>
      </c>
      <c r="N238" s="339">
        <v>11.5</v>
      </c>
      <c r="O238" s="341">
        <v>0.12</v>
      </c>
      <c r="P238" s="341" t="s">
        <v>25</v>
      </c>
      <c r="Q238" s="341">
        <v>0</v>
      </c>
      <c r="R238" s="342" t="s">
        <v>25</v>
      </c>
      <c r="S238" s="342" t="s">
        <v>25</v>
      </c>
    </row>
    <row r="239" spans="1:19" ht="15" customHeight="1" x14ac:dyDescent="0.3">
      <c r="A239" s="335" t="s">
        <v>443</v>
      </c>
      <c r="B239" s="335" t="s">
        <v>26</v>
      </c>
      <c r="C239" s="335" t="s">
        <v>27</v>
      </c>
      <c r="D239" s="335" t="s">
        <v>453</v>
      </c>
      <c r="E239" s="336" t="s">
        <v>454</v>
      </c>
      <c r="F239" s="336" t="s">
        <v>35</v>
      </c>
      <c r="G239" s="337">
        <v>12.5</v>
      </c>
      <c r="H239" s="338">
        <v>0.05</v>
      </c>
      <c r="I239" s="339">
        <v>1016.6</v>
      </c>
      <c r="J239" s="340">
        <v>13342.875</v>
      </c>
      <c r="K239" s="335" t="s">
        <v>448</v>
      </c>
      <c r="L239" s="335">
        <v>5</v>
      </c>
      <c r="M239" s="335" t="s">
        <v>455</v>
      </c>
      <c r="N239" s="339">
        <v>11.5</v>
      </c>
      <c r="O239" s="341">
        <v>12.5</v>
      </c>
      <c r="P239" s="341" t="s">
        <v>25</v>
      </c>
      <c r="Q239" s="341">
        <v>0</v>
      </c>
      <c r="R239" s="342" t="s">
        <v>25</v>
      </c>
      <c r="S239" s="342" t="s">
        <v>25</v>
      </c>
    </row>
    <row r="240" spans="1:19" ht="15" customHeight="1" x14ac:dyDescent="0.3">
      <c r="A240" s="335" t="s">
        <v>443</v>
      </c>
      <c r="B240" s="335" t="s">
        <v>26</v>
      </c>
      <c r="C240" s="335" t="s">
        <v>27</v>
      </c>
      <c r="D240" s="335" t="s">
        <v>96</v>
      </c>
      <c r="E240" s="336" t="s">
        <v>97</v>
      </c>
      <c r="F240" s="336" t="s">
        <v>98</v>
      </c>
      <c r="G240" s="337">
        <v>1.6005301700000001</v>
      </c>
      <c r="H240" s="338">
        <v>0</v>
      </c>
      <c r="I240" s="339">
        <v>1</v>
      </c>
      <c r="J240" s="340">
        <v>1.6005301700000001</v>
      </c>
      <c r="K240" s="335" t="s">
        <v>448</v>
      </c>
      <c r="L240" s="335">
        <v>6</v>
      </c>
      <c r="M240" s="335" t="s">
        <v>456</v>
      </c>
      <c r="N240" s="339">
        <v>11.5</v>
      </c>
      <c r="O240" s="341">
        <v>1.6005301700000001</v>
      </c>
      <c r="P240" s="341" t="s">
        <v>25</v>
      </c>
      <c r="Q240" s="341">
        <v>0</v>
      </c>
      <c r="R240" s="342" t="s">
        <v>25</v>
      </c>
      <c r="S240" s="342" t="s">
        <v>25</v>
      </c>
    </row>
    <row r="241" spans="1:19" ht="15" customHeight="1" x14ac:dyDescent="0.3">
      <c r="A241" s="335" t="s">
        <v>443</v>
      </c>
      <c r="B241" s="335" t="s">
        <v>56</v>
      </c>
      <c r="C241" s="335" t="s">
        <v>57</v>
      </c>
      <c r="D241" s="343" t="s">
        <v>58</v>
      </c>
      <c r="E241" s="336" t="s">
        <v>59</v>
      </c>
      <c r="F241" s="336" t="s">
        <v>60</v>
      </c>
      <c r="G241" s="337">
        <v>0.75</v>
      </c>
      <c r="H241" s="338">
        <v>0</v>
      </c>
      <c r="I241" s="339">
        <v>60860.580776572002</v>
      </c>
      <c r="J241" s="340">
        <v>45645.435582429003</v>
      </c>
      <c r="K241" s="335" t="s">
        <v>457</v>
      </c>
      <c r="L241" s="335">
        <v>1</v>
      </c>
      <c r="M241" s="335" t="s">
        <v>458</v>
      </c>
      <c r="N241" s="339">
        <v>11.5</v>
      </c>
      <c r="O241" s="341">
        <v>6.5217391304347797E-2</v>
      </c>
      <c r="P241" s="341" t="s">
        <v>25</v>
      </c>
      <c r="Q241" s="341">
        <v>0</v>
      </c>
      <c r="R241" s="342" t="s">
        <v>25</v>
      </c>
      <c r="S241" s="342" t="s">
        <v>25</v>
      </c>
    </row>
    <row r="242" spans="1:19" ht="15" customHeight="1" x14ac:dyDescent="0.3">
      <c r="A242" s="335" t="s">
        <v>443</v>
      </c>
      <c r="B242" s="335" t="s">
        <v>56</v>
      </c>
      <c r="C242" s="335" t="s">
        <v>57</v>
      </c>
      <c r="D242" s="343" t="s">
        <v>63</v>
      </c>
      <c r="E242" s="336" t="s">
        <v>64</v>
      </c>
      <c r="F242" s="336" t="s">
        <v>60</v>
      </c>
      <c r="G242" s="337">
        <v>1</v>
      </c>
      <c r="H242" s="338">
        <v>0</v>
      </c>
      <c r="I242" s="339">
        <v>85927.097156571996</v>
      </c>
      <c r="J242" s="340">
        <v>85927.097156571996</v>
      </c>
      <c r="K242" s="335" t="s">
        <v>457</v>
      </c>
      <c r="L242" s="335">
        <v>2</v>
      </c>
      <c r="M242" s="335" t="s">
        <v>459</v>
      </c>
      <c r="N242" s="339">
        <v>11.5</v>
      </c>
      <c r="O242" s="341">
        <v>8.6956521739130405E-2</v>
      </c>
      <c r="P242" s="341" t="s">
        <v>25</v>
      </c>
      <c r="Q242" s="341">
        <v>0</v>
      </c>
      <c r="R242" s="342" t="s">
        <v>25</v>
      </c>
      <c r="S242" s="342" t="s">
        <v>25</v>
      </c>
    </row>
    <row r="243" spans="1:19" ht="15" customHeight="1" x14ac:dyDescent="0.3">
      <c r="A243" s="335" t="s">
        <v>460</v>
      </c>
      <c r="B243" s="335" t="s">
        <v>20</v>
      </c>
      <c r="C243" s="335"/>
      <c r="D243" s="335" t="s">
        <v>71</v>
      </c>
      <c r="E243" s="336" t="s">
        <v>72</v>
      </c>
      <c r="F243" s="336"/>
      <c r="G243" s="337">
        <v>1</v>
      </c>
      <c r="H243" s="338">
        <v>0</v>
      </c>
      <c r="I243" s="339">
        <v>2287.1357450968098</v>
      </c>
      <c r="J243" s="340">
        <v>2287.1357450968098</v>
      </c>
      <c r="K243" s="335" t="s">
        <v>461</v>
      </c>
      <c r="L243" s="335">
        <v>1</v>
      </c>
      <c r="M243" s="335" t="s">
        <v>462</v>
      </c>
      <c r="N243" s="339">
        <v>14.5</v>
      </c>
      <c r="O243" s="341">
        <v>1</v>
      </c>
      <c r="P243" s="341">
        <v>442</v>
      </c>
      <c r="Q243" s="341">
        <v>442</v>
      </c>
      <c r="R243" s="342">
        <v>8.07</v>
      </c>
      <c r="S243" s="342" t="s">
        <v>106</v>
      </c>
    </row>
    <row r="244" spans="1:19" ht="15" customHeight="1" x14ac:dyDescent="0.3">
      <c r="A244" s="335" t="s">
        <v>460</v>
      </c>
      <c r="B244" s="335" t="s">
        <v>20</v>
      </c>
      <c r="C244" s="335"/>
      <c r="D244" s="335" t="s">
        <v>74</v>
      </c>
      <c r="E244" s="336" t="s">
        <v>75</v>
      </c>
      <c r="F244" s="336"/>
      <c r="G244" s="337">
        <v>1</v>
      </c>
      <c r="H244" s="338">
        <v>0</v>
      </c>
      <c r="I244" s="339">
        <v>957.25319614994703</v>
      </c>
      <c r="J244" s="340">
        <v>957.25319614994703</v>
      </c>
      <c r="K244" s="335" t="s">
        <v>461</v>
      </c>
      <c r="L244" s="335">
        <v>2</v>
      </c>
      <c r="M244" s="335" t="s">
        <v>463</v>
      </c>
      <c r="N244" s="339">
        <v>14.5</v>
      </c>
      <c r="O244" s="341">
        <v>1</v>
      </c>
      <c r="P244" s="341">
        <v>442</v>
      </c>
      <c r="Q244" s="341">
        <v>442</v>
      </c>
      <c r="R244" s="342">
        <v>8.07</v>
      </c>
      <c r="S244" s="342" t="s">
        <v>106</v>
      </c>
    </row>
    <row r="245" spans="1:19" ht="15" customHeight="1" x14ac:dyDescent="0.3">
      <c r="A245" s="335" t="s">
        <v>460</v>
      </c>
      <c r="B245" s="335" t="s">
        <v>26</v>
      </c>
      <c r="C245" s="335" t="s">
        <v>27</v>
      </c>
      <c r="D245" s="335" t="s">
        <v>81</v>
      </c>
      <c r="E245" s="336" t="s">
        <v>82</v>
      </c>
      <c r="F245" s="336" t="s">
        <v>83</v>
      </c>
      <c r="G245" s="337">
        <v>0.03</v>
      </c>
      <c r="H245" s="338">
        <v>0.1</v>
      </c>
      <c r="I245" s="339">
        <v>32399.77</v>
      </c>
      <c r="J245" s="340">
        <v>1069.1924100000001</v>
      </c>
      <c r="K245" s="335" t="s">
        <v>464</v>
      </c>
      <c r="L245" s="335">
        <v>1</v>
      </c>
      <c r="M245" s="335" t="s">
        <v>465</v>
      </c>
      <c r="N245" s="339">
        <v>14.5</v>
      </c>
      <c r="O245" s="341">
        <v>0.03</v>
      </c>
      <c r="P245" s="341">
        <v>442</v>
      </c>
      <c r="Q245" s="341">
        <v>13.26</v>
      </c>
      <c r="R245" s="342">
        <v>8.07</v>
      </c>
      <c r="S245" s="342" t="s">
        <v>106</v>
      </c>
    </row>
    <row r="246" spans="1:19" ht="15" customHeight="1" x14ac:dyDescent="0.3">
      <c r="A246" s="335" t="s">
        <v>460</v>
      </c>
      <c r="B246" s="335" t="s">
        <v>26</v>
      </c>
      <c r="C246" s="335" t="s">
        <v>27</v>
      </c>
      <c r="D246" s="335" t="s">
        <v>85</v>
      </c>
      <c r="E246" s="336" t="s">
        <v>86</v>
      </c>
      <c r="F246" s="336" t="s">
        <v>87</v>
      </c>
      <c r="G246" s="337">
        <v>7.0000000000000007E-2</v>
      </c>
      <c r="H246" s="338">
        <v>0.1</v>
      </c>
      <c r="I246" s="339">
        <v>7809.48</v>
      </c>
      <c r="J246" s="340">
        <v>601.32996000000003</v>
      </c>
      <c r="K246" s="335" t="s">
        <v>464</v>
      </c>
      <c r="L246" s="335">
        <v>2</v>
      </c>
      <c r="M246" s="335" t="s">
        <v>466</v>
      </c>
      <c r="N246" s="339">
        <v>14.5</v>
      </c>
      <c r="O246" s="341">
        <v>7.0000000000000007E-2</v>
      </c>
      <c r="P246" s="341">
        <v>442</v>
      </c>
      <c r="Q246" s="341">
        <v>30.94</v>
      </c>
      <c r="R246" s="342">
        <v>8.07</v>
      </c>
      <c r="S246" s="342" t="s">
        <v>106</v>
      </c>
    </row>
    <row r="247" spans="1:19" ht="15" customHeight="1" x14ac:dyDescent="0.3">
      <c r="A247" s="335" t="s">
        <v>460</v>
      </c>
      <c r="B247" s="335" t="s">
        <v>26</v>
      </c>
      <c r="C247" s="335" t="s">
        <v>27</v>
      </c>
      <c r="D247" s="335" t="s">
        <v>89</v>
      </c>
      <c r="E247" s="336" t="s">
        <v>90</v>
      </c>
      <c r="F247" s="336" t="s">
        <v>91</v>
      </c>
      <c r="G247" s="337">
        <v>0.248</v>
      </c>
      <c r="H247" s="338">
        <v>0.1</v>
      </c>
      <c r="I247" s="339">
        <v>3837.96</v>
      </c>
      <c r="J247" s="340">
        <v>1046.995488</v>
      </c>
      <c r="K247" s="335" t="s">
        <v>464</v>
      </c>
      <c r="L247" s="335">
        <v>3</v>
      </c>
      <c r="M247" s="335" t="s">
        <v>467</v>
      </c>
      <c r="N247" s="339">
        <v>14.5</v>
      </c>
      <c r="O247" s="341">
        <v>0.248</v>
      </c>
      <c r="P247" s="341">
        <v>442</v>
      </c>
      <c r="Q247" s="341">
        <v>109.616</v>
      </c>
      <c r="R247" s="342">
        <v>8.07</v>
      </c>
      <c r="S247" s="342" t="s">
        <v>106</v>
      </c>
    </row>
    <row r="248" spans="1:19" ht="15" customHeight="1" x14ac:dyDescent="0.3">
      <c r="A248" s="335" t="s">
        <v>460</v>
      </c>
      <c r="B248" s="335" t="s">
        <v>56</v>
      </c>
      <c r="C248" s="335" t="s">
        <v>57</v>
      </c>
      <c r="D248" s="343" t="s">
        <v>58</v>
      </c>
      <c r="E248" s="336" t="s">
        <v>59</v>
      </c>
      <c r="F248" s="336" t="s">
        <v>60</v>
      </c>
      <c r="G248" s="337">
        <v>0.45</v>
      </c>
      <c r="H248" s="338">
        <v>0</v>
      </c>
      <c r="I248" s="339">
        <v>60860.580776572002</v>
      </c>
      <c r="J248" s="340">
        <v>27387.2613494574</v>
      </c>
      <c r="K248" s="335" t="s">
        <v>468</v>
      </c>
      <c r="L248" s="335">
        <v>1</v>
      </c>
      <c r="M248" s="335" t="s">
        <v>469</v>
      </c>
      <c r="N248" s="339">
        <v>14.5</v>
      </c>
      <c r="O248" s="341">
        <v>3.10344827586207E-2</v>
      </c>
      <c r="P248" s="341">
        <v>442</v>
      </c>
      <c r="Q248" s="341">
        <v>13.7172413793103</v>
      </c>
      <c r="R248" s="342">
        <v>8.07</v>
      </c>
      <c r="S248" s="342" t="s">
        <v>106</v>
      </c>
    </row>
    <row r="249" spans="1:19" ht="15" customHeight="1" x14ac:dyDescent="0.3">
      <c r="A249" s="335" t="s">
        <v>460</v>
      </c>
      <c r="B249" s="335" t="s">
        <v>56</v>
      </c>
      <c r="C249" s="335" t="s">
        <v>57</v>
      </c>
      <c r="D249" s="343" t="s">
        <v>63</v>
      </c>
      <c r="E249" s="336" t="s">
        <v>64</v>
      </c>
      <c r="F249" s="336" t="s">
        <v>60</v>
      </c>
      <c r="G249" s="337">
        <v>1</v>
      </c>
      <c r="H249" s="338">
        <v>0</v>
      </c>
      <c r="I249" s="339">
        <v>85927.097156571996</v>
      </c>
      <c r="J249" s="340">
        <v>85927.097156571996</v>
      </c>
      <c r="K249" s="335" t="s">
        <v>468</v>
      </c>
      <c r="L249" s="335">
        <v>2</v>
      </c>
      <c r="M249" s="335" t="s">
        <v>470</v>
      </c>
      <c r="N249" s="339">
        <v>14.5</v>
      </c>
      <c r="O249" s="341">
        <v>6.8965517241379296E-2</v>
      </c>
      <c r="P249" s="341">
        <v>442</v>
      </c>
      <c r="Q249" s="341">
        <v>30.482758620689701</v>
      </c>
      <c r="R249" s="342">
        <v>8.07</v>
      </c>
      <c r="S249" s="342" t="s">
        <v>106</v>
      </c>
    </row>
    <row r="250" spans="1:19" ht="15" customHeight="1" x14ac:dyDescent="0.3">
      <c r="A250" s="335" t="s">
        <v>471</v>
      </c>
      <c r="B250" s="335" t="s">
        <v>20</v>
      </c>
      <c r="C250" s="335"/>
      <c r="D250" s="335" t="s">
        <v>472</v>
      </c>
      <c r="E250" s="336" t="s">
        <v>473</v>
      </c>
      <c r="F250" s="336"/>
      <c r="G250" s="337">
        <v>1</v>
      </c>
      <c r="H250" s="338">
        <v>0</v>
      </c>
      <c r="I250" s="339">
        <v>298.42384358082802</v>
      </c>
      <c r="J250" s="340">
        <v>298.42384358082802</v>
      </c>
      <c r="K250" s="335" t="s">
        <v>474</v>
      </c>
      <c r="L250" s="335">
        <v>1</v>
      </c>
      <c r="M250" s="335" t="s">
        <v>475</v>
      </c>
      <c r="N250" s="339">
        <v>13</v>
      </c>
      <c r="O250" s="341">
        <v>1</v>
      </c>
      <c r="P250" s="341">
        <v>48</v>
      </c>
      <c r="Q250" s="341">
        <v>48</v>
      </c>
      <c r="R250" s="342">
        <v>11.03</v>
      </c>
      <c r="S250" s="342" t="s">
        <v>476</v>
      </c>
    </row>
    <row r="251" spans="1:19" ht="15" customHeight="1" x14ac:dyDescent="0.3">
      <c r="A251" s="335" t="s">
        <v>471</v>
      </c>
      <c r="B251" s="335" t="s">
        <v>20</v>
      </c>
      <c r="C251" s="335"/>
      <c r="D251" s="335" t="s">
        <v>477</v>
      </c>
      <c r="E251" s="336" t="s">
        <v>478</v>
      </c>
      <c r="F251" s="336"/>
      <c r="G251" s="337">
        <v>1</v>
      </c>
      <c r="H251" s="338">
        <v>0</v>
      </c>
      <c r="I251" s="339">
        <v>2637.14184448991</v>
      </c>
      <c r="J251" s="340">
        <v>2637.14184448991</v>
      </c>
      <c r="K251" s="335" t="s">
        <v>474</v>
      </c>
      <c r="L251" s="335">
        <v>2</v>
      </c>
      <c r="M251" s="335" t="s">
        <v>479</v>
      </c>
      <c r="N251" s="339">
        <v>13</v>
      </c>
      <c r="O251" s="341">
        <v>1</v>
      </c>
      <c r="P251" s="341">
        <v>48</v>
      </c>
      <c r="Q251" s="341">
        <v>48</v>
      </c>
      <c r="R251" s="342">
        <v>11.03</v>
      </c>
      <c r="S251" s="342" t="s">
        <v>476</v>
      </c>
    </row>
    <row r="252" spans="1:19" ht="15" customHeight="1" x14ac:dyDescent="0.3">
      <c r="A252" s="335" t="s">
        <v>471</v>
      </c>
      <c r="B252" s="335" t="s">
        <v>26</v>
      </c>
      <c r="C252" s="335" t="s">
        <v>480</v>
      </c>
      <c r="D252" s="335" t="s">
        <v>481</v>
      </c>
      <c r="E252" s="336" t="s">
        <v>482</v>
      </c>
      <c r="F252" s="336" t="s">
        <v>91</v>
      </c>
      <c r="G252" s="337">
        <v>0.2</v>
      </c>
      <c r="H252" s="338">
        <v>0.2</v>
      </c>
      <c r="I252" s="339">
        <v>18802.511999999999</v>
      </c>
      <c r="J252" s="340">
        <v>4512.6028800000004</v>
      </c>
      <c r="K252" s="335" t="s">
        <v>483</v>
      </c>
      <c r="L252" s="335">
        <v>1</v>
      </c>
      <c r="M252" s="335" t="s">
        <v>484</v>
      </c>
      <c r="N252" s="339">
        <v>13</v>
      </c>
      <c r="O252" s="341">
        <v>0.2</v>
      </c>
      <c r="P252" s="341">
        <v>48</v>
      </c>
      <c r="Q252" s="341">
        <v>9.6</v>
      </c>
      <c r="R252" s="342">
        <v>11.03</v>
      </c>
      <c r="S252" s="342" t="s">
        <v>476</v>
      </c>
    </row>
    <row r="253" spans="1:19" ht="15" customHeight="1" x14ac:dyDescent="0.3">
      <c r="A253" s="335" t="s">
        <v>471</v>
      </c>
      <c r="B253" s="335" t="s">
        <v>26</v>
      </c>
      <c r="C253" s="335" t="s">
        <v>480</v>
      </c>
      <c r="D253" s="335" t="s">
        <v>485</v>
      </c>
      <c r="E253" s="336" t="s">
        <v>486</v>
      </c>
      <c r="F253" s="336" t="s">
        <v>35</v>
      </c>
      <c r="G253" s="337">
        <v>0.2</v>
      </c>
      <c r="H253" s="338">
        <v>0.05</v>
      </c>
      <c r="I253" s="339">
        <v>3214.35</v>
      </c>
      <c r="J253" s="340">
        <v>675.01350000000002</v>
      </c>
      <c r="K253" s="335" t="s">
        <v>483</v>
      </c>
      <c r="L253" s="335">
        <v>2</v>
      </c>
      <c r="M253" s="335" t="s">
        <v>487</v>
      </c>
      <c r="N253" s="339">
        <v>13</v>
      </c>
      <c r="O253" s="341">
        <v>0.2</v>
      </c>
      <c r="P253" s="341">
        <v>48</v>
      </c>
      <c r="Q253" s="341">
        <v>9.6</v>
      </c>
      <c r="R253" s="342">
        <v>11.03</v>
      </c>
      <c r="S253" s="342" t="s">
        <v>476</v>
      </c>
    </row>
    <row r="254" spans="1:19" ht="15" customHeight="1" x14ac:dyDescent="0.3">
      <c r="A254" s="335" t="s">
        <v>471</v>
      </c>
      <c r="B254" s="335" t="s">
        <v>26</v>
      </c>
      <c r="C254" s="335" t="s">
        <v>480</v>
      </c>
      <c r="D254" s="335" t="s">
        <v>33</v>
      </c>
      <c r="E254" s="336" t="s">
        <v>34</v>
      </c>
      <c r="F254" s="336" t="s">
        <v>35</v>
      </c>
      <c r="G254" s="337">
        <v>0.01</v>
      </c>
      <c r="H254" s="338">
        <v>0.03</v>
      </c>
      <c r="I254" s="339">
        <v>735.06</v>
      </c>
      <c r="J254" s="340">
        <v>7.5711180000000002</v>
      </c>
      <c r="K254" s="335" t="s">
        <v>483</v>
      </c>
      <c r="L254" s="335">
        <v>3</v>
      </c>
      <c r="M254" s="335" t="s">
        <v>488</v>
      </c>
      <c r="N254" s="339">
        <v>13</v>
      </c>
      <c r="O254" s="341">
        <v>0.01</v>
      </c>
      <c r="P254" s="341">
        <v>48</v>
      </c>
      <c r="Q254" s="341">
        <v>0.48</v>
      </c>
      <c r="R254" s="342">
        <v>11.03</v>
      </c>
      <c r="S254" s="342" t="s">
        <v>476</v>
      </c>
    </row>
    <row r="255" spans="1:19" ht="15" customHeight="1" x14ac:dyDescent="0.3">
      <c r="A255" s="335" t="s">
        <v>471</v>
      </c>
      <c r="B255" s="335" t="s">
        <v>26</v>
      </c>
      <c r="C255" s="335" t="s">
        <v>480</v>
      </c>
      <c r="D255" s="335" t="s">
        <v>489</v>
      </c>
      <c r="E255" s="336" t="s">
        <v>490</v>
      </c>
      <c r="F255" s="336" t="s">
        <v>35</v>
      </c>
      <c r="G255" s="337">
        <v>4.0000000000000001E-3</v>
      </c>
      <c r="H255" s="338">
        <v>0.05</v>
      </c>
      <c r="I255" s="339">
        <v>20237</v>
      </c>
      <c r="J255" s="340">
        <v>84.995400000000004</v>
      </c>
      <c r="K255" s="335" t="s">
        <v>483</v>
      </c>
      <c r="L255" s="335">
        <v>4</v>
      </c>
      <c r="M255" s="335" t="s">
        <v>491</v>
      </c>
      <c r="N255" s="339">
        <v>13</v>
      </c>
      <c r="O255" s="341">
        <v>4.0000000000000001E-3</v>
      </c>
      <c r="P255" s="341">
        <v>48</v>
      </c>
      <c r="Q255" s="341">
        <v>0.192</v>
      </c>
      <c r="R255" s="342">
        <v>11.03</v>
      </c>
      <c r="S255" s="342" t="s">
        <v>476</v>
      </c>
    </row>
    <row r="256" spans="1:19" ht="15" customHeight="1" x14ac:dyDescent="0.3">
      <c r="A256" s="335" t="s">
        <v>471</v>
      </c>
      <c r="B256" s="335" t="s">
        <v>26</v>
      </c>
      <c r="C256" s="335" t="s">
        <v>480</v>
      </c>
      <c r="D256" s="335" t="s">
        <v>492</v>
      </c>
      <c r="E256" s="336" t="s">
        <v>493</v>
      </c>
      <c r="F256" s="336" t="s">
        <v>30</v>
      </c>
      <c r="G256" s="337">
        <v>0.04</v>
      </c>
      <c r="H256" s="338">
        <v>0.05</v>
      </c>
      <c r="I256" s="339">
        <v>44669.4214876033</v>
      </c>
      <c r="J256" s="340">
        <v>1876.1157024793399</v>
      </c>
      <c r="K256" s="335" t="s">
        <v>483</v>
      </c>
      <c r="L256" s="335">
        <v>5</v>
      </c>
      <c r="M256" s="335" t="s">
        <v>494</v>
      </c>
      <c r="N256" s="339">
        <v>13</v>
      </c>
      <c r="O256" s="341">
        <v>0.04</v>
      </c>
      <c r="P256" s="341">
        <v>48</v>
      </c>
      <c r="Q256" s="341">
        <v>1.92</v>
      </c>
      <c r="R256" s="342">
        <v>11.03</v>
      </c>
      <c r="S256" s="342" t="s">
        <v>476</v>
      </c>
    </row>
    <row r="257" spans="1:19" ht="15" customHeight="1" x14ac:dyDescent="0.3">
      <c r="A257" s="335" t="s">
        <v>471</v>
      </c>
      <c r="B257" s="335" t="s">
        <v>56</v>
      </c>
      <c r="C257" s="335" t="s">
        <v>57</v>
      </c>
      <c r="D257" s="343" t="s">
        <v>413</v>
      </c>
      <c r="E257" s="336" t="s">
        <v>414</v>
      </c>
      <c r="F257" s="336" t="s">
        <v>60</v>
      </c>
      <c r="G257" s="337">
        <v>1</v>
      </c>
      <c r="H257" s="338">
        <v>0</v>
      </c>
      <c r="I257" s="339">
        <v>65493.071636572</v>
      </c>
      <c r="J257" s="340">
        <v>65493.071636572</v>
      </c>
      <c r="K257" s="335" t="s">
        <v>495</v>
      </c>
      <c r="L257" s="335">
        <v>1</v>
      </c>
      <c r="M257" s="335" t="s">
        <v>496</v>
      </c>
      <c r="N257" s="339">
        <v>13</v>
      </c>
      <c r="O257" s="341">
        <v>7.69230769230769E-2</v>
      </c>
      <c r="P257" s="341">
        <v>48</v>
      </c>
      <c r="Q257" s="341">
        <v>3.6923076923076898</v>
      </c>
      <c r="R257" s="342">
        <v>11.03</v>
      </c>
      <c r="S257" s="342" t="s">
        <v>476</v>
      </c>
    </row>
    <row r="258" spans="1:19" ht="15" customHeight="1" x14ac:dyDescent="0.3">
      <c r="A258" s="335" t="s">
        <v>471</v>
      </c>
      <c r="B258" s="335" t="s">
        <v>56</v>
      </c>
      <c r="C258" s="335" t="s">
        <v>57</v>
      </c>
      <c r="D258" s="343" t="s">
        <v>497</v>
      </c>
      <c r="E258" s="336" t="s">
        <v>498</v>
      </c>
      <c r="F258" s="336" t="s">
        <v>60</v>
      </c>
      <c r="G258" s="337">
        <v>1</v>
      </c>
      <c r="H258" s="338">
        <v>0</v>
      </c>
      <c r="I258" s="339">
        <v>76955.079706571996</v>
      </c>
      <c r="J258" s="340">
        <v>76955.079706571996</v>
      </c>
      <c r="K258" s="335" t="s">
        <v>495</v>
      </c>
      <c r="L258" s="335">
        <v>2</v>
      </c>
      <c r="M258" s="335" t="s">
        <v>499</v>
      </c>
      <c r="N258" s="339">
        <v>13</v>
      </c>
      <c r="O258" s="341">
        <v>7.69230769230769E-2</v>
      </c>
      <c r="P258" s="341">
        <v>48</v>
      </c>
      <c r="Q258" s="341">
        <v>3.6923076923076898</v>
      </c>
      <c r="R258" s="342">
        <v>11.03</v>
      </c>
      <c r="S258" s="342" t="s">
        <v>476</v>
      </c>
    </row>
    <row r="259" spans="1:19" ht="15" customHeight="1" x14ac:dyDescent="0.3">
      <c r="A259" s="335" t="s">
        <v>500</v>
      </c>
      <c r="B259" s="335" t="s">
        <v>20</v>
      </c>
      <c r="C259" s="335"/>
      <c r="D259" s="335" t="s">
        <v>472</v>
      </c>
      <c r="E259" s="336" t="s">
        <v>473</v>
      </c>
      <c r="F259" s="336"/>
      <c r="G259" s="337">
        <v>1</v>
      </c>
      <c r="H259" s="338">
        <v>0</v>
      </c>
      <c r="I259" s="339">
        <v>298.42384358082802</v>
      </c>
      <c r="J259" s="340">
        <v>298.42384358082802</v>
      </c>
      <c r="K259" s="335" t="s">
        <v>501</v>
      </c>
      <c r="L259" s="335">
        <v>1</v>
      </c>
      <c r="M259" s="335" t="s">
        <v>502</v>
      </c>
      <c r="N259" s="339">
        <v>10</v>
      </c>
      <c r="O259" s="341">
        <v>1</v>
      </c>
      <c r="P259" s="341">
        <v>73</v>
      </c>
      <c r="Q259" s="341">
        <v>73</v>
      </c>
      <c r="R259" s="342">
        <v>11.09</v>
      </c>
      <c r="S259" s="342" t="s">
        <v>476</v>
      </c>
    </row>
    <row r="260" spans="1:19" ht="15" customHeight="1" x14ac:dyDescent="0.3">
      <c r="A260" s="335" t="s">
        <v>500</v>
      </c>
      <c r="B260" s="335" t="s">
        <v>20</v>
      </c>
      <c r="C260" s="335"/>
      <c r="D260" s="335" t="s">
        <v>477</v>
      </c>
      <c r="E260" s="336" t="s">
        <v>478</v>
      </c>
      <c r="F260" s="336"/>
      <c r="G260" s="337">
        <v>1</v>
      </c>
      <c r="H260" s="338">
        <v>0</v>
      </c>
      <c r="I260" s="339">
        <v>2637.14184448991</v>
      </c>
      <c r="J260" s="340">
        <v>2637.14184448991</v>
      </c>
      <c r="K260" s="335" t="s">
        <v>501</v>
      </c>
      <c r="L260" s="335">
        <v>2</v>
      </c>
      <c r="M260" s="335" t="s">
        <v>503</v>
      </c>
      <c r="N260" s="339">
        <v>10</v>
      </c>
      <c r="O260" s="341">
        <v>1</v>
      </c>
      <c r="P260" s="341">
        <v>73</v>
      </c>
      <c r="Q260" s="341">
        <v>73</v>
      </c>
      <c r="R260" s="342">
        <v>11.09</v>
      </c>
      <c r="S260" s="342" t="s">
        <v>476</v>
      </c>
    </row>
    <row r="261" spans="1:19" ht="15" customHeight="1" x14ac:dyDescent="0.3">
      <c r="A261" s="335" t="s">
        <v>500</v>
      </c>
      <c r="B261" s="335" t="s">
        <v>26</v>
      </c>
      <c r="C261" s="335" t="s">
        <v>480</v>
      </c>
      <c r="D261" s="335" t="s">
        <v>481</v>
      </c>
      <c r="E261" s="336" t="s">
        <v>482</v>
      </c>
      <c r="F261" s="336" t="s">
        <v>91</v>
      </c>
      <c r="G261" s="337">
        <v>0.2</v>
      </c>
      <c r="H261" s="338">
        <v>0.2</v>
      </c>
      <c r="I261" s="339">
        <v>18802.511999999999</v>
      </c>
      <c r="J261" s="340">
        <v>4512.6028800000004</v>
      </c>
      <c r="K261" s="335" t="s">
        <v>504</v>
      </c>
      <c r="L261" s="335">
        <v>1</v>
      </c>
      <c r="M261" s="335" t="s">
        <v>505</v>
      </c>
      <c r="N261" s="339">
        <v>10</v>
      </c>
      <c r="O261" s="341">
        <v>0.2</v>
      </c>
      <c r="P261" s="341">
        <v>73</v>
      </c>
      <c r="Q261" s="341">
        <v>14.6</v>
      </c>
      <c r="R261" s="342">
        <v>11.09</v>
      </c>
      <c r="S261" s="342" t="s">
        <v>476</v>
      </c>
    </row>
    <row r="262" spans="1:19" ht="15" customHeight="1" x14ac:dyDescent="0.3">
      <c r="A262" s="335" t="s">
        <v>500</v>
      </c>
      <c r="B262" s="335" t="s">
        <v>26</v>
      </c>
      <c r="C262" s="335" t="s">
        <v>480</v>
      </c>
      <c r="D262" s="335" t="s">
        <v>485</v>
      </c>
      <c r="E262" s="336" t="s">
        <v>486</v>
      </c>
      <c r="F262" s="336" t="s">
        <v>35</v>
      </c>
      <c r="G262" s="337">
        <v>0.2</v>
      </c>
      <c r="H262" s="338">
        <v>0.05</v>
      </c>
      <c r="I262" s="339">
        <v>3214.35</v>
      </c>
      <c r="J262" s="340">
        <v>675.01350000000002</v>
      </c>
      <c r="K262" s="335" t="s">
        <v>504</v>
      </c>
      <c r="L262" s="335">
        <v>2</v>
      </c>
      <c r="M262" s="335" t="s">
        <v>506</v>
      </c>
      <c r="N262" s="339">
        <v>10</v>
      </c>
      <c r="O262" s="341">
        <v>0.2</v>
      </c>
      <c r="P262" s="341">
        <v>73</v>
      </c>
      <c r="Q262" s="341">
        <v>14.6</v>
      </c>
      <c r="R262" s="342">
        <v>11.09</v>
      </c>
      <c r="S262" s="342" t="s">
        <v>476</v>
      </c>
    </row>
    <row r="263" spans="1:19" ht="15" customHeight="1" x14ac:dyDescent="0.3">
      <c r="A263" s="335" t="s">
        <v>500</v>
      </c>
      <c r="B263" s="335" t="s">
        <v>26</v>
      </c>
      <c r="C263" s="335" t="s">
        <v>480</v>
      </c>
      <c r="D263" s="335" t="s">
        <v>33</v>
      </c>
      <c r="E263" s="336" t="s">
        <v>34</v>
      </c>
      <c r="F263" s="336" t="s">
        <v>35</v>
      </c>
      <c r="G263" s="337">
        <v>0.01</v>
      </c>
      <c r="H263" s="338">
        <v>0.03</v>
      </c>
      <c r="I263" s="339">
        <v>735.06</v>
      </c>
      <c r="J263" s="340">
        <v>7.5711180000000002</v>
      </c>
      <c r="K263" s="335" t="s">
        <v>504</v>
      </c>
      <c r="L263" s="335">
        <v>3</v>
      </c>
      <c r="M263" s="335" t="s">
        <v>507</v>
      </c>
      <c r="N263" s="339">
        <v>10</v>
      </c>
      <c r="O263" s="341">
        <v>0.01</v>
      </c>
      <c r="P263" s="341">
        <v>73</v>
      </c>
      <c r="Q263" s="341">
        <v>0.73</v>
      </c>
      <c r="R263" s="342">
        <v>11.09</v>
      </c>
      <c r="S263" s="342" t="s">
        <v>476</v>
      </c>
    </row>
    <row r="264" spans="1:19" ht="15" customHeight="1" x14ac:dyDescent="0.3">
      <c r="A264" s="335" t="s">
        <v>500</v>
      </c>
      <c r="B264" s="335" t="s">
        <v>26</v>
      </c>
      <c r="C264" s="335" t="s">
        <v>480</v>
      </c>
      <c r="D264" s="335" t="s">
        <v>489</v>
      </c>
      <c r="E264" s="336" t="s">
        <v>490</v>
      </c>
      <c r="F264" s="336" t="s">
        <v>35</v>
      </c>
      <c r="G264" s="337">
        <v>4.0000000000000001E-3</v>
      </c>
      <c r="H264" s="338">
        <v>0.05</v>
      </c>
      <c r="I264" s="339">
        <v>20237</v>
      </c>
      <c r="J264" s="340">
        <v>84.995400000000004</v>
      </c>
      <c r="K264" s="335" t="s">
        <v>504</v>
      </c>
      <c r="L264" s="335">
        <v>4</v>
      </c>
      <c r="M264" s="335" t="s">
        <v>508</v>
      </c>
      <c r="N264" s="339">
        <v>10</v>
      </c>
      <c r="O264" s="341">
        <v>4.0000000000000001E-3</v>
      </c>
      <c r="P264" s="341">
        <v>73</v>
      </c>
      <c r="Q264" s="341">
        <v>0.29199999999999998</v>
      </c>
      <c r="R264" s="342">
        <v>11.09</v>
      </c>
      <c r="S264" s="342" t="s">
        <v>476</v>
      </c>
    </row>
    <row r="265" spans="1:19" ht="15" customHeight="1" x14ac:dyDescent="0.3">
      <c r="A265" s="335" t="s">
        <v>500</v>
      </c>
      <c r="B265" s="335" t="s">
        <v>26</v>
      </c>
      <c r="C265" s="335" t="s">
        <v>480</v>
      </c>
      <c r="D265" s="335" t="s">
        <v>492</v>
      </c>
      <c r="E265" s="336" t="s">
        <v>493</v>
      </c>
      <c r="F265" s="336" t="s">
        <v>30</v>
      </c>
      <c r="G265" s="337">
        <v>0.04</v>
      </c>
      <c r="H265" s="338">
        <v>0.05</v>
      </c>
      <c r="I265" s="339">
        <v>44669.4214876033</v>
      </c>
      <c r="J265" s="340">
        <v>1876.1157024793399</v>
      </c>
      <c r="K265" s="335" t="s">
        <v>504</v>
      </c>
      <c r="L265" s="335">
        <v>5</v>
      </c>
      <c r="M265" s="335" t="s">
        <v>509</v>
      </c>
      <c r="N265" s="339">
        <v>10</v>
      </c>
      <c r="O265" s="341">
        <v>0.04</v>
      </c>
      <c r="P265" s="341">
        <v>73</v>
      </c>
      <c r="Q265" s="341">
        <v>2.92</v>
      </c>
      <c r="R265" s="342">
        <v>11.09</v>
      </c>
      <c r="S265" s="342" t="s">
        <v>476</v>
      </c>
    </row>
    <row r="266" spans="1:19" ht="15" customHeight="1" x14ac:dyDescent="0.3">
      <c r="A266" s="335" t="s">
        <v>500</v>
      </c>
      <c r="B266" s="335" t="s">
        <v>56</v>
      </c>
      <c r="C266" s="335" t="s">
        <v>57</v>
      </c>
      <c r="D266" s="343" t="s">
        <v>413</v>
      </c>
      <c r="E266" s="336" t="s">
        <v>414</v>
      </c>
      <c r="F266" s="336" t="s">
        <v>60</v>
      </c>
      <c r="G266" s="337">
        <v>1</v>
      </c>
      <c r="H266" s="338">
        <v>0</v>
      </c>
      <c r="I266" s="339">
        <v>65493.071636572</v>
      </c>
      <c r="J266" s="340">
        <v>65493.071636572</v>
      </c>
      <c r="K266" s="335" t="s">
        <v>510</v>
      </c>
      <c r="L266" s="335">
        <v>1</v>
      </c>
      <c r="M266" s="335" t="s">
        <v>511</v>
      </c>
      <c r="N266" s="339">
        <v>10</v>
      </c>
      <c r="O266" s="341">
        <v>0.1</v>
      </c>
      <c r="P266" s="341">
        <v>73</v>
      </c>
      <c r="Q266" s="341">
        <v>7.3</v>
      </c>
      <c r="R266" s="342">
        <v>11.09</v>
      </c>
      <c r="S266" s="342" t="s">
        <v>476</v>
      </c>
    </row>
    <row r="267" spans="1:19" ht="15" customHeight="1" x14ac:dyDescent="0.3">
      <c r="A267" s="335" t="s">
        <v>500</v>
      </c>
      <c r="B267" s="335" t="s">
        <v>56</v>
      </c>
      <c r="C267" s="335" t="s">
        <v>57</v>
      </c>
      <c r="D267" s="343" t="s">
        <v>497</v>
      </c>
      <c r="E267" s="336" t="s">
        <v>498</v>
      </c>
      <c r="F267" s="336" t="s">
        <v>60</v>
      </c>
      <c r="G267" s="337">
        <v>1</v>
      </c>
      <c r="H267" s="338">
        <v>0</v>
      </c>
      <c r="I267" s="339">
        <v>76955.079706571996</v>
      </c>
      <c r="J267" s="340">
        <v>76955.079706571996</v>
      </c>
      <c r="K267" s="335" t="s">
        <v>510</v>
      </c>
      <c r="L267" s="335">
        <v>2</v>
      </c>
      <c r="M267" s="335" t="s">
        <v>512</v>
      </c>
      <c r="N267" s="339">
        <v>10</v>
      </c>
      <c r="O267" s="341">
        <v>0.1</v>
      </c>
      <c r="P267" s="341">
        <v>73</v>
      </c>
      <c r="Q267" s="341">
        <v>7.3</v>
      </c>
      <c r="R267" s="342">
        <v>11.09</v>
      </c>
      <c r="S267" s="342" t="s">
        <v>476</v>
      </c>
    </row>
    <row r="268" spans="1:19" ht="15" customHeight="1" x14ac:dyDescent="0.3">
      <c r="A268" s="335" t="s">
        <v>513</v>
      </c>
      <c r="B268" s="335" t="s">
        <v>20</v>
      </c>
      <c r="C268" s="335"/>
      <c r="D268" s="335" t="s">
        <v>472</v>
      </c>
      <c r="E268" s="336" t="s">
        <v>473</v>
      </c>
      <c r="F268" s="336"/>
      <c r="G268" s="337">
        <v>1</v>
      </c>
      <c r="H268" s="338">
        <v>0</v>
      </c>
      <c r="I268" s="339">
        <v>298.42384358082802</v>
      </c>
      <c r="J268" s="340">
        <v>298.42384358082802</v>
      </c>
      <c r="K268" s="335" t="s">
        <v>514</v>
      </c>
      <c r="L268" s="335">
        <v>1</v>
      </c>
      <c r="M268" s="335" t="s">
        <v>515</v>
      </c>
      <c r="N268" s="339">
        <v>30</v>
      </c>
      <c r="O268" s="341">
        <v>1</v>
      </c>
      <c r="P268" s="341">
        <v>386</v>
      </c>
      <c r="Q268" s="341">
        <v>386</v>
      </c>
      <c r="R268" s="342">
        <v>12.03</v>
      </c>
      <c r="S268" s="342" t="s">
        <v>476</v>
      </c>
    </row>
    <row r="269" spans="1:19" ht="15" customHeight="1" x14ac:dyDescent="0.3">
      <c r="A269" s="335" t="s">
        <v>513</v>
      </c>
      <c r="B269" s="335" t="s">
        <v>20</v>
      </c>
      <c r="C269" s="335"/>
      <c r="D269" s="335" t="s">
        <v>477</v>
      </c>
      <c r="E269" s="336" t="s">
        <v>478</v>
      </c>
      <c r="F269" s="336"/>
      <c r="G269" s="337">
        <v>1</v>
      </c>
      <c r="H269" s="338">
        <v>0</v>
      </c>
      <c r="I269" s="339">
        <v>2637.14184448991</v>
      </c>
      <c r="J269" s="340">
        <v>2637.14184448991</v>
      </c>
      <c r="K269" s="335" t="s">
        <v>514</v>
      </c>
      <c r="L269" s="335">
        <v>2</v>
      </c>
      <c r="M269" s="335" t="s">
        <v>516</v>
      </c>
      <c r="N269" s="339">
        <v>30</v>
      </c>
      <c r="O269" s="341">
        <v>1</v>
      </c>
      <c r="P269" s="341">
        <v>386</v>
      </c>
      <c r="Q269" s="341">
        <v>386</v>
      </c>
      <c r="R269" s="342">
        <v>12.03</v>
      </c>
      <c r="S269" s="342" t="s">
        <v>476</v>
      </c>
    </row>
    <row r="270" spans="1:19" ht="15" customHeight="1" x14ac:dyDescent="0.3">
      <c r="A270" s="335" t="s">
        <v>513</v>
      </c>
      <c r="B270" s="335" t="s">
        <v>26</v>
      </c>
      <c r="C270" s="335" t="s">
        <v>480</v>
      </c>
      <c r="D270" s="335" t="s">
        <v>481</v>
      </c>
      <c r="E270" s="336" t="s">
        <v>482</v>
      </c>
      <c r="F270" s="336" t="s">
        <v>91</v>
      </c>
      <c r="G270" s="337">
        <v>0.04</v>
      </c>
      <c r="H270" s="338">
        <v>0.2</v>
      </c>
      <c r="I270" s="339">
        <v>18802.511999999999</v>
      </c>
      <c r="J270" s="340">
        <v>902.52057600000001</v>
      </c>
      <c r="K270" s="335" t="s">
        <v>517</v>
      </c>
      <c r="L270" s="335">
        <v>1</v>
      </c>
      <c r="M270" s="335" t="s">
        <v>518</v>
      </c>
      <c r="N270" s="339">
        <v>30</v>
      </c>
      <c r="O270" s="341">
        <v>0.04</v>
      </c>
      <c r="P270" s="341">
        <v>386</v>
      </c>
      <c r="Q270" s="341">
        <v>15.44</v>
      </c>
      <c r="R270" s="342">
        <v>12.03</v>
      </c>
      <c r="S270" s="342" t="s">
        <v>476</v>
      </c>
    </row>
    <row r="271" spans="1:19" ht="15" customHeight="1" x14ac:dyDescent="0.3">
      <c r="A271" s="335" t="s">
        <v>513</v>
      </c>
      <c r="B271" s="335" t="s">
        <v>26</v>
      </c>
      <c r="C271" s="335" t="s">
        <v>480</v>
      </c>
      <c r="D271" s="335" t="s">
        <v>485</v>
      </c>
      <c r="E271" s="336" t="s">
        <v>486</v>
      </c>
      <c r="F271" s="336" t="s">
        <v>35</v>
      </c>
      <c r="G271" s="337">
        <v>0.04</v>
      </c>
      <c r="H271" s="338">
        <v>0.05</v>
      </c>
      <c r="I271" s="339">
        <v>3214.35</v>
      </c>
      <c r="J271" s="340">
        <v>135.0027</v>
      </c>
      <c r="K271" s="335" t="s">
        <v>517</v>
      </c>
      <c r="L271" s="335">
        <v>2</v>
      </c>
      <c r="M271" s="335" t="s">
        <v>519</v>
      </c>
      <c r="N271" s="339">
        <v>30</v>
      </c>
      <c r="O271" s="341">
        <v>0.04</v>
      </c>
      <c r="P271" s="341">
        <v>386</v>
      </c>
      <c r="Q271" s="341">
        <v>15.44</v>
      </c>
      <c r="R271" s="342">
        <v>12.03</v>
      </c>
      <c r="S271" s="342" t="s">
        <v>476</v>
      </c>
    </row>
    <row r="272" spans="1:19" ht="15" customHeight="1" x14ac:dyDescent="0.3">
      <c r="A272" s="335" t="s">
        <v>513</v>
      </c>
      <c r="B272" s="335" t="s">
        <v>26</v>
      </c>
      <c r="C272" s="335" t="s">
        <v>480</v>
      </c>
      <c r="D272" s="335" t="s">
        <v>33</v>
      </c>
      <c r="E272" s="336" t="s">
        <v>34</v>
      </c>
      <c r="F272" s="336" t="s">
        <v>35</v>
      </c>
      <c r="G272" s="337">
        <v>0.01</v>
      </c>
      <c r="H272" s="338">
        <v>0.03</v>
      </c>
      <c r="I272" s="339">
        <v>735.06</v>
      </c>
      <c r="J272" s="340">
        <v>7.5711180000000002</v>
      </c>
      <c r="K272" s="335" t="s">
        <v>517</v>
      </c>
      <c r="L272" s="335">
        <v>3</v>
      </c>
      <c r="M272" s="335" t="s">
        <v>520</v>
      </c>
      <c r="N272" s="339">
        <v>30</v>
      </c>
      <c r="O272" s="341">
        <v>0.01</v>
      </c>
      <c r="P272" s="341">
        <v>386</v>
      </c>
      <c r="Q272" s="341">
        <v>3.86</v>
      </c>
      <c r="R272" s="342">
        <v>12.03</v>
      </c>
      <c r="S272" s="342" t="s">
        <v>476</v>
      </c>
    </row>
    <row r="273" spans="1:19" ht="15" customHeight="1" x14ac:dyDescent="0.3">
      <c r="A273" s="335" t="s">
        <v>513</v>
      </c>
      <c r="B273" s="335" t="s">
        <v>26</v>
      </c>
      <c r="C273" s="335" t="s">
        <v>480</v>
      </c>
      <c r="D273" s="335" t="s">
        <v>489</v>
      </c>
      <c r="E273" s="336" t="s">
        <v>490</v>
      </c>
      <c r="F273" s="336" t="s">
        <v>35</v>
      </c>
      <c r="G273" s="337">
        <v>1E-3</v>
      </c>
      <c r="H273" s="338">
        <v>0.05</v>
      </c>
      <c r="I273" s="339">
        <v>20237</v>
      </c>
      <c r="J273" s="340">
        <v>21.248850000000001</v>
      </c>
      <c r="K273" s="335" t="s">
        <v>517</v>
      </c>
      <c r="L273" s="335">
        <v>4</v>
      </c>
      <c r="M273" s="335" t="s">
        <v>521</v>
      </c>
      <c r="N273" s="339">
        <v>30</v>
      </c>
      <c r="O273" s="341">
        <v>1E-3</v>
      </c>
      <c r="P273" s="341">
        <v>386</v>
      </c>
      <c r="Q273" s="341">
        <v>0.38600000000000001</v>
      </c>
      <c r="R273" s="342">
        <v>12.03</v>
      </c>
      <c r="S273" s="342" t="s">
        <v>476</v>
      </c>
    </row>
    <row r="274" spans="1:19" ht="15" customHeight="1" x14ac:dyDescent="0.3">
      <c r="A274" s="335" t="s">
        <v>513</v>
      </c>
      <c r="B274" s="335" t="s">
        <v>56</v>
      </c>
      <c r="C274" s="335" t="s">
        <v>57</v>
      </c>
      <c r="D274" s="343" t="s">
        <v>413</v>
      </c>
      <c r="E274" s="336" t="s">
        <v>414</v>
      </c>
      <c r="F274" s="336" t="s">
        <v>60</v>
      </c>
      <c r="G274" s="337">
        <v>1</v>
      </c>
      <c r="H274" s="338">
        <v>0</v>
      </c>
      <c r="I274" s="339">
        <v>65493.071636572</v>
      </c>
      <c r="J274" s="340">
        <v>65493.071636572</v>
      </c>
      <c r="K274" s="335" t="s">
        <v>522</v>
      </c>
      <c r="L274" s="335">
        <v>1</v>
      </c>
      <c r="M274" s="335" t="s">
        <v>523</v>
      </c>
      <c r="N274" s="339">
        <v>30</v>
      </c>
      <c r="O274" s="341">
        <v>3.3333333333333298E-2</v>
      </c>
      <c r="P274" s="341">
        <v>386</v>
      </c>
      <c r="Q274" s="341">
        <v>12.866666666666699</v>
      </c>
      <c r="R274" s="342">
        <v>12.03</v>
      </c>
      <c r="S274" s="342" t="s">
        <v>476</v>
      </c>
    </row>
    <row r="275" spans="1:19" ht="15" customHeight="1" x14ac:dyDescent="0.3">
      <c r="A275" s="335" t="s">
        <v>513</v>
      </c>
      <c r="B275" s="335" t="s">
        <v>56</v>
      </c>
      <c r="C275" s="335" t="s">
        <v>57</v>
      </c>
      <c r="D275" s="343" t="s">
        <v>497</v>
      </c>
      <c r="E275" s="336" t="s">
        <v>498</v>
      </c>
      <c r="F275" s="336" t="s">
        <v>60</v>
      </c>
      <c r="G275" s="337">
        <v>1</v>
      </c>
      <c r="H275" s="338">
        <v>0</v>
      </c>
      <c r="I275" s="339">
        <v>76955.079706571996</v>
      </c>
      <c r="J275" s="340">
        <v>76955.079706571996</v>
      </c>
      <c r="K275" s="335" t="s">
        <v>522</v>
      </c>
      <c r="L275" s="335">
        <v>2</v>
      </c>
      <c r="M275" s="335" t="s">
        <v>524</v>
      </c>
      <c r="N275" s="339">
        <v>30</v>
      </c>
      <c r="O275" s="341">
        <v>3.3333333333333298E-2</v>
      </c>
      <c r="P275" s="341">
        <v>386</v>
      </c>
      <c r="Q275" s="341">
        <v>12.866666666666699</v>
      </c>
      <c r="R275" s="342">
        <v>12.03</v>
      </c>
      <c r="S275" s="342" t="s">
        <v>476</v>
      </c>
    </row>
    <row r="276" spans="1:19" ht="15" customHeight="1" x14ac:dyDescent="0.3">
      <c r="A276" s="335" t="s">
        <v>525</v>
      </c>
      <c r="B276" s="335" t="s">
        <v>26</v>
      </c>
      <c r="C276" s="335" t="s">
        <v>27</v>
      </c>
      <c r="D276" s="335" t="s">
        <v>526</v>
      </c>
      <c r="E276" s="336" t="s">
        <v>527</v>
      </c>
      <c r="F276" s="336" t="s">
        <v>167</v>
      </c>
      <c r="G276" s="337">
        <v>6.7000000000000004E-2</v>
      </c>
      <c r="H276" s="338">
        <v>0.15</v>
      </c>
      <c r="I276" s="339">
        <v>2302.02</v>
      </c>
      <c r="J276" s="340">
        <v>177.37064100000001</v>
      </c>
      <c r="K276" s="335" t="s">
        <v>528</v>
      </c>
      <c r="L276" s="335">
        <v>1</v>
      </c>
      <c r="M276" s="335" t="s">
        <v>529</v>
      </c>
      <c r="N276" s="339">
        <v>450</v>
      </c>
      <c r="O276" s="341">
        <v>6.7000000000000004E-2</v>
      </c>
      <c r="P276" s="341" t="s">
        <v>25</v>
      </c>
      <c r="Q276" s="341">
        <v>0</v>
      </c>
      <c r="R276" s="342" t="s">
        <v>25</v>
      </c>
      <c r="S276" s="342" t="s">
        <v>25</v>
      </c>
    </row>
    <row r="277" spans="1:19" ht="15" customHeight="1" x14ac:dyDescent="0.3">
      <c r="A277" s="335" t="s">
        <v>525</v>
      </c>
      <c r="B277" s="335" t="s">
        <v>26</v>
      </c>
      <c r="C277" s="335" t="s">
        <v>27</v>
      </c>
      <c r="D277" s="335" t="s">
        <v>530</v>
      </c>
      <c r="E277" s="336" t="s">
        <v>531</v>
      </c>
      <c r="F277" s="336" t="s">
        <v>532</v>
      </c>
      <c r="G277" s="337">
        <v>1</v>
      </c>
      <c r="H277" s="338">
        <v>7.0000000000000007E-2</v>
      </c>
      <c r="I277" s="339">
        <v>1269.26</v>
      </c>
      <c r="J277" s="340">
        <v>1358.1081999999999</v>
      </c>
      <c r="K277" s="335" t="s">
        <v>528</v>
      </c>
      <c r="L277" s="335">
        <v>2</v>
      </c>
      <c r="M277" s="335" t="s">
        <v>533</v>
      </c>
      <c r="N277" s="339">
        <v>450</v>
      </c>
      <c r="O277" s="341">
        <v>1</v>
      </c>
      <c r="P277" s="341" t="s">
        <v>25</v>
      </c>
      <c r="Q277" s="341">
        <v>0</v>
      </c>
      <c r="R277" s="342" t="s">
        <v>25</v>
      </c>
      <c r="S277" s="342" t="s">
        <v>25</v>
      </c>
    </row>
    <row r="278" spans="1:19" ht="15" customHeight="1" x14ac:dyDescent="0.3">
      <c r="A278" s="335" t="s">
        <v>525</v>
      </c>
      <c r="B278" s="335" t="s">
        <v>56</v>
      </c>
      <c r="C278" s="335" t="s">
        <v>57</v>
      </c>
      <c r="D278" s="343" t="s">
        <v>58</v>
      </c>
      <c r="E278" s="336" t="s">
        <v>59</v>
      </c>
      <c r="F278" s="336" t="s">
        <v>60</v>
      </c>
      <c r="G278" s="337">
        <v>1</v>
      </c>
      <c r="H278" s="338">
        <v>0</v>
      </c>
      <c r="I278" s="339">
        <v>60860.580776572002</v>
      </c>
      <c r="J278" s="340">
        <v>60860.580776572002</v>
      </c>
      <c r="K278" s="335" t="s">
        <v>534</v>
      </c>
      <c r="L278" s="335">
        <v>1</v>
      </c>
      <c r="M278" s="335" t="s">
        <v>535</v>
      </c>
      <c r="N278" s="339">
        <v>450</v>
      </c>
      <c r="O278" s="341">
        <v>2.2222222222222201E-3</v>
      </c>
      <c r="P278" s="341" t="s">
        <v>25</v>
      </c>
      <c r="Q278" s="341">
        <v>0</v>
      </c>
      <c r="R278" s="342" t="s">
        <v>25</v>
      </c>
      <c r="S278" s="342" t="s">
        <v>25</v>
      </c>
    </row>
    <row r="279" spans="1:19" ht="15" customHeight="1" x14ac:dyDescent="0.3">
      <c r="A279" s="335" t="s">
        <v>525</v>
      </c>
      <c r="B279" s="335" t="s">
        <v>56</v>
      </c>
      <c r="C279" s="335" t="s">
        <v>57</v>
      </c>
      <c r="D279" s="343" t="s">
        <v>63</v>
      </c>
      <c r="E279" s="336" t="s">
        <v>64</v>
      </c>
      <c r="F279" s="336" t="s">
        <v>60</v>
      </c>
      <c r="G279" s="337">
        <v>2</v>
      </c>
      <c r="H279" s="338">
        <v>0</v>
      </c>
      <c r="I279" s="339">
        <v>85927.097156571996</v>
      </c>
      <c r="J279" s="340">
        <v>171854.19431314399</v>
      </c>
      <c r="K279" s="335" t="s">
        <v>534</v>
      </c>
      <c r="L279" s="335">
        <v>2</v>
      </c>
      <c r="M279" s="335" t="s">
        <v>536</v>
      </c>
      <c r="N279" s="339">
        <v>450</v>
      </c>
      <c r="O279" s="341">
        <v>4.4444444444444401E-3</v>
      </c>
      <c r="P279" s="341" t="s">
        <v>25</v>
      </c>
      <c r="Q279" s="341">
        <v>0</v>
      </c>
      <c r="R279" s="342" t="s">
        <v>25</v>
      </c>
      <c r="S279" s="342" t="s">
        <v>25</v>
      </c>
    </row>
    <row r="280" spans="1:19" ht="15" customHeight="1" x14ac:dyDescent="0.3">
      <c r="A280" s="335" t="s">
        <v>525</v>
      </c>
      <c r="B280" s="335" t="s">
        <v>56</v>
      </c>
      <c r="C280" s="335" t="s">
        <v>57</v>
      </c>
      <c r="D280" s="343" t="s">
        <v>63</v>
      </c>
      <c r="E280" s="336" t="s">
        <v>64</v>
      </c>
      <c r="F280" s="336" t="s">
        <v>60</v>
      </c>
      <c r="G280" s="337">
        <v>2</v>
      </c>
      <c r="H280" s="338">
        <v>0</v>
      </c>
      <c r="I280" s="339">
        <v>85927.097156571996</v>
      </c>
      <c r="J280" s="340">
        <v>171854.19431314399</v>
      </c>
      <c r="K280" s="335" t="s">
        <v>534</v>
      </c>
      <c r="L280" s="335">
        <v>3</v>
      </c>
      <c r="M280" s="335" t="s">
        <v>537</v>
      </c>
      <c r="N280" s="339">
        <v>450</v>
      </c>
      <c r="O280" s="341">
        <v>4.4444444444444401E-3</v>
      </c>
      <c r="P280" s="341" t="s">
        <v>25</v>
      </c>
      <c r="Q280" s="341">
        <v>0</v>
      </c>
      <c r="R280" s="342" t="s">
        <v>25</v>
      </c>
      <c r="S280" s="342" t="s">
        <v>25</v>
      </c>
    </row>
    <row r="281" spans="1:19" ht="15" customHeight="1" x14ac:dyDescent="0.3">
      <c r="A281" s="335" t="s">
        <v>538</v>
      </c>
      <c r="B281" s="335" t="s">
        <v>26</v>
      </c>
      <c r="C281" s="335" t="s">
        <v>27</v>
      </c>
      <c r="D281" s="335" t="s">
        <v>526</v>
      </c>
      <c r="E281" s="336" t="s">
        <v>527</v>
      </c>
      <c r="F281" s="336" t="s">
        <v>167</v>
      </c>
      <c r="G281" s="337">
        <v>6.7000000000000004E-2</v>
      </c>
      <c r="H281" s="338">
        <v>0.15</v>
      </c>
      <c r="I281" s="339">
        <v>2302.02</v>
      </c>
      <c r="J281" s="340">
        <v>177.37064100000001</v>
      </c>
      <c r="K281" s="335" t="s">
        <v>539</v>
      </c>
      <c r="L281" s="335">
        <v>1</v>
      </c>
      <c r="M281" s="335" t="s">
        <v>540</v>
      </c>
      <c r="N281" s="339">
        <v>380</v>
      </c>
      <c r="O281" s="341">
        <v>6.7000000000000004E-2</v>
      </c>
      <c r="P281" s="341" t="s">
        <v>25</v>
      </c>
      <c r="Q281" s="341">
        <v>0</v>
      </c>
      <c r="R281" s="342" t="s">
        <v>25</v>
      </c>
      <c r="S281" s="342" t="s">
        <v>25</v>
      </c>
    </row>
    <row r="282" spans="1:19" ht="15" customHeight="1" x14ac:dyDescent="0.3">
      <c r="A282" s="335" t="s">
        <v>538</v>
      </c>
      <c r="B282" s="335" t="s">
        <v>26</v>
      </c>
      <c r="C282" s="335" t="s">
        <v>27</v>
      </c>
      <c r="D282" s="335" t="s">
        <v>530</v>
      </c>
      <c r="E282" s="336" t="s">
        <v>531</v>
      </c>
      <c r="F282" s="336" t="s">
        <v>532</v>
      </c>
      <c r="G282" s="337">
        <v>1</v>
      </c>
      <c r="H282" s="338">
        <v>7.0000000000000007E-2</v>
      </c>
      <c r="I282" s="339">
        <v>1269.26</v>
      </c>
      <c r="J282" s="340">
        <v>1358.1081999999999</v>
      </c>
      <c r="K282" s="335" t="s">
        <v>539</v>
      </c>
      <c r="L282" s="335">
        <v>2</v>
      </c>
      <c r="M282" s="335" t="s">
        <v>541</v>
      </c>
      <c r="N282" s="339">
        <v>380</v>
      </c>
      <c r="O282" s="341">
        <v>1</v>
      </c>
      <c r="P282" s="341" t="s">
        <v>25</v>
      </c>
      <c r="Q282" s="341">
        <v>0</v>
      </c>
      <c r="R282" s="342" t="s">
        <v>25</v>
      </c>
      <c r="S282" s="342" t="s">
        <v>25</v>
      </c>
    </row>
    <row r="283" spans="1:19" ht="15" customHeight="1" x14ac:dyDescent="0.3">
      <c r="A283" s="335" t="s">
        <v>538</v>
      </c>
      <c r="B283" s="335" t="s">
        <v>56</v>
      </c>
      <c r="C283" s="335" t="s">
        <v>57</v>
      </c>
      <c r="D283" s="343" t="s">
        <v>58</v>
      </c>
      <c r="E283" s="336" t="s">
        <v>59</v>
      </c>
      <c r="F283" s="336" t="s">
        <v>60</v>
      </c>
      <c r="G283" s="337">
        <v>1</v>
      </c>
      <c r="H283" s="338">
        <v>0</v>
      </c>
      <c r="I283" s="339">
        <v>60860.580776572002</v>
      </c>
      <c r="J283" s="340">
        <v>60860.580776572002</v>
      </c>
      <c r="K283" s="335" t="s">
        <v>542</v>
      </c>
      <c r="L283" s="335">
        <v>1</v>
      </c>
      <c r="M283" s="335" t="s">
        <v>543</v>
      </c>
      <c r="N283" s="339">
        <v>380</v>
      </c>
      <c r="O283" s="341">
        <v>2.6315789473684201E-3</v>
      </c>
      <c r="P283" s="341" t="s">
        <v>25</v>
      </c>
      <c r="Q283" s="341">
        <v>0</v>
      </c>
      <c r="R283" s="342" t="s">
        <v>25</v>
      </c>
      <c r="S283" s="342" t="s">
        <v>25</v>
      </c>
    </row>
    <row r="284" spans="1:19" ht="15" customHeight="1" x14ac:dyDescent="0.3">
      <c r="A284" s="335" t="s">
        <v>538</v>
      </c>
      <c r="B284" s="335" t="s">
        <v>56</v>
      </c>
      <c r="C284" s="335" t="s">
        <v>57</v>
      </c>
      <c r="D284" s="343" t="s">
        <v>63</v>
      </c>
      <c r="E284" s="336" t="s">
        <v>64</v>
      </c>
      <c r="F284" s="336" t="s">
        <v>60</v>
      </c>
      <c r="G284" s="337">
        <v>2</v>
      </c>
      <c r="H284" s="338">
        <v>0</v>
      </c>
      <c r="I284" s="339">
        <v>85927.097156571996</v>
      </c>
      <c r="J284" s="340">
        <v>171854.19431314399</v>
      </c>
      <c r="K284" s="335" t="s">
        <v>542</v>
      </c>
      <c r="L284" s="335">
        <v>2</v>
      </c>
      <c r="M284" s="335" t="s">
        <v>544</v>
      </c>
      <c r="N284" s="339">
        <v>380</v>
      </c>
      <c r="O284" s="341">
        <v>5.2631578947368403E-3</v>
      </c>
      <c r="P284" s="341" t="s">
        <v>25</v>
      </c>
      <c r="Q284" s="341">
        <v>0</v>
      </c>
      <c r="R284" s="342" t="s">
        <v>25</v>
      </c>
      <c r="S284" s="342" t="s">
        <v>25</v>
      </c>
    </row>
    <row r="285" spans="1:19" ht="15" customHeight="1" x14ac:dyDescent="0.3">
      <c r="A285" s="335" t="s">
        <v>538</v>
      </c>
      <c r="B285" s="335" t="s">
        <v>56</v>
      </c>
      <c r="C285" s="335" t="s">
        <v>57</v>
      </c>
      <c r="D285" s="343" t="s">
        <v>63</v>
      </c>
      <c r="E285" s="336" t="s">
        <v>64</v>
      </c>
      <c r="F285" s="336" t="s">
        <v>60</v>
      </c>
      <c r="G285" s="337">
        <v>2</v>
      </c>
      <c r="H285" s="338">
        <v>0</v>
      </c>
      <c r="I285" s="339">
        <v>85927.097156571996</v>
      </c>
      <c r="J285" s="340">
        <v>171854.19431314399</v>
      </c>
      <c r="K285" s="335" t="s">
        <v>542</v>
      </c>
      <c r="L285" s="335">
        <v>3</v>
      </c>
      <c r="M285" s="335" t="s">
        <v>545</v>
      </c>
      <c r="N285" s="339">
        <v>380</v>
      </c>
      <c r="O285" s="341">
        <v>5.2631578947368403E-3</v>
      </c>
      <c r="P285" s="341" t="s">
        <v>25</v>
      </c>
      <c r="Q285" s="341">
        <v>0</v>
      </c>
      <c r="R285" s="342" t="s">
        <v>25</v>
      </c>
      <c r="S285" s="342" t="s">
        <v>25</v>
      </c>
    </row>
    <row r="286" spans="1:19" ht="15" customHeight="1" x14ac:dyDescent="0.3">
      <c r="A286" s="335" t="s">
        <v>546</v>
      </c>
      <c r="B286" s="335" t="s">
        <v>26</v>
      </c>
      <c r="C286" s="335" t="s">
        <v>27</v>
      </c>
      <c r="D286" s="335" t="s">
        <v>526</v>
      </c>
      <c r="E286" s="336" t="s">
        <v>527</v>
      </c>
      <c r="F286" s="336" t="s">
        <v>167</v>
      </c>
      <c r="G286" s="337">
        <v>6.7000000000000004E-2</v>
      </c>
      <c r="H286" s="338">
        <v>0.15</v>
      </c>
      <c r="I286" s="339">
        <v>2302.02</v>
      </c>
      <c r="J286" s="340">
        <v>177.37064100000001</v>
      </c>
      <c r="K286" s="335" t="s">
        <v>547</v>
      </c>
      <c r="L286" s="335">
        <v>1</v>
      </c>
      <c r="M286" s="335" t="s">
        <v>548</v>
      </c>
      <c r="N286" s="339">
        <v>420</v>
      </c>
      <c r="O286" s="341">
        <v>6.7000000000000004E-2</v>
      </c>
      <c r="P286" s="341" t="s">
        <v>25</v>
      </c>
      <c r="Q286" s="341">
        <v>0</v>
      </c>
      <c r="R286" s="342" t="s">
        <v>25</v>
      </c>
      <c r="S286" s="342" t="s">
        <v>25</v>
      </c>
    </row>
    <row r="287" spans="1:19" ht="15" customHeight="1" x14ac:dyDescent="0.3">
      <c r="A287" s="335" t="s">
        <v>546</v>
      </c>
      <c r="B287" s="335" t="s">
        <v>26</v>
      </c>
      <c r="C287" s="335" t="s">
        <v>27</v>
      </c>
      <c r="D287" s="335" t="s">
        <v>530</v>
      </c>
      <c r="E287" s="336" t="s">
        <v>531</v>
      </c>
      <c r="F287" s="336" t="s">
        <v>532</v>
      </c>
      <c r="G287" s="337">
        <v>1</v>
      </c>
      <c r="H287" s="338">
        <v>7.0000000000000007E-2</v>
      </c>
      <c r="I287" s="339">
        <v>1269.26</v>
      </c>
      <c r="J287" s="340">
        <v>1358.1081999999999</v>
      </c>
      <c r="K287" s="335" t="s">
        <v>547</v>
      </c>
      <c r="L287" s="335">
        <v>2</v>
      </c>
      <c r="M287" s="335" t="s">
        <v>549</v>
      </c>
      <c r="N287" s="339">
        <v>420</v>
      </c>
      <c r="O287" s="341">
        <v>1</v>
      </c>
      <c r="P287" s="341" t="s">
        <v>25</v>
      </c>
      <c r="Q287" s="341">
        <v>0</v>
      </c>
      <c r="R287" s="342" t="s">
        <v>25</v>
      </c>
      <c r="S287" s="342" t="s">
        <v>25</v>
      </c>
    </row>
    <row r="288" spans="1:19" ht="15" customHeight="1" x14ac:dyDescent="0.3">
      <c r="A288" s="335" t="s">
        <v>546</v>
      </c>
      <c r="B288" s="335" t="s">
        <v>56</v>
      </c>
      <c r="C288" s="335" t="s">
        <v>57</v>
      </c>
      <c r="D288" s="343" t="s">
        <v>58</v>
      </c>
      <c r="E288" s="336" t="s">
        <v>59</v>
      </c>
      <c r="F288" s="336" t="s">
        <v>60</v>
      </c>
      <c r="G288" s="337">
        <v>1</v>
      </c>
      <c r="H288" s="338">
        <v>0</v>
      </c>
      <c r="I288" s="339">
        <v>60860.580776572002</v>
      </c>
      <c r="J288" s="340">
        <v>60860.580776572002</v>
      </c>
      <c r="K288" s="335" t="s">
        <v>550</v>
      </c>
      <c r="L288" s="335">
        <v>1</v>
      </c>
      <c r="M288" s="335" t="s">
        <v>551</v>
      </c>
      <c r="N288" s="339">
        <v>420</v>
      </c>
      <c r="O288" s="341">
        <v>2.3809523809523799E-3</v>
      </c>
      <c r="P288" s="341" t="s">
        <v>25</v>
      </c>
      <c r="Q288" s="341">
        <v>0</v>
      </c>
      <c r="R288" s="342" t="s">
        <v>25</v>
      </c>
      <c r="S288" s="342" t="s">
        <v>25</v>
      </c>
    </row>
    <row r="289" spans="1:19" ht="15" customHeight="1" x14ac:dyDescent="0.3">
      <c r="A289" s="335" t="s">
        <v>546</v>
      </c>
      <c r="B289" s="335" t="s">
        <v>56</v>
      </c>
      <c r="C289" s="335" t="s">
        <v>57</v>
      </c>
      <c r="D289" s="343" t="s">
        <v>63</v>
      </c>
      <c r="E289" s="336" t="s">
        <v>64</v>
      </c>
      <c r="F289" s="336" t="s">
        <v>60</v>
      </c>
      <c r="G289" s="337">
        <v>2</v>
      </c>
      <c r="H289" s="338">
        <v>0</v>
      </c>
      <c r="I289" s="339">
        <v>85927.097156571996</v>
      </c>
      <c r="J289" s="340">
        <v>171854.19431314399</v>
      </c>
      <c r="K289" s="335" t="s">
        <v>550</v>
      </c>
      <c r="L289" s="335">
        <v>2</v>
      </c>
      <c r="M289" s="335" t="s">
        <v>552</v>
      </c>
      <c r="N289" s="339">
        <v>420</v>
      </c>
      <c r="O289" s="341">
        <v>4.7619047619047597E-3</v>
      </c>
      <c r="P289" s="341" t="s">
        <v>25</v>
      </c>
      <c r="Q289" s="341">
        <v>0</v>
      </c>
      <c r="R289" s="342" t="s">
        <v>25</v>
      </c>
      <c r="S289" s="342" t="s">
        <v>25</v>
      </c>
    </row>
    <row r="290" spans="1:19" ht="15" customHeight="1" x14ac:dyDescent="0.3">
      <c r="A290" s="335" t="s">
        <v>546</v>
      </c>
      <c r="B290" s="335" t="s">
        <v>56</v>
      </c>
      <c r="C290" s="335" t="s">
        <v>57</v>
      </c>
      <c r="D290" s="343" t="s">
        <v>63</v>
      </c>
      <c r="E290" s="336" t="s">
        <v>64</v>
      </c>
      <c r="F290" s="336" t="s">
        <v>60</v>
      </c>
      <c r="G290" s="337">
        <v>2</v>
      </c>
      <c r="H290" s="338">
        <v>0</v>
      </c>
      <c r="I290" s="339">
        <v>85927.097156571996</v>
      </c>
      <c r="J290" s="340">
        <v>171854.19431314399</v>
      </c>
      <c r="K290" s="335" t="s">
        <v>550</v>
      </c>
      <c r="L290" s="335">
        <v>3</v>
      </c>
      <c r="M290" s="335" t="s">
        <v>553</v>
      </c>
      <c r="N290" s="339">
        <v>420</v>
      </c>
      <c r="O290" s="341">
        <v>4.7619047619047597E-3</v>
      </c>
      <c r="P290" s="341" t="s">
        <v>25</v>
      </c>
      <c r="Q290" s="341">
        <v>0</v>
      </c>
      <c r="R290" s="342" t="s">
        <v>25</v>
      </c>
      <c r="S290" s="342" t="s">
        <v>25</v>
      </c>
    </row>
    <row r="291" spans="1:19" ht="15" customHeight="1" x14ac:dyDescent="0.3">
      <c r="A291" s="335" t="s">
        <v>554</v>
      </c>
      <c r="B291" s="335" t="s">
        <v>26</v>
      </c>
      <c r="C291" s="335" t="s">
        <v>27</v>
      </c>
      <c r="D291" s="335" t="s">
        <v>526</v>
      </c>
      <c r="E291" s="336" t="s">
        <v>527</v>
      </c>
      <c r="F291" s="336" t="s">
        <v>167</v>
      </c>
      <c r="G291" s="337">
        <v>6.7000000000000004E-2</v>
      </c>
      <c r="H291" s="338">
        <v>0.15</v>
      </c>
      <c r="I291" s="339">
        <v>2302.02</v>
      </c>
      <c r="J291" s="340">
        <v>177.37064100000001</v>
      </c>
      <c r="K291" s="335" t="s">
        <v>555</v>
      </c>
      <c r="L291" s="335">
        <v>1</v>
      </c>
      <c r="M291" s="335" t="s">
        <v>556</v>
      </c>
      <c r="N291" s="339">
        <v>400</v>
      </c>
      <c r="O291" s="341">
        <v>6.7000000000000004E-2</v>
      </c>
      <c r="P291" s="341" t="s">
        <v>25</v>
      </c>
      <c r="Q291" s="341">
        <v>0</v>
      </c>
      <c r="R291" s="342" t="s">
        <v>25</v>
      </c>
      <c r="S291" s="342" t="s">
        <v>25</v>
      </c>
    </row>
    <row r="292" spans="1:19" ht="15" customHeight="1" x14ac:dyDescent="0.3">
      <c r="A292" s="335" t="s">
        <v>554</v>
      </c>
      <c r="B292" s="335" t="s">
        <v>26</v>
      </c>
      <c r="C292" s="335" t="s">
        <v>27</v>
      </c>
      <c r="D292" s="335" t="s">
        <v>530</v>
      </c>
      <c r="E292" s="336" t="s">
        <v>531</v>
      </c>
      <c r="F292" s="336" t="s">
        <v>532</v>
      </c>
      <c r="G292" s="337">
        <v>1</v>
      </c>
      <c r="H292" s="338">
        <v>7.0000000000000007E-2</v>
      </c>
      <c r="I292" s="339">
        <v>1269.26</v>
      </c>
      <c r="J292" s="340">
        <v>1358.1081999999999</v>
      </c>
      <c r="K292" s="335" t="s">
        <v>555</v>
      </c>
      <c r="L292" s="335">
        <v>2</v>
      </c>
      <c r="M292" s="335" t="s">
        <v>557</v>
      </c>
      <c r="N292" s="339">
        <v>400</v>
      </c>
      <c r="O292" s="341">
        <v>1</v>
      </c>
      <c r="P292" s="341" t="s">
        <v>25</v>
      </c>
      <c r="Q292" s="341">
        <v>0</v>
      </c>
      <c r="R292" s="342" t="s">
        <v>25</v>
      </c>
      <c r="S292" s="342" t="s">
        <v>25</v>
      </c>
    </row>
    <row r="293" spans="1:19" ht="15" customHeight="1" x14ac:dyDescent="0.3">
      <c r="A293" s="335" t="s">
        <v>554</v>
      </c>
      <c r="B293" s="335" t="s">
        <v>56</v>
      </c>
      <c r="C293" s="335" t="s">
        <v>57</v>
      </c>
      <c r="D293" s="343" t="s">
        <v>58</v>
      </c>
      <c r="E293" s="336" t="s">
        <v>59</v>
      </c>
      <c r="F293" s="336" t="s">
        <v>60</v>
      </c>
      <c r="G293" s="337">
        <v>1</v>
      </c>
      <c r="H293" s="338">
        <v>0</v>
      </c>
      <c r="I293" s="339">
        <v>60860.580776572002</v>
      </c>
      <c r="J293" s="340">
        <v>60860.580776572002</v>
      </c>
      <c r="K293" s="335" t="s">
        <v>558</v>
      </c>
      <c r="L293" s="335">
        <v>1</v>
      </c>
      <c r="M293" s="335" t="s">
        <v>559</v>
      </c>
      <c r="N293" s="339">
        <v>400</v>
      </c>
      <c r="O293" s="341">
        <v>2.5000000000000001E-3</v>
      </c>
      <c r="P293" s="341" t="s">
        <v>25</v>
      </c>
      <c r="Q293" s="341">
        <v>0</v>
      </c>
      <c r="R293" s="342" t="s">
        <v>25</v>
      </c>
      <c r="S293" s="342" t="s">
        <v>25</v>
      </c>
    </row>
    <row r="294" spans="1:19" ht="15" customHeight="1" x14ac:dyDescent="0.3">
      <c r="A294" s="335" t="s">
        <v>554</v>
      </c>
      <c r="B294" s="335" t="s">
        <v>56</v>
      </c>
      <c r="C294" s="335" t="s">
        <v>57</v>
      </c>
      <c r="D294" s="343" t="s">
        <v>63</v>
      </c>
      <c r="E294" s="336" t="s">
        <v>64</v>
      </c>
      <c r="F294" s="336" t="s">
        <v>60</v>
      </c>
      <c r="G294" s="337">
        <v>2</v>
      </c>
      <c r="H294" s="338">
        <v>0</v>
      </c>
      <c r="I294" s="339">
        <v>85927.097156571996</v>
      </c>
      <c r="J294" s="340">
        <v>171854.19431314399</v>
      </c>
      <c r="K294" s="335" t="s">
        <v>558</v>
      </c>
      <c r="L294" s="335">
        <v>2</v>
      </c>
      <c r="M294" s="335" t="s">
        <v>560</v>
      </c>
      <c r="N294" s="339">
        <v>400</v>
      </c>
      <c r="O294" s="341">
        <v>5.0000000000000001E-3</v>
      </c>
      <c r="P294" s="341" t="s">
        <v>25</v>
      </c>
      <c r="Q294" s="341">
        <v>0</v>
      </c>
      <c r="R294" s="342" t="s">
        <v>25</v>
      </c>
      <c r="S294" s="342" t="s">
        <v>25</v>
      </c>
    </row>
    <row r="295" spans="1:19" ht="15" customHeight="1" x14ac:dyDescent="0.3">
      <c r="A295" s="335" t="s">
        <v>554</v>
      </c>
      <c r="B295" s="335" t="s">
        <v>56</v>
      </c>
      <c r="C295" s="335" t="s">
        <v>57</v>
      </c>
      <c r="D295" s="343" t="s">
        <v>63</v>
      </c>
      <c r="E295" s="336" t="s">
        <v>64</v>
      </c>
      <c r="F295" s="336" t="s">
        <v>60</v>
      </c>
      <c r="G295" s="337">
        <v>2</v>
      </c>
      <c r="H295" s="338">
        <v>0</v>
      </c>
      <c r="I295" s="339">
        <v>85927.097156571996</v>
      </c>
      <c r="J295" s="340">
        <v>171854.19431314399</v>
      </c>
      <c r="K295" s="335" t="s">
        <v>558</v>
      </c>
      <c r="L295" s="335">
        <v>3</v>
      </c>
      <c r="M295" s="335" t="s">
        <v>561</v>
      </c>
      <c r="N295" s="339">
        <v>400</v>
      </c>
      <c r="O295" s="341">
        <v>5.0000000000000001E-3</v>
      </c>
      <c r="P295" s="341" t="s">
        <v>25</v>
      </c>
      <c r="Q295" s="341">
        <v>0</v>
      </c>
      <c r="R295" s="342" t="s">
        <v>25</v>
      </c>
      <c r="S295" s="342" t="s">
        <v>25</v>
      </c>
    </row>
    <row r="296" spans="1:19" ht="15" customHeight="1" x14ac:dyDescent="0.3">
      <c r="A296" s="335" t="s">
        <v>562</v>
      </c>
      <c r="B296" s="335" t="s">
        <v>26</v>
      </c>
      <c r="C296" s="335" t="s">
        <v>27</v>
      </c>
      <c r="D296" s="335" t="s">
        <v>526</v>
      </c>
      <c r="E296" s="336" t="s">
        <v>527</v>
      </c>
      <c r="F296" s="336" t="s">
        <v>167</v>
      </c>
      <c r="G296" s="337">
        <v>6.5000000000000002E-2</v>
      </c>
      <c r="H296" s="338">
        <v>0.15</v>
      </c>
      <c r="I296" s="339">
        <v>2302.02</v>
      </c>
      <c r="J296" s="340">
        <v>172.07599500000001</v>
      </c>
      <c r="K296" s="335" t="s">
        <v>563</v>
      </c>
      <c r="L296" s="335">
        <v>1</v>
      </c>
      <c r="M296" s="335" t="s">
        <v>564</v>
      </c>
      <c r="N296" s="339">
        <v>150</v>
      </c>
      <c r="O296" s="341">
        <v>6.5000000000000002E-2</v>
      </c>
      <c r="P296" s="341" t="s">
        <v>25</v>
      </c>
      <c r="Q296" s="341">
        <v>0</v>
      </c>
      <c r="R296" s="342" t="s">
        <v>25</v>
      </c>
      <c r="S296" s="342" t="s">
        <v>25</v>
      </c>
    </row>
    <row r="297" spans="1:19" ht="15" customHeight="1" x14ac:dyDescent="0.3">
      <c r="A297" s="335" t="s">
        <v>562</v>
      </c>
      <c r="B297" s="335" t="s">
        <v>26</v>
      </c>
      <c r="C297" s="335" t="s">
        <v>27</v>
      </c>
      <c r="D297" s="335" t="s">
        <v>530</v>
      </c>
      <c r="E297" s="336" t="s">
        <v>531</v>
      </c>
      <c r="F297" s="336" t="s">
        <v>532</v>
      </c>
      <c r="G297" s="337">
        <v>8.3333333333333301E-2</v>
      </c>
      <c r="H297" s="338">
        <v>7.0000000000000007E-2</v>
      </c>
      <c r="I297" s="339">
        <v>1269.26</v>
      </c>
      <c r="J297" s="340">
        <v>113.175683333333</v>
      </c>
      <c r="K297" s="335" t="s">
        <v>563</v>
      </c>
      <c r="L297" s="335">
        <v>2</v>
      </c>
      <c r="M297" s="335" t="s">
        <v>565</v>
      </c>
      <c r="N297" s="339">
        <v>150</v>
      </c>
      <c r="O297" s="341">
        <v>8.3333333333333301E-2</v>
      </c>
      <c r="P297" s="341" t="s">
        <v>25</v>
      </c>
      <c r="Q297" s="341">
        <v>0</v>
      </c>
      <c r="R297" s="342" t="s">
        <v>25</v>
      </c>
      <c r="S297" s="342" t="s">
        <v>25</v>
      </c>
    </row>
    <row r="298" spans="1:19" ht="15" customHeight="1" x14ac:dyDescent="0.3">
      <c r="A298" s="335" t="s">
        <v>562</v>
      </c>
      <c r="B298" s="335" t="s">
        <v>56</v>
      </c>
      <c r="C298" s="335" t="s">
        <v>57</v>
      </c>
      <c r="D298" s="343" t="s">
        <v>63</v>
      </c>
      <c r="E298" s="336" t="s">
        <v>64</v>
      </c>
      <c r="F298" s="336" t="s">
        <v>60</v>
      </c>
      <c r="G298" s="337">
        <v>3</v>
      </c>
      <c r="H298" s="338">
        <v>0</v>
      </c>
      <c r="I298" s="339">
        <v>85927.097156571996</v>
      </c>
      <c r="J298" s="340">
        <v>257781.291469716</v>
      </c>
      <c r="K298" s="335" t="s">
        <v>566</v>
      </c>
      <c r="L298" s="335">
        <v>1</v>
      </c>
      <c r="M298" s="335" t="s">
        <v>567</v>
      </c>
      <c r="N298" s="339">
        <v>150</v>
      </c>
      <c r="O298" s="341">
        <v>0.02</v>
      </c>
      <c r="P298" s="341" t="s">
        <v>25</v>
      </c>
      <c r="Q298" s="341">
        <v>0</v>
      </c>
      <c r="R298" s="342" t="s">
        <v>25</v>
      </c>
      <c r="S298" s="342" t="s">
        <v>25</v>
      </c>
    </row>
    <row r="299" spans="1:19" ht="15" customHeight="1" x14ac:dyDescent="0.3">
      <c r="A299" s="335" t="s">
        <v>562</v>
      </c>
      <c r="B299" s="335" t="s">
        <v>56</v>
      </c>
      <c r="C299" s="335" t="s">
        <v>57</v>
      </c>
      <c r="D299" s="343" t="s">
        <v>63</v>
      </c>
      <c r="E299" s="336" t="s">
        <v>64</v>
      </c>
      <c r="F299" s="336" t="s">
        <v>60</v>
      </c>
      <c r="G299" s="337">
        <v>2</v>
      </c>
      <c r="H299" s="338">
        <v>0</v>
      </c>
      <c r="I299" s="339">
        <v>85927.097156571996</v>
      </c>
      <c r="J299" s="340">
        <v>171854.19431314399</v>
      </c>
      <c r="K299" s="335" t="s">
        <v>566</v>
      </c>
      <c r="L299" s="335">
        <v>2</v>
      </c>
      <c r="M299" s="335" t="s">
        <v>568</v>
      </c>
      <c r="N299" s="339">
        <v>150</v>
      </c>
      <c r="O299" s="341">
        <v>1.3333333333333299E-2</v>
      </c>
      <c r="P299" s="341" t="s">
        <v>25</v>
      </c>
      <c r="Q299" s="341">
        <v>0</v>
      </c>
      <c r="R299" s="342" t="s">
        <v>25</v>
      </c>
      <c r="S299" s="342" t="s">
        <v>25</v>
      </c>
    </row>
    <row r="300" spans="1:19" ht="15" customHeight="1" x14ac:dyDescent="0.3">
      <c r="A300" s="335" t="s">
        <v>569</v>
      </c>
      <c r="B300" s="335" t="s">
        <v>26</v>
      </c>
      <c r="C300" s="335" t="s">
        <v>27</v>
      </c>
      <c r="D300" s="335" t="s">
        <v>526</v>
      </c>
      <c r="E300" s="336" t="s">
        <v>527</v>
      </c>
      <c r="F300" s="336" t="s">
        <v>167</v>
      </c>
      <c r="G300" s="337">
        <v>6.7000000000000004E-2</v>
      </c>
      <c r="H300" s="338">
        <v>0.15</v>
      </c>
      <c r="I300" s="339">
        <v>2302.02</v>
      </c>
      <c r="J300" s="340">
        <v>177.37064100000001</v>
      </c>
      <c r="K300" s="335" t="s">
        <v>570</v>
      </c>
      <c r="L300" s="335">
        <v>1</v>
      </c>
      <c r="M300" s="335" t="s">
        <v>571</v>
      </c>
      <c r="N300" s="339">
        <v>400</v>
      </c>
      <c r="O300" s="341">
        <v>6.7000000000000004E-2</v>
      </c>
      <c r="P300" s="341" t="s">
        <v>25</v>
      </c>
      <c r="Q300" s="341">
        <v>0</v>
      </c>
      <c r="R300" s="342" t="s">
        <v>25</v>
      </c>
      <c r="S300" s="342" t="s">
        <v>25</v>
      </c>
    </row>
    <row r="301" spans="1:19" ht="15" customHeight="1" x14ac:dyDescent="0.3">
      <c r="A301" s="335" t="s">
        <v>569</v>
      </c>
      <c r="B301" s="335" t="s">
        <v>26</v>
      </c>
      <c r="C301" s="335" t="s">
        <v>27</v>
      </c>
      <c r="D301" s="335" t="s">
        <v>530</v>
      </c>
      <c r="E301" s="336" t="s">
        <v>531</v>
      </c>
      <c r="F301" s="336" t="s">
        <v>532</v>
      </c>
      <c r="G301" s="337">
        <v>1</v>
      </c>
      <c r="H301" s="338">
        <v>7.0000000000000007E-2</v>
      </c>
      <c r="I301" s="339">
        <v>1269.26</v>
      </c>
      <c r="J301" s="340">
        <v>1358.1081999999999</v>
      </c>
      <c r="K301" s="335" t="s">
        <v>570</v>
      </c>
      <c r="L301" s="335">
        <v>2</v>
      </c>
      <c r="M301" s="335" t="s">
        <v>572</v>
      </c>
      <c r="N301" s="339">
        <v>400</v>
      </c>
      <c r="O301" s="341">
        <v>1</v>
      </c>
      <c r="P301" s="341" t="s">
        <v>25</v>
      </c>
      <c r="Q301" s="341">
        <v>0</v>
      </c>
      <c r="R301" s="342" t="s">
        <v>25</v>
      </c>
      <c r="S301" s="342" t="s">
        <v>25</v>
      </c>
    </row>
    <row r="302" spans="1:19" ht="15" customHeight="1" x14ac:dyDescent="0.3">
      <c r="A302" s="335" t="s">
        <v>569</v>
      </c>
      <c r="B302" s="335" t="s">
        <v>56</v>
      </c>
      <c r="C302" s="335" t="s">
        <v>57</v>
      </c>
      <c r="D302" s="343" t="s">
        <v>58</v>
      </c>
      <c r="E302" s="336" t="s">
        <v>59</v>
      </c>
      <c r="F302" s="336" t="s">
        <v>60</v>
      </c>
      <c r="G302" s="337">
        <v>1</v>
      </c>
      <c r="H302" s="338">
        <v>0</v>
      </c>
      <c r="I302" s="339">
        <v>60860.580776572002</v>
      </c>
      <c r="J302" s="340">
        <v>60860.580776572002</v>
      </c>
      <c r="K302" s="335" t="s">
        <v>573</v>
      </c>
      <c r="L302" s="335">
        <v>1</v>
      </c>
      <c r="M302" s="335" t="s">
        <v>574</v>
      </c>
      <c r="N302" s="339">
        <v>400</v>
      </c>
      <c r="O302" s="341">
        <v>2.5000000000000001E-3</v>
      </c>
      <c r="P302" s="341" t="s">
        <v>25</v>
      </c>
      <c r="Q302" s="341">
        <v>0</v>
      </c>
      <c r="R302" s="342" t="s">
        <v>25</v>
      </c>
      <c r="S302" s="342" t="s">
        <v>25</v>
      </c>
    </row>
    <row r="303" spans="1:19" ht="15" customHeight="1" x14ac:dyDescent="0.3">
      <c r="A303" s="335" t="s">
        <v>569</v>
      </c>
      <c r="B303" s="335" t="s">
        <v>56</v>
      </c>
      <c r="C303" s="335" t="s">
        <v>57</v>
      </c>
      <c r="D303" s="343" t="s">
        <v>63</v>
      </c>
      <c r="E303" s="336" t="s">
        <v>64</v>
      </c>
      <c r="F303" s="336" t="s">
        <v>60</v>
      </c>
      <c r="G303" s="337">
        <v>2</v>
      </c>
      <c r="H303" s="338">
        <v>0</v>
      </c>
      <c r="I303" s="339">
        <v>85927.097156571996</v>
      </c>
      <c r="J303" s="340">
        <v>171854.19431314399</v>
      </c>
      <c r="K303" s="335" t="s">
        <v>573</v>
      </c>
      <c r="L303" s="335">
        <v>2</v>
      </c>
      <c r="M303" s="335" t="s">
        <v>575</v>
      </c>
      <c r="N303" s="339">
        <v>400</v>
      </c>
      <c r="O303" s="341">
        <v>5.0000000000000001E-3</v>
      </c>
      <c r="P303" s="341" t="s">
        <v>25</v>
      </c>
      <c r="Q303" s="341">
        <v>0</v>
      </c>
      <c r="R303" s="342" t="s">
        <v>25</v>
      </c>
      <c r="S303" s="342" t="s">
        <v>25</v>
      </c>
    </row>
    <row r="304" spans="1:19" ht="15" customHeight="1" x14ac:dyDescent="0.3">
      <c r="A304" s="335" t="s">
        <v>569</v>
      </c>
      <c r="B304" s="335" t="s">
        <v>56</v>
      </c>
      <c r="C304" s="335" t="s">
        <v>57</v>
      </c>
      <c r="D304" s="343" t="s">
        <v>63</v>
      </c>
      <c r="E304" s="336" t="s">
        <v>64</v>
      </c>
      <c r="F304" s="336" t="s">
        <v>60</v>
      </c>
      <c r="G304" s="337">
        <v>2</v>
      </c>
      <c r="H304" s="338">
        <v>0</v>
      </c>
      <c r="I304" s="339">
        <v>85927.097156571996</v>
      </c>
      <c r="J304" s="340">
        <v>171854.19431314399</v>
      </c>
      <c r="K304" s="335" t="s">
        <v>573</v>
      </c>
      <c r="L304" s="335">
        <v>3</v>
      </c>
      <c r="M304" s="335" t="s">
        <v>576</v>
      </c>
      <c r="N304" s="339">
        <v>400</v>
      </c>
      <c r="O304" s="341">
        <v>5.0000000000000001E-3</v>
      </c>
      <c r="P304" s="341" t="s">
        <v>25</v>
      </c>
      <c r="Q304" s="341">
        <v>0</v>
      </c>
      <c r="R304" s="342" t="s">
        <v>25</v>
      </c>
      <c r="S304" s="342" t="s">
        <v>25</v>
      </c>
    </row>
    <row r="305" spans="1:19" ht="15" customHeight="1" x14ac:dyDescent="0.3">
      <c r="A305" s="335" t="s">
        <v>577</v>
      </c>
      <c r="B305" s="335" t="s">
        <v>20</v>
      </c>
      <c r="C305" s="335"/>
      <c r="D305" s="335" t="s">
        <v>578</v>
      </c>
      <c r="E305" s="336" t="s">
        <v>579</v>
      </c>
      <c r="F305" s="336"/>
      <c r="G305" s="337">
        <v>1</v>
      </c>
      <c r="H305" s="338">
        <v>0</v>
      </c>
      <c r="I305" s="339">
        <v>140.198092594309</v>
      </c>
      <c r="J305" s="340">
        <v>140.198092594309</v>
      </c>
      <c r="K305" s="335" t="s">
        <v>580</v>
      </c>
      <c r="L305" s="335">
        <v>1</v>
      </c>
      <c r="M305" s="335" t="s">
        <v>581</v>
      </c>
      <c r="N305" s="339">
        <v>9.5</v>
      </c>
      <c r="O305" s="341">
        <v>1</v>
      </c>
      <c r="P305" s="341" t="s">
        <v>25</v>
      </c>
      <c r="Q305" s="341">
        <v>0</v>
      </c>
      <c r="R305" s="342" t="s">
        <v>25</v>
      </c>
      <c r="S305" s="342" t="s">
        <v>25</v>
      </c>
    </row>
    <row r="306" spans="1:19" ht="15" customHeight="1" x14ac:dyDescent="0.3">
      <c r="A306" s="335" t="s">
        <v>577</v>
      </c>
      <c r="B306" s="335" t="s">
        <v>20</v>
      </c>
      <c r="C306" s="335"/>
      <c r="D306" s="335" t="s">
        <v>582</v>
      </c>
      <c r="E306" s="336" t="s">
        <v>583</v>
      </c>
      <c r="F306" s="336"/>
      <c r="G306" s="337">
        <v>1</v>
      </c>
      <c r="H306" s="338">
        <v>0</v>
      </c>
      <c r="I306" s="339">
        <v>2365.2381485799501</v>
      </c>
      <c r="J306" s="340">
        <v>2365.2381485799501</v>
      </c>
      <c r="K306" s="335" t="s">
        <v>580</v>
      </c>
      <c r="L306" s="335">
        <v>2</v>
      </c>
      <c r="M306" s="335" t="s">
        <v>584</v>
      </c>
      <c r="N306" s="339">
        <v>9.5</v>
      </c>
      <c r="O306" s="341">
        <v>1</v>
      </c>
      <c r="P306" s="341" t="s">
        <v>25</v>
      </c>
      <c r="Q306" s="341">
        <v>0</v>
      </c>
      <c r="R306" s="342" t="s">
        <v>25</v>
      </c>
      <c r="S306" s="342" t="s">
        <v>25</v>
      </c>
    </row>
    <row r="307" spans="1:19" ht="15" customHeight="1" x14ac:dyDescent="0.3">
      <c r="A307" s="335" t="s">
        <v>577</v>
      </c>
      <c r="B307" s="335" t="s">
        <v>26</v>
      </c>
      <c r="C307" s="335" t="s">
        <v>27</v>
      </c>
      <c r="D307" s="335" t="s">
        <v>585</v>
      </c>
      <c r="E307" s="336" t="s">
        <v>586</v>
      </c>
      <c r="F307" s="336" t="s">
        <v>35</v>
      </c>
      <c r="G307" s="337">
        <v>0.507692307692308</v>
      </c>
      <c r="H307" s="338">
        <v>0.1</v>
      </c>
      <c r="I307" s="339">
        <v>2147.85</v>
      </c>
      <c r="J307" s="340">
        <v>1199.49161538462</v>
      </c>
      <c r="K307" s="335" t="s">
        <v>587</v>
      </c>
      <c r="L307" s="335">
        <v>1</v>
      </c>
      <c r="M307" s="335" t="s">
        <v>588</v>
      </c>
      <c r="N307" s="339">
        <v>9.5</v>
      </c>
      <c r="O307" s="341">
        <v>0.507692307692308</v>
      </c>
      <c r="P307" s="341" t="s">
        <v>25</v>
      </c>
      <c r="Q307" s="341">
        <v>0</v>
      </c>
      <c r="R307" s="342" t="s">
        <v>25</v>
      </c>
      <c r="S307" s="342" t="s">
        <v>25</v>
      </c>
    </row>
    <row r="308" spans="1:19" ht="15" customHeight="1" x14ac:dyDescent="0.3">
      <c r="A308" s="335" t="s">
        <v>577</v>
      </c>
      <c r="B308" s="335" t="s">
        <v>26</v>
      </c>
      <c r="C308" s="335" t="s">
        <v>27</v>
      </c>
      <c r="D308" s="335" t="s">
        <v>589</v>
      </c>
      <c r="E308" s="336" t="s">
        <v>590</v>
      </c>
      <c r="F308" s="336" t="s">
        <v>35</v>
      </c>
      <c r="G308" s="337">
        <v>1.2307692307692299</v>
      </c>
      <c r="H308" s="338">
        <v>0.1</v>
      </c>
      <c r="I308" s="339">
        <v>2468.66</v>
      </c>
      <c r="J308" s="340">
        <v>3342.18584615384</v>
      </c>
      <c r="K308" s="335" t="s">
        <v>587</v>
      </c>
      <c r="L308" s="335">
        <v>2</v>
      </c>
      <c r="M308" s="335" t="s">
        <v>591</v>
      </c>
      <c r="N308" s="339">
        <v>9.5</v>
      </c>
      <c r="O308" s="341">
        <v>1.2307692307692299</v>
      </c>
      <c r="P308" s="341" t="s">
        <v>25</v>
      </c>
      <c r="Q308" s="341">
        <v>0</v>
      </c>
      <c r="R308" s="342" t="s">
        <v>25</v>
      </c>
      <c r="S308" s="342" t="s">
        <v>25</v>
      </c>
    </row>
    <row r="309" spans="1:19" ht="15" customHeight="1" x14ac:dyDescent="0.3">
      <c r="A309" s="335" t="s">
        <v>577</v>
      </c>
      <c r="B309" s="335" t="s">
        <v>26</v>
      </c>
      <c r="C309" s="335" t="s">
        <v>27</v>
      </c>
      <c r="D309" s="335" t="s">
        <v>592</v>
      </c>
      <c r="E309" s="336" t="s">
        <v>593</v>
      </c>
      <c r="F309" s="336" t="s">
        <v>35</v>
      </c>
      <c r="G309" s="337">
        <v>2.8125000000000001E-2</v>
      </c>
      <c r="H309" s="338">
        <v>0.05</v>
      </c>
      <c r="I309" s="339">
        <v>26872.02</v>
      </c>
      <c r="J309" s="340">
        <v>793.564340625</v>
      </c>
      <c r="K309" s="335" t="s">
        <v>587</v>
      </c>
      <c r="L309" s="335">
        <v>3</v>
      </c>
      <c r="M309" s="335" t="s">
        <v>594</v>
      </c>
      <c r="N309" s="339">
        <v>9.5</v>
      </c>
      <c r="O309" s="341">
        <v>2.8125000000000001E-2</v>
      </c>
      <c r="P309" s="341" t="s">
        <v>25</v>
      </c>
      <c r="Q309" s="341">
        <v>0</v>
      </c>
      <c r="R309" s="342" t="s">
        <v>25</v>
      </c>
      <c r="S309" s="342" t="s">
        <v>25</v>
      </c>
    </row>
    <row r="310" spans="1:19" ht="15" customHeight="1" x14ac:dyDescent="0.3">
      <c r="A310" s="335" t="s">
        <v>577</v>
      </c>
      <c r="B310" s="335" t="s">
        <v>26</v>
      </c>
      <c r="C310" s="335" t="s">
        <v>27</v>
      </c>
      <c r="D310" s="335" t="s">
        <v>595</v>
      </c>
      <c r="E310" s="336" t="s">
        <v>596</v>
      </c>
      <c r="F310" s="336" t="s">
        <v>35</v>
      </c>
      <c r="G310" s="337">
        <v>16</v>
      </c>
      <c r="H310" s="338">
        <v>0.05</v>
      </c>
      <c r="I310" s="339">
        <v>32.707173553719002</v>
      </c>
      <c r="J310" s="340">
        <v>549.48051570247901</v>
      </c>
      <c r="K310" s="335" t="s">
        <v>587</v>
      </c>
      <c r="L310" s="335">
        <v>4</v>
      </c>
      <c r="M310" s="335" t="s">
        <v>597</v>
      </c>
      <c r="N310" s="339">
        <v>9.5</v>
      </c>
      <c r="O310" s="341">
        <v>16</v>
      </c>
      <c r="P310" s="341" t="s">
        <v>25</v>
      </c>
      <c r="Q310" s="341">
        <v>0</v>
      </c>
      <c r="R310" s="342" t="s">
        <v>25</v>
      </c>
      <c r="S310" s="342" t="s">
        <v>25</v>
      </c>
    </row>
    <row r="311" spans="1:19" ht="15" customHeight="1" x14ac:dyDescent="0.3">
      <c r="A311" s="335" t="s">
        <v>577</v>
      </c>
      <c r="B311" s="335" t="s">
        <v>26</v>
      </c>
      <c r="C311" s="335" t="s">
        <v>27</v>
      </c>
      <c r="D311" s="335" t="s">
        <v>598</v>
      </c>
      <c r="E311" s="336" t="s">
        <v>599</v>
      </c>
      <c r="F311" s="336" t="s">
        <v>35</v>
      </c>
      <c r="G311" s="337">
        <v>18</v>
      </c>
      <c r="H311" s="338">
        <v>0.05</v>
      </c>
      <c r="I311" s="339">
        <v>17.1963177226814</v>
      </c>
      <c r="J311" s="340">
        <v>325.01040495867898</v>
      </c>
      <c r="K311" s="335" t="s">
        <v>587</v>
      </c>
      <c r="L311" s="335">
        <v>5</v>
      </c>
      <c r="M311" s="335" t="s">
        <v>600</v>
      </c>
      <c r="N311" s="339">
        <v>9.5</v>
      </c>
      <c r="O311" s="341">
        <v>18</v>
      </c>
      <c r="P311" s="341" t="s">
        <v>25</v>
      </c>
      <c r="Q311" s="341">
        <v>0</v>
      </c>
      <c r="R311" s="342" t="s">
        <v>25</v>
      </c>
      <c r="S311" s="342" t="s">
        <v>25</v>
      </c>
    </row>
    <row r="312" spans="1:19" ht="15" customHeight="1" x14ac:dyDescent="0.3">
      <c r="A312" s="335" t="s">
        <v>577</v>
      </c>
      <c r="B312" s="335" t="s">
        <v>26</v>
      </c>
      <c r="C312" s="335" t="s">
        <v>27</v>
      </c>
      <c r="D312" s="335" t="s">
        <v>601</v>
      </c>
      <c r="E312" s="336" t="s">
        <v>602</v>
      </c>
      <c r="F312" s="336" t="s">
        <v>35</v>
      </c>
      <c r="G312" s="337">
        <v>6</v>
      </c>
      <c r="H312" s="338">
        <v>0.05</v>
      </c>
      <c r="I312" s="339">
        <v>65.919008264462803</v>
      </c>
      <c r="J312" s="340">
        <v>415.28975206611602</v>
      </c>
      <c r="K312" s="335" t="s">
        <v>587</v>
      </c>
      <c r="L312" s="335">
        <v>6</v>
      </c>
      <c r="M312" s="335" t="s">
        <v>603</v>
      </c>
      <c r="N312" s="339">
        <v>9.5</v>
      </c>
      <c r="O312" s="341">
        <v>6</v>
      </c>
      <c r="P312" s="341" t="s">
        <v>25</v>
      </c>
      <c r="Q312" s="341">
        <v>0</v>
      </c>
      <c r="R312" s="342" t="s">
        <v>25</v>
      </c>
      <c r="S312" s="342" t="s">
        <v>25</v>
      </c>
    </row>
    <row r="313" spans="1:19" ht="15" customHeight="1" x14ac:dyDescent="0.3">
      <c r="A313" s="335" t="s">
        <v>577</v>
      </c>
      <c r="B313" s="335" t="s">
        <v>26</v>
      </c>
      <c r="C313" s="335" t="s">
        <v>27</v>
      </c>
      <c r="D313" s="335" t="s">
        <v>604</v>
      </c>
      <c r="E313" s="336" t="s">
        <v>605</v>
      </c>
      <c r="F313" s="336" t="s">
        <v>35</v>
      </c>
      <c r="G313" s="337">
        <v>1.8333333333333299E-2</v>
      </c>
      <c r="H313" s="338">
        <v>0.05</v>
      </c>
      <c r="I313" s="339">
        <v>4042.71</v>
      </c>
      <c r="J313" s="340">
        <v>77.822167499999907</v>
      </c>
      <c r="K313" s="335" t="s">
        <v>587</v>
      </c>
      <c r="L313" s="335">
        <v>7</v>
      </c>
      <c r="M313" s="335" t="s">
        <v>606</v>
      </c>
      <c r="N313" s="339">
        <v>9.5</v>
      </c>
      <c r="O313" s="341">
        <v>1.8333333333333299E-2</v>
      </c>
      <c r="P313" s="341" t="s">
        <v>25</v>
      </c>
      <c r="Q313" s="341">
        <v>0</v>
      </c>
      <c r="R313" s="342" t="s">
        <v>25</v>
      </c>
      <c r="S313" s="342" t="s">
        <v>25</v>
      </c>
    </row>
    <row r="314" spans="1:19" ht="15" customHeight="1" x14ac:dyDescent="0.3">
      <c r="A314" s="335" t="s">
        <v>577</v>
      </c>
      <c r="B314" s="335" t="s">
        <v>26</v>
      </c>
      <c r="C314" s="335" t="s">
        <v>27</v>
      </c>
      <c r="D314" s="335" t="s">
        <v>607</v>
      </c>
      <c r="E314" s="336" t="s">
        <v>608</v>
      </c>
      <c r="F314" s="336" t="s">
        <v>35</v>
      </c>
      <c r="G314" s="337">
        <v>0.36</v>
      </c>
      <c r="H314" s="338">
        <v>0.1</v>
      </c>
      <c r="I314" s="339">
        <v>10022.959999999999</v>
      </c>
      <c r="J314" s="340">
        <v>3969.0921600000001</v>
      </c>
      <c r="K314" s="335" t="s">
        <v>587</v>
      </c>
      <c r="L314" s="335">
        <v>8</v>
      </c>
      <c r="M314" s="335" t="s">
        <v>609</v>
      </c>
      <c r="N314" s="339">
        <v>9.5</v>
      </c>
      <c r="O314" s="341">
        <v>0.36</v>
      </c>
      <c r="P314" s="341" t="s">
        <v>25</v>
      </c>
      <c r="Q314" s="341">
        <v>0</v>
      </c>
      <c r="R314" s="342" t="s">
        <v>25</v>
      </c>
      <c r="S314" s="342" t="s">
        <v>25</v>
      </c>
    </row>
    <row r="315" spans="1:19" ht="15" customHeight="1" x14ac:dyDescent="0.3">
      <c r="A315" s="335" t="s">
        <v>577</v>
      </c>
      <c r="B315" s="335" t="s">
        <v>56</v>
      </c>
      <c r="C315" s="335" t="s">
        <v>57</v>
      </c>
      <c r="D315" s="343" t="s">
        <v>413</v>
      </c>
      <c r="E315" s="336" t="s">
        <v>414</v>
      </c>
      <c r="F315" s="336" t="s">
        <v>60</v>
      </c>
      <c r="G315" s="337">
        <v>1</v>
      </c>
      <c r="H315" s="338">
        <v>0</v>
      </c>
      <c r="I315" s="339">
        <v>65493.071636572</v>
      </c>
      <c r="J315" s="340">
        <v>65493.071636572</v>
      </c>
      <c r="K315" s="335" t="s">
        <v>610</v>
      </c>
      <c r="L315" s="335">
        <v>1</v>
      </c>
      <c r="M315" s="335" t="s">
        <v>611</v>
      </c>
      <c r="N315" s="339">
        <v>9.5</v>
      </c>
      <c r="O315" s="341">
        <v>0.105263157894737</v>
      </c>
      <c r="P315" s="341" t="s">
        <v>25</v>
      </c>
      <c r="Q315" s="341">
        <v>0</v>
      </c>
      <c r="R315" s="342" t="s">
        <v>25</v>
      </c>
      <c r="S315" s="342" t="s">
        <v>25</v>
      </c>
    </row>
    <row r="316" spans="1:19" ht="15" customHeight="1" x14ac:dyDescent="0.3">
      <c r="A316" s="335" t="s">
        <v>577</v>
      </c>
      <c r="B316" s="335" t="s">
        <v>56</v>
      </c>
      <c r="C316" s="335" t="s">
        <v>57</v>
      </c>
      <c r="D316" s="343" t="s">
        <v>63</v>
      </c>
      <c r="E316" s="336" t="s">
        <v>64</v>
      </c>
      <c r="F316" s="336" t="s">
        <v>60</v>
      </c>
      <c r="G316" s="337">
        <v>1</v>
      </c>
      <c r="H316" s="338">
        <v>0</v>
      </c>
      <c r="I316" s="339">
        <v>85927.097156571996</v>
      </c>
      <c r="J316" s="340">
        <v>85927.097156571996</v>
      </c>
      <c r="K316" s="335" t="s">
        <v>610</v>
      </c>
      <c r="L316" s="335">
        <v>2</v>
      </c>
      <c r="M316" s="335" t="s">
        <v>612</v>
      </c>
      <c r="N316" s="339">
        <v>9.5</v>
      </c>
      <c r="O316" s="341">
        <v>0.105263157894737</v>
      </c>
      <c r="P316" s="341" t="s">
        <v>25</v>
      </c>
      <c r="Q316" s="341">
        <v>0</v>
      </c>
      <c r="R316" s="342" t="s">
        <v>25</v>
      </c>
      <c r="S316" s="342" t="s">
        <v>25</v>
      </c>
    </row>
    <row r="317" spans="1:19" ht="15" customHeight="1" x14ac:dyDescent="0.3">
      <c r="A317" s="335" t="s">
        <v>613</v>
      </c>
      <c r="B317" s="335" t="s">
        <v>20</v>
      </c>
      <c r="C317" s="335"/>
      <c r="D317" s="335" t="s">
        <v>578</v>
      </c>
      <c r="E317" s="336" t="s">
        <v>579</v>
      </c>
      <c r="F317" s="336"/>
      <c r="G317" s="337">
        <v>1</v>
      </c>
      <c r="H317" s="338">
        <v>0</v>
      </c>
      <c r="I317" s="339">
        <v>140.198092594309</v>
      </c>
      <c r="J317" s="340">
        <v>140.198092594309</v>
      </c>
      <c r="K317" s="335" t="s">
        <v>614</v>
      </c>
      <c r="L317" s="335">
        <v>1</v>
      </c>
      <c r="M317" s="335" t="s">
        <v>615</v>
      </c>
      <c r="N317" s="339">
        <v>9.5</v>
      </c>
      <c r="O317" s="341">
        <v>1</v>
      </c>
      <c r="P317" s="341" t="s">
        <v>25</v>
      </c>
      <c r="Q317" s="341">
        <v>0</v>
      </c>
      <c r="R317" s="342" t="s">
        <v>25</v>
      </c>
      <c r="S317" s="342" t="s">
        <v>25</v>
      </c>
    </row>
    <row r="318" spans="1:19" ht="15" customHeight="1" x14ac:dyDescent="0.3">
      <c r="A318" s="335" t="s">
        <v>613</v>
      </c>
      <c r="B318" s="335" t="s">
        <v>20</v>
      </c>
      <c r="C318" s="335"/>
      <c r="D318" s="335" t="s">
        <v>582</v>
      </c>
      <c r="E318" s="336" t="s">
        <v>583</v>
      </c>
      <c r="F318" s="336"/>
      <c r="G318" s="337">
        <v>1</v>
      </c>
      <c r="H318" s="338">
        <v>0</v>
      </c>
      <c r="I318" s="339">
        <v>2365.2381485799501</v>
      </c>
      <c r="J318" s="340">
        <v>2365.2381485799501</v>
      </c>
      <c r="K318" s="335" t="s">
        <v>614</v>
      </c>
      <c r="L318" s="335">
        <v>2</v>
      </c>
      <c r="M318" s="335" t="s">
        <v>616</v>
      </c>
      <c r="N318" s="339">
        <v>9.5</v>
      </c>
      <c r="O318" s="341">
        <v>1</v>
      </c>
      <c r="P318" s="341" t="s">
        <v>25</v>
      </c>
      <c r="Q318" s="341">
        <v>0</v>
      </c>
      <c r="R318" s="342" t="s">
        <v>25</v>
      </c>
      <c r="S318" s="342" t="s">
        <v>25</v>
      </c>
    </row>
    <row r="319" spans="1:19" ht="15" customHeight="1" x14ac:dyDescent="0.3">
      <c r="A319" s="335" t="s">
        <v>613</v>
      </c>
      <c r="B319" s="335" t="s">
        <v>26</v>
      </c>
      <c r="C319" s="335" t="s">
        <v>27</v>
      </c>
      <c r="D319" s="335" t="s">
        <v>617</v>
      </c>
      <c r="E319" s="336" t="s">
        <v>618</v>
      </c>
      <c r="F319" s="336" t="s">
        <v>35</v>
      </c>
      <c r="G319" s="337">
        <v>0.507692307692308</v>
      </c>
      <c r="H319" s="338">
        <v>0.1</v>
      </c>
      <c r="I319" s="339">
        <v>2932.93</v>
      </c>
      <c r="J319" s="340">
        <v>1637.9286</v>
      </c>
      <c r="K319" s="335" t="s">
        <v>619</v>
      </c>
      <c r="L319" s="335">
        <v>1</v>
      </c>
      <c r="M319" s="335" t="s">
        <v>620</v>
      </c>
      <c r="N319" s="339">
        <v>9.5</v>
      </c>
      <c r="O319" s="341">
        <v>0.507692307692308</v>
      </c>
      <c r="P319" s="341" t="s">
        <v>25</v>
      </c>
      <c r="Q319" s="341">
        <v>0</v>
      </c>
      <c r="R319" s="342" t="s">
        <v>25</v>
      </c>
      <c r="S319" s="342" t="s">
        <v>25</v>
      </c>
    </row>
    <row r="320" spans="1:19" ht="15" customHeight="1" x14ac:dyDescent="0.3">
      <c r="A320" s="335" t="s">
        <v>613</v>
      </c>
      <c r="B320" s="335" t="s">
        <v>26</v>
      </c>
      <c r="C320" s="335" t="s">
        <v>27</v>
      </c>
      <c r="D320" s="335" t="s">
        <v>621</v>
      </c>
      <c r="E320" s="336" t="s">
        <v>622</v>
      </c>
      <c r="F320" s="336" t="s">
        <v>35</v>
      </c>
      <c r="G320" s="337">
        <v>1.2307692307692299</v>
      </c>
      <c r="H320" s="338">
        <v>0.1</v>
      </c>
      <c r="I320" s="339">
        <v>3295.47</v>
      </c>
      <c r="J320" s="340">
        <v>4461.5593846153797</v>
      </c>
      <c r="K320" s="335" t="s">
        <v>619</v>
      </c>
      <c r="L320" s="335">
        <v>2</v>
      </c>
      <c r="M320" s="335" t="s">
        <v>623</v>
      </c>
      <c r="N320" s="339">
        <v>9.5</v>
      </c>
      <c r="O320" s="341">
        <v>1.2307692307692299</v>
      </c>
      <c r="P320" s="341" t="s">
        <v>25</v>
      </c>
      <c r="Q320" s="341">
        <v>0</v>
      </c>
      <c r="R320" s="342" t="s">
        <v>25</v>
      </c>
      <c r="S320" s="342" t="s">
        <v>25</v>
      </c>
    </row>
    <row r="321" spans="1:19" ht="15" customHeight="1" x14ac:dyDescent="0.3">
      <c r="A321" s="335" t="s">
        <v>613</v>
      </c>
      <c r="B321" s="335" t="s">
        <v>26</v>
      </c>
      <c r="C321" s="335" t="s">
        <v>27</v>
      </c>
      <c r="D321" s="335" t="s">
        <v>592</v>
      </c>
      <c r="E321" s="336" t="s">
        <v>593</v>
      </c>
      <c r="F321" s="336" t="s">
        <v>35</v>
      </c>
      <c r="G321" s="337">
        <v>2.8125000000000001E-2</v>
      </c>
      <c r="H321" s="338">
        <v>0.05</v>
      </c>
      <c r="I321" s="339">
        <v>26872.02</v>
      </c>
      <c r="J321" s="340">
        <v>793.564340625</v>
      </c>
      <c r="K321" s="335" t="s">
        <v>619</v>
      </c>
      <c r="L321" s="335">
        <v>3</v>
      </c>
      <c r="M321" s="335" t="s">
        <v>624</v>
      </c>
      <c r="N321" s="339">
        <v>9.5</v>
      </c>
      <c r="O321" s="341">
        <v>2.8125000000000001E-2</v>
      </c>
      <c r="P321" s="341" t="s">
        <v>25</v>
      </c>
      <c r="Q321" s="341">
        <v>0</v>
      </c>
      <c r="R321" s="342" t="s">
        <v>25</v>
      </c>
      <c r="S321" s="342" t="s">
        <v>25</v>
      </c>
    </row>
    <row r="322" spans="1:19" ht="15" customHeight="1" x14ac:dyDescent="0.3">
      <c r="A322" s="335" t="s">
        <v>613</v>
      </c>
      <c r="B322" s="335" t="s">
        <v>26</v>
      </c>
      <c r="C322" s="335" t="s">
        <v>27</v>
      </c>
      <c r="D322" s="335" t="s">
        <v>595</v>
      </c>
      <c r="E322" s="336" t="s">
        <v>596</v>
      </c>
      <c r="F322" s="336" t="s">
        <v>35</v>
      </c>
      <c r="G322" s="337">
        <v>16</v>
      </c>
      <c r="H322" s="338">
        <v>0.05</v>
      </c>
      <c r="I322" s="339">
        <v>32.707173553719002</v>
      </c>
      <c r="J322" s="340">
        <v>549.48051570247901</v>
      </c>
      <c r="K322" s="335" t="s">
        <v>619</v>
      </c>
      <c r="L322" s="335">
        <v>4</v>
      </c>
      <c r="M322" s="335" t="s">
        <v>625</v>
      </c>
      <c r="N322" s="339">
        <v>9.5</v>
      </c>
      <c r="O322" s="341">
        <v>16</v>
      </c>
      <c r="P322" s="341" t="s">
        <v>25</v>
      </c>
      <c r="Q322" s="341">
        <v>0</v>
      </c>
      <c r="R322" s="342" t="s">
        <v>25</v>
      </c>
      <c r="S322" s="342" t="s">
        <v>25</v>
      </c>
    </row>
    <row r="323" spans="1:19" ht="15" customHeight="1" x14ac:dyDescent="0.3">
      <c r="A323" s="335" t="s">
        <v>613</v>
      </c>
      <c r="B323" s="335" t="s">
        <v>26</v>
      </c>
      <c r="C323" s="335" t="s">
        <v>27</v>
      </c>
      <c r="D323" s="335" t="s">
        <v>598</v>
      </c>
      <c r="E323" s="336" t="s">
        <v>599</v>
      </c>
      <c r="F323" s="336" t="s">
        <v>35</v>
      </c>
      <c r="G323" s="337">
        <v>18</v>
      </c>
      <c r="H323" s="338">
        <v>0.05</v>
      </c>
      <c r="I323" s="339">
        <v>17.1963177226814</v>
      </c>
      <c r="J323" s="340">
        <v>325.01040495867898</v>
      </c>
      <c r="K323" s="335" t="s">
        <v>619</v>
      </c>
      <c r="L323" s="335">
        <v>5</v>
      </c>
      <c r="M323" s="335" t="s">
        <v>626</v>
      </c>
      <c r="N323" s="339">
        <v>9.5</v>
      </c>
      <c r="O323" s="341">
        <v>18</v>
      </c>
      <c r="P323" s="341" t="s">
        <v>25</v>
      </c>
      <c r="Q323" s="341">
        <v>0</v>
      </c>
      <c r="R323" s="342" t="s">
        <v>25</v>
      </c>
      <c r="S323" s="342" t="s">
        <v>25</v>
      </c>
    </row>
    <row r="324" spans="1:19" ht="15" customHeight="1" x14ac:dyDescent="0.3">
      <c r="A324" s="335" t="s">
        <v>613</v>
      </c>
      <c r="B324" s="335" t="s">
        <v>26</v>
      </c>
      <c r="C324" s="335" t="s">
        <v>27</v>
      </c>
      <c r="D324" s="335" t="s">
        <v>601</v>
      </c>
      <c r="E324" s="336" t="s">
        <v>602</v>
      </c>
      <c r="F324" s="336" t="s">
        <v>35</v>
      </c>
      <c r="G324" s="337">
        <v>6</v>
      </c>
      <c r="H324" s="338">
        <v>0.05</v>
      </c>
      <c r="I324" s="339">
        <v>65.919008264462803</v>
      </c>
      <c r="J324" s="340">
        <v>415.28975206611602</v>
      </c>
      <c r="K324" s="335" t="s">
        <v>619</v>
      </c>
      <c r="L324" s="335">
        <v>6</v>
      </c>
      <c r="M324" s="335" t="s">
        <v>627</v>
      </c>
      <c r="N324" s="339">
        <v>9.5</v>
      </c>
      <c r="O324" s="341">
        <v>6</v>
      </c>
      <c r="P324" s="341" t="s">
        <v>25</v>
      </c>
      <c r="Q324" s="341">
        <v>0</v>
      </c>
      <c r="R324" s="342" t="s">
        <v>25</v>
      </c>
      <c r="S324" s="342" t="s">
        <v>25</v>
      </c>
    </row>
    <row r="325" spans="1:19" ht="15" customHeight="1" x14ac:dyDescent="0.3">
      <c r="A325" s="335" t="s">
        <v>613</v>
      </c>
      <c r="B325" s="335" t="s">
        <v>26</v>
      </c>
      <c r="C325" s="335" t="s">
        <v>27</v>
      </c>
      <c r="D325" s="335" t="s">
        <v>604</v>
      </c>
      <c r="E325" s="336" t="s">
        <v>605</v>
      </c>
      <c r="F325" s="336" t="s">
        <v>35</v>
      </c>
      <c r="G325" s="337">
        <v>1.8333333333333299E-2</v>
      </c>
      <c r="H325" s="338">
        <v>0.05</v>
      </c>
      <c r="I325" s="339">
        <v>4042.71</v>
      </c>
      <c r="J325" s="340">
        <v>77.822167499999907</v>
      </c>
      <c r="K325" s="335" t="s">
        <v>619</v>
      </c>
      <c r="L325" s="335">
        <v>7</v>
      </c>
      <c r="M325" s="335" t="s">
        <v>628</v>
      </c>
      <c r="N325" s="339">
        <v>9.5</v>
      </c>
      <c r="O325" s="341">
        <v>1.8333333333333299E-2</v>
      </c>
      <c r="P325" s="341" t="s">
        <v>25</v>
      </c>
      <c r="Q325" s="341">
        <v>0</v>
      </c>
      <c r="R325" s="342" t="s">
        <v>25</v>
      </c>
      <c r="S325" s="342" t="s">
        <v>25</v>
      </c>
    </row>
    <row r="326" spans="1:19" ht="15" customHeight="1" x14ac:dyDescent="0.3">
      <c r="A326" s="335" t="s">
        <v>613</v>
      </c>
      <c r="B326" s="335" t="s">
        <v>26</v>
      </c>
      <c r="C326" s="335" t="s">
        <v>27</v>
      </c>
      <c r="D326" s="335" t="s">
        <v>629</v>
      </c>
      <c r="E326" s="336" t="s">
        <v>630</v>
      </c>
      <c r="F326" s="336" t="s">
        <v>35</v>
      </c>
      <c r="G326" s="337">
        <v>0.36</v>
      </c>
      <c r="H326" s="338">
        <v>0.1</v>
      </c>
      <c r="I326" s="339">
        <v>16160.1</v>
      </c>
      <c r="J326" s="340">
        <v>6399.3995999999997</v>
      </c>
      <c r="K326" s="335" t="s">
        <v>619</v>
      </c>
      <c r="L326" s="335">
        <v>8</v>
      </c>
      <c r="M326" s="335" t="s">
        <v>631</v>
      </c>
      <c r="N326" s="339">
        <v>9.5</v>
      </c>
      <c r="O326" s="341">
        <v>0.36</v>
      </c>
      <c r="P326" s="341" t="s">
        <v>25</v>
      </c>
      <c r="Q326" s="341">
        <v>0</v>
      </c>
      <c r="R326" s="342" t="s">
        <v>25</v>
      </c>
      <c r="S326" s="342" t="s">
        <v>25</v>
      </c>
    </row>
    <row r="327" spans="1:19" ht="15" customHeight="1" x14ac:dyDescent="0.3">
      <c r="A327" s="335" t="s">
        <v>613</v>
      </c>
      <c r="B327" s="335" t="s">
        <v>56</v>
      </c>
      <c r="C327" s="335" t="s">
        <v>57</v>
      </c>
      <c r="D327" s="343" t="s">
        <v>413</v>
      </c>
      <c r="E327" s="336" t="s">
        <v>414</v>
      </c>
      <c r="F327" s="336" t="s">
        <v>60</v>
      </c>
      <c r="G327" s="337">
        <v>1</v>
      </c>
      <c r="H327" s="338">
        <v>0</v>
      </c>
      <c r="I327" s="339">
        <v>65493.071636572</v>
      </c>
      <c r="J327" s="340">
        <v>65493.071636572</v>
      </c>
      <c r="K327" s="335" t="s">
        <v>632</v>
      </c>
      <c r="L327" s="335">
        <v>1</v>
      </c>
      <c r="M327" s="335" t="s">
        <v>633</v>
      </c>
      <c r="N327" s="339">
        <v>9.5</v>
      </c>
      <c r="O327" s="341">
        <v>0.105263157894737</v>
      </c>
      <c r="P327" s="341" t="s">
        <v>25</v>
      </c>
      <c r="Q327" s="341">
        <v>0</v>
      </c>
      <c r="R327" s="342" t="s">
        <v>25</v>
      </c>
      <c r="S327" s="342" t="s">
        <v>25</v>
      </c>
    </row>
    <row r="328" spans="1:19" ht="15" customHeight="1" x14ac:dyDescent="0.3">
      <c r="A328" s="335" t="s">
        <v>613</v>
      </c>
      <c r="B328" s="335" t="s">
        <v>56</v>
      </c>
      <c r="C328" s="335" t="s">
        <v>57</v>
      </c>
      <c r="D328" s="343" t="s">
        <v>63</v>
      </c>
      <c r="E328" s="336" t="s">
        <v>64</v>
      </c>
      <c r="F328" s="336" t="s">
        <v>60</v>
      </c>
      <c r="G328" s="337">
        <v>1</v>
      </c>
      <c r="H328" s="338">
        <v>0</v>
      </c>
      <c r="I328" s="339">
        <v>85927.097156571996</v>
      </c>
      <c r="J328" s="340">
        <v>85927.097156571996</v>
      </c>
      <c r="K328" s="335" t="s">
        <v>632</v>
      </c>
      <c r="L328" s="335">
        <v>2</v>
      </c>
      <c r="M328" s="335" t="s">
        <v>634</v>
      </c>
      <c r="N328" s="339">
        <v>9.5</v>
      </c>
      <c r="O328" s="341">
        <v>0.105263157894737</v>
      </c>
      <c r="P328" s="341" t="s">
        <v>25</v>
      </c>
      <c r="Q328" s="341">
        <v>0</v>
      </c>
      <c r="R328" s="342" t="s">
        <v>25</v>
      </c>
      <c r="S328" s="342" t="s">
        <v>25</v>
      </c>
    </row>
    <row r="329" spans="1:19" ht="15" customHeight="1" x14ac:dyDescent="0.3">
      <c r="A329" s="335" t="s">
        <v>635</v>
      </c>
      <c r="B329" s="335" t="s">
        <v>20</v>
      </c>
      <c r="C329" s="335"/>
      <c r="D329" s="335" t="s">
        <v>582</v>
      </c>
      <c r="E329" s="336" t="s">
        <v>583</v>
      </c>
      <c r="F329" s="336"/>
      <c r="G329" s="337">
        <v>1</v>
      </c>
      <c r="H329" s="338">
        <v>0</v>
      </c>
      <c r="I329" s="339">
        <v>2365.2381485799501</v>
      </c>
      <c r="J329" s="340">
        <v>2365.2381485799501</v>
      </c>
      <c r="K329" s="335" t="s">
        <v>636</v>
      </c>
      <c r="L329" s="335">
        <v>1</v>
      </c>
      <c r="M329" s="335" t="s">
        <v>637</v>
      </c>
      <c r="N329" s="339">
        <v>9.5</v>
      </c>
      <c r="O329" s="341">
        <v>1</v>
      </c>
      <c r="P329" s="341" t="s">
        <v>25</v>
      </c>
      <c r="Q329" s="341">
        <v>0</v>
      </c>
      <c r="R329" s="342" t="s">
        <v>25</v>
      </c>
      <c r="S329" s="342" t="s">
        <v>25</v>
      </c>
    </row>
    <row r="330" spans="1:19" ht="15" customHeight="1" x14ac:dyDescent="0.3">
      <c r="A330" s="335" t="s">
        <v>635</v>
      </c>
      <c r="B330" s="335" t="s">
        <v>20</v>
      </c>
      <c r="C330" s="335"/>
      <c r="D330" s="335" t="s">
        <v>578</v>
      </c>
      <c r="E330" s="336" t="s">
        <v>579</v>
      </c>
      <c r="F330" s="336"/>
      <c r="G330" s="337">
        <v>1</v>
      </c>
      <c r="H330" s="338">
        <v>0</v>
      </c>
      <c r="I330" s="339">
        <v>140.198092594309</v>
      </c>
      <c r="J330" s="340">
        <v>140.198092594309</v>
      </c>
      <c r="K330" s="335" t="s">
        <v>636</v>
      </c>
      <c r="L330" s="335">
        <v>2</v>
      </c>
      <c r="M330" s="335" t="s">
        <v>638</v>
      </c>
      <c r="N330" s="339">
        <v>9.5</v>
      </c>
      <c r="O330" s="341">
        <v>1</v>
      </c>
      <c r="P330" s="341" t="s">
        <v>25</v>
      </c>
      <c r="Q330" s="341">
        <v>0</v>
      </c>
      <c r="R330" s="342" t="s">
        <v>25</v>
      </c>
      <c r="S330" s="342" t="s">
        <v>25</v>
      </c>
    </row>
    <row r="331" spans="1:19" ht="15" customHeight="1" x14ac:dyDescent="0.3">
      <c r="A331" s="335" t="s">
        <v>635</v>
      </c>
      <c r="B331" s="335" t="s">
        <v>26</v>
      </c>
      <c r="C331" s="335" t="s">
        <v>27</v>
      </c>
      <c r="D331" s="335" t="s">
        <v>617</v>
      </c>
      <c r="E331" s="336" t="s">
        <v>618</v>
      </c>
      <c r="F331" s="336" t="s">
        <v>35</v>
      </c>
      <c r="G331" s="337">
        <v>0.50770000000000004</v>
      </c>
      <c r="H331" s="338">
        <v>0.1</v>
      </c>
      <c r="I331" s="339">
        <v>2932.93</v>
      </c>
      <c r="J331" s="340">
        <v>1637.9534171</v>
      </c>
      <c r="K331" s="335" t="s">
        <v>639</v>
      </c>
      <c r="L331" s="335">
        <v>1</v>
      </c>
      <c r="M331" s="335" t="s">
        <v>640</v>
      </c>
      <c r="N331" s="339">
        <v>9.5</v>
      </c>
      <c r="O331" s="341">
        <v>0.50770000000000004</v>
      </c>
      <c r="P331" s="341" t="s">
        <v>25</v>
      </c>
      <c r="Q331" s="341">
        <v>0</v>
      </c>
      <c r="R331" s="342" t="s">
        <v>25</v>
      </c>
      <c r="S331" s="342" t="s">
        <v>25</v>
      </c>
    </row>
    <row r="332" spans="1:19" ht="15" customHeight="1" x14ac:dyDescent="0.3">
      <c r="A332" s="335" t="s">
        <v>635</v>
      </c>
      <c r="B332" s="335" t="s">
        <v>26</v>
      </c>
      <c r="C332" s="335" t="s">
        <v>27</v>
      </c>
      <c r="D332" s="335" t="s">
        <v>621</v>
      </c>
      <c r="E332" s="336" t="s">
        <v>622</v>
      </c>
      <c r="F332" s="336" t="s">
        <v>35</v>
      </c>
      <c r="G332" s="337">
        <v>1.2307692307692299</v>
      </c>
      <c r="H332" s="338">
        <v>0.1</v>
      </c>
      <c r="I332" s="339">
        <v>3295.47</v>
      </c>
      <c r="J332" s="340">
        <v>4461.5593846153797</v>
      </c>
      <c r="K332" s="335" t="s">
        <v>639</v>
      </c>
      <c r="L332" s="335">
        <v>2</v>
      </c>
      <c r="M332" s="335" t="s">
        <v>641</v>
      </c>
      <c r="N332" s="339">
        <v>9.5</v>
      </c>
      <c r="O332" s="341">
        <v>1.2307692307692299</v>
      </c>
      <c r="P332" s="341" t="s">
        <v>25</v>
      </c>
      <c r="Q332" s="341">
        <v>0</v>
      </c>
      <c r="R332" s="342" t="s">
        <v>25</v>
      </c>
      <c r="S332" s="342" t="s">
        <v>25</v>
      </c>
    </row>
    <row r="333" spans="1:19" ht="15" customHeight="1" x14ac:dyDescent="0.3">
      <c r="A333" s="335" t="s">
        <v>635</v>
      </c>
      <c r="B333" s="335" t="s">
        <v>26</v>
      </c>
      <c r="C333" s="335" t="s">
        <v>27</v>
      </c>
      <c r="D333" s="335" t="s">
        <v>592</v>
      </c>
      <c r="E333" s="336" t="s">
        <v>593</v>
      </c>
      <c r="F333" s="336" t="s">
        <v>35</v>
      </c>
      <c r="G333" s="337">
        <v>2.8125000000000001E-2</v>
      </c>
      <c r="H333" s="338">
        <v>0.05</v>
      </c>
      <c r="I333" s="339">
        <v>26872.02</v>
      </c>
      <c r="J333" s="340">
        <v>793.564340625</v>
      </c>
      <c r="K333" s="335" t="s">
        <v>639</v>
      </c>
      <c r="L333" s="335">
        <v>3</v>
      </c>
      <c r="M333" s="335" t="s">
        <v>642</v>
      </c>
      <c r="N333" s="339">
        <v>9.5</v>
      </c>
      <c r="O333" s="341">
        <v>2.8125000000000001E-2</v>
      </c>
      <c r="P333" s="341" t="s">
        <v>25</v>
      </c>
      <c r="Q333" s="341">
        <v>0</v>
      </c>
      <c r="R333" s="342" t="s">
        <v>25</v>
      </c>
      <c r="S333" s="342" t="s">
        <v>25</v>
      </c>
    </row>
    <row r="334" spans="1:19" ht="15" customHeight="1" x14ac:dyDescent="0.3">
      <c r="A334" s="335" t="s">
        <v>635</v>
      </c>
      <c r="B334" s="335" t="s">
        <v>26</v>
      </c>
      <c r="C334" s="335" t="s">
        <v>27</v>
      </c>
      <c r="D334" s="335" t="s">
        <v>595</v>
      </c>
      <c r="E334" s="336" t="s">
        <v>596</v>
      </c>
      <c r="F334" s="336" t="s">
        <v>35</v>
      </c>
      <c r="G334" s="337">
        <v>16</v>
      </c>
      <c r="H334" s="338">
        <v>0.05</v>
      </c>
      <c r="I334" s="339">
        <v>32.707173553719002</v>
      </c>
      <c r="J334" s="340">
        <v>549.48051570247901</v>
      </c>
      <c r="K334" s="335" t="s">
        <v>639</v>
      </c>
      <c r="L334" s="335">
        <v>4</v>
      </c>
      <c r="M334" s="335" t="s">
        <v>643</v>
      </c>
      <c r="N334" s="339">
        <v>9.5</v>
      </c>
      <c r="O334" s="341">
        <v>16</v>
      </c>
      <c r="P334" s="341" t="s">
        <v>25</v>
      </c>
      <c r="Q334" s="341">
        <v>0</v>
      </c>
      <c r="R334" s="342" t="s">
        <v>25</v>
      </c>
      <c r="S334" s="342" t="s">
        <v>25</v>
      </c>
    </row>
    <row r="335" spans="1:19" ht="15" customHeight="1" x14ac:dyDescent="0.3">
      <c r="A335" s="335" t="s">
        <v>635</v>
      </c>
      <c r="B335" s="335" t="s">
        <v>26</v>
      </c>
      <c r="C335" s="335" t="s">
        <v>27</v>
      </c>
      <c r="D335" s="335" t="s">
        <v>598</v>
      </c>
      <c r="E335" s="336" t="s">
        <v>599</v>
      </c>
      <c r="F335" s="336" t="s">
        <v>35</v>
      </c>
      <c r="G335" s="337">
        <v>18</v>
      </c>
      <c r="H335" s="338">
        <v>0.05</v>
      </c>
      <c r="I335" s="339">
        <v>17.1963177226814</v>
      </c>
      <c r="J335" s="340">
        <v>325.01040495867898</v>
      </c>
      <c r="K335" s="335" t="s">
        <v>639</v>
      </c>
      <c r="L335" s="335">
        <v>5</v>
      </c>
      <c r="M335" s="335" t="s">
        <v>644</v>
      </c>
      <c r="N335" s="339">
        <v>9.5</v>
      </c>
      <c r="O335" s="341">
        <v>18</v>
      </c>
      <c r="P335" s="341" t="s">
        <v>25</v>
      </c>
      <c r="Q335" s="341">
        <v>0</v>
      </c>
      <c r="R335" s="342" t="s">
        <v>25</v>
      </c>
      <c r="S335" s="342" t="s">
        <v>25</v>
      </c>
    </row>
    <row r="336" spans="1:19" ht="15" customHeight="1" x14ac:dyDescent="0.3">
      <c r="A336" s="335" t="s">
        <v>635</v>
      </c>
      <c r="B336" s="335" t="s">
        <v>26</v>
      </c>
      <c r="C336" s="335" t="s">
        <v>27</v>
      </c>
      <c r="D336" s="335" t="s">
        <v>601</v>
      </c>
      <c r="E336" s="336" t="s">
        <v>602</v>
      </c>
      <c r="F336" s="336" t="s">
        <v>35</v>
      </c>
      <c r="G336" s="337">
        <v>6</v>
      </c>
      <c r="H336" s="338">
        <v>0.05</v>
      </c>
      <c r="I336" s="339">
        <v>65.919008264462803</v>
      </c>
      <c r="J336" s="340">
        <v>415.28975206611602</v>
      </c>
      <c r="K336" s="335" t="s">
        <v>639</v>
      </c>
      <c r="L336" s="335">
        <v>6</v>
      </c>
      <c r="M336" s="335" t="s">
        <v>645</v>
      </c>
      <c r="N336" s="339">
        <v>9.5</v>
      </c>
      <c r="O336" s="341">
        <v>6</v>
      </c>
      <c r="P336" s="341" t="s">
        <v>25</v>
      </c>
      <c r="Q336" s="341">
        <v>0</v>
      </c>
      <c r="R336" s="342" t="s">
        <v>25</v>
      </c>
      <c r="S336" s="342" t="s">
        <v>25</v>
      </c>
    </row>
    <row r="337" spans="1:19" ht="15" customHeight="1" x14ac:dyDescent="0.3">
      <c r="A337" s="335" t="s">
        <v>635</v>
      </c>
      <c r="B337" s="335" t="s">
        <v>26</v>
      </c>
      <c r="C337" s="335" t="s">
        <v>27</v>
      </c>
      <c r="D337" s="335" t="s">
        <v>604</v>
      </c>
      <c r="E337" s="336" t="s">
        <v>605</v>
      </c>
      <c r="F337" s="336" t="s">
        <v>35</v>
      </c>
      <c r="G337" s="337">
        <v>1.8333333333333299E-2</v>
      </c>
      <c r="H337" s="338">
        <v>0.05</v>
      </c>
      <c r="I337" s="339">
        <v>4042.71</v>
      </c>
      <c r="J337" s="340">
        <v>77.822167499999907</v>
      </c>
      <c r="K337" s="335" t="s">
        <v>639</v>
      </c>
      <c r="L337" s="335">
        <v>7</v>
      </c>
      <c r="M337" s="335" t="s">
        <v>646</v>
      </c>
      <c r="N337" s="339">
        <v>9.5</v>
      </c>
      <c r="O337" s="341">
        <v>1.8333333333333299E-2</v>
      </c>
      <c r="P337" s="341" t="s">
        <v>25</v>
      </c>
      <c r="Q337" s="341">
        <v>0</v>
      </c>
      <c r="R337" s="342" t="s">
        <v>25</v>
      </c>
      <c r="S337" s="342" t="s">
        <v>25</v>
      </c>
    </row>
    <row r="338" spans="1:19" ht="15" customHeight="1" x14ac:dyDescent="0.3">
      <c r="A338" s="335" t="s">
        <v>635</v>
      </c>
      <c r="B338" s="335" t="s">
        <v>26</v>
      </c>
      <c r="C338" s="335" t="s">
        <v>27</v>
      </c>
      <c r="D338" s="335" t="s">
        <v>647</v>
      </c>
      <c r="E338" s="336" t="s">
        <v>648</v>
      </c>
      <c r="F338" s="336" t="s">
        <v>35</v>
      </c>
      <c r="G338" s="337">
        <v>0.36</v>
      </c>
      <c r="H338" s="338">
        <v>0.1</v>
      </c>
      <c r="I338" s="339">
        <v>14217.87</v>
      </c>
      <c r="J338" s="340">
        <v>5630.2765200000003</v>
      </c>
      <c r="K338" s="335" t="s">
        <v>639</v>
      </c>
      <c r="L338" s="335">
        <v>8</v>
      </c>
      <c r="M338" s="335" t="s">
        <v>649</v>
      </c>
      <c r="N338" s="339">
        <v>9.5</v>
      </c>
      <c r="O338" s="341">
        <v>0.36</v>
      </c>
      <c r="P338" s="341" t="s">
        <v>25</v>
      </c>
      <c r="Q338" s="341">
        <v>0</v>
      </c>
      <c r="R338" s="342" t="s">
        <v>25</v>
      </c>
      <c r="S338" s="342" t="s">
        <v>25</v>
      </c>
    </row>
    <row r="339" spans="1:19" ht="15" customHeight="1" x14ac:dyDescent="0.3">
      <c r="A339" s="335" t="s">
        <v>635</v>
      </c>
      <c r="B339" s="335" t="s">
        <v>56</v>
      </c>
      <c r="C339" s="335" t="s">
        <v>57</v>
      </c>
      <c r="D339" s="343" t="s">
        <v>413</v>
      </c>
      <c r="E339" s="336" t="s">
        <v>414</v>
      </c>
      <c r="F339" s="336" t="s">
        <v>60</v>
      </c>
      <c r="G339" s="337">
        <v>1</v>
      </c>
      <c r="H339" s="338">
        <v>0</v>
      </c>
      <c r="I339" s="339">
        <v>65493.071636572</v>
      </c>
      <c r="J339" s="340">
        <v>65493.071636572</v>
      </c>
      <c r="K339" s="335" t="s">
        <v>650</v>
      </c>
      <c r="L339" s="335">
        <v>1</v>
      </c>
      <c r="M339" s="335" t="s">
        <v>651</v>
      </c>
      <c r="N339" s="339">
        <v>9.5</v>
      </c>
      <c r="O339" s="341">
        <v>0.105263157894737</v>
      </c>
      <c r="P339" s="341" t="s">
        <v>25</v>
      </c>
      <c r="Q339" s="341">
        <v>0</v>
      </c>
      <c r="R339" s="342" t="s">
        <v>25</v>
      </c>
      <c r="S339" s="342" t="s">
        <v>25</v>
      </c>
    </row>
    <row r="340" spans="1:19" ht="15" customHeight="1" x14ac:dyDescent="0.3">
      <c r="A340" s="335" t="s">
        <v>635</v>
      </c>
      <c r="B340" s="335" t="s">
        <v>56</v>
      </c>
      <c r="C340" s="335" t="s">
        <v>57</v>
      </c>
      <c r="D340" s="343" t="s">
        <v>63</v>
      </c>
      <c r="E340" s="336" t="s">
        <v>64</v>
      </c>
      <c r="F340" s="336" t="s">
        <v>60</v>
      </c>
      <c r="G340" s="337">
        <v>1</v>
      </c>
      <c r="H340" s="338">
        <v>0</v>
      </c>
      <c r="I340" s="339">
        <v>85927.097156571996</v>
      </c>
      <c r="J340" s="340">
        <v>85927.097156571996</v>
      </c>
      <c r="K340" s="335" t="s">
        <v>650</v>
      </c>
      <c r="L340" s="335">
        <v>2</v>
      </c>
      <c r="M340" s="335" t="s">
        <v>652</v>
      </c>
      <c r="N340" s="339">
        <v>9.5</v>
      </c>
      <c r="O340" s="341">
        <v>0.105263157894737</v>
      </c>
      <c r="P340" s="341" t="s">
        <v>25</v>
      </c>
      <c r="Q340" s="341">
        <v>0</v>
      </c>
      <c r="R340" s="342" t="s">
        <v>25</v>
      </c>
      <c r="S340" s="342" t="s">
        <v>25</v>
      </c>
    </row>
    <row r="341" spans="1:19" ht="15" customHeight="1" x14ac:dyDescent="0.3">
      <c r="A341" s="335" t="s">
        <v>653</v>
      </c>
      <c r="B341" s="335" t="s">
        <v>20</v>
      </c>
      <c r="C341" s="335"/>
      <c r="D341" s="335" t="s">
        <v>578</v>
      </c>
      <c r="E341" s="336" t="s">
        <v>579</v>
      </c>
      <c r="F341" s="336"/>
      <c r="G341" s="337">
        <v>1</v>
      </c>
      <c r="H341" s="338">
        <v>0</v>
      </c>
      <c r="I341" s="339">
        <v>140.198092594309</v>
      </c>
      <c r="J341" s="340">
        <v>140.198092594309</v>
      </c>
      <c r="K341" s="335" t="s">
        <v>654</v>
      </c>
      <c r="L341" s="335">
        <v>1</v>
      </c>
      <c r="M341" s="335" t="s">
        <v>655</v>
      </c>
      <c r="N341" s="339">
        <v>10</v>
      </c>
      <c r="O341" s="341">
        <v>1</v>
      </c>
      <c r="P341" s="341" t="s">
        <v>25</v>
      </c>
      <c r="Q341" s="341">
        <v>0</v>
      </c>
      <c r="R341" s="342" t="s">
        <v>25</v>
      </c>
      <c r="S341" s="342" t="s">
        <v>25</v>
      </c>
    </row>
    <row r="342" spans="1:19" ht="15" customHeight="1" x14ac:dyDescent="0.3">
      <c r="A342" s="335" t="s">
        <v>653</v>
      </c>
      <c r="B342" s="335" t="s">
        <v>20</v>
      </c>
      <c r="C342" s="335"/>
      <c r="D342" s="335" t="s">
        <v>582</v>
      </c>
      <c r="E342" s="336" t="s">
        <v>583</v>
      </c>
      <c r="F342" s="336"/>
      <c r="G342" s="337">
        <v>1</v>
      </c>
      <c r="H342" s="338">
        <v>0</v>
      </c>
      <c r="I342" s="339">
        <v>2365.2381485799501</v>
      </c>
      <c r="J342" s="340">
        <v>2365.2381485799501</v>
      </c>
      <c r="K342" s="335" t="s">
        <v>654</v>
      </c>
      <c r="L342" s="335">
        <v>2</v>
      </c>
      <c r="M342" s="335" t="s">
        <v>656</v>
      </c>
      <c r="N342" s="339">
        <v>10</v>
      </c>
      <c r="O342" s="341">
        <v>1</v>
      </c>
      <c r="P342" s="341" t="s">
        <v>25</v>
      </c>
      <c r="Q342" s="341">
        <v>0</v>
      </c>
      <c r="R342" s="342" t="s">
        <v>25</v>
      </c>
      <c r="S342" s="342" t="s">
        <v>25</v>
      </c>
    </row>
    <row r="343" spans="1:19" ht="15" customHeight="1" x14ac:dyDescent="0.3">
      <c r="A343" s="335" t="s">
        <v>653</v>
      </c>
      <c r="B343" s="335" t="s">
        <v>26</v>
      </c>
      <c r="C343" s="335" t="s">
        <v>27</v>
      </c>
      <c r="D343" s="335" t="s">
        <v>657</v>
      </c>
      <c r="E343" s="336" t="s">
        <v>658</v>
      </c>
      <c r="F343" s="336" t="s">
        <v>35</v>
      </c>
      <c r="G343" s="337">
        <v>0.06</v>
      </c>
      <c r="H343" s="338">
        <v>0.05</v>
      </c>
      <c r="I343" s="339">
        <v>2474.34710743802</v>
      </c>
      <c r="J343" s="340">
        <v>155.883867768595</v>
      </c>
      <c r="K343" s="335" t="s">
        <v>659</v>
      </c>
      <c r="L343" s="335">
        <v>1</v>
      </c>
      <c r="M343" s="335" t="s">
        <v>660</v>
      </c>
      <c r="N343" s="339">
        <v>10</v>
      </c>
      <c r="O343" s="341">
        <v>0.06</v>
      </c>
      <c r="P343" s="341" t="s">
        <v>25</v>
      </c>
      <c r="Q343" s="341">
        <v>0</v>
      </c>
      <c r="R343" s="342" t="s">
        <v>25</v>
      </c>
      <c r="S343" s="342" t="s">
        <v>25</v>
      </c>
    </row>
    <row r="344" spans="1:19" ht="15" customHeight="1" x14ac:dyDescent="0.3">
      <c r="A344" s="335" t="s">
        <v>653</v>
      </c>
      <c r="B344" s="335" t="s">
        <v>26</v>
      </c>
      <c r="C344" s="335" t="s">
        <v>27</v>
      </c>
      <c r="D344" s="335" t="s">
        <v>661</v>
      </c>
      <c r="E344" s="336" t="s">
        <v>662</v>
      </c>
      <c r="F344" s="336" t="s">
        <v>35</v>
      </c>
      <c r="G344" s="337">
        <v>0.49</v>
      </c>
      <c r="H344" s="338">
        <v>0.1</v>
      </c>
      <c r="I344" s="339">
        <v>2470.5619834710801</v>
      </c>
      <c r="J344" s="340">
        <v>1331.6329090909101</v>
      </c>
      <c r="K344" s="335" t="s">
        <v>659</v>
      </c>
      <c r="L344" s="335">
        <v>2</v>
      </c>
      <c r="M344" s="335" t="s">
        <v>663</v>
      </c>
      <c r="N344" s="339">
        <v>10</v>
      </c>
      <c r="O344" s="341">
        <v>0.49</v>
      </c>
      <c r="P344" s="341" t="s">
        <v>25</v>
      </c>
      <c r="Q344" s="341">
        <v>0</v>
      </c>
      <c r="R344" s="342" t="s">
        <v>25</v>
      </c>
      <c r="S344" s="342" t="s">
        <v>25</v>
      </c>
    </row>
    <row r="345" spans="1:19" ht="15" customHeight="1" x14ac:dyDescent="0.3">
      <c r="A345" s="335" t="s">
        <v>653</v>
      </c>
      <c r="B345" s="335" t="s">
        <v>26</v>
      </c>
      <c r="C345" s="335" t="s">
        <v>27</v>
      </c>
      <c r="D345" s="335" t="s">
        <v>601</v>
      </c>
      <c r="E345" s="336" t="s">
        <v>602</v>
      </c>
      <c r="F345" s="336" t="s">
        <v>35</v>
      </c>
      <c r="G345" s="337">
        <v>6</v>
      </c>
      <c r="H345" s="338">
        <v>0.05</v>
      </c>
      <c r="I345" s="339">
        <v>65.919008264462803</v>
      </c>
      <c r="J345" s="340">
        <v>415.28975206611602</v>
      </c>
      <c r="K345" s="335" t="s">
        <v>659</v>
      </c>
      <c r="L345" s="335">
        <v>3</v>
      </c>
      <c r="M345" s="335" t="s">
        <v>664</v>
      </c>
      <c r="N345" s="339">
        <v>10</v>
      </c>
      <c r="O345" s="341">
        <v>6</v>
      </c>
      <c r="P345" s="341" t="s">
        <v>25</v>
      </c>
      <c r="Q345" s="341">
        <v>0</v>
      </c>
      <c r="R345" s="342" t="s">
        <v>25</v>
      </c>
      <c r="S345" s="342" t="s">
        <v>25</v>
      </c>
    </row>
    <row r="346" spans="1:19" ht="15" customHeight="1" x14ac:dyDescent="0.3">
      <c r="A346" s="335" t="s">
        <v>653</v>
      </c>
      <c r="B346" s="335" t="s">
        <v>26</v>
      </c>
      <c r="C346" s="335" t="s">
        <v>27</v>
      </c>
      <c r="D346" s="335" t="s">
        <v>665</v>
      </c>
      <c r="E346" s="336" t="s">
        <v>666</v>
      </c>
      <c r="F346" s="336" t="s">
        <v>35</v>
      </c>
      <c r="G346" s="337">
        <v>0.44</v>
      </c>
      <c r="H346" s="338">
        <v>0.05</v>
      </c>
      <c r="I346" s="339">
        <v>3894.6611570247901</v>
      </c>
      <c r="J346" s="340">
        <v>1799.33345454545</v>
      </c>
      <c r="K346" s="335" t="s">
        <v>659</v>
      </c>
      <c r="L346" s="335">
        <v>4</v>
      </c>
      <c r="M346" s="335" t="s">
        <v>667</v>
      </c>
      <c r="N346" s="339">
        <v>10</v>
      </c>
      <c r="O346" s="341">
        <v>0.44</v>
      </c>
      <c r="P346" s="341" t="s">
        <v>25</v>
      </c>
      <c r="Q346" s="341">
        <v>0</v>
      </c>
      <c r="R346" s="342" t="s">
        <v>25</v>
      </c>
      <c r="S346" s="342" t="s">
        <v>25</v>
      </c>
    </row>
    <row r="347" spans="1:19" ht="15" customHeight="1" x14ac:dyDescent="0.3">
      <c r="A347" s="335" t="s">
        <v>653</v>
      </c>
      <c r="B347" s="335" t="s">
        <v>26</v>
      </c>
      <c r="C347" s="335" t="s">
        <v>27</v>
      </c>
      <c r="D347" s="335" t="s">
        <v>668</v>
      </c>
      <c r="E347" s="336" t="s">
        <v>669</v>
      </c>
      <c r="F347" s="336" t="s">
        <v>35</v>
      </c>
      <c r="G347" s="337">
        <v>2.67</v>
      </c>
      <c r="H347" s="338">
        <v>0.05</v>
      </c>
      <c r="I347" s="339">
        <v>647.24793388429805</v>
      </c>
      <c r="J347" s="340">
        <v>1814.5595826446299</v>
      </c>
      <c r="K347" s="335" t="s">
        <v>659</v>
      </c>
      <c r="L347" s="335">
        <v>5</v>
      </c>
      <c r="M347" s="335" t="s">
        <v>670</v>
      </c>
      <c r="N347" s="339">
        <v>10</v>
      </c>
      <c r="O347" s="341">
        <v>2.67</v>
      </c>
      <c r="P347" s="341" t="s">
        <v>25</v>
      </c>
      <c r="Q347" s="341">
        <v>0</v>
      </c>
      <c r="R347" s="342" t="s">
        <v>25</v>
      </c>
      <c r="S347" s="342" t="s">
        <v>25</v>
      </c>
    </row>
    <row r="348" spans="1:19" ht="15" customHeight="1" x14ac:dyDescent="0.3">
      <c r="A348" s="335" t="s">
        <v>653</v>
      </c>
      <c r="B348" s="335" t="s">
        <v>56</v>
      </c>
      <c r="C348" s="335" t="s">
        <v>57</v>
      </c>
      <c r="D348" s="343" t="s">
        <v>413</v>
      </c>
      <c r="E348" s="336" t="s">
        <v>414</v>
      </c>
      <c r="F348" s="336" t="s">
        <v>60</v>
      </c>
      <c r="G348" s="337">
        <v>1</v>
      </c>
      <c r="H348" s="338">
        <v>0</v>
      </c>
      <c r="I348" s="339">
        <v>65493.071636572</v>
      </c>
      <c r="J348" s="340">
        <v>65493.071636572</v>
      </c>
      <c r="K348" s="335" t="s">
        <v>671</v>
      </c>
      <c r="L348" s="335">
        <v>1</v>
      </c>
      <c r="M348" s="335" t="s">
        <v>672</v>
      </c>
      <c r="N348" s="339">
        <v>10</v>
      </c>
      <c r="O348" s="341">
        <v>0.1</v>
      </c>
      <c r="P348" s="341" t="s">
        <v>25</v>
      </c>
      <c r="Q348" s="341">
        <v>0</v>
      </c>
      <c r="R348" s="342" t="s">
        <v>25</v>
      </c>
      <c r="S348" s="342" t="s">
        <v>25</v>
      </c>
    </row>
    <row r="349" spans="1:19" ht="15" customHeight="1" x14ac:dyDescent="0.3">
      <c r="A349" s="335" t="s">
        <v>653</v>
      </c>
      <c r="B349" s="335" t="s">
        <v>56</v>
      </c>
      <c r="C349" s="335" t="s">
        <v>57</v>
      </c>
      <c r="D349" s="343" t="s">
        <v>63</v>
      </c>
      <c r="E349" s="336" t="s">
        <v>64</v>
      </c>
      <c r="F349" s="336" t="s">
        <v>60</v>
      </c>
      <c r="G349" s="337">
        <v>1</v>
      </c>
      <c r="H349" s="338">
        <v>0</v>
      </c>
      <c r="I349" s="339">
        <v>85927.097156571996</v>
      </c>
      <c r="J349" s="340">
        <v>85927.097156571996</v>
      </c>
      <c r="K349" s="335" t="s">
        <v>671</v>
      </c>
      <c r="L349" s="335">
        <v>2</v>
      </c>
      <c r="M349" s="335" t="s">
        <v>673</v>
      </c>
      <c r="N349" s="339">
        <v>10</v>
      </c>
      <c r="O349" s="341">
        <v>0.1</v>
      </c>
      <c r="P349" s="341" t="s">
        <v>25</v>
      </c>
      <c r="Q349" s="341">
        <v>0</v>
      </c>
      <c r="R349" s="342" t="s">
        <v>25</v>
      </c>
      <c r="S349" s="342" t="s">
        <v>25</v>
      </c>
    </row>
    <row r="350" spans="1:19" ht="15" customHeight="1" x14ac:dyDescent="0.3">
      <c r="A350" s="335" t="s">
        <v>674</v>
      </c>
      <c r="B350" s="335" t="s">
        <v>20</v>
      </c>
      <c r="C350" s="335"/>
      <c r="D350" s="335" t="s">
        <v>582</v>
      </c>
      <c r="E350" s="336" t="s">
        <v>583</v>
      </c>
      <c r="F350" s="336"/>
      <c r="G350" s="337">
        <v>1</v>
      </c>
      <c r="H350" s="338">
        <v>0</v>
      </c>
      <c r="I350" s="339">
        <v>2365.2381485799501</v>
      </c>
      <c r="J350" s="340">
        <v>2365.2381485799501</v>
      </c>
      <c r="K350" s="335" t="s">
        <v>675</v>
      </c>
      <c r="L350" s="335">
        <v>1</v>
      </c>
      <c r="M350" s="335" t="s">
        <v>676</v>
      </c>
      <c r="N350" s="339">
        <v>7</v>
      </c>
      <c r="O350" s="341">
        <v>1</v>
      </c>
      <c r="P350" s="341" t="s">
        <v>25</v>
      </c>
      <c r="Q350" s="341">
        <v>0</v>
      </c>
      <c r="R350" s="342" t="s">
        <v>25</v>
      </c>
      <c r="S350" s="342" t="s">
        <v>25</v>
      </c>
    </row>
    <row r="351" spans="1:19" ht="15" customHeight="1" x14ac:dyDescent="0.3">
      <c r="A351" s="335" t="s">
        <v>674</v>
      </c>
      <c r="B351" s="335" t="s">
        <v>20</v>
      </c>
      <c r="C351" s="335"/>
      <c r="D351" s="335" t="s">
        <v>578</v>
      </c>
      <c r="E351" s="336" t="s">
        <v>579</v>
      </c>
      <c r="F351" s="336"/>
      <c r="G351" s="337">
        <v>0.5</v>
      </c>
      <c r="H351" s="338">
        <v>0</v>
      </c>
      <c r="I351" s="339">
        <v>140.198092594309</v>
      </c>
      <c r="J351" s="340">
        <v>70.099046297154501</v>
      </c>
      <c r="K351" s="335" t="s">
        <v>675</v>
      </c>
      <c r="L351" s="335">
        <v>2</v>
      </c>
      <c r="M351" s="335" t="s">
        <v>677</v>
      </c>
      <c r="N351" s="339">
        <v>7</v>
      </c>
      <c r="O351" s="341">
        <v>0.5</v>
      </c>
      <c r="P351" s="341" t="s">
        <v>25</v>
      </c>
      <c r="Q351" s="341">
        <v>0</v>
      </c>
      <c r="R351" s="342" t="s">
        <v>25</v>
      </c>
      <c r="S351" s="342" t="s">
        <v>25</v>
      </c>
    </row>
    <row r="352" spans="1:19" ht="15" customHeight="1" x14ac:dyDescent="0.3">
      <c r="A352" s="335" t="s">
        <v>674</v>
      </c>
      <c r="B352" s="335" t="s">
        <v>26</v>
      </c>
      <c r="C352" s="335" t="s">
        <v>27</v>
      </c>
      <c r="D352" s="335" t="s">
        <v>617</v>
      </c>
      <c r="E352" s="336" t="s">
        <v>618</v>
      </c>
      <c r="F352" s="336" t="s">
        <v>35</v>
      </c>
      <c r="G352" s="337">
        <v>0.46153846153846201</v>
      </c>
      <c r="H352" s="338">
        <v>0.1</v>
      </c>
      <c r="I352" s="339">
        <v>2932.93</v>
      </c>
      <c r="J352" s="340">
        <v>1489.0260000000001</v>
      </c>
      <c r="K352" s="335" t="s">
        <v>678</v>
      </c>
      <c r="L352" s="335">
        <v>1</v>
      </c>
      <c r="M352" s="335" t="s">
        <v>679</v>
      </c>
      <c r="N352" s="339">
        <v>7</v>
      </c>
      <c r="O352" s="341">
        <v>0.46153846153846201</v>
      </c>
      <c r="P352" s="341" t="s">
        <v>25</v>
      </c>
      <c r="Q352" s="341">
        <v>0</v>
      </c>
      <c r="R352" s="342" t="s">
        <v>25</v>
      </c>
      <c r="S352" s="342" t="s">
        <v>25</v>
      </c>
    </row>
    <row r="353" spans="1:19" ht="15" customHeight="1" x14ac:dyDescent="0.3">
      <c r="A353" s="335" t="s">
        <v>674</v>
      </c>
      <c r="B353" s="335" t="s">
        <v>26</v>
      </c>
      <c r="C353" s="335" t="s">
        <v>27</v>
      </c>
      <c r="D353" s="335" t="s">
        <v>621</v>
      </c>
      <c r="E353" s="336" t="s">
        <v>622</v>
      </c>
      <c r="F353" s="336" t="s">
        <v>35</v>
      </c>
      <c r="G353" s="337">
        <v>1.15384615384615</v>
      </c>
      <c r="H353" s="338">
        <v>0.1</v>
      </c>
      <c r="I353" s="339">
        <v>3295.47</v>
      </c>
      <c r="J353" s="340">
        <v>4182.7119230769104</v>
      </c>
      <c r="K353" s="335" t="s">
        <v>678</v>
      </c>
      <c r="L353" s="335">
        <v>2</v>
      </c>
      <c r="M353" s="335" t="s">
        <v>680</v>
      </c>
      <c r="N353" s="339">
        <v>7</v>
      </c>
      <c r="O353" s="341">
        <v>1.15384615384615</v>
      </c>
      <c r="P353" s="341" t="s">
        <v>25</v>
      </c>
      <c r="Q353" s="341">
        <v>0</v>
      </c>
      <c r="R353" s="342" t="s">
        <v>25</v>
      </c>
      <c r="S353" s="342" t="s">
        <v>25</v>
      </c>
    </row>
    <row r="354" spans="1:19" ht="15" customHeight="1" x14ac:dyDescent="0.3">
      <c r="A354" s="335" t="s">
        <v>674</v>
      </c>
      <c r="B354" s="335" t="s">
        <v>26</v>
      </c>
      <c r="C354" s="335" t="s">
        <v>27</v>
      </c>
      <c r="D354" s="335" t="s">
        <v>592</v>
      </c>
      <c r="E354" s="336" t="s">
        <v>593</v>
      </c>
      <c r="F354" s="336" t="s">
        <v>35</v>
      </c>
      <c r="G354" s="337">
        <v>5.6300000000000003E-2</v>
      </c>
      <c r="H354" s="338">
        <v>0.05</v>
      </c>
      <c r="I354" s="339">
        <v>26872.02</v>
      </c>
      <c r="J354" s="340">
        <v>1588.5394623</v>
      </c>
      <c r="K354" s="335" t="s">
        <v>678</v>
      </c>
      <c r="L354" s="335">
        <v>3</v>
      </c>
      <c r="M354" s="335" t="s">
        <v>681</v>
      </c>
      <c r="N354" s="339">
        <v>7</v>
      </c>
      <c r="O354" s="341">
        <v>5.6300000000000003E-2</v>
      </c>
      <c r="P354" s="341" t="s">
        <v>25</v>
      </c>
      <c r="Q354" s="341">
        <v>0</v>
      </c>
      <c r="R354" s="342" t="s">
        <v>25</v>
      </c>
      <c r="S354" s="342" t="s">
        <v>25</v>
      </c>
    </row>
    <row r="355" spans="1:19" ht="15" customHeight="1" x14ac:dyDescent="0.3">
      <c r="A355" s="335" t="s">
        <v>674</v>
      </c>
      <c r="B355" s="335" t="s">
        <v>26</v>
      </c>
      <c r="C355" s="335" t="s">
        <v>27</v>
      </c>
      <c r="D355" s="335" t="s">
        <v>595</v>
      </c>
      <c r="E355" s="336" t="s">
        <v>596</v>
      </c>
      <c r="F355" s="336" t="s">
        <v>35</v>
      </c>
      <c r="G355" s="337">
        <v>10</v>
      </c>
      <c r="H355" s="338">
        <v>0.05</v>
      </c>
      <c r="I355" s="339">
        <v>32.707173553719002</v>
      </c>
      <c r="J355" s="340">
        <v>343.42532231404999</v>
      </c>
      <c r="K355" s="335" t="s">
        <v>678</v>
      </c>
      <c r="L355" s="335">
        <v>4</v>
      </c>
      <c r="M355" s="335" t="s">
        <v>682</v>
      </c>
      <c r="N355" s="339">
        <v>7</v>
      </c>
      <c r="O355" s="341">
        <v>10</v>
      </c>
      <c r="P355" s="341" t="s">
        <v>25</v>
      </c>
      <c r="Q355" s="341">
        <v>0</v>
      </c>
      <c r="R355" s="342" t="s">
        <v>25</v>
      </c>
      <c r="S355" s="342" t="s">
        <v>25</v>
      </c>
    </row>
    <row r="356" spans="1:19" ht="15" customHeight="1" x14ac:dyDescent="0.3">
      <c r="A356" s="335" t="s">
        <v>674</v>
      </c>
      <c r="B356" s="335" t="s">
        <v>26</v>
      </c>
      <c r="C356" s="335" t="s">
        <v>27</v>
      </c>
      <c r="D356" s="335" t="s">
        <v>598</v>
      </c>
      <c r="E356" s="336" t="s">
        <v>599</v>
      </c>
      <c r="F356" s="336" t="s">
        <v>35</v>
      </c>
      <c r="G356" s="337">
        <v>30</v>
      </c>
      <c r="H356" s="338">
        <v>0.05</v>
      </c>
      <c r="I356" s="339">
        <v>17.1963177226814</v>
      </c>
      <c r="J356" s="340">
        <v>541.68400826446396</v>
      </c>
      <c r="K356" s="335" t="s">
        <v>678</v>
      </c>
      <c r="L356" s="335">
        <v>5</v>
      </c>
      <c r="M356" s="335" t="s">
        <v>683</v>
      </c>
      <c r="N356" s="339">
        <v>7</v>
      </c>
      <c r="O356" s="341">
        <v>30</v>
      </c>
      <c r="P356" s="341" t="s">
        <v>25</v>
      </c>
      <c r="Q356" s="341">
        <v>0</v>
      </c>
      <c r="R356" s="342" t="s">
        <v>25</v>
      </c>
      <c r="S356" s="342" t="s">
        <v>25</v>
      </c>
    </row>
    <row r="357" spans="1:19" ht="15" customHeight="1" x14ac:dyDescent="0.3">
      <c r="A357" s="335" t="s">
        <v>674</v>
      </c>
      <c r="B357" s="335" t="s">
        <v>26</v>
      </c>
      <c r="C357" s="335" t="s">
        <v>27</v>
      </c>
      <c r="D357" s="335" t="s">
        <v>601</v>
      </c>
      <c r="E357" s="336" t="s">
        <v>602</v>
      </c>
      <c r="F357" s="336" t="s">
        <v>35</v>
      </c>
      <c r="G357" s="337">
        <v>3.5</v>
      </c>
      <c r="H357" s="338">
        <v>0.05</v>
      </c>
      <c r="I357" s="339">
        <v>65.919008264462803</v>
      </c>
      <c r="J357" s="340">
        <v>242.25235537190099</v>
      </c>
      <c r="K357" s="335" t="s">
        <v>678</v>
      </c>
      <c r="L357" s="335">
        <v>6</v>
      </c>
      <c r="M357" s="335" t="s">
        <v>684</v>
      </c>
      <c r="N357" s="339">
        <v>7</v>
      </c>
      <c r="O357" s="341">
        <v>3.5</v>
      </c>
      <c r="P357" s="341" t="s">
        <v>25</v>
      </c>
      <c r="Q357" s="341">
        <v>0</v>
      </c>
      <c r="R357" s="342" t="s">
        <v>25</v>
      </c>
      <c r="S357" s="342" t="s">
        <v>25</v>
      </c>
    </row>
    <row r="358" spans="1:19" ht="15" customHeight="1" x14ac:dyDescent="0.3">
      <c r="A358" s="335" t="s">
        <v>674</v>
      </c>
      <c r="B358" s="335" t="s">
        <v>26</v>
      </c>
      <c r="C358" s="335" t="s">
        <v>27</v>
      </c>
      <c r="D358" s="335" t="s">
        <v>604</v>
      </c>
      <c r="E358" s="336" t="s">
        <v>605</v>
      </c>
      <c r="F358" s="336" t="s">
        <v>35</v>
      </c>
      <c r="G358" s="337">
        <v>0.04</v>
      </c>
      <c r="H358" s="338">
        <v>0.05</v>
      </c>
      <c r="I358" s="339">
        <v>4042.71</v>
      </c>
      <c r="J358" s="340">
        <v>169.79382000000001</v>
      </c>
      <c r="K358" s="335" t="s">
        <v>678</v>
      </c>
      <c r="L358" s="335">
        <v>7</v>
      </c>
      <c r="M358" s="335" t="s">
        <v>685</v>
      </c>
      <c r="N358" s="339">
        <v>7</v>
      </c>
      <c r="O358" s="341">
        <v>0.04</v>
      </c>
      <c r="P358" s="341" t="s">
        <v>25</v>
      </c>
      <c r="Q358" s="341">
        <v>0</v>
      </c>
      <c r="R358" s="342" t="s">
        <v>25</v>
      </c>
      <c r="S358" s="342" t="s">
        <v>25</v>
      </c>
    </row>
    <row r="359" spans="1:19" ht="15" customHeight="1" x14ac:dyDescent="0.3">
      <c r="A359" s="335" t="s">
        <v>674</v>
      </c>
      <c r="B359" s="335" t="s">
        <v>26</v>
      </c>
      <c r="C359" s="335" t="s">
        <v>27</v>
      </c>
      <c r="D359" s="335" t="s">
        <v>607</v>
      </c>
      <c r="E359" s="336" t="s">
        <v>608</v>
      </c>
      <c r="F359" s="336" t="s">
        <v>35</v>
      </c>
      <c r="G359" s="337">
        <v>0.71</v>
      </c>
      <c r="H359" s="338">
        <v>0.1</v>
      </c>
      <c r="I359" s="339">
        <v>10022.959999999999</v>
      </c>
      <c r="J359" s="340">
        <v>7827.9317600000004</v>
      </c>
      <c r="K359" s="335" t="s">
        <v>678</v>
      </c>
      <c r="L359" s="335">
        <v>8</v>
      </c>
      <c r="M359" s="335" t="s">
        <v>686</v>
      </c>
      <c r="N359" s="339">
        <v>7</v>
      </c>
      <c r="O359" s="341">
        <v>0.71</v>
      </c>
      <c r="P359" s="341" t="s">
        <v>25</v>
      </c>
      <c r="Q359" s="341">
        <v>0</v>
      </c>
      <c r="R359" s="342" t="s">
        <v>25</v>
      </c>
      <c r="S359" s="342" t="s">
        <v>25</v>
      </c>
    </row>
    <row r="360" spans="1:19" ht="15" customHeight="1" x14ac:dyDescent="0.3">
      <c r="A360" s="335" t="s">
        <v>674</v>
      </c>
      <c r="B360" s="335" t="s">
        <v>56</v>
      </c>
      <c r="C360" s="335" t="s">
        <v>57</v>
      </c>
      <c r="D360" s="343" t="s">
        <v>413</v>
      </c>
      <c r="E360" s="336" t="s">
        <v>414</v>
      </c>
      <c r="F360" s="336" t="s">
        <v>60</v>
      </c>
      <c r="G360" s="337">
        <v>1</v>
      </c>
      <c r="H360" s="338">
        <v>0</v>
      </c>
      <c r="I360" s="339">
        <v>65493.071636572</v>
      </c>
      <c r="J360" s="340">
        <v>65493.071636572</v>
      </c>
      <c r="K360" s="335" t="s">
        <v>687</v>
      </c>
      <c r="L360" s="335">
        <v>1</v>
      </c>
      <c r="M360" s="335" t="s">
        <v>688</v>
      </c>
      <c r="N360" s="339">
        <v>7</v>
      </c>
      <c r="O360" s="341">
        <v>0.14285714285714299</v>
      </c>
      <c r="P360" s="341" t="s">
        <v>25</v>
      </c>
      <c r="Q360" s="341">
        <v>0</v>
      </c>
      <c r="R360" s="342" t="s">
        <v>25</v>
      </c>
      <c r="S360" s="342" t="s">
        <v>25</v>
      </c>
    </row>
    <row r="361" spans="1:19" ht="15" customHeight="1" x14ac:dyDescent="0.3">
      <c r="A361" s="335" t="s">
        <v>674</v>
      </c>
      <c r="B361" s="335" t="s">
        <v>56</v>
      </c>
      <c r="C361" s="335" t="s">
        <v>57</v>
      </c>
      <c r="D361" s="343" t="s">
        <v>63</v>
      </c>
      <c r="E361" s="336" t="s">
        <v>64</v>
      </c>
      <c r="F361" s="336" t="s">
        <v>60</v>
      </c>
      <c r="G361" s="337">
        <v>1</v>
      </c>
      <c r="H361" s="338">
        <v>0</v>
      </c>
      <c r="I361" s="339">
        <v>85927.097156571996</v>
      </c>
      <c r="J361" s="340">
        <v>85927.097156571996</v>
      </c>
      <c r="K361" s="335" t="s">
        <v>687</v>
      </c>
      <c r="L361" s="335">
        <v>2</v>
      </c>
      <c r="M361" s="335" t="s">
        <v>689</v>
      </c>
      <c r="N361" s="339">
        <v>7</v>
      </c>
      <c r="O361" s="341">
        <v>0.14285714285714299</v>
      </c>
      <c r="P361" s="341" t="s">
        <v>25</v>
      </c>
      <c r="Q361" s="341">
        <v>0</v>
      </c>
      <c r="R361" s="342" t="s">
        <v>25</v>
      </c>
      <c r="S361" s="342" t="s">
        <v>25</v>
      </c>
    </row>
    <row r="362" spans="1:19" ht="15" customHeight="1" x14ac:dyDescent="0.3">
      <c r="A362" s="335" t="s">
        <v>690</v>
      </c>
      <c r="B362" s="335" t="s">
        <v>20</v>
      </c>
      <c r="C362" s="335"/>
      <c r="D362" s="335" t="s">
        <v>582</v>
      </c>
      <c r="E362" s="336" t="s">
        <v>583</v>
      </c>
      <c r="F362" s="336"/>
      <c r="G362" s="337">
        <v>1</v>
      </c>
      <c r="H362" s="338">
        <v>0</v>
      </c>
      <c r="I362" s="339">
        <v>2365.2381485799501</v>
      </c>
      <c r="J362" s="340">
        <v>2365.2381485799501</v>
      </c>
      <c r="K362" s="335" t="s">
        <v>691</v>
      </c>
      <c r="L362" s="335">
        <v>1</v>
      </c>
      <c r="M362" s="335" t="s">
        <v>692</v>
      </c>
      <c r="N362" s="339">
        <v>6</v>
      </c>
      <c r="O362" s="341">
        <v>1</v>
      </c>
      <c r="P362" s="341" t="s">
        <v>25</v>
      </c>
      <c r="Q362" s="341">
        <v>0</v>
      </c>
      <c r="R362" s="342" t="s">
        <v>25</v>
      </c>
      <c r="S362" s="342" t="s">
        <v>25</v>
      </c>
    </row>
    <row r="363" spans="1:19" ht="15" customHeight="1" x14ac:dyDescent="0.3">
      <c r="A363" s="335" t="s">
        <v>690</v>
      </c>
      <c r="B363" s="335" t="s">
        <v>20</v>
      </c>
      <c r="C363" s="335"/>
      <c r="D363" s="335" t="s">
        <v>578</v>
      </c>
      <c r="E363" s="336" t="s">
        <v>579</v>
      </c>
      <c r="F363" s="336"/>
      <c r="G363" s="337">
        <v>0.5</v>
      </c>
      <c r="H363" s="338">
        <v>0</v>
      </c>
      <c r="I363" s="339">
        <v>140.198092594309</v>
      </c>
      <c r="J363" s="340">
        <v>70.099046297154501</v>
      </c>
      <c r="K363" s="335" t="s">
        <v>691</v>
      </c>
      <c r="L363" s="335">
        <v>2</v>
      </c>
      <c r="M363" s="335" t="s">
        <v>693</v>
      </c>
      <c r="N363" s="339">
        <v>6</v>
      </c>
      <c r="O363" s="341">
        <v>0.5</v>
      </c>
      <c r="P363" s="341" t="s">
        <v>25</v>
      </c>
      <c r="Q363" s="341">
        <v>0</v>
      </c>
      <c r="R363" s="342" t="s">
        <v>25</v>
      </c>
      <c r="S363" s="342" t="s">
        <v>25</v>
      </c>
    </row>
    <row r="364" spans="1:19" ht="15" customHeight="1" x14ac:dyDescent="0.3">
      <c r="A364" s="335" t="s">
        <v>690</v>
      </c>
      <c r="B364" s="335" t="s">
        <v>26</v>
      </c>
      <c r="C364" s="335" t="s">
        <v>27</v>
      </c>
      <c r="D364" s="335" t="s">
        <v>617</v>
      </c>
      <c r="E364" s="336" t="s">
        <v>618</v>
      </c>
      <c r="F364" s="336" t="s">
        <v>35</v>
      </c>
      <c r="G364" s="337">
        <v>0.46153846153846201</v>
      </c>
      <c r="H364" s="338">
        <v>0.1</v>
      </c>
      <c r="I364" s="339">
        <v>2932.93</v>
      </c>
      <c r="J364" s="340">
        <v>1489.0260000000001</v>
      </c>
      <c r="K364" s="335" t="s">
        <v>694</v>
      </c>
      <c r="L364" s="335">
        <v>1</v>
      </c>
      <c r="M364" s="335" t="s">
        <v>695</v>
      </c>
      <c r="N364" s="339">
        <v>6</v>
      </c>
      <c r="O364" s="341">
        <v>0.46153846153846201</v>
      </c>
      <c r="P364" s="341" t="s">
        <v>25</v>
      </c>
      <c r="Q364" s="341">
        <v>0</v>
      </c>
      <c r="R364" s="342" t="s">
        <v>25</v>
      </c>
      <c r="S364" s="342" t="s">
        <v>25</v>
      </c>
    </row>
    <row r="365" spans="1:19" ht="15" customHeight="1" x14ac:dyDescent="0.3">
      <c r="A365" s="335" t="s">
        <v>690</v>
      </c>
      <c r="B365" s="335" t="s">
        <v>26</v>
      </c>
      <c r="C365" s="335" t="s">
        <v>27</v>
      </c>
      <c r="D365" s="335" t="s">
        <v>621</v>
      </c>
      <c r="E365" s="336" t="s">
        <v>622</v>
      </c>
      <c r="F365" s="336" t="s">
        <v>35</v>
      </c>
      <c r="G365" s="337">
        <v>1.15384615384615</v>
      </c>
      <c r="H365" s="338">
        <v>0.1</v>
      </c>
      <c r="I365" s="339">
        <v>3295.47</v>
      </c>
      <c r="J365" s="340">
        <v>4182.7119230769104</v>
      </c>
      <c r="K365" s="335" t="s">
        <v>694</v>
      </c>
      <c r="L365" s="335">
        <v>2</v>
      </c>
      <c r="M365" s="335" t="s">
        <v>696</v>
      </c>
      <c r="N365" s="339">
        <v>6</v>
      </c>
      <c r="O365" s="341">
        <v>1.15384615384615</v>
      </c>
      <c r="P365" s="341" t="s">
        <v>25</v>
      </c>
      <c r="Q365" s="341">
        <v>0</v>
      </c>
      <c r="R365" s="342" t="s">
        <v>25</v>
      </c>
      <c r="S365" s="342" t="s">
        <v>25</v>
      </c>
    </row>
    <row r="366" spans="1:19" ht="15" customHeight="1" x14ac:dyDescent="0.3">
      <c r="A366" s="335" t="s">
        <v>690</v>
      </c>
      <c r="B366" s="335" t="s">
        <v>26</v>
      </c>
      <c r="C366" s="335" t="s">
        <v>27</v>
      </c>
      <c r="D366" s="335" t="s">
        <v>592</v>
      </c>
      <c r="E366" s="336" t="s">
        <v>593</v>
      </c>
      <c r="F366" s="336" t="s">
        <v>35</v>
      </c>
      <c r="G366" s="337">
        <v>5.6300000000000003E-2</v>
      </c>
      <c r="H366" s="338">
        <v>0.05</v>
      </c>
      <c r="I366" s="339">
        <v>26872.02</v>
      </c>
      <c r="J366" s="340">
        <v>1588.5394623</v>
      </c>
      <c r="K366" s="335" t="s">
        <v>694</v>
      </c>
      <c r="L366" s="335">
        <v>3</v>
      </c>
      <c r="M366" s="335" t="s">
        <v>697</v>
      </c>
      <c r="N366" s="339">
        <v>6</v>
      </c>
      <c r="O366" s="341">
        <v>5.6300000000000003E-2</v>
      </c>
      <c r="P366" s="341" t="s">
        <v>25</v>
      </c>
      <c r="Q366" s="341">
        <v>0</v>
      </c>
      <c r="R366" s="342" t="s">
        <v>25</v>
      </c>
      <c r="S366" s="342" t="s">
        <v>25</v>
      </c>
    </row>
    <row r="367" spans="1:19" ht="15" customHeight="1" x14ac:dyDescent="0.3">
      <c r="A367" s="335" t="s">
        <v>690</v>
      </c>
      <c r="B367" s="335" t="s">
        <v>26</v>
      </c>
      <c r="C367" s="335" t="s">
        <v>27</v>
      </c>
      <c r="D367" s="335" t="s">
        <v>698</v>
      </c>
      <c r="E367" s="336" t="s">
        <v>699</v>
      </c>
      <c r="F367" s="336" t="s">
        <v>35</v>
      </c>
      <c r="G367" s="337">
        <v>4.6296296296296301E-2</v>
      </c>
      <c r="H367" s="338">
        <v>0.1</v>
      </c>
      <c r="I367" s="339">
        <v>97970.9</v>
      </c>
      <c r="J367" s="340">
        <v>4989.2587962962998</v>
      </c>
      <c r="K367" s="335" t="s">
        <v>694</v>
      </c>
      <c r="L367" s="335">
        <v>4</v>
      </c>
      <c r="M367" s="335" t="s">
        <v>700</v>
      </c>
      <c r="N367" s="339">
        <v>6</v>
      </c>
      <c r="O367" s="341">
        <v>4.6296296296296301E-2</v>
      </c>
      <c r="P367" s="341" t="s">
        <v>25</v>
      </c>
      <c r="Q367" s="341">
        <v>0</v>
      </c>
      <c r="R367" s="342" t="s">
        <v>25</v>
      </c>
      <c r="S367" s="342" t="s">
        <v>25</v>
      </c>
    </row>
    <row r="368" spans="1:19" ht="15" customHeight="1" x14ac:dyDescent="0.3">
      <c r="A368" s="335" t="s">
        <v>690</v>
      </c>
      <c r="B368" s="335" t="s">
        <v>26</v>
      </c>
      <c r="C368" s="335" t="s">
        <v>27</v>
      </c>
      <c r="D368" s="335" t="s">
        <v>595</v>
      </c>
      <c r="E368" s="336" t="s">
        <v>596</v>
      </c>
      <c r="F368" s="336" t="s">
        <v>35</v>
      </c>
      <c r="G368" s="337">
        <v>10</v>
      </c>
      <c r="H368" s="338">
        <v>0.05</v>
      </c>
      <c r="I368" s="339">
        <v>32.707173553719002</v>
      </c>
      <c r="J368" s="340">
        <v>343.42532231404999</v>
      </c>
      <c r="K368" s="335" t="s">
        <v>694</v>
      </c>
      <c r="L368" s="335">
        <v>5</v>
      </c>
      <c r="M368" s="335" t="s">
        <v>701</v>
      </c>
      <c r="N368" s="339">
        <v>6</v>
      </c>
      <c r="O368" s="341">
        <v>10</v>
      </c>
      <c r="P368" s="341" t="s">
        <v>25</v>
      </c>
      <c r="Q368" s="341">
        <v>0</v>
      </c>
      <c r="R368" s="342" t="s">
        <v>25</v>
      </c>
      <c r="S368" s="342" t="s">
        <v>25</v>
      </c>
    </row>
    <row r="369" spans="1:19" ht="15" customHeight="1" x14ac:dyDescent="0.3">
      <c r="A369" s="335" t="s">
        <v>690</v>
      </c>
      <c r="B369" s="335" t="s">
        <v>26</v>
      </c>
      <c r="C369" s="335" t="s">
        <v>27</v>
      </c>
      <c r="D369" s="335" t="s">
        <v>598</v>
      </c>
      <c r="E369" s="336" t="s">
        <v>599</v>
      </c>
      <c r="F369" s="336" t="s">
        <v>35</v>
      </c>
      <c r="G369" s="337">
        <v>15</v>
      </c>
      <c r="H369" s="338">
        <v>0.05</v>
      </c>
      <c r="I369" s="339">
        <v>17.1963177226814</v>
      </c>
      <c r="J369" s="340">
        <v>270.84200413223198</v>
      </c>
      <c r="K369" s="335" t="s">
        <v>694</v>
      </c>
      <c r="L369" s="335">
        <v>6</v>
      </c>
      <c r="M369" s="335" t="s">
        <v>702</v>
      </c>
      <c r="N369" s="339">
        <v>6</v>
      </c>
      <c r="O369" s="341">
        <v>15</v>
      </c>
      <c r="P369" s="341" t="s">
        <v>25</v>
      </c>
      <c r="Q369" s="341">
        <v>0</v>
      </c>
      <c r="R369" s="342" t="s">
        <v>25</v>
      </c>
      <c r="S369" s="342" t="s">
        <v>25</v>
      </c>
    </row>
    <row r="370" spans="1:19" ht="15" customHeight="1" x14ac:dyDescent="0.3">
      <c r="A370" s="335" t="s">
        <v>690</v>
      </c>
      <c r="B370" s="335" t="s">
        <v>26</v>
      </c>
      <c r="C370" s="335" t="s">
        <v>27</v>
      </c>
      <c r="D370" s="335" t="s">
        <v>703</v>
      </c>
      <c r="E370" s="336" t="s">
        <v>704</v>
      </c>
      <c r="F370" s="336" t="s">
        <v>35</v>
      </c>
      <c r="G370" s="337">
        <v>30</v>
      </c>
      <c r="H370" s="338">
        <v>0.05</v>
      </c>
      <c r="I370" s="339">
        <v>41.375227272727301</v>
      </c>
      <c r="J370" s="340">
        <v>1303.3196590909099</v>
      </c>
      <c r="K370" s="335" t="s">
        <v>694</v>
      </c>
      <c r="L370" s="335">
        <v>7</v>
      </c>
      <c r="M370" s="335" t="s">
        <v>705</v>
      </c>
      <c r="N370" s="339">
        <v>6</v>
      </c>
      <c r="O370" s="341">
        <v>30</v>
      </c>
      <c r="P370" s="341" t="s">
        <v>25</v>
      </c>
      <c r="Q370" s="341">
        <v>0</v>
      </c>
      <c r="R370" s="342" t="s">
        <v>25</v>
      </c>
      <c r="S370" s="342" t="s">
        <v>25</v>
      </c>
    </row>
    <row r="371" spans="1:19" ht="15" customHeight="1" x14ac:dyDescent="0.3">
      <c r="A371" s="335" t="s">
        <v>690</v>
      </c>
      <c r="B371" s="335" t="s">
        <v>26</v>
      </c>
      <c r="C371" s="335" t="s">
        <v>27</v>
      </c>
      <c r="D371" s="335" t="s">
        <v>601</v>
      </c>
      <c r="E371" s="336" t="s">
        <v>602</v>
      </c>
      <c r="F371" s="336" t="s">
        <v>35</v>
      </c>
      <c r="G371" s="337">
        <v>3.5</v>
      </c>
      <c r="H371" s="338">
        <v>0.05</v>
      </c>
      <c r="I371" s="339">
        <v>65.919008264462803</v>
      </c>
      <c r="J371" s="340">
        <v>242.25235537190099</v>
      </c>
      <c r="K371" s="335" t="s">
        <v>694</v>
      </c>
      <c r="L371" s="335">
        <v>8</v>
      </c>
      <c r="M371" s="335" t="s">
        <v>706</v>
      </c>
      <c r="N371" s="339">
        <v>6</v>
      </c>
      <c r="O371" s="341">
        <v>3.5</v>
      </c>
      <c r="P371" s="341" t="s">
        <v>25</v>
      </c>
      <c r="Q371" s="341">
        <v>0</v>
      </c>
      <c r="R371" s="342" t="s">
        <v>25</v>
      </c>
      <c r="S371" s="342" t="s">
        <v>25</v>
      </c>
    </row>
    <row r="372" spans="1:19" ht="15" customHeight="1" x14ac:dyDescent="0.3">
      <c r="A372" s="335" t="s">
        <v>690</v>
      </c>
      <c r="B372" s="335" t="s">
        <v>26</v>
      </c>
      <c r="C372" s="335" t="s">
        <v>27</v>
      </c>
      <c r="D372" s="335" t="s">
        <v>604</v>
      </c>
      <c r="E372" s="336" t="s">
        <v>605</v>
      </c>
      <c r="F372" s="336" t="s">
        <v>35</v>
      </c>
      <c r="G372" s="337">
        <v>0.04</v>
      </c>
      <c r="H372" s="338">
        <v>0.05</v>
      </c>
      <c r="I372" s="339">
        <v>4042.71</v>
      </c>
      <c r="J372" s="340">
        <v>169.79382000000001</v>
      </c>
      <c r="K372" s="335" t="s">
        <v>694</v>
      </c>
      <c r="L372" s="335">
        <v>9</v>
      </c>
      <c r="M372" s="335" t="s">
        <v>707</v>
      </c>
      <c r="N372" s="339">
        <v>6</v>
      </c>
      <c r="O372" s="341">
        <v>0.04</v>
      </c>
      <c r="P372" s="341" t="s">
        <v>25</v>
      </c>
      <c r="Q372" s="341">
        <v>0</v>
      </c>
      <c r="R372" s="342" t="s">
        <v>25</v>
      </c>
      <c r="S372" s="342" t="s">
        <v>25</v>
      </c>
    </row>
    <row r="373" spans="1:19" ht="15" customHeight="1" x14ac:dyDescent="0.3">
      <c r="A373" s="335" t="s">
        <v>690</v>
      </c>
      <c r="B373" s="335" t="s">
        <v>26</v>
      </c>
      <c r="C373" s="335" t="s">
        <v>27</v>
      </c>
      <c r="D373" s="335" t="s">
        <v>607</v>
      </c>
      <c r="E373" s="336" t="s">
        <v>608</v>
      </c>
      <c r="F373" s="336" t="s">
        <v>35</v>
      </c>
      <c r="G373" s="337">
        <v>1.42</v>
      </c>
      <c r="H373" s="338">
        <v>0.1</v>
      </c>
      <c r="I373" s="339">
        <v>10022.959999999999</v>
      </c>
      <c r="J373" s="340">
        <v>15655.863520000001</v>
      </c>
      <c r="K373" s="335" t="s">
        <v>694</v>
      </c>
      <c r="L373" s="335">
        <v>10</v>
      </c>
      <c r="M373" s="335" t="s">
        <v>708</v>
      </c>
      <c r="N373" s="339">
        <v>6</v>
      </c>
      <c r="O373" s="341">
        <v>1.42</v>
      </c>
      <c r="P373" s="341" t="s">
        <v>25</v>
      </c>
      <c r="Q373" s="341">
        <v>0</v>
      </c>
      <c r="R373" s="342" t="s">
        <v>25</v>
      </c>
      <c r="S373" s="342" t="s">
        <v>25</v>
      </c>
    </row>
    <row r="374" spans="1:19" ht="15" customHeight="1" x14ac:dyDescent="0.3">
      <c r="A374" s="335" t="s">
        <v>690</v>
      </c>
      <c r="B374" s="335" t="s">
        <v>56</v>
      </c>
      <c r="C374" s="335" t="s">
        <v>57</v>
      </c>
      <c r="D374" s="343" t="s">
        <v>413</v>
      </c>
      <c r="E374" s="336" t="s">
        <v>414</v>
      </c>
      <c r="F374" s="336" t="s">
        <v>60</v>
      </c>
      <c r="G374" s="337">
        <v>1</v>
      </c>
      <c r="H374" s="338">
        <v>0</v>
      </c>
      <c r="I374" s="339">
        <v>65493.071636572</v>
      </c>
      <c r="J374" s="340">
        <v>65493.071636572</v>
      </c>
      <c r="K374" s="335" t="s">
        <v>709</v>
      </c>
      <c r="L374" s="335">
        <v>1</v>
      </c>
      <c r="M374" s="335" t="s">
        <v>710</v>
      </c>
      <c r="N374" s="339">
        <v>6</v>
      </c>
      <c r="O374" s="341">
        <v>0.16666666666666699</v>
      </c>
      <c r="P374" s="341" t="s">
        <v>25</v>
      </c>
      <c r="Q374" s="341">
        <v>0</v>
      </c>
      <c r="R374" s="342" t="s">
        <v>25</v>
      </c>
      <c r="S374" s="342" t="s">
        <v>25</v>
      </c>
    </row>
    <row r="375" spans="1:19" ht="15" customHeight="1" x14ac:dyDescent="0.3">
      <c r="A375" s="335" t="s">
        <v>690</v>
      </c>
      <c r="B375" s="335" t="s">
        <v>56</v>
      </c>
      <c r="C375" s="335" t="s">
        <v>57</v>
      </c>
      <c r="D375" s="343" t="s">
        <v>63</v>
      </c>
      <c r="E375" s="336" t="s">
        <v>64</v>
      </c>
      <c r="F375" s="336" t="s">
        <v>60</v>
      </c>
      <c r="G375" s="337">
        <v>1</v>
      </c>
      <c r="H375" s="338">
        <v>0</v>
      </c>
      <c r="I375" s="339">
        <v>85927.097156571996</v>
      </c>
      <c r="J375" s="340">
        <v>85927.097156571996</v>
      </c>
      <c r="K375" s="335" t="s">
        <v>709</v>
      </c>
      <c r="L375" s="335">
        <v>2</v>
      </c>
      <c r="M375" s="335" t="s">
        <v>711</v>
      </c>
      <c r="N375" s="339">
        <v>6</v>
      </c>
      <c r="O375" s="341">
        <v>0.16666666666666699</v>
      </c>
      <c r="P375" s="341" t="s">
        <v>25</v>
      </c>
      <c r="Q375" s="341">
        <v>0</v>
      </c>
      <c r="R375" s="342" t="s">
        <v>25</v>
      </c>
      <c r="S375" s="342" t="s">
        <v>25</v>
      </c>
    </row>
    <row r="376" spans="1:19" ht="15" customHeight="1" x14ac:dyDescent="0.3">
      <c r="A376" s="335" t="s">
        <v>712</v>
      </c>
      <c r="B376" s="335" t="s">
        <v>20</v>
      </c>
      <c r="C376" s="335"/>
      <c r="D376" s="335" t="s">
        <v>582</v>
      </c>
      <c r="E376" s="336" t="s">
        <v>583</v>
      </c>
      <c r="F376" s="336"/>
      <c r="G376" s="337">
        <v>1</v>
      </c>
      <c r="H376" s="338">
        <v>0</v>
      </c>
      <c r="I376" s="339">
        <v>2365.2381485799501</v>
      </c>
      <c r="J376" s="340">
        <v>2365.2381485799501</v>
      </c>
      <c r="K376" s="335" t="s">
        <v>713</v>
      </c>
      <c r="L376" s="335">
        <v>1</v>
      </c>
      <c r="M376" s="335" t="s">
        <v>714</v>
      </c>
      <c r="N376" s="339">
        <v>11</v>
      </c>
      <c r="O376" s="341">
        <v>1</v>
      </c>
      <c r="P376" s="341" t="s">
        <v>25</v>
      </c>
      <c r="Q376" s="341">
        <v>0</v>
      </c>
      <c r="R376" s="342" t="s">
        <v>25</v>
      </c>
      <c r="S376" s="342" t="s">
        <v>25</v>
      </c>
    </row>
    <row r="377" spans="1:19" ht="15" customHeight="1" x14ac:dyDescent="0.3">
      <c r="A377" s="335" t="s">
        <v>712</v>
      </c>
      <c r="B377" s="335" t="s">
        <v>20</v>
      </c>
      <c r="C377" s="335"/>
      <c r="D377" s="335" t="s">
        <v>578</v>
      </c>
      <c r="E377" s="336" t="s">
        <v>579</v>
      </c>
      <c r="F377" s="336"/>
      <c r="G377" s="337">
        <v>0.5</v>
      </c>
      <c r="H377" s="338">
        <v>0</v>
      </c>
      <c r="I377" s="339">
        <v>140.198092594309</v>
      </c>
      <c r="J377" s="340">
        <v>70.099046297154501</v>
      </c>
      <c r="K377" s="335" t="s">
        <v>713</v>
      </c>
      <c r="L377" s="335">
        <v>2</v>
      </c>
      <c r="M377" s="335" t="s">
        <v>715</v>
      </c>
      <c r="N377" s="339">
        <v>11</v>
      </c>
      <c r="O377" s="341">
        <v>0.5</v>
      </c>
      <c r="P377" s="341" t="s">
        <v>25</v>
      </c>
      <c r="Q377" s="341">
        <v>0</v>
      </c>
      <c r="R377" s="342" t="s">
        <v>25</v>
      </c>
      <c r="S377" s="342" t="s">
        <v>25</v>
      </c>
    </row>
    <row r="378" spans="1:19" ht="15" customHeight="1" x14ac:dyDescent="0.3">
      <c r="A378" s="335" t="s">
        <v>712</v>
      </c>
      <c r="B378" s="335" t="s">
        <v>26</v>
      </c>
      <c r="C378" s="335" t="s">
        <v>27</v>
      </c>
      <c r="D378" s="335" t="s">
        <v>617</v>
      </c>
      <c r="E378" s="336" t="s">
        <v>618</v>
      </c>
      <c r="F378" s="336" t="s">
        <v>35</v>
      </c>
      <c r="G378" s="337">
        <v>0.46153846153846201</v>
      </c>
      <c r="H378" s="338">
        <v>0.1</v>
      </c>
      <c r="I378" s="339">
        <v>2932.93</v>
      </c>
      <c r="J378" s="340">
        <v>1489.0260000000001</v>
      </c>
      <c r="K378" s="335" t="s">
        <v>716</v>
      </c>
      <c r="L378" s="335">
        <v>1</v>
      </c>
      <c r="M378" s="335" t="s">
        <v>717</v>
      </c>
      <c r="N378" s="339">
        <v>11</v>
      </c>
      <c r="O378" s="341">
        <v>0.46153846153846201</v>
      </c>
      <c r="P378" s="341" t="s">
        <v>25</v>
      </c>
      <c r="Q378" s="341">
        <v>0</v>
      </c>
      <c r="R378" s="342" t="s">
        <v>25</v>
      </c>
      <c r="S378" s="342" t="s">
        <v>25</v>
      </c>
    </row>
    <row r="379" spans="1:19" ht="15" customHeight="1" x14ac:dyDescent="0.3">
      <c r="A379" s="335" t="s">
        <v>712</v>
      </c>
      <c r="B379" s="335" t="s">
        <v>26</v>
      </c>
      <c r="C379" s="335" t="s">
        <v>27</v>
      </c>
      <c r="D379" s="335" t="s">
        <v>621</v>
      </c>
      <c r="E379" s="336" t="s">
        <v>622</v>
      </c>
      <c r="F379" s="336" t="s">
        <v>35</v>
      </c>
      <c r="G379" s="337">
        <v>1.15384615384615</v>
      </c>
      <c r="H379" s="338">
        <v>0.1</v>
      </c>
      <c r="I379" s="339">
        <v>3295.47</v>
      </c>
      <c r="J379" s="340">
        <v>4182.7119230769104</v>
      </c>
      <c r="K379" s="335" t="s">
        <v>716</v>
      </c>
      <c r="L379" s="335">
        <v>2</v>
      </c>
      <c r="M379" s="335" t="s">
        <v>718</v>
      </c>
      <c r="N379" s="339">
        <v>11</v>
      </c>
      <c r="O379" s="341">
        <v>1.15384615384615</v>
      </c>
      <c r="P379" s="341" t="s">
        <v>25</v>
      </c>
      <c r="Q379" s="341">
        <v>0</v>
      </c>
      <c r="R379" s="342" t="s">
        <v>25</v>
      </c>
      <c r="S379" s="342" t="s">
        <v>25</v>
      </c>
    </row>
    <row r="380" spans="1:19" ht="15" customHeight="1" x14ac:dyDescent="0.3">
      <c r="A380" s="335" t="s">
        <v>712</v>
      </c>
      <c r="B380" s="335" t="s">
        <v>26</v>
      </c>
      <c r="C380" s="335" t="s">
        <v>27</v>
      </c>
      <c r="D380" s="335" t="s">
        <v>592</v>
      </c>
      <c r="E380" s="336" t="s">
        <v>593</v>
      </c>
      <c r="F380" s="336" t="s">
        <v>35</v>
      </c>
      <c r="G380" s="337">
        <v>2.8125000000000001E-2</v>
      </c>
      <c r="H380" s="338">
        <v>0.1</v>
      </c>
      <c r="I380" s="339">
        <v>26872.02</v>
      </c>
      <c r="J380" s="340">
        <v>831.35311875000002</v>
      </c>
      <c r="K380" s="335" t="s">
        <v>716</v>
      </c>
      <c r="L380" s="335">
        <v>3</v>
      </c>
      <c r="M380" s="335" t="s">
        <v>719</v>
      </c>
      <c r="N380" s="339">
        <v>11</v>
      </c>
      <c r="O380" s="341">
        <v>2.8125000000000001E-2</v>
      </c>
      <c r="P380" s="341" t="s">
        <v>25</v>
      </c>
      <c r="Q380" s="341">
        <v>0</v>
      </c>
      <c r="R380" s="342" t="s">
        <v>25</v>
      </c>
      <c r="S380" s="342" t="s">
        <v>25</v>
      </c>
    </row>
    <row r="381" spans="1:19" ht="15" customHeight="1" x14ac:dyDescent="0.3">
      <c r="A381" s="335" t="s">
        <v>712</v>
      </c>
      <c r="B381" s="335" t="s">
        <v>26</v>
      </c>
      <c r="C381" s="335" t="s">
        <v>27</v>
      </c>
      <c r="D381" s="335" t="s">
        <v>595</v>
      </c>
      <c r="E381" s="336" t="s">
        <v>596</v>
      </c>
      <c r="F381" s="336" t="s">
        <v>35</v>
      </c>
      <c r="G381" s="337">
        <v>10</v>
      </c>
      <c r="H381" s="338">
        <v>0.1</v>
      </c>
      <c r="I381" s="339">
        <v>32.707173553719002</v>
      </c>
      <c r="J381" s="340">
        <v>359.778909090909</v>
      </c>
      <c r="K381" s="335" t="s">
        <v>716</v>
      </c>
      <c r="L381" s="335">
        <v>4</v>
      </c>
      <c r="M381" s="335" t="s">
        <v>720</v>
      </c>
      <c r="N381" s="339">
        <v>11</v>
      </c>
      <c r="O381" s="341">
        <v>10</v>
      </c>
      <c r="P381" s="341" t="s">
        <v>25</v>
      </c>
      <c r="Q381" s="341">
        <v>0</v>
      </c>
      <c r="R381" s="342" t="s">
        <v>25</v>
      </c>
      <c r="S381" s="342" t="s">
        <v>25</v>
      </c>
    </row>
    <row r="382" spans="1:19" ht="15" customHeight="1" x14ac:dyDescent="0.3">
      <c r="A382" s="335" t="s">
        <v>712</v>
      </c>
      <c r="B382" s="335" t="s">
        <v>26</v>
      </c>
      <c r="C382" s="335" t="s">
        <v>27</v>
      </c>
      <c r="D382" s="335" t="s">
        <v>598</v>
      </c>
      <c r="E382" s="336" t="s">
        <v>599</v>
      </c>
      <c r="F382" s="336" t="s">
        <v>35</v>
      </c>
      <c r="G382" s="337">
        <v>15</v>
      </c>
      <c r="H382" s="338">
        <v>0.1</v>
      </c>
      <c r="I382" s="339">
        <v>17.1963177226814</v>
      </c>
      <c r="J382" s="340">
        <v>283.739242424243</v>
      </c>
      <c r="K382" s="335" t="s">
        <v>716</v>
      </c>
      <c r="L382" s="335">
        <v>5</v>
      </c>
      <c r="M382" s="335" t="s">
        <v>721</v>
      </c>
      <c r="N382" s="339">
        <v>11</v>
      </c>
      <c r="O382" s="341">
        <v>15</v>
      </c>
      <c r="P382" s="341" t="s">
        <v>25</v>
      </c>
      <c r="Q382" s="341">
        <v>0</v>
      </c>
      <c r="R382" s="342" t="s">
        <v>25</v>
      </c>
      <c r="S382" s="342" t="s">
        <v>25</v>
      </c>
    </row>
    <row r="383" spans="1:19" ht="15" customHeight="1" x14ac:dyDescent="0.3">
      <c r="A383" s="335" t="s">
        <v>712</v>
      </c>
      <c r="B383" s="335" t="s">
        <v>26</v>
      </c>
      <c r="C383" s="335" t="s">
        <v>27</v>
      </c>
      <c r="D383" s="335" t="s">
        <v>601</v>
      </c>
      <c r="E383" s="336" t="s">
        <v>602</v>
      </c>
      <c r="F383" s="336" t="s">
        <v>35</v>
      </c>
      <c r="G383" s="337">
        <v>3.5</v>
      </c>
      <c r="H383" s="338">
        <v>0.1</v>
      </c>
      <c r="I383" s="339">
        <v>65.919008264462803</v>
      </c>
      <c r="J383" s="340">
        <v>253.78818181818201</v>
      </c>
      <c r="K383" s="335" t="s">
        <v>716</v>
      </c>
      <c r="L383" s="335">
        <v>6</v>
      </c>
      <c r="M383" s="335" t="s">
        <v>722</v>
      </c>
      <c r="N383" s="339">
        <v>11</v>
      </c>
      <c r="O383" s="341">
        <v>3.5</v>
      </c>
      <c r="P383" s="341" t="s">
        <v>25</v>
      </c>
      <c r="Q383" s="341">
        <v>0</v>
      </c>
      <c r="R383" s="342" t="s">
        <v>25</v>
      </c>
      <c r="S383" s="342" t="s">
        <v>25</v>
      </c>
    </row>
    <row r="384" spans="1:19" ht="15" customHeight="1" x14ac:dyDescent="0.3">
      <c r="A384" s="335" t="s">
        <v>712</v>
      </c>
      <c r="B384" s="335" t="s">
        <v>26</v>
      </c>
      <c r="C384" s="335" t="s">
        <v>27</v>
      </c>
      <c r="D384" s="335" t="s">
        <v>604</v>
      </c>
      <c r="E384" s="336" t="s">
        <v>605</v>
      </c>
      <c r="F384" s="336" t="s">
        <v>35</v>
      </c>
      <c r="G384" s="337">
        <v>0.02</v>
      </c>
      <c r="H384" s="338">
        <v>0.1</v>
      </c>
      <c r="I384" s="339">
        <v>4042.71</v>
      </c>
      <c r="J384" s="340">
        <v>88.939620000000005</v>
      </c>
      <c r="K384" s="335" t="s">
        <v>716</v>
      </c>
      <c r="L384" s="335">
        <v>7</v>
      </c>
      <c r="M384" s="335" t="s">
        <v>723</v>
      </c>
      <c r="N384" s="339">
        <v>11</v>
      </c>
      <c r="O384" s="341">
        <v>0.02</v>
      </c>
      <c r="P384" s="341" t="s">
        <v>25</v>
      </c>
      <c r="Q384" s="341">
        <v>0</v>
      </c>
      <c r="R384" s="342" t="s">
        <v>25</v>
      </c>
      <c r="S384" s="342" t="s">
        <v>25</v>
      </c>
    </row>
    <row r="385" spans="1:19" ht="15" customHeight="1" x14ac:dyDescent="0.3">
      <c r="A385" s="335" t="s">
        <v>712</v>
      </c>
      <c r="B385" s="335" t="s">
        <v>26</v>
      </c>
      <c r="C385" s="335" t="s">
        <v>27</v>
      </c>
      <c r="D385" s="335" t="s">
        <v>607</v>
      </c>
      <c r="E385" s="336" t="s">
        <v>608</v>
      </c>
      <c r="F385" s="336" t="s">
        <v>35</v>
      </c>
      <c r="G385" s="337">
        <v>0.36</v>
      </c>
      <c r="H385" s="338">
        <v>0.1</v>
      </c>
      <c r="I385" s="339">
        <v>10022.959999999999</v>
      </c>
      <c r="J385" s="340">
        <v>3969.0921600000001</v>
      </c>
      <c r="K385" s="335" t="s">
        <v>716</v>
      </c>
      <c r="L385" s="335">
        <v>8</v>
      </c>
      <c r="M385" s="335" t="s">
        <v>724</v>
      </c>
      <c r="N385" s="339">
        <v>11</v>
      </c>
      <c r="O385" s="341">
        <v>0.36</v>
      </c>
      <c r="P385" s="341" t="s">
        <v>25</v>
      </c>
      <c r="Q385" s="341">
        <v>0</v>
      </c>
      <c r="R385" s="342" t="s">
        <v>25</v>
      </c>
      <c r="S385" s="342" t="s">
        <v>25</v>
      </c>
    </row>
    <row r="386" spans="1:19" ht="15" customHeight="1" x14ac:dyDescent="0.3">
      <c r="A386" s="335" t="s">
        <v>712</v>
      </c>
      <c r="B386" s="335" t="s">
        <v>56</v>
      </c>
      <c r="C386" s="335" t="s">
        <v>57</v>
      </c>
      <c r="D386" s="343" t="s">
        <v>413</v>
      </c>
      <c r="E386" s="336" t="s">
        <v>414</v>
      </c>
      <c r="F386" s="336" t="s">
        <v>60</v>
      </c>
      <c r="G386" s="337">
        <v>1</v>
      </c>
      <c r="H386" s="338">
        <v>0</v>
      </c>
      <c r="I386" s="339">
        <v>65493.071636572</v>
      </c>
      <c r="J386" s="340">
        <v>65493.071636572</v>
      </c>
      <c r="K386" s="335" t="s">
        <v>725</v>
      </c>
      <c r="L386" s="335">
        <v>1</v>
      </c>
      <c r="M386" s="335" t="s">
        <v>726</v>
      </c>
      <c r="N386" s="339">
        <v>11</v>
      </c>
      <c r="O386" s="341">
        <v>9.0909090909090898E-2</v>
      </c>
      <c r="P386" s="341" t="s">
        <v>25</v>
      </c>
      <c r="Q386" s="341">
        <v>0</v>
      </c>
      <c r="R386" s="342" t="s">
        <v>25</v>
      </c>
      <c r="S386" s="342" t="s">
        <v>25</v>
      </c>
    </row>
    <row r="387" spans="1:19" ht="15" customHeight="1" x14ac:dyDescent="0.3">
      <c r="A387" s="335" t="s">
        <v>712</v>
      </c>
      <c r="B387" s="335" t="s">
        <v>56</v>
      </c>
      <c r="C387" s="335" t="s">
        <v>57</v>
      </c>
      <c r="D387" s="343" t="s">
        <v>63</v>
      </c>
      <c r="E387" s="336" t="s">
        <v>64</v>
      </c>
      <c r="F387" s="336" t="s">
        <v>60</v>
      </c>
      <c r="G387" s="337">
        <v>1</v>
      </c>
      <c r="H387" s="338">
        <v>0</v>
      </c>
      <c r="I387" s="339">
        <v>85927.097156571996</v>
      </c>
      <c r="J387" s="340">
        <v>85927.097156571996</v>
      </c>
      <c r="K387" s="335" t="s">
        <v>725</v>
      </c>
      <c r="L387" s="335">
        <v>2</v>
      </c>
      <c r="M387" s="335" t="s">
        <v>727</v>
      </c>
      <c r="N387" s="339">
        <v>11</v>
      </c>
      <c r="O387" s="341">
        <v>9.0909090909090898E-2</v>
      </c>
      <c r="P387" s="341" t="s">
        <v>25</v>
      </c>
      <c r="Q387" s="341">
        <v>0</v>
      </c>
      <c r="R387" s="342" t="s">
        <v>25</v>
      </c>
      <c r="S387" s="342" t="s">
        <v>25</v>
      </c>
    </row>
    <row r="388" spans="1:19" ht="15" customHeight="1" x14ac:dyDescent="0.3">
      <c r="A388" s="335" t="s">
        <v>728</v>
      </c>
      <c r="B388" s="335" t="s">
        <v>26</v>
      </c>
      <c r="C388" s="335" t="s">
        <v>27</v>
      </c>
      <c r="D388" s="335" t="s">
        <v>526</v>
      </c>
      <c r="E388" s="336" t="s">
        <v>527</v>
      </c>
      <c r="F388" s="336" t="s">
        <v>167</v>
      </c>
      <c r="G388" s="337">
        <v>1.2500000000000001E-2</v>
      </c>
      <c r="H388" s="338">
        <v>0.15</v>
      </c>
      <c r="I388" s="339">
        <v>2302.02</v>
      </c>
      <c r="J388" s="340">
        <v>33.091537500000001</v>
      </c>
      <c r="K388" s="335" t="s">
        <v>729</v>
      </c>
      <c r="L388" s="335">
        <v>1</v>
      </c>
      <c r="M388" s="335" t="s">
        <v>730</v>
      </c>
      <c r="N388" s="339">
        <v>26</v>
      </c>
      <c r="O388" s="341">
        <v>1.2500000000000001E-2</v>
      </c>
      <c r="P388" s="341" t="s">
        <v>25</v>
      </c>
      <c r="Q388" s="341">
        <v>0</v>
      </c>
      <c r="R388" s="342" t="s">
        <v>25</v>
      </c>
      <c r="S388" s="342" t="s">
        <v>25</v>
      </c>
    </row>
    <row r="389" spans="1:19" ht="15" customHeight="1" x14ac:dyDescent="0.3">
      <c r="A389" s="335" t="s">
        <v>728</v>
      </c>
      <c r="B389" s="335" t="s">
        <v>26</v>
      </c>
      <c r="C389" s="335" t="s">
        <v>27</v>
      </c>
      <c r="D389" s="335" t="s">
        <v>731</v>
      </c>
      <c r="E389" s="336" t="s">
        <v>732</v>
      </c>
      <c r="F389" s="336" t="s">
        <v>733</v>
      </c>
      <c r="G389" s="337">
        <v>0.125</v>
      </c>
      <c r="H389" s="338">
        <v>0.05</v>
      </c>
      <c r="I389" s="339">
        <v>2130.1681250000001</v>
      </c>
      <c r="J389" s="340">
        <v>279.58456640625002</v>
      </c>
      <c r="K389" s="335" t="s">
        <v>729</v>
      </c>
      <c r="L389" s="335">
        <v>2</v>
      </c>
      <c r="M389" s="335" t="s">
        <v>734</v>
      </c>
      <c r="N389" s="339">
        <v>26</v>
      </c>
      <c r="O389" s="341">
        <v>0.125</v>
      </c>
      <c r="P389" s="341" t="s">
        <v>25</v>
      </c>
      <c r="Q389" s="341">
        <v>0</v>
      </c>
      <c r="R389" s="342" t="s">
        <v>25</v>
      </c>
      <c r="S389" s="342" t="s">
        <v>25</v>
      </c>
    </row>
    <row r="390" spans="1:19" ht="15" customHeight="1" x14ac:dyDescent="0.3">
      <c r="A390" s="335" t="s">
        <v>728</v>
      </c>
      <c r="B390" s="335" t="s">
        <v>26</v>
      </c>
      <c r="C390" s="335" t="s">
        <v>27</v>
      </c>
      <c r="D390" s="335" t="s">
        <v>735</v>
      </c>
      <c r="E390" s="336" t="s">
        <v>736</v>
      </c>
      <c r="F390" s="336" t="s">
        <v>35</v>
      </c>
      <c r="G390" s="337">
        <v>1.25E-3</v>
      </c>
      <c r="H390" s="338">
        <v>0</v>
      </c>
      <c r="I390" s="339">
        <v>1180.82</v>
      </c>
      <c r="J390" s="340">
        <v>1.4760249999999999</v>
      </c>
      <c r="K390" s="335" t="s">
        <v>729</v>
      </c>
      <c r="L390" s="335">
        <v>3</v>
      </c>
      <c r="M390" s="335" t="s">
        <v>737</v>
      </c>
      <c r="N390" s="339">
        <v>26</v>
      </c>
      <c r="O390" s="341">
        <v>1.25E-3</v>
      </c>
      <c r="P390" s="341" t="s">
        <v>25</v>
      </c>
      <c r="Q390" s="341">
        <v>0</v>
      </c>
      <c r="R390" s="342" t="s">
        <v>25</v>
      </c>
      <c r="S390" s="342" t="s">
        <v>25</v>
      </c>
    </row>
    <row r="391" spans="1:19" ht="15" customHeight="1" x14ac:dyDescent="0.3">
      <c r="A391" s="335" t="s">
        <v>728</v>
      </c>
      <c r="B391" s="335" t="s">
        <v>26</v>
      </c>
      <c r="C391" s="335" t="s">
        <v>27</v>
      </c>
      <c r="D391" s="335" t="s">
        <v>738</v>
      </c>
      <c r="E391" s="336" t="s">
        <v>739</v>
      </c>
      <c r="F391" s="336" t="s">
        <v>740</v>
      </c>
      <c r="G391" s="337">
        <v>0.5</v>
      </c>
      <c r="H391" s="338">
        <v>0.05</v>
      </c>
      <c r="I391" s="339">
        <v>26322.68</v>
      </c>
      <c r="J391" s="340">
        <v>13819.406999999999</v>
      </c>
      <c r="K391" s="335" t="s">
        <v>729</v>
      </c>
      <c r="L391" s="335">
        <v>4</v>
      </c>
      <c r="M391" s="335" t="s">
        <v>741</v>
      </c>
      <c r="N391" s="339">
        <v>26</v>
      </c>
      <c r="O391" s="341">
        <v>0.5</v>
      </c>
      <c r="P391" s="341" t="s">
        <v>25</v>
      </c>
      <c r="Q391" s="341">
        <v>0</v>
      </c>
      <c r="R391" s="342" t="s">
        <v>25</v>
      </c>
      <c r="S391" s="342" t="s">
        <v>25</v>
      </c>
    </row>
    <row r="392" spans="1:19" ht="15" customHeight="1" x14ac:dyDescent="0.3">
      <c r="A392" s="335" t="s">
        <v>728</v>
      </c>
      <c r="B392" s="335" t="s">
        <v>26</v>
      </c>
      <c r="C392" s="335" t="s">
        <v>27</v>
      </c>
      <c r="D392" s="335" t="s">
        <v>742</v>
      </c>
      <c r="E392" s="336" t="s">
        <v>743</v>
      </c>
      <c r="F392" s="336" t="s">
        <v>744</v>
      </c>
      <c r="G392" s="337">
        <v>0.01</v>
      </c>
      <c r="H392" s="338">
        <v>0.02</v>
      </c>
      <c r="I392" s="339">
        <v>1213.73</v>
      </c>
      <c r="J392" s="340">
        <v>12.380046</v>
      </c>
      <c r="K392" s="335" t="s">
        <v>729</v>
      </c>
      <c r="L392" s="335">
        <v>5</v>
      </c>
      <c r="M392" s="335" t="s">
        <v>745</v>
      </c>
      <c r="N392" s="339">
        <v>26</v>
      </c>
      <c r="O392" s="341">
        <v>0.01</v>
      </c>
      <c r="P392" s="341" t="s">
        <v>25</v>
      </c>
      <c r="Q392" s="341">
        <v>0</v>
      </c>
      <c r="R392" s="342" t="s">
        <v>25</v>
      </c>
      <c r="S392" s="342" t="s">
        <v>25</v>
      </c>
    </row>
    <row r="393" spans="1:19" ht="15" customHeight="1" x14ac:dyDescent="0.3">
      <c r="A393" s="335" t="s">
        <v>728</v>
      </c>
      <c r="B393" s="335" t="s">
        <v>26</v>
      </c>
      <c r="C393" s="335" t="s">
        <v>27</v>
      </c>
      <c r="D393" s="335" t="s">
        <v>746</v>
      </c>
      <c r="E393" s="336" t="s">
        <v>747</v>
      </c>
      <c r="F393" s="336" t="s">
        <v>748</v>
      </c>
      <c r="G393" s="337">
        <v>2.4E-2</v>
      </c>
      <c r="H393" s="338">
        <v>0.02</v>
      </c>
      <c r="I393" s="339">
        <v>4442.2518</v>
      </c>
      <c r="J393" s="340">
        <v>108.74632406400001</v>
      </c>
      <c r="K393" s="335" t="s">
        <v>729</v>
      </c>
      <c r="L393" s="335">
        <v>6</v>
      </c>
      <c r="M393" s="335" t="s">
        <v>749</v>
      </c>
      <c r="N393" s="339">
        <v>26</v>
      </c>
      <c r="O393" s="341">
        <v>2.4E-2</v>
      </c>
      <c r="P393" s="341" t="s">
        <v>25</v>
      </c>
      <c r="Q393" s="341">
        <v>0</v>
      </c>
      <c r="R393" s="342" t="s">
        <v>25</v>
      </c>
      <c r="S393" s="342" t="s">
        <v>25</v>
      </c>
    </row>
    <row r="394" spans="1:19" ht="15" customHeight="1" x14ac:dyDescent="0.3">
      <c r="A394" s="335" t="s">
        <v>728</v>
      </c>
      <c r="B394" s="335" t="s">
        <v>56</v>
      </c>
      <c r="C394" s="335" t="s">
        <v>57</v>
      </c>
      <c r="D394" s="343" t="s">
        <v>58</v>
      </c>
      <c r="E394" s="336" t="s">
        <v>59</v>
      </c>
      <c r="F394" s="336" t="s">
        <v>60</v>
      </c>
      <c r="G394" s="337">
        <v>1</v>
      </c>
      <c r="H394" s="338">
        <v>0</v>
      </c>
      <c r="I394" s="339">
        <v>60860.580776572002</v>
      </c>
      <c r="J394" s="340">
        <v>60860.580776572002</v>
      </c>
      <c r="K394" s="335" t="s">
        <v>750</v>
      </c>
      <c r="L394" s="335">
        <v>1</v>
      </c>
      <c r="M394" s="335" t="s">
        <v>751</v>
      </c>
      <c r="N394" s="339">
        <v>26</v>
      </c>
      <c r="O394" s="341">
        <v>3.8461538461538498E-2</v>
      </c>
      <c r="P394" s="341" t="s">
        <v>25</v>
      </c>
      <c r="Q394" s="341">
        <v>0</v>
      </c>
      <c r="R394" s="342" t="s">
        <v>25</v>
      </c>
      <c r="S394" s="342" t="s">
        <v>25</v>
      </c>
    </row>
    <row r="395" spans="1:19" ht="15" customHeight="1" x14ac:dyDescent="0.3">
      <c r="A395" s="335" t="s">
        <v>728</v>
      </c>
      <c r="B395" s="335" t="s">
        <v>56</v>
      </c>
      <c r="C395" s="335" t="s">
        <v>57</v>
      </c>
      <c r="D395" s="343" t="s">
        <v>413</v>
      </c>
      <c r="E395" s="336" t="s">
        <v>414</v>
      </c>
      <c r="F395" s="336" t="s">
        <v>60</v>
      </c>
      <c r="G395" s="337">
        <v>1</v>
      </c>
      <c r="H395" s="338">
        <v>0</v>
      </c>
      <c r="I395" s="339">
        <v>65493.071636572</v>
      </c>
      <c r="J395" s="340">
        <v>65493.071636572</v>
      </c>
      <c r="K395" s="335" t="s">
        <v>750</v>
      </c>
      <c r="L395" s="335">
        <v>2</v>
      </c>
      <c r="M395" s="335" t="s">
        <v>752</v>
      </c>
      <c r="N395" s="339">
        <v>26</v>
      </c>
      <c r="O395" s="341">
        <v>3.8461538461538498E-2</v>
      </c>
      <c r="P395" s="341" t="s">
        <v>25</v>
      </c>
      <c r="Q395" s="341">
        <v>0</v>
      </c>
      <c r="R395" s="342" t="s">
        <v>25</v>
      </c>
      <c r="S395" s="342" t="s">
        <v>25</v>
      </c>
    </row>
    <row r="396" spans="1:19" ht="15" customHeight="1" x14ac:dyDescent="0.3">
      <c r="A396" s="335" t="s">
        <v>728</v>
      </c>
      <c r="B396" s="335" t="s">
        <v>56</v>
      </c>
      <c r="C396" s="335" t="s">
        <v>57</v>
      </c>
      <c r="D396" s="343" t="s">
        <v>63</v>
      </c>
      <c r="E396" s="336" t="s">
        <v>64</v>
      </c>
      <c r="F396" s="336" t="s">
        <v>60</v>
      </c>
      <c r="G396" s="337">
        <v>1</v>
      </c>
      <c r="H396" s="338">
        <v>0</v>
      </c>
      <c r="I396" s="339">
        <v>85927.097156571996</v>
      </c>
      <c r="J396" s="340">
        <v>85927.097156571996</v>
      </c>
      <c r="K396" s="335" t="s">
        <v>750</v>
      </c>
      <c r="L396" s="335">
        <v>3</v>
      </c>
      <c r="M396" s="335" t="s">
        <v>753</v>
      </c>
      <c r="N396" s="339">
        <v>26</v>
      </c>
      <c r="O396" s="341">
        <v>3.8461538461538498E-2</v>
      </c>
      <c r="P396" s="341" t="s">
        <v>25</v>
      </c>
      <c r="Q396" s="341">
        <v>0</v>
      </c>
      <c r="R396" s="342" t="s">
        <v>25</v>
      </c>
      <c r="S396" s="342" t="s">
        <v>25</v>
      </c>
    </row>
    <row r="397" spans="1:19" ht="15" customHeight="1" x14ac:dyDescent="0.3">
      <c r="A397" s="335" t="s">
        <v>754</v>
      </c>
      <c r="B397" s="335" t="s">
        <v>20</v>
      </c>
      <c r="C397" s="335"/>
      <c r="D397" s="335" t="s">
        <v>582</v>
      </c>
      <c r="E397" s="336" t="s">
        <v>583</v>
      </c>
      <c r="F397" s="336"/>
      <c r="G397" s="337">
        <v>1</v>
      </c>
      <c r="H397" s="338">
        <v>0</v>
      </c>
      <c r="I397" s="339">
        <v>2365.2381485799501</v>
      </c>
      <c r="J397" s="340">
        <v>2365.2381485799501</v>
      </c>
      <c r="K397" s="335" t="s">
        <v>755</v>
      </c>
      <c r="L397" s="335">
        <v>1</v>
      </c>
      <c r="M397" s="335" t="s">
        <v>756</v>
      </c>
      <c r="N397" s="339">
        <v>12</v>
      </c>
      <c r="O397" s="341">
        <v>1</v>
      </c>
      <c r="P397" s="341" t="s">
        <v>25</v>
      </c>
      <c r="Q397" s="341">
        <v>0</v>
      </c>
      <c r="R397" s="342" t="s">
        <v>25</v>
      </c>
      <c r="S397" s="342" t="s">
        <v>25</v>
      </c>
    </row>
    <row r="398" spans="1:19" ht="15" customHeight="1" x14ac:dyDescent="0.3">
      <c r="A398" s="335" t="s">
        <v>754</v>
      </c>
      <c r="B398" s="335" t="s">
        <v>20</v>
      </c>
      <c r="C398" s="335"/>
      <c r="D398" s="335" t="s">
        <v>578</v>
      </c>
      <c r="E398" s="336" t="s">
        <v>579</v>
      </c>
      <c r="F398" s="336"/>
      <c r="G398" s="337">
        <v>1</v>
      </c>
      <c r="H398" s="338">
        <v>0</v>
      </c>
      <c r="I398" s="339">
        <v>140.198092594309</v>
      </c>
      <c r="J398" s="340">
        <v>140.198092594309</v>
      </c>
      <c r="K398" s="335" t="s">
        <v>755</v>
      </c>
      <c r="L398" s="335">
        <v>2</v>
      </c>
      <c r="M398" s="335" t="s">
        <v>757</v>
      </c>
      <c r="N398" s="339">
        <v>12</v>
      </c>
      <c r="O398" s="341">
        <v>1</v>
      </c>
      <c r="P398" s="341" t="s">
        <v>25</v>
      </c>
      <c r="Q398" s="341">
        <v>0</v>
      </c>
      <c r="R398" s="342" t="s">
        <v>25</v>
      </c>
      <c r="S398" s="342" t="s">
        <v>25</v>
      </c>
    </row>
    <row r="399" spans="1:19" ht="15" customHeight="1" x14ac:dyDescent="0.3">
      <c r="A399" s="335" t="s">
        <v>754</v>
      </c>
      <c r="B399" s="335" t="s">
        <v>26</v>
      </c>
      <c r="C399" s="335" t="s">
        <v>27</v>
      </c>
      <c r="D399" s="335" t="s">
        <v>657</v>
      </c>
      <c r="E399" s="336" t="s">
        <v>658</v>
      </c>
      <c r="F399" s="336" t="s">
        <v>35</v>
      </c>
      <c r="G399" s="337">
        <v>0.06</v>
      </c>
      <c r="H399" s="338">
        <v>0.1</v>
      </c>
      <c r="I399" s="339">
        <v>2474.34710743802</v>
      </c>
      <c r="J399" s="340">
        <v>163.30690909090899</v>
      </c>
      <c r="K399" s="335" t="s">
        <v>758</v>
      </c>
      <c r="L399" s="335">
        <v>1</v>
      </c>
      <c r="M399" s="335" t="s">
        <v>759</v>
      </c>
      <c r="N399" s="339">
        <v>12</v>
      </c>
      <c r="O399" s="341">
        <v>0.06</v>
      </c>
      <c r="P399" s="341" t="s">
        <v>25</v>
      </c>
      <c r="Q399" s="341">
        <v>0</v>
      </c>
      <c r="R399" s="342" t="s">
        <v>25</v>
      </c>
      <c r="S399" s="342" t="s">
        <v>25</v>
      </c>
    </row>
    <row r="400" spans="1:19" ht="15" customHeight="1" x14ac:dyDescent="0.3">
      <c r="A400" s="335" t="s">
        <v>754</v>
      </c>
      <c r="B400" s="335" t="s">
        <v>26</v>
      </c>
      <c r="C400" s="335" t="s">
        <v>27</v>
      </c>
      <c r="D400" s="335" t="s">
        <v>661</v>
      </c>
      <c r="E400" s="336" t="s">
        <v>662</v>
      </c>
      <c r="F400" s="336" t="s">
        <v>35</v>
      </c>
      <c r="G400" s="337">
        <v>0.495</v>
      </c>
      <c r="H400" s="338">
        <v>0.1</v>
      </c>
      <c r="I400" s="339">
        <v>2470.5619834710801</v>
      </c>
      <c r="J400" s="340">
        <v>1345.221</v>
      </c>
      <c r="K400" s="335" t="s">
        <v>758</v>
      </c>
      <c r="L400" s="335">
        <v>2</v>
      </c>
      <c r="M400" s="335" t="s">
        <v>760</v>
      </c>
      <c r="N400" s="339">
        <v>12</v>
      </c>
      <c r="O400" s="341">
        <v>0.495</v>
      </c>
      <c r="P400" s="341" t="s">
        <v>25</v>
      </c>
      <c r="Q400" s="341">
        <v>0</v>
      </c>
      <c r="R400" s="342" t="s">
        <v>25</v>
      </c>
      <c r="S400" s="342" t="s">
        <v>25</v>
      </c>
    </row>
    <row r="401" spans="1:19" ht="15" customHeight="1" x14ac:dyDescent="0.3">
      <c r="A401" s="335" t="s">
        <v>754</v>
      </c>
      <c r="B401" s="335" t="s">
        <v>26</v>
      </c>
      <c r="C401" s="335" t="s">
        <v>27</v>
      </c>
      <c r="D401" s="335" t="s">
        <v>601</v>
      </c>
      <c r="E401" s="336" t="s">
        <v>602</v>
      </c>
      <c r="F401" s="336" t="s">
        <v>35</v>
      </c>
      <c r="G401" s="337">
        <v>6</v>
      </c>
      <c r="H401" s="338">
        <v>0.1</v>
      </c>
      <c r="I401" s="339">
        <v>65.919008264462803</v>
      </c>
      <c r="J401" s="340">
        <v>435.065454545455</v>
      </c>
      <c r="K401" s="335" t="s">
        <v>758</v>
      </c>
      <c r="L401" s="335">
        <v>3</v>
      </c>
      <c r="M401" s="335" t="s">
        <v>761</v>
      </c>
      <c r="N401" s="339">
        <v>12</v>
      </c>
      <c r="O401" s="341">
        <v>6</v>
      </c>
      <c r="P401" s="341" t="s">
        <v>25</v>
      </c>
      <c r="Q401" s="341">
        <v>0</v>
      </c>
      <c r="R401" s="342" t="s">
        <v>25</v>
      </c>
      <c r="S401" s="342" t="s">
        <v>25</v>
      </c>
    </row>
    <row r="402" spans="1:19" ht="15" customHeight="1" x14ac:dyDescent="0.3">
      <c r="A402" s="335" t="s">
        <v>754</v>
      </c>
      <c r="B402" s="335" t="s">
        <v>26</v>
      </c>
      <c r="C402" s="335" t="s">
        <v>27</v>
      </c>
      <c r="D402" s="335" t="s">
        <v>665</v>
      </c>
      <c r="E402" s="336" t="s">
        <v>666</v>
      </c>
      <c r="F402" s="336" t="s">
        <v>35</v>
      </c>
      <c r="G402" s="337">
        <v>0.45</v>
      </c>
      <c r="H402" s="338">
        <v>0.1</v>
      </c>
      <c r="I402" s="339">
        <v>3894.6611570247901</v>
      </c>
      <c r="J402" s="340">
        <v>1927.8572727272699</v>
      </c>
      <c r="K402" s="335" t="s">
        <v>758</v>
      </c>
      <c r="L402" s="335">
        <v>4</v>
      </c>
      <c r="M402" s="335" t="s">
        <v>762</v>
      </c>
      <c r="N402" s="339">
        <v>12</v>
      </c>
      <c r="O402" s="341">
        <v>0.45</v>
      </c>
      <c r="P402" s="341" t="s">
        <v>25</v>
      </c>
      <c r="Q402" s="341">
        <v>0</v>
      </c>
      <c r="R402" s="342" t="s">
        <v>25</v>
      </c>
      <c r="S402" s="342" t="s">
        <v>25</v>
      </c>
    </row>
    <row r="403" spans="1:19" ht="15" customHeight="1" x14ac:dyDescent="0.3">
      <c r="A403" s="335" t="s">
        <v>754</v>
      </c>
      <c r="B403" s="335" t="s">
        <v>26</v>
      </c>
      <c r="C403" s="335" t="s">
        <v>27</v>
      </c>
      <c r="D403" s="335" t="s">
        <v>763</v>
      </c>
      <c r="E403" s="336" t="s">
        <v>764</v>
      </c>
      <c r="F403" s="336" t="s">
        <v>35</v>
      </c>
      <c r="G403" s="337">
        <v>2.62</v>
      </c>
      <c r="H403" s="338">
        <v>0.1</v>
      </c>
      <c r="I403" s="339">
        <v>1262.17355371901</v>
      </c>
      <c r="J403" s="340">
        <v>3637.5841818181898</v>
      </c>
      <c r="K403" s="335" t="s">
        <v>758</v>
      </c>
      <c r="L403" s="335">
        <v>5</v>
      </c>
      <c r="M403" s="335" t="s">
        <v>765</v>
      </c>
      <c r="N403" s="339">
        <v>12</v>
      </c>
      <c r="O403" s="341">
        <v>2.62</v>
      </c>
      <c r="P403" s="341" t="s">
        <v>25</v>
      </c>
      <c r="Q403" s="341">
        <v>0</v>
      </c>
      <c r="R403" s="342" t="s">
        <v>25</v>
      </c>
      <c r="S403" s="342" t="s">
        <v>25</v>
      </c>
    </row>
    <row r="404" spans="1:19" ht="15" customHeight="1" x14ac:dyDescent="0.3">
      <c r="A404" s="335" t="s">
        <v>754</v>
      </c>
      <c r="B404" s="335" t="s">
        <v>26</v>
      </c>
      <c r="C404" s="335" t="s">
        <v>27</v>
      </c>
      <c r="D404" s="335" t="s">
        <v>766</v>
      </c>
      <c r="E404" s="336" t="s">
        <v>767</v>
      </c>
      <c r="F404" s="336" t="s">
        <v>35</v>
      </c>
      <c r="G404" s="337">
        <v>1.3888888888888899</v>
      </c>
      <c r="H404" s="338">
        <v>0.1</v>
      </c>
      <c r="I404" s="339">
        <v>4751.7078772422501</v>
      </c>
      <c r="J404" s="340">
        <v>7259.55370134233</v>
      </c>
      <c r="K404" s="335" t="s">
        <v>758</v>
      </c>
      <c r="L404" s="335">
        <v>6</v>
      </c>
      <c r="M404" s="335" t="s">
        <v>768</v>
      </c>
      <c r="N404" s="339">
        <v>12</v>
      </c>
      <c r="O404" s="341">
        <v>1.3888888888888899</v>
      </c>
      <c r="P404" s="341" t="s">
        <v>25</v>
      </c>
      <c r="Q404" s="341">
        <v>0</v>
      </c>
      <c r="R404" s="342" t="s">
        <v>25</v>
      </c>
      <c r="S404" s="342" t="s">
        <v>25</v>
      </c>
    </row>
    <row r="405" spans="1:19" ht="15" customHeight="1" x14ac:dyDescent="0.3">
      <c r="A405" s="335" t="s">
        <v>754</v>
      </c>
      <c r="B405" s="335" t="s">
        <v>56</v>
      </c>
      <c r="C405" s="335" t="s">
        <v>57</v>
      </c>
      <c r="D405" s="343" t="s">
        <v>413</v>
      </c>
      <c r="E405" s="336" t="s">
        <v>414</v>
      </c>
      <c r="F405" s="336" t="s">
        <v>60</v>
      </c>
      <c r="G405" s="337">
        <v>1</v>
      </c>
      <c r="H405" s="338">
        <v>0</v>
      </c>
      <c r="I405" s="339">
        <v>65493.071636572</v>
      </c>
      <c r="J405" s="340">
        <v>65493.071636572</v>
      </c>
      <c r="K405" s="335" t="s">
        <v>769</v>
      </c>
      <c r="L405" s="335">
        <v>1</v>
      </c>
      <c r="M405" s="335" t="s">
        <v>770</v>
      </c>
      <c r="N405" s="339">
        <v>12</v>
      </c>
      <c r="O405" s="341">
        <v>8.3333333333333301E-2</v>
      </c>
      <c r="P405" s="341" t="s">
        <v>25</v>
      </c>
      <c r="Q405" s="341">
        <v>0</v>
      </c>
      <c r="R405" s="342" t="s">
        <v>25</v>
      </c>
      <c r="S405" s="342" t="s">
        <v>25</v>
      </c>
    </row>
    <row r="406" spans="1:19" ht="15" customHeight="1" x14ac:dyDescent="0.3">
      <c r="A406" s="335" t="s">
        <v>754</v>
      </c>
      <c r="B406" s="335" t="s">
        <v>56</v>
      </c>
      <c r="C406" s="335" t="s">
        <v>57</v>
      </c>
      <c r="D406" s="343" t="s">
        <v>63</v>
      </c>
      <c r="E406" s="336" t="s">
        <v>64</v>
      </c>
      <c r="F406" s="336" t="s">
        <v>60</v>
      </c>
      <c r="G406" s="337">
        <v>1</v>
      </c>
      <c r="H406" s="338">
        <v>0</v>
      </c>
      <c r="I406" s="339">
        <v>85927.097156571996</v>
      </c>
      <c r="J406" s="340">
        <v>85927.097156571996</v>
      </c>
      <c r="K406" s="335" t="s">
        <v>769</v>
      </c>
      <c r="L406" s="335">
        <v>2</v>
      </c>
      <c r="M406" s="335" t="s">
        <v>771</v>
      </c>
      <c r="N406" s="339">
        <v>12</v>
      </c>
      <c r="O406" s="341">
        <v>8.3333333333333301E-2</v>
      </c>
      <c r="P406" s="341" t="s">
        <v>25</v>
      </c>
      <c r="Q406" s="341">
        <v>0</v>
      </c>
      <c r="R406" s="342" t="s">
        <v>25</v>
      </c>
      <c r="S406" s="342" t="s">
        <v>25</v>
      </c>
    </row>
    <row r="407" spans="1:19" ht="15" customHeight="1" x14ac:dyDescent="0.3">
      <c r="A407" s="335" t="s">
        <v>772</v>
      </c>
      <c r="B407" s="335" t="s">
        <v>20</v>
      </c>
      <c r="C407" s="335"/>
      <c r="D407" s="335" t="s">
        <v>67</v>
      </c>
      <c r="E407" s="336" t="s">
        <v>68</v>
      </c>
      <c r="F407" s="336"/>
      <c r="G407" s="337">
        <v>0.5</v>
      </c>
      <c r="H407" s="338">
        <v>0</v>
      </c>
      <c r="I407" s="339">
        <v>571.17949098076099</v>
      </c>
      <c r="J407" s="340">
        <v>285.58974549038101</v>
      </c>
      <c r="K407" s="335" t="s">
        <v>773</v>
      </c>
      <c r="L407" s="335">
        <v>1</v>
      </c>
      <c r="M407" s="335" t="s">
        <v>774</v>
      </c>
      <c r="N407" s="339">
        <v>3.25</v>
      </c>
      <c r="O407" s="341">
        <v>0.5</v>
      </c>
      <c r="P407" s="341" t="s">
        <v>25</v>
      </c>
      <c r="Q407" s="341">
        <v>0</v>
      </c>
      <c r="R407" s="342" t="s">
        <v>25</v>
      </c>
      <c r="S407" s="342" t="s">
        <v>25</v>
      </c>
    </row>
    <row r="408" spans="1:19" ht="15" customHeight="1" x14ac:dyDescent="0.3">
      <c r="A408" s="335" t="s">
        <v>772</v>
      </c>
      <c r="B408" s="335" t="s">
        <v>20</v>
      </c>
      <c r="C408" s="335"/>
      <c r="D408" s="335" t="s">
        <v>775</v>
      </c>
      <c r="E408" s="336" t="s">
        <v>776</v>
      </c>
      <c r="F408" s="336"/>
      <c r="G408" s="337">
        <v>1</v>
      </c>
      <c r="H408" s="338">
        <v>0</v>
      </c>
      <c r="I408" s="339">
        <v>5063.0947914732396</v>
      </c>
      <c r="J408" s="340">
        <v>5063.0947914732396</v>
      </c>
      <c r="K408" s="335" t="s">
        <v>773</v>
      </c>
      <c r="L408" s="335">
        <v>2</v>
      </c>
      <c r="M408" s="335" t="s">
        <v>777</v>
      </c>
      <c r="N408" s="339">
        <v>3.25</v>
      </c>
      <c r="O408" s="341">
        <v>1</v>
      </c>
      <c r="P408" s="341" t="s">
        <v>25</v>
      </c>
      <c r="Q408" s="341">
        <v>0</v>
      </c>
      <c r="R408" s="342" t="s">
        <v>25</v>
      </c>
      <c r="S408" s="342" t="s">
        <v>25</v>
      </c>
    </row>
    <row r="409" spans="1:19" ht="15" customHeight="1" x14ac:dyDescent="0.3">
      <c r="A409" s="335" t="s">
        <v>772</v>
      </c>
      <c r="B409" s="335" t="s">
        <v>20</v>
      </c>
      <c r="C409" s="335"/>
      <c r="D409" s="335" t="s">
        <v>578</v>
      </c>
      <c r="E409" s="336" t="s">
        <v>579</v>
      </c>
      <c r="F409" s="336"/>
      <c r="G409" s="337">
        <v>0.5</v>
      </c>
      <c r="H409" s="338">
        <v>0</v>
      </c>
      <c r="I409" s="339">
        <v>140.198092594309</v>
      </c>
      <c r="J409" s="340">
        <v>70.099046297154501</v>
      </c>
      <c r="K409" s="335" t="s">
        <v>773</v>
      </c>
      <c r="L409" s="335">
        <v>3</v>
      </c>
      <c r="M409" s="335" t="s">
        <v>778</v>
      </c>
      <c r="N409" s="339">
        <v>3.25</v>
      </c>
      <c r="O409" s="341">
        <v>0.5</v>
      </c>
      <c r="P409" s="341" t="s">
        <v>25</v>
      </c>
      <c r="Q409" s="341">
        <v>0</v>
      </c>
      <c r="R409" s="342" t="s">
        <v>25</v>
      </c>
      <c r="S409" s="342" t="s">
        <v>25</v>
      </c>
    </row>
    <row r="410" spans="1:19" ht="15" customHeight="1" x14ac:dyDescent="0.3">
      <c r="A410" s="335" t="s">
        <v>772</v>
      </c>
      <c r="B410" s="335" t="s">
        <v>26</v>
      </c>
      <c r="C410" s="335" t="s">
        <v>27</v>
      </c>
      <c r="D410" s="335" t="s">
        <v>779</v>
      </c>
      <c r="E410" s="336" t="s">
        <v>780</v>
      </c>
      <c r="F410" s="336" t="s">
        <v>35</v>
      </c>
      <c r="G410" s="337">
        <v>3</v>
      </c>
      <c r="H410" s="338">
        <v>0.1</v>
      </c>
      <c r="I410" s="339">
        <v>282.29000000000002</v>
      </c>
      <c r="J410" s="340">
        <v>931.55700000000002</v>
      </c>
      <c r="K410" s="335" t="s">
        <v>781</v>
      </c>
      <c r="L410" s="335">
        <v>1</v>
      </c>
      <c r="M410" s="335" t="s">
        <v>782</v>
      </c>
      <c r="N410" s="339">
        <v>3.25</v>
      </c>
      <c r="O410" s="341">
        <v>3</v>
      </c>
      <c r="P410" s="341" t="s">
        <v>25</v>
      </c>
      <c r="Q410" s="341">
        <v>0</v>
      </c>
      <c r="R410" s="342" t="s">
        <v>25</v>
      </c>
      <c r="S410" s="342" t="s">
        <v>25</v>
      </c>
    </row>
    <row r="411" spans="1:19" ht="15" customHeight="1" x14ac:dyDescent="0.3">
      <c r="A411" s="335" t="s">
        <v>772</v>
      </c>
      <c r="B411" s="335" t="s">
        <v>26</v>
      </c>
      <c r="C411" s="335" t="s">
        <v>27</v>
      </c>
      <c r="D411" s="335" t="s">
        <v>783</v>
      </c>
      <c r="E411" s="336" t="s">
        <v>784</v>
      </c>
      <c r="F411" s="336" t="s">
        <v>744</v>
      </c>
      <c r="G411" s="337">
        <v>5</v>
      </c>
      <c r="H411" s="338">
        <v>0.1</v>
      </c>
      <c r="I411" s="339">
        <v>635.55999999999995</v>
      </c>
      <c r="J411" s="340">
        <v>3495.58</v>
      </c>
      <c r="K411" s="335" t="s">
        <v>781</v>
      </c>
      <c r="L411" s="335">
        <v>2</v>
      </c>
      <c r="M411" s="335" t="s">
        <v>785</v>
      </c>
      <c r="N411" s="339">
        <v>3.25</v>
      </c>
      <c r="O411" s="341">
        <v>5</v>
      </c>
      <c r="P411" s="341" t="s">
        <v>25</v>
      </c>
      <c r="Q411" s="341">
        <v>0</v>
      </c>
      <c r="R411" s="342" t="s">
        <v>25</v>
      </c>
      <c r="S411" s="342" t="s">
        <v>25</v>
      </c>
    </row>
    <row r="412" spans="1:19" ht="15" customHeight="1" x14ac:dyDescent="0.3">
      <c r="A412" s="335" t="s">
        <v>772</v>
      </c>
      <c r="B412" s="335" t="s">
        <v>26</v>
      </c>
      <c r="C412" s="335" t="s">
        <v>27</v>
      </c>
      <c r="D412" s="335" t="s">
        <v>786</v>
      </c>
      <c r="E412" s="336" t="s">
        <v>787</v>
      </c>
      <c r="F412" s="336" t="s">
        <v>35</v>
      </c>
      <c r="G412" s="337">
        <v>2</v>
      </c>
      <c r="H412" s="338">
        <v>0.1</v>
      </c>
      <c r="I412" s="339">
        <v>184.87</v>
      </c>
      <c r="J412" s="340">
        <v>406.714</v>
      </c>
      <c r="K412" s="335" t="s">
        <v>781</v>
      </c>
      <c r="L412" s="335">
        <v>3</v>
      </c>
      <c r="M412" s="335" t="s">
        <v>788</v>
      </c>
      <c r="N412" s="339">
        <v>3.25</v>
      </c>
      <c r="O412" s="341">
        <v>2</v>
      </c>
      <c r="P412" s="341" t="s">
        <v>25</v>
      </c>
      <c r="Q412" s="341">
        <v>0</v>
      </c>
      <c r="R412" s="342" t="s">
        <v>25</v>
      </c>
      <c r="S412" s="342" t="s">
        <v>25</v>
      </c>
    </row>
    <row r="413" spans="1:19" ht="15" customHeight="1" x14ac:dyDescent="0.3">
      <c r="A413" s="335" t="s">
        <v>772</v>
      </c>
      <c r="B413" s="335" t="s">
        <v>26</v>
      </c>
      <c r="C413" s="335" t="s">
        <v>27</v>
      </c>
      <c r="D413" s="335" t="s">
        <v>789</v>
      </c>
      <c r="E413" s="336" t="s">
        <v>790</v>
      </c>
      <c r="F413" s="336" t="s">
        <v>744</v>
      </c>
      <c r="G413" s="337">
        <v>7.5</v>
      </c>
      <c r="H413" s="338">
        <v>0.1</v>
      </c>
      <c r="I413" s="339">
        <v>316.44450000000001</v>
      </c>
      <c r="J413" s="340">
        <v>2610.6671249999999</v>
      </c>
      <c r="K413" s="335" t="s">
        <v>781</v>
      </c>
      <c r="L413" s="335">
        <v>4</v>
      </c>
      <c r="M413" s="335" t="s">
        <v>791</v>
      </c>
      <c r="N413" s="339">
        <v>3.25</v>
      </c>
      <c r="O413" s="341">
        <v>7.5</v>
      </c>
      <c r="P413" s="341" t="s">
        <v>25</v>
      </c>
      <c r="Q413" s="341">
        <v>0</v>
      </c>
      <c r="R413" s="342" t="s">
        <v>25</v>
      </c>
      <c r="S413" s="342" t="s">
        <v>25</v>
      </c>
    </row>
    <row r="414" spans="1:19" ht="15" customHeight="1" x14ac:dyDescent="0.3">
      <c r="A414" s="335" t="s">
        <v>772</v>
      </c>
      <c r="B414" s="335" t="s">
        <v>26</v>
      </c>
      <c r="C414" s="335" t="s">
        <v>27</v>
      </c>
      <c r="D414" s="335" t="s">
        <v>792</v>
      </c>
      <c r="E414" s="336" t="s">
        <v>793</v>
      </c>
      <c r="F414" s="336" t="s">
        <v>744</v>
      </c>
      <c r="G414" s="337">
        <v>5</v>
      </c>
      <c r="H414" s="338">
        <v>0.1</v>
      </c>
      <c r="I414" s="339">
        <v>509.31490000000002</v>
      </c>
      <c r="J414" s="340">
        <v>2801.2319499999999</v>
      </c>
      <c r="K414" s="335" t="s">
        <v>781</v>
      </c>
      <c r="L414" s="335">
        <v>5</v>
      </c>
      <c r="M414" s="335" t="s">
        <v>794</v>
      </c>
      <c r="N414" s="339">
        <v>3.25</v>
      </c>
      <c r="O414" s="341">
        <v>5</v>
      </c>
      <c r="P414" s="341" t="s">
        <v>25</v>
      </c>
      <c r="Q414" s="341">
        <v>0</v>
      </c>
      <c r="R414" s="342" t="s">
        <v>25</v>
      </c>
      <c r="S414" s="342" t="s">
        <v>25</v>
      </c>
    </row>
    <row r="415" spans="1:19" ht="15" customHeight="1" x14ac:dyDescent="0.3">
      <c r="A415" s="335" t="s">
        <v>772</v>
      </c>
      <c r="B415" s="335" t="s">
        <v>26</v>
      </c>
      <c r="C415" s="335" t="s">
        <v>27</v>
      </c>
      <c r="D415" s="335" t="s">
        <v>795</v>
      </c>
      <c r="E415" s="336" t="s">
        <v>796</v>
      </c>
      <c r="F415" s="336" t="s">
        <v>744</v>
      </c>
      <c r="G415" s="337">
        <v>7.5</v>
      </c>
      <c r="H415" s="338">
        <v>0.1</v>
      </c>
      <c r="I415" s="339">
        <v>509.31490000000002</v>
      </c>
      <c r="J415" s="340">
        <v>4201.847925</v>
      </c>
      <c r="K415" s="335" t="s">
        <v>781</v>
      </c>
      <c r="L415" s="335">
        <v>6</v>
      </c>
      <c r="M415" s="335" t="s">
        <v>797</v>
      </c>
      <c r="N415" s="339">
        <v>3.25</v>
      </c>
      <c r="O415" s="341">
        <v>7.5</v>
      </c>
      <c r="P415" s="341" t="s">
        <v>25</v>
      </c>
      <c r="Q415" s="341">
        <v>0</v>
      </c>
      <c r="R415" s="342" t="s">
        <v>25</v>
      </c>
      <c r="S415" s="342" t="s">
        <v>25</v>
      </c>
    </row>
    <row r="416" spans="1:19" ht="15" customHeight="1" x14ac:dyDescent="0.3">
      <c r="A416" s="335" t="s">
        <v>772</v>
      </c>
      <c r="B416" s="335" t="s">
        <v>26</v>
      </c>
      <c r="C416" s="335" t="s">
        <v>27</v>
      </c>
      <c r="D416" s="335" t="s">
        <v>798</v>
      </c>
      <c r="E416" s="336" t="s">
        <v>799</v>
      </c>
      <c r="F416" s="336" t="s">
        <v>35</v>
      </c>
      <c r="G416" s="337">
        <v>1</v>
      </c>
      <c r="H416" s="338">
        <v>0.05</v>
      </c>
      <c r="I416" s="339">
        <v>202.42</v>
      </c>
      <c r="J416" s="340">
        <v>212.541</v>
      </c>
      <c r="K416" s="335" t="s">
        <v>781</v>
      </c>
      <c r="L416" s="335">
        <v>7</v>
      </c>
      <c r="M416" s="335" t="s">
        <v>800</v>
      </c>
      <c r="N416" s="339">
        <v>3.25</v>
      </c>
      <c r="O416" s="341">
        <v>1</v>
      </c>
      <c r="P416" s="341" t="s">
        <v>25</v>
      </c>
      <c r="Q416" s="341">
        <v>0</v>
      </c>
      <c r="R416" s="342" t="s">
        <v>25</v>
      </c>
      <c r="S416" s="342" t="s">
        <v>25</v>
      </c>
    </row>
    <row r="417" spans="1:19" ht="15" customHeight="1" x14ac:dyDescent="0.3">
      <c r="A417" s="335" t="s">
        <v>772</v>
      </c>
      <c r="B417" s="335" t="s">
        <v>26</v>
      </c>
      <c r="C417" s="335" t="s">
        <v>27</v>
      </c>
      <c r="D417" s="335" t="s">
        <v>801</v>
      </c>
      <c r="E417" s="336" t="s">
        <v>802</v>
      </c>
      <c r="F417" s="336" t="s">
        <v>35</v>
      </c>
      <c r="G417" s="337">
        <v>0.5</v>
      </c>
      <c r="H417" s="338">
        <v>0.05</v>
      </c>
      <c r="I417" s="339">
        <v>202.42</v>
      </c>
      <c r="J417" s="340">
        <v>106.2705</v>
      </c>
      <c r="K417" s="335" t="s">
        <v>781</v>
      </c>
      <c r="L417" s="335">
        <v>8</v>
      </c>
      <c r="M417" s="335" t="s">
        <v>803</v>
      </c>
      <c r="N417" s="339">
        <v>3.25</v>
      </c>
      <c r="O417" s="341">
        <v>0.5</v>
      </c>
      <c r="P417" s="341" t="s">
        <v>25</v>
      </c>
      <c r="Q417" s="341">
        <v>0</v>
      </c>
      <c r="R417" s="342" t="s">
        <v>25</v>
      </c>
      <c r="S417" s="342" t="s">
        <v>25</v>
      </c>
    </row>
    <row r="418" spans="1:19" ht="15" customHeight="1" x14ac:dyDescent="0.3">
      <c r="A418" s="335" t="s">
        <v>772</v>
      </c>
      <c r="B418" s="335" t="s">
        <v>26</v>
      </c>
      <c r="C418" s="335" t="s">
        <v>27</v>
      </c>
      <c r="D418" s="335" t="s">
        <v>96</v>
      </c>
      <c r="E418" s="336" t="s">
        <v>97</v>
      </c>
      <c r="F418" s="336" t="s">
        <v>98</v>
      </c>
      <c r="G418" s="337">
        <v>3100.945995</v>
      </c>
      <c r="H418" s="338">
        <v>0</v>
      </c>
      <c r="I418" s="339">
        <v>1</v>
      </c>
      <c r="J418" s="340">
        <v>3100.945995</v>
      </c>
      <c r="K418" s="335" t="s">
        <v>781</v>
      </c>
      <c r="L418" s="335">
        <v>9</v>
      </c>
      <c r="M418" s="335" t="s">
        <v>804</v>
      </c>
      <c r="N418" s="339">
        <v>3.25</v>
      </c>
      <c r="O418" s="341">
        <v>3100.945995</v>
      </c>
      <c r="P418" s="341" t="s">
        <v>25</v>
      </c>
      <c r="Q418" s="341">
        <v>0</v>
      </c>
      <c r="R418" s="342" t="s">
        <v>25</v>
      </c>
      <c r="S418" s="342" t="s">
        <v>25</v>
      </c>
    </row>
    <row r="419" spans="1:19" ht="15" customHeight="1" x14ac:dyDescent="0.3">
      <c r="A419" s="335" t="s">
        <v>772</v>
      </c>
      <c r="B419" s="335" t="s">
        <v>56</v>
      </c>
      <c r="C419" s="335" t="s">
        <v>57</v>
      </c>
      <c r="D419" s="343" t="s">
        <v>58</v>
      </c>
      <c r="E419" s="336" t="s">
        <v>59</v>
      </c>
      <c r="F419" s="336" t="s">
        <v>60</v>
      </c>
      <c r="G419" s="337">
        <v>1</v>
      </c>
      <c r="H419" s="338">
        <v>0</v>
      </c>
      <c r="I419" s="339">
        <v>60860.580776572002</v>
      </c>
      <c r="J419" s="340">
        <v>60860.580776572002</v>
      </c>
      <c r="K419" s="335" t="s">
        <v>805</v>
      </c>
      <c r="L419" s="335">
        <v>1</v>
      </c>
      <c r="M419" s="335" t="s">
        <v>806</v>
      </c>
      <c r="N419" s="339">
        <v>3.25</v>
      </c>
      <c r="O419" s="341">
        <v>0.30769230769230799</v>
      </c>
      <c r="P419" s="341" t="s">
        <v>25</v>
      </c>
      <c r="Q419" s="341">
        <v>0</v>
      </c>
      <c r="R419" s="342" t="s">
        <v>25</v>
      </c>
      <c r="S419" s="342" t="s">
        <v>25</v>
      </c>
    </row>
    <row r="420" spans="1:19" ht="15" customHeight="1" x14ac:dyDescent="0.3">
      <c r="A420" s="335" t="s">
        <v>772</v>
      </c>
      <c r="B420" s="335" t="s">
        <v>56</v>
      </c>
      <c r="C420" s="335" t="s">
        <v>57</v>
      </c>
      <c r="D420" s="343" t="s">
        <v>63</v>
      </c>
      <c r="E420" s="336" t="s">
        <v>64</v>
      </c>
      <c r="F420" s="336" t="s">
        <v>60</v>
      </c>
      <c r="G420" s="337">
        <v>1</v>
      </c>
      <c r="H420" s="338">
        <v>0</v>
      </c>
      <c r="I420" s="339">
        <v>85927.097156571996</v>
      </c>
      <c r="J420" s="340">
        <v>85927.097156571996</v>
      </c>
      <c r="K420" s="335" t="s">
        <v>805</v>
      </c>
      <c r="L420" s="335">
        <v>2</v>
      </c>
      <c r="M420" s="335" t="s">
        <v>807</v>
      </c>
      <c r="N420" s="339">
        <v>3.25</v>
      </c>
      <c r="O420" s="341">
        <v>0.30769230769230799</v>
      </c>
      <c r="P420" s="341" t="s">
        <v>25</v>
      </c>
      <c r="Q420" s="341">
        <v>0</v>
      </c>
      <c r="R420" s="342" t="s">
        <v>25</v>
      </c>
      <c r="S420" s="342" t="s">
        <v>25</v>
      </c>
    </row>
    <row r="421" spans="1:19" ht="15" customHeight="1" x14ac:dyDescent="0.3">
      <c r="A421" s="335" t="s">
        <v>808</v>
      </c>
      <c r="B421" s="335" t="s">
        <v>20</v>
      </c>
      <c r="C421" s="335"/>
      <c r="D421" s="335" t="s">
        <v>67</v>
      </c>
      <c r="E421" s="336" t="s">
        <v>68</v>
      </c>
      <c r="F421" s="336"/>
      <c r="G421" s="337">
        <v>0.5</v>
      </c>
      <c r="H421" s="338">
        <v>0</v>
      </c>
      <c r="I421" s="339">
        <v>571.17949098076099</v>
      </c>
      <c r="J421" s="340">
        <v>285.58974549038101</v>
      </c>
      <c r="K421" s="335" t="s">
        <v>809</v>
      </c>
      <c r="L421" s="335">
        <v>1</v>
      </c>
      <c r="M421" s="335" t="s">
        <v>810</v>
      </c>
      <c r="N421" s="339">
        <v>3.25</v>
      </c>
      <c r="O421" s="341">
        <v>0.5</v>
      </c>
      <c r="P421" s="341" t="s">
        <v>25</v>
      </c>
      <c r="Q421" s="341">
        <v>0</v>
      </c>
      <c r="R421" s="342" t="s">
        <v>25</v>
      </c>
      <c r="S421" s="342" t="s">
        <v>25</v>
      </c>
    </row>
    <row r="422" spans="1:19" ht="15" customHeight="1" x14ac:dyDescent="0.3">
      <c r="A422" s="335" t="s">
        <v>808</v>
      </c>
      <c r="B422" s="335" t="s">
        <v>20</v>
      </c>
      <c r="C422" s="335"/>
      <c r="D422" s="335" t="s">
        <v>775</v>
      </c>
      <c r="E422" s="336" t="s">
        <v>776</v>
      </c>
      <c r="F422" s="336"/>
      <c r="G422" s="337">
        <v>1</v>
      </c>
      <c r="H422" s="338">
        <v>0</v>
      </c>
      <c r="I422" s="339">
        <v>5063.0947914732396</v>
      </c>
      <c r="J422" s="340">
        <v>5063.0947914732396</v>
      </c>
      <c r="K422" s="335" t="s">
        <v>809</v>
      </c>
      <c r="L422" s="335">
        <v>2</v>
      </c>
      <c r="M422" s="335" t="s">
        <v>811</v>
      </c>
      <c r="N422" s="339">
        <v>3.25</v>
      </c>
      <c r="O422" s="341">
        <v>1</v>
      </c>
      <c r="P422" s="341" t="s">
        <v>25</v>
      </c>
      <c r="Q422" s="341">
        <v>0</v>
      </c>
      <c r="R422" s="342" t="s">
        <v>25</v>
      </c>
      <c r="S422" s="342" t="s">
        <v>25</v>
      </c>
    </row>
    <row r="423" spans="1:19" ht="15" customHeight="1" x14ac:dyDescent="0.3">
      <c r="A423" s="335" t="s">
        <v>808</v>
      </c>
      <c r="B423" s="335" t="s">
        <v>20</v>
      </c>
      <c r="C423" s="335"/>
      <c r="D423" s="335" t="s">
        <v>578</v>
      </c>
      <c r="E423" s="336" t="s">
        <v>579</v>
      </c>
      <c r="F423" s="336"/>
      <c r="G423" s="337">
        <v>0.5</v>
      </c>
      <c r="H423" s="338">
        <v>0</v>
      </c>
      <c r="I423" s="339">
        <v>140.198092594309</v>
      </c>
      <c r="J423" s="340">
        <v>70.099046297154501</v>
      </c>
      <c r="K423" s="335" t="s">
        <v>809</v>
      </c>
      <c r="L423" s="335">
        <v>3</v>
      </c>
      <c r="M423" s="335" t="s">
        <v>812</v>
      </c>
      <c r="N423" s="339">
        <v>3.25</v>
      </c>
      <c r="O423" s="341">
        <v>0.5</v>
      </c>
      <c r="P423" s="341" t="s">
        <v>25</v>
      </c>
      <c r="Q423" s="341">
        <v>0</v>
      </c>
      <c r="R423" s="342" t="s">
        <v>25</v>
      </c>
      <c r="S423" s="342" t="s">
        <v>25</v>
      </c>
    </row>
    <row r="424" spans="1:19" ht="15" customHeight="1" x14ac:dyDescent="0.3">
      <c r="A424" s="335" t="s">
        <v>808</v>
      </c>
      <c r="B424" s="335" t="s">
        <v>26</v>
      </c>
      <c r="C424" s="335" t="s">
        <v>27</v>
      </c>
      <c r="D424" s="335" t="s">
        <v>813</v>
      </c>
      <c r="E424" s="336" t="s">
        <v>814</v>
      </c>
      <c r="F424" s="336" t="s">
        <v>35</v>
      </c>
      <c r="G424" s="337">
        <v>4</v>
      </c>
      <c r="H424" s="338">
        <v>0.1</v>
      </c>
      <c r="I424" s="339">
        <v>225.83199999999999</v>
      </c>
      <c r="J424" s="340">
        <v>993.66079999999999</v>
      </c>
      <c r="K424" s="335" t="s">
        <v>815</v>
      </c>
      <c r="L424" s="335">
        <v>1</v>
      </c>
      <c r="M424" s="335" t="s">
        <v>816</v>
      </c>
      <c r="N424" s="339">
        <v>3.25</v>
      </c>
      <c r="O424" s="341">
        <v>4</v>
      </c>
      <c r="P424" s="341" t="s">
        <v>25</v>
      </c>
      <c r="Q424" s="341">
        <v>0</v>
      </c>
      <c r="R424" s="342" t="s">
        <v>25</v>
      </c>
      <c r="S424" s="342" t="s">
        <v>25</v>
      </c>
    </row>
    <row r="425" spans="1:19" ht="15" customHeight="1" x14ac:dyDescent="0.3">
      <c r="A425" s="335" t="s">
        <v>808</v>
      </c>
      <c r="B425" s="335" t="s">
        <v>26</v>
      </c>
      <c r="C425" s="335" t="s">
        <v>27</v>
      </c>
      <c r="D425" s="335" t="s">
        <v>817</v>
      </c>
      <c r="E425" s="336" t="s">
        <v>818</v>
      </c>
      <c r="F425" s="336" t="s">
        <v>744</v>
      </c>
      <c r="G425" s="337">
        <v>5</v>
      </c>
      <c r="H425" s="338">
        <v>0.05</v>
      </c>
      <c r="I425" s="339">
        <v>472.18</v>
      </c>
      <c r="J425" s="340">
        <v>2478.9450000000002</v>
      </c>
      <c r="K425" s="335" t="s">
        <v>815</v>
      </c>
      <c r="L425" s="335">
        <v>2</v>
      </c>
      <c r="M425" s="335" t="s">
        <v>819</v>
      </c>
      <c r="N425" s="339">
        <v>3.25</v>
      </c>
      <c r="O425" s="341">
        <v>5</v>
      </c>
      <c r="P425" s="341" t="s">
        <v>25</v>
      </c>
      <c r="Q425" s="341">
        <v>0</v>
      </c>
      <c r="R425" s="342" t="s">
        <v>25</v>
      </c>
      <c r="S425" s="342" t="s">
        <v>25</v>
      </c>
    </row>
    <row r="426" spans="1:19" ht="15" customHeight="1" x14ac:dyDescent="0.3">
      <c r="A426" s="335" t="s">
        <v>808</v>
      </c>
      <c r="B426" s="335" t="s">
        <v>26</v>
      </c>
      <c r="C426" s="335" t="s">
        <v>27</v>
      </c>
      <c r="D426" s="335" t="s">
        <v>820</v>
      </c>
      <c r="E426" s="336" t="s">
        <v>821</v>
      </c>
      <c r="F426" s="336" t="s">
        <v>35</v>
      </c>
      <c r="G426" s="337">
        <v>1.2</v>
      </c>
      <c r="H426" s="338">
        <v>0.1</v>
      </c>
      <c r="I426" s="339">
        <v>110.922</v>
      </c>
      <c r="J426" s="340">
        <v>146.41703999999999</v>
      </c>
      <c r="K426" s="335" t="s">
        <v>815</v>
      </c>
      <c r="L426" s="335">
        <v>3</v>
      </c>
      <c r="M426" s="335" t="s">
        <v>822</v>
      </c>
      <c r="N426" s="339">
        <v>3.25</v>
      </c>
      <c r="O426" s="341">
        <v>1.2</v>
      </c>
      <c r="P426" s="341" t="s">
        <v>25</v>
      </c>
      <c r="Q426" s="341">
        <v>0</v>
      </c>
      <c r="R426" s="342" t="s">
        <v>25</v>
      </c>
      <c r="S426" s="342" t="s">
        <v>25</v>
      </c>
    </row>
    <row r="427" spans="1:19" ht="15" customHeight="1" x14ac:dyDescent="0.3">
      <c r="A427" s="335" t="s">
        <v>808</v>
      </c>
      <c r="B427" s="335" t="s">
        <v>26</v>
      </c>
      <c r="C427" s="335" t="s">
        <v>27</v>
      </c>
      <c r="D427" s="335" t="s">
        <v>792</v>
      </c>
      <c r="E427" s="336" t="s">
        <v>793</v>
      </c>
      <c r="F427" s="336" t="s">
        <v>744</v>
      </c>
      <c r="G427" s="337">
        <v>5</v>
      </c>
      <c r="H427" s="338">
        <v>0.1</v>
      </c>
      <c r="I427" s="339">
        <v>509.31490000000002</v>
      </c>
      <c r="J427" s="340">
        <v>2801.2319499999999</v>
      </c>
      <c r="K427" s="335" t="s">
        <v>815</v>
      </c>
      <c r="L427" s="335">
        <v>4</v>
      </c>
      <c r="M427" s="335" t="s">
        <v>823</v>
      </c>
      <c r="N427" s="339">
        <v>3.25</v>
      </c>
      <c r="O427" s="341">
        <v>5</v>
      </c>
      <c r="P427" s="341" t="s">
        <v>25</v>
      </c>
      <c r="Q427" s="341">
        <v>0</v>
      </c>
      <c r="R427" s="342" t="s">
        <v>25</v>
      </c>
      <c r="S427" s="342" t="s">
        <v>25</v>
      </c>
    </row>
    <row r="428" spans="1:19" ht="15" customHeight="1" x14ac:dyDescent="0.3">
      <c r="A428" s="335" t="s">
        <v>808</v>
      </c>
      <c r="B428" s="335" t="s">
        <v>26</v>
      </c>
      <c r="C428" s="335" t="s">
        <v>27</v>
      </c>
      <c r="D428" s="335" t="s">
        <v>795</v>
      </c>
      <c r="E428" s="336" t="s">
        <v>796</v>
      </c>
      <c r="F428" s="336" t="s">
        <v>744</v>
      </c>
      <c r="G428" s="337">
        <v>10</v>
      </c>
      <c r="H428" s="338">
        <v>0.1</v>
      </c>
      <c r="I428" s="339">
        <v>509.31490000000002</v>
      </c>
      <c r="J428" s="340">
        <v>5602.4638999999997</v>
      </c>
      <c r="K428" s="335" t="s">
        <v>815</v>
      </c>
      <c r="L428" s="335">
        <v>5</v>
      </c>
      <c r="M428" s="335" t="s">
        <v>824</v>
      </c>
      <c r="N428" s="339">
        <v>3.25</v>
      </c>
      <c r="O428" s="341">
        <v>10</v>
      </c>
      <c r="P428" s="341" t="s">
        <v>25</v>
      </c>
      <c r="Q428" s="341">
        <v>0</v>
      </c>
      <c r="R428" s="342" t="s">
        <v>25</v>
      </c>
      <c r="S428" s="342" t="s">
        <v>25</v>
      </c>
    </row>
    <row r="429" spans="1:19" ht="15" customHeight="1" x14ac:dyDescent="0.3">
      <c r="A429" s="335" t="s">
        <v>808</v>
      </c>
      <c r="B429" s="335" t="s">
        <v>26</v>
      </c>
      <c r="C429" s="335" t="s">
        <v>27</v>
      </c>
      <c r="D429" s="335" t="s">
        <v>801</v>
      </c>
      <c r="E429" s="336" t="s">
        <v>802</v>
      </c>
      <c r="F429" s="336" t="s">
        <v>35</v>
      </c>
      <c r="G429" s="337">
        <v>1</v>
      </c>
      <c r="H429" s="338">
        <v>0.05</v>
      </c>
      <c r="I429" s="339">
        <v>202.42</v>
      </c>
      <c r="J429" s="340">
        <v>212.541</v>
      </c>
      <c r="K429" s="335" t="s">
        <v>815</v>
      </c>
      <c r="L429" s="335">
        <v>6</v>
      </c>
      <c r="M429" s="335" t="s">
        <v>825</v>
      </c>
      <c r="N429" s="339">
        <v>3.25</v>
      </c>
      <c r="O429" s="341">
        <v>1</v>
      </c>
      <c r="P429" s="341" t="s">
        <v>25</v>
      </c>
      <c r="Q429" s="341">
        <v>0</v>
      </c>
      <c r="R429" s="342" t="s">
        <v>25</v>
      </c>
      <c r="S429" s="342" t="s">
        <v>25</v>
      </c>
    </row>
    <row r="430" spans="1:19" ht="15" customHeight="1" x14ac:dyDescent="0.3">
      <c r="A430" s="335" t="s">
        <v>808</v>
      </c>
      <c r="B430" s="335" t="s">
        <v>26</v>
      </c>
      <c r="C430" s="335" t="s">
        <v>27</v>
      </c>
      <c r="D430" s="335" t="s">
        <v>96</v>
      </c>
      <c r="E430" s="336" t="s">
        <v>97</v>
      </c>
      <c r="F430" s="336" t="s">
        <v>98</v>
      </c>
      <c r="G430" s="337">
        <v>2569.4045348999998</v>
      </c>
      <c r="H430" s="338">
        <v>0</v>
      </c>
      <c r="I430" s="339">
        <v>1</v>
      </c>
      <c r="J430" s="340">
        <v>2569.4045348999998</v>
      </c>
      <c r="K430" s="335" t="s">
        <v>815</v>
      </c>
      <c r="L430" s="335">
        <v>7</v>
      </c>
      <c r="M430" s="335" t="s">
        <v>826</v>
      </c>
      <c r="N430" s="339">
        <v>3.25</v>
      </c>
      <c r="O430" s="341">
        <v>2569.4045348999998</v>
      </c>
      <c r="P430" s="341" t="s">
        <v>25</v>
      </c>
      <c r="Q430" s="341">
        <v>0</v>
      </c>
      <c r="R430" s="342" t="s">
        <v>25</v>
      </c>
      <c r="S430" s="342" t="s">
        <v>25</v>
      </c>
    </row>
    <row r="431" spans="1:19" ht="15" customHeight="1" x14ac:dyDescent="0.3">
      <c r="A431" s="335" t="s">
        <v>808</v>
      </c>
      <c r="B431" s="335" t="s">
        <v>56</v>
      </c>
      <c r="C431" s="335" t="s">
        <v>57</v>
      </c>
      <c r="D431" s="343" t="s">
        <v>58</v>
      </c>
      <c r="E431" s="336" t="s">
        <v>59</v>
      </c>
      <c r="F431" s="336" t="s">
        <v>60</v>
      </c>
      <c r="G431" s="337">
        <v>1</v>
      </c>
      <c r="H431" s="338">
        <v>0</v>
      </c>
      <c r="I431" s="339">
        <v>60860.580776572002</v>
      </c>
      <c r="J431" s="340">
        <v>60860.580776572002</v>
      </c>
      <c r="K431" s="335" t="s">
        <v>827</v>
      </c>
      <c r="L431" s="335">
        <v>1</v>
      </c>
      <c r="M431" s="335" t="s">
        <v>828</v>
      </c>
      <c r="N431" s="339">
        <v>3.25</v>
      </c>
      <c r="O431" s="341">
        <v>0.30769230769230799</v>
      </c>
      <c r="P431" s="341" t="s">
        <v>25</v>
      </c>
      <c r="Q431" s="341">
        <v>0</v>
      </c>
      <c r="R431" s="342" t="s">
        <v>25</v>
      </c>
      <c r="S431" s="342" t="s">
        <v>25</v>
      </c>
    </row>
    <row r="432" spans="1:19" ht="15" customHeight="1" x14ac:dyDescent="0.3">
      <c r="A432" s="335" t="s">
        <v>808</v>
      </c>
      <c r="B432" s="335" t="s">
        <v>56</v>
      </c>
      <c r="C432" s="335" t="s">
        <v>57</v>
      </c>
      <c r="D432" s="343" t="s">
        <v>63</v>
      </c>
      <c r="E432" s="336" t="s">
        <v>64</v>
      </c>
      <c r="F432" s="336" t="s">
        <v>60</v>
      </c>
      <c r="G432" s="337">
        <v>1</v>
      </c>
      <c r="H432" s="338">
        <v>0</v>
      </c>
      <c r="I432" s="339">
        <v>85927.097156571996</v>
      </c>
      <c r="J432" s="340">
        <v>85927.097156571996</v>
      </c>
      <c r="K432" s="335" t="s">
        <v>827</v>
      </c>
      <c r="L432" s="335">
        <v>2</v>
      </c>
      <c r="M432" s="335" t="s">
        <v>829</v>
      </c>
      <c r="N432" s="339">
        <v>3.25</v>
      </c>
      <c r="O432" s="341">
        <v>0.30769230769230799</v>
      </c>
      <c r="P432" s="341" t="s">
        <v>25</v>
      </c>
      <c r="Q432" s="341">
        <v>0</v>
      </c>
      <c r="R432" s="342" t="s">
        <v>25</v>
      </c>
      <c r="S432" s="342" t="s">
        <v>25</v>
      </c>
    </row>
    <row r="433" spans="1:19" ht="15" customHeight="1" x14ac:dyDescent="0.3">
      <c r="A433" s="335" t="s">
        <v>830</v>
      </c>
      <c r="B433" s="335" t="s">
        <v>26</v>
      </c>
      <c r="C433" s="335" t="s">
        <v>27</v>
      </c>
      <c r="D433" s="335" t="s">
        <v>831</v>
      </c>
      <c r="E433" s="336" t="s">
        <v>832</v>
      </c>
      <c r="F433" s="336" t="s">
        <v>35</v>
      </c>
      <c r="G433" s="337">
        <v>1.4999999999999999E-2</v>
      </c>
      <c r="H433" s="338">
        <v>1E-3</v>
      </c>
      <c r="I433" s="339">
        <v>13078.33</v>
      </c>
      <c r="J433" s="340">
        <v>196.37112495</v>
      </c>
      <c r="K433" s="335" t="s">
        <v>833</v>
      </c>
      <c r="L433" s="335">
        <v>1</v>
      </c>
      <c r="M433" s="335" t="s">
        <v>834</v>
      </c>
      <c r="N433" s="339">
        <v>12</v>
      </c>
      <c r="O433" s="341">
        <v>1.4999999999999999E-2</v>
      </c>
      <c r="P433" s="341" t="s">
        <v>25</v>
      </c>
      <c r="Q433" s="341">
        <v>0</v>
      </c>
      <c r="R433" s="342" t="s">
        <v>25</v>
      </c>
      <c r="S433" s="342" t="s">
        <v>25</v>
      </c>
    </row>
    <row r="434" spans="1:19" ht="15" customHeight="1" x14ac:dyDescent="0.3">
      <c r="A434" s="335" t="s">
        <v>830</v>
      </c>
      <c r="B434" s="335" t="s">
        <v>26</v>
      </c>
      <c r="C434" s="335" t="s">
        <v>27</v>
      </c>
      <c r="D434" s="335" t="s">
        <v>835</v>
      </c>
      <c r="E434" s="336" t="s">
        <v>836</v>
      </c>
      <c r="F434" s="336" t="s">
        <v>35</v>
      </c>
      <c r="G434" s="337">
        <v>0.35</v>
      </c>
      <c r="H434" s="338">
        <v>1E-3</v>
      </c>
      <c r="I434" s="339">
        <v>1980.42</v>
      </c>
      <c r="J434" s="340">
        <v>693.840147</v>
      </c>
      <c r="K434" s="335" t="s">
        <v>833</v>
      </c>
      <c r="L434" s="335">
        <v>2</v>
      </c>
      <c r="M434" s="335" t="s">
        <v>837</v>
      </c>
      <c r="N434" s="339">
        <v>12</v>
      </c>
      <c r="O434" s="341">
        <v>0.35</v>
      </c>
      <c r="P434" s="341" t="s">
        <v>25</v>
      </c>
      <c r="Q434" s="341">
        <v>0</v>
      </c>
      <c r="R434" s="342" t="s">
        <v>25</v>
      </c>
      <c r="S434" s="342" t="s">
        <v>25</v>
      </c>
    </row>
    <row r="435" spans="1:19" ht="15" customHeight="1" x14ac:dyDescent="0.3">
      <c r="A435" s="335" t="s">
        <v>830</v>
      </c>
      <c r="B435" s="335" t="s">
        <v>26</v>
      </c>
      <c r="C435" s="335" t="s">
        <v>27</v>
      </c>
      <c r="D435" s="335" t="s">
        <v>838</v>
      </c>
      <c r="E435" s="336" t="s">
        <v>839</v>
      </c>
      <c r="F435" s="336" t="s">
        <v>35</v>
      </c>
      <c r="G435" s="337">
        <v>0.35</v>
      </c>
      <c r="H435" s="338">
        <v>5.0000000000000001E-4</v>
      </c>
      <c r="I435" s="339">
        <v>23404.92</v>
      </c>
      <c r="J435" s="340">
        <v>8195.8178609999995</v>
      </c>
      <c r="K435" s="335" t="s">
        <v>833</v>
      </c>
      <c r="L435" s="335">
        <v>3</v>
      </c>
      <c r="M435" s="335" t="s">
        <v>840</v>
      </c>
      <c r="N435" s="339">
        <v>12</v>
      </c>
      <c r="O435" s="341">
        <v>0.35</v>
      </c>
      <c r="P435" s="341" t="s">
        <v>25</v>
      </c>
      <c r="Q435" s="341">
        <v>0</v>
      </c>
      <c r="R435" s="342" t="s">
        <v>25</v>
      </c>
      <c r="S435" s="342" t="s">
        <v>25</v>
      </c>
    </row>
    <row r="436" spans="1:19" ht="15" customHeight="1" x14ac:dyDescent="0.3">
      <c r="A436" s="335" t="s">
        <v>830</v>
      </c>
      <c r="B436" s="335" t="s">
        <v>26</v>
      </c>
      <c r="C436" s="335" t="s">
        <v>27</v>
      </c>
      <c r="D436" s="335" t="s">
        <v>841</v>
      </c>
      <c r="E436" s="336" t="s">
        <v>842</v>
      </c>
      <c r="F436" s="336" t="s">
        <v>35</v>
      </c>
      <c r="G436" s="337">
        <v>0.35</v>
      </c>
      <c r="H436" s="338">
        <v>1E-3</v>
      </c>
      <c r="I436" s="339">
        <v>15710.58</v>
      </c>
      <c r="J436" s="340">
        <v>5504.2017029999997</v>
      </c>
      <c r="K436" s="335" t="s">
        <v>833</v>
      </c>
      <c r="L436" s="335">
        <v>4</v>
      </c>
      <c r="M436" s="335" t="s">
        <v>843</v>
      </c>
      <c r="N436" s="339">
        <v>12</v>
      </c>
      <c r="O436" s="341">
        <v>0.35</v>
      </c>
      <c r="P436" s="341" t="s">
        <v>25</v>
      </c>
      <c r="Q436" s="341">
        <v>0</v>
      </c>
      <c r="R436" s="342" t="s">
        <v>25</v>
      </c>
      <c r="S436" s="342" t="s">
        <v>25</v>
      </c>
    </row>
    <row r="437" spans="1:19" ht="15" customHeight="1" x14ac:dyDescent="0.3">
      <c r="A437" s="335" t="s">
        <v>830</v>
      </c>
      <c r="B437" s="335" t="s">
        <v>26</v>
      </c>
      <c r="C437" s="335" t="s">
        <v>27</v>
      </c>
      <c r="D437" s="335" t="s">
        <v>844</v>
      </c>
      <c r="E437" s="336" t="s">
        <v>845</v>
      </c>
      <c r="F437" s="336" t="s">
        <v>35</v>
      </c>
      <c r="G437" s="337">
        <v>0.03</v>
      </c>
      <c r="H437" s="338">
        <v>1E-3</v>
      </c>
      <c r="I437" s="339">
        <v>6314.13</v>
      </c>
      <c r="J437" s="340">
        <v>189.61332390000001</v>
      </c>
      <c r="K437" s="335" t="s">
        <v>833</v>
      </c>
      <c r="L437" s="335">
        <v>5</v>
      </c>
      <c r="M437" s="335" t="s">
        <v>846</v>
      </c>
      <c r="N437" s="339">
        <v>12</v>
      </c>
      <c r="O437" s="341">
        <v>0.03</v>
      </c>
      <c r="P437" s="341" t="s">
        <v>25</v>
      </c>
      <c r="Q437" s="341">
        <v>0</v>
      </c>
      <c r="R437" s="342" t="s">
        <v>25</v>
      </c>
      <c r="S437" s="342" t="s">
        <v>25</v>
      </c>
    </row>
    <row r="438" spans="1:19" ht="15" customHeight="1" x14ac:dyDescent="0.3">
      <c r="A438" s="335" t="s">
        <v>830</v>
      </c>
      <c r="B438" s="335" t="s">
        <v>26</v>
      </c>
      <c r="C438" s="335" t="s">
        <v>27</v>
      </c>
      <c r="D438" s="335" t="s">
        <v>847</v>
      </c>
      <c r="E438" s="336" t="s">
        <v>848</v>
      </c>
      <c r="F438" s="336" t="s">
        <v>35</v>
      </c>
      <c r="G438" s="337">
        <v>0.03</v>
      </c>
      <c r="H438" s="338">
        <v>1E-3</v>
      </c>
      <c r="I438" s="339">
        <v>6314.13</v>
      </c>
      <c r="J438" s="340">
        <v>189.61332390000001</v>
      </c>
      <c r="K438" s="335" t="s">
        <v>833</v>
      </c>
      <c r="L438" s="335">
        <v>6</v>
      </c>
      <c r="M438" s="335" t="s">
        <v>849</v>
      </c>
      <c r="N438" s="339">
        <v>12</v>
      </c>
      <c r="O438" s="341">
        <v>0.03</v>
      </c>
      <c r="P438" s="341" t="s">
        <v>25</v>
      </c>
      <c r="Q438" s="341">
        <v>0</v>
      </c>
      <c r="R438" s="342" t="s">
        <v>25</v>
      </c>
      <c r="S438" s="342" t="s">
        <v>25</v>
      </c>
    </row>
    <row r="439" spans="1:19" ht="15" customHeight="1" x14ac:dyDescent="0.3">
      <c r="A439" s="335" t="s">
        <v>830</v>
      </c>
      <c r="B439" s="335" t="s">
        <v>26</v>
      </c>
      <c r="C439" s="335" t="s">
        <v>27</v>
      </c>
      <c r="D439" s="335" t="s">
        <v>850</v>
      </c>
      <c r="E439" s="336" t="s">
        <v>851</v>
      </c>
      <c r="F439" s="336" t="s">
        <v>35</v>
      </c>
      <c r="G439" s="337">
        <v>0.56999999999999995</v>
      </c>
      <c r="H439" s="338">
        <v>1E-3</v>
      </c>
      <c r="I439" s="339">
        <v>1844.8</v>
      </c>
      <c r="J439" s="340">
        <v>1052.587536</v>
      </c>
      <c r="K439" s="335" t="s">
        <v>833</v>
      </c>
      <c r="L439" s="335">
        <v>7</v>
      </c>
      <c r="M439" s="335" t="s">
        <v>852</v>
      </c>
      <c r="N439" s="339">
        <v>12</v>
      </c>
      <c r="O439" s="341">
        <v>0.56999999999999995</v>
      </c>
      <c r="P439" s="341" t="s">
        <v>25</v>
      </c>
      <c r="Q439" s="341">
        <v>0</v>
      </c>
      <c r="R439" s="342" t="s">
        <v>25</v>
      </c>
      <c r="S439" s="342" t="s">
        <v>25</v>
      </c>
    </row>
    <row r="440" spans="1:19" ht="15" customHeight="1" x14ac:dyDescent="0.3">
      <c r="A440" s="335" t="s">
        <v>830</v>
      </c>
      <c r="B440" s="335" t="s">
        <v>26</v>
      </c>
      <c r="C440" s="335" t="s">
        <v>27</v>
      </c>
      <c r="D440" s="335" t="s">
        <v>853</v>
      </c>
      <c r="E440" s="336" t="s">
        <v>854</v>
      </c>
      <c r="F440" s="336" t="s">
        <v>35</v>
      </c>
      <c r="G440" s="337">
        <v>0.3</v>
      </c>
      <c r="H440" s="338">
        <v>1E-3</v>
      </c>
      <c r="I440" s="339">
        <v>1747.6</v>
      </c>
      <c r="J440" s="340">
        <v>524.80427999999995</v>
      </c>
      <c r="K440" s="335" t="s">
        <v>833</v>
      </c>
      <c r="L440" s="335">
        <v>8</v>
      </c>
      <c r="M440" s="335" t="s">
        <v>855</v>
      </c>
      <c r="N440" s="339">
        <v>12</v>
      </c>
      <c r="O440" s="341">
        <v>0.3</v>
      </c>
      <c r="P440" s="341" t="s">
        <v>25</v>
      </c>
      <c r="Q440" s="341">
        <v>0</v>
      </c>
      <c r="R440" s="342" t="s">
        <v>25</v>
      </c>
      <c r="S440" s="342" t="s">
        <v>25</v>
      </c>
    </row>
    <row r="441" spans="1:19" ht="15" customHeight="1" x14ac:dyDescent="0.3">
      <c r="A441" s="335" t="s">
        <v>830</v>
      </c>
      <c r="B441" s="335" t="s">
        <v>26</v>
      </c>
      <c r="C441" s="335" t="s">
        <v>27</v>
      </c>
      <c r="D441" s="335" t="s">
        <v>856</v>
      </c>
      <c r="E441" s="336" t="s">
        <v>857</v>
      </c>
      <c r="F441" s="336" t="s">
        <v>35</v>
      </c>
      <c r="G441" s="337">
        <v>1.2</v>
      </c>
      <c r="H441" s="338">
        <v>5.0000000000000001E-4</v>
      </c>
      <c r="I441" s="339">
        <v>90.02</v>
      </c>
      <c r="J441" s="340">
        <v>108.078012</v>
      </c>
      <c r="K441" s="335" t="s">
        <v>833</v>
      </c>
      <c r="L441" s="335">
        <v>9</v>
      </c>
      <c r="M441" s="335" t="s">
        <v>858</v>
      </c>
      <c r="N441" s="339">
        <v>12</v>
      </c>
      <c r="O441" s="341">
        <v>1.2</v>
      </c>
      <c r="P441" s="341" t="s">
        <v>25</v>
      </c>
      <c r="Q441" s="341">
        <v>0</v>
      </c>
      <c r="R441" s="342" t="s">
        <v>25</v>
      </c>
      <c r="S441" s="342" t="s">
        <v>25</v>
      </c>
    </row>
    <row r="442" spans="1:19" ht="15" customHeight="1" x14ac:dyDescent="0.3">
      <c r="A442" s="335" t="s">
        <v>830</v>
      </c>
      <c r="B442" s="335" t="s">
        <v>56</v>
      </c>
      <c r="C442" s="335" t="s">
        <v>57</v>
      </c>
      <c r="D442" s="343" t="s">
        <v>58</v>
      </c>
      <c r="E442" s="336" t="s">
        <v>59</v>
      </c>
      <c r="F442" s="336" t="s">
        <v>60</v>
      </c>
      <c r="G442" s="337">
        <v>0.75</v>
      </c>
      <c r="H442" s="338">
        <v>0</v>
      </c>
      <c r="I442" s="339">
        <v>60860.580776572002</v>
      </c>
      <c r="J442" s="340">
        <v>45645.435582429003</v>
      </c>
      <c r="K442" s="335" t="s">
        <v>859</v>
      </c>
      <c r="L442" s="335">
        <v>1</v>
      </c>
      <c r="M442" s="335" t="s">
        <v>860</v>
      </c>
      <c r="N442" s="339">
        <v>12</v>
      </c>
      <c r="O442" s="341">
        <v>6.25E-2</v>
      </c>
      <c r="P442" s="341" t="s">
        <v>25</v>
      </c>
      <c r="Q442" s="341">
        <v>0</v>
      </c>
      <c r="R442" s="342" t="s">
        <v>25</v>
      </c>
      <c r="S442" s="342" t="s">
        <v>25</v>
      </c>
    </row>
    <row r="443" spans="1:19" ht="15" customHeight="1" x14ac:dyDescent="0.3">
      <c r="A443" s="335" t="s">
        <v>830</v>
      </c>
      <c r="B443" s="335" t="s">
        <v>56</v>
      </c>
      <c r="C443" s="335" t="s">
        <v>57</v>
      </c>
      <c r="D443" s="343" t="s">
        <v>63</v>
      </c>
      <c r="E443" s="336" t="s">
        <v>64</v>
      </c>
      <c r="F443" s="336" t="s">
        <v>60</v>
      </c>
      <c r="G443" s="337">
        <v>1</v>
      </c>
      <c r="H443" s="338">
        <v>0</v>
      </c>
      <c r="I443" s="339">
        <v>85927.097156571996</v>
      </c>
      <c r="J443" s="340">
        <v>85927.097156571996</v>
      </c>
      <c r="K443" s="335" t="s">
        <v>859</v>
      </c>
      <c r="L443" s="335">
        <v>2</v>
      </c>
      <c r="M443" s="335" t="s">
        <v>861</v>
      </c>
      <c r="N443" s="339">
        <v>12</v>
      </c>
      <c r="O443" s="341">
        <v>8.3333333333333301E-2</v>
      </c>
      <c r="P443" s="341" t="s">
        <v>25</v>
      </c>
      <c r="Q443" s="341">
        <v>0</v>
      </c>
      <c r="R443" s="342" t="s">
        <v>25</v>
      </c>
      <c r="S443" s="342" t="s">
        <v>25</v>
      </c>
    </row>
    <row r="444" spans="1:19" ht="15" customHeight="1" x14ac:dyDescent="0.3">
      <c r="A444" s="335" t="s">
        <v>862</v>
      </c>
      <c r="B444" s="335" t="s">
        <v>20</v>
      </c>
      <c r="C444" s="335"/>
      <c r="D444" s="335" t="s">
        <v>67</v>
      </c>
      <c r="E444" s="336" t="s">
        <v>68</v>
      </c>
      <c r="F444" s="336"/>
      <c r="G444" s="337">
        <v>0.5</v>
      </c>
      <c r="H444" s="338">
        <v>0</v>
      </c>
      <c r="I444" s="339">
        <v>571.17949098076099</v>
      </c>
      <c r="J444" s="340">
        <v>285.58974549038101</v>
      </c>
      <c r="K444" s="335" t="s">
        <v>863</v>
      </c>
      <c r="L444" s="335">
        <v>1</v>
      </c>
      <c r="M444" s="335" t="s">
        <v>864</v>
      </c>
      <c r="N444" s="339">
        <v>3.25</v>
      </c>
      <c r="O444" s="341">
        <v>0.5</v>
      </c>
      <c r="P444" s="341" t="s">
        <v>25</v>
      </c>
      <c r="Q444" s="341">
        <v>0</v>
      </c>
      <c r="R444" s="342" t="s">
        <v>25</v>
      </c>
      <c r="S444" s="342" t="s">
        <v>25</v>
      </c>
    </row>
    <row r="445" spans="1:19" ht="15" customHeight="1" x14ac:dyDescent="0.3">
      <c r="A445" s="335" t="s">
        <v>862</v>
      </c>
      <c r="B445" s="335" t="s">
        <v>20</v>
      </c>
      <c r="C445" s="335"/>
      <c r="D445" s="335" t="s">
        <v>775</v>
      </c>
      <c r="E445" s="336" t="s">
        <v>776</v>
      </c>
      <c r="F445" s="336"/>
      <c r="G445" s="337">
        <v>1</v>
      </c>
      <c r="H445" s="338">
        <v>0</v>
      </c>
      <c r="I445" s="339">
        <v>5063.0947914732396</v>
      </c>
      <c r="J445" s="340">
        <v>5063.0947914732396</v>
      </c>
      <c r="K445" s="335" t="s">
        <v>863</v>
      </c>
      <c r="L445" s="335">
        <v>2</v>
      </c>
      <c r="M445" s="335" t="s">
        <v>865</v>
      </c>
      <c r="N445" s="339">
        <v>3.25</v>
      </c>
      <c r="O445" s="341">
        <v>1</v>
      </c>
      <c r="P445" s="341" t="s">
        <v>25</v>
      </c>
      <c r="Q445" s="341">
        <v>0</v>
      </c>
      <c r="R445" s="342" t="s">
        <v>25</v>
      </c>
      <c r="S445" s="342" t="s">
        <v>25</v>
      </c>
    </row>
    <row r="446" spans="1:19" ht="15" customHeight="1" x14ac:dyDescent="0.3">
      <c r="A446" s="335" t="s">
        <v>862</v>
      </c>
      <c r="B446" s="335" t="s">
        <v>20</v>
      </c>
      <c r="C446" s="335"/>
      <c r="D446" s="335" t="s">
        <v>578</v>
      </c>
      <c r="E446" s="336" t="s">
        <v>579</v>
      </c>
      <c r="F446" s="336"/>
      <c r="G446" s="337">
        <v>0.5</v>
      </c>
      <c r="H446" s="338">
        <v>0</v>
      </c>
      <c r="I446" s="339">
        <v>140.198092594309</v>
      </c>
      <c r="J446" s="340">
        <v>70.099046297154501</v>
      </c>
      <c r="K446" s="335" t="s">
        <v>863</v>
      </c>
      <c r="L446" s="335">
        <v>3</v>
      </c>
      <c r="M446" s="335" t="s">
        <v>866</v>
      </c>
      <c r="N446" s="339">
        <v>3.25</v>
      </c>
      <c r="O446" s="341">
        <v>0.5</v>
      </c>
      <c r="P446" s="341" t="s">
        <v>25</v>
      </c>
      <c r="Q446" s="341">
        <v>0</v>
      </c>
      <c r="R446" s="342" t="s">
        <v>25</v>
      </c>
      <c r="S446" s="342" t="s">
        <v>25</v>
      </c>
    </row>
    <row r="447" spans="1:19" ht="15" customHeight="1" x14ac:dyDescent="0.3">
      <c r="A447" s="335" t="s">
        <v>862</v>
      </c>
      <c r="B447" s="335" t="s">
        <v>26</v>
      </c>
      <c r="C447" s="335" t="s">
        <v>27</v>
      </c>
      <c r="D447" s="335" t="s">
        <v>779</v>
      </c>
      <c r="E447" s="336" t="s">
        <v>780</v>
      </c>
      <c r="F447" s="336" t="s">
        <v>35</v>
      </c>
      <c r="G447" s="337">
        <v>3</v>
      </c>
      <c r="H447" s="338">
        <v>0.1</v>
      </c>
      <c r="I447" s="339">
        <v>282.29000000000002</v>
      </c>
      <c r="J447" s="340">
        <v>931.55700000000002</v>
      </c>
      <c r="K447" s="335" t="s">
        <v>867</v>
      </c>
      <c r="L447" s="335">
        <v>1</v>
      </c>
      <c r="M447" s="335" t="s">
        <v>868</v>
      </c>
      <c r="N447" s="339">
        <v>3.25</v>
      </c>
      <c r="O447" s="341">
        <v>3</v>
      </c>
      <c r="P447" s="341" t="s">
        <v>25</v>
      </c>
      <c r="Q447" s="341">
        <v>0</v>
      </c>
      <c r="R447" s="342" t="s">
        <v>25</v>
      </c>
      <c r="S447" s="342" t="s">
        <v>25</v>
      </c>
    </row>
    <row r="448" spans="1:19" ht="15" customHeight="1" x14ac:dyDescent="0.3">
      <c r="A448" s="335" t="s">
        <v>862</v>
      </c>
      <c r="B448" s="335" t="s">
        <v>26</v>
      </c>
      <c r="C448" s="335" t="s">
        <v>27</v>
      </c>
      <c r="D448" s="335" t="s">
        <v>783</v>
      </c>
      <c r="E448" s="336" t="s">
        <v>784</v>
      </c>
      <c r="F448" s="336" t="s">
        <v>744</v>
      </c>
      <c r="G448" s="337">
        <v>5</v>
      </c>
      <c r="H448" s="338">
        <v>0.1</v>
      </c>
      <c r="I448" s="339">
        <v>635.55999999999995</v>
      </c>
      <c r="J448" s="340">
        <v>3495.58</v>
      </c>
      <c r="K448" s="335" t="s">
        <v>867</v>
      </c>
      <c r="L448" s="335">
        <v>2</v>
      </c>
      <c r="M448" s="335" t="s">
        <v>869</v>
      </c>
      <c r="N448" s="339">
        <v>3.25</v>
      </c>
      <c r="O448" s="341">
        <v>5</v>
      </c>
      <c r="P448" s="341" t="s">
        <v>25</v>
      </c>
      <c r="Q448" s="341">
        <v>0</v>
      </c>
      <c r="R448" s="342" t="s">
        <v>25</v>
      </c>
      <c r="S448" s="342" t="s">
        <v>25</v>
      </c>
    </row>
    <row r="449" spans="1:19" ht="15" customHeight="1" x14ac:dyDescent="0.3">
      <c r="A449" s="335" t="s">
        <v>862</v>
      </c>
      <c r="B449" s="335" t="s">
        <v>26</v>
      </c>
      <c r="C449" s="335" t="s">
        <v>27</v>
      </c>
      <c r="D449" s="335" t="s">
        <v>786</v>
      </c>
      <c r="E449" s="336" t="s">
        <v>787</v>
      </c>
      <c r="F449" s="336" t="s">
        <v>35</v>
      </c>
      <c r="G449" s="337">
        <v>2</v>
      </c>
      <c r="H449" s="338">
        <v>0.1</v>
      </c>
      <c r="I449" s="339">
        <v>184.87</v>
      </c>
      <c r="J449" s="340">
        <v>406.714</v>
      </c>
      <c r="K449" s="335" t="s">
        <v>867</v>
      </c>
      <c r="L449" s="335">
        <v>3</v>
      </c>
      <c r="M449" s="335" t="s">
        <v>870</v>
      </c>
      <c r="N449" s="339">
        <v>3.25</v>
      </c>
      <c r="O449" s="341">
        <v>2</v>
      </c>
      <c r="P449" s="341" t="s">
        <v>25</v>
      </c>
      <c r="Q449" s="341">
        <v>0</v>
      </c>
      <c r="R449" s="342" t="s">
        <v>25</v>
      </c>
      <c r="S449" s="342" t="s">
        <v>25</v>
      </c>
    </row>
    <row r="450" spans="1:19" ht="15" customHeight="1" x14ac:dyDescent="0.3">
      <c r="A450" s="335" t="s">
        <v>862</v>
      </c>
      <c r="B450" s="335" t="s">
        <v>26</v>
      </c>
      <c r="C450" s="335" t="s">
        <v>27</v>
      </c>
      <c r="D450" s="335" t="s">
        <v>789</v>
      </c>
      <c r="E450" s="336" t="s">
        <v>790</v>
      </c>
      <c r="F450" s="336" t="s">
        <v>744</v>
      </c>
      <c r="G450" s="337">
        <v>7.5</v>
      </c>
      <c r="H450" s="338">
        <v>0.1</v>
      </c>
      <c r="I450" s="339">
        <v>316.44450000000001</v>
      </c>
      <c r="J450" s="340">
        <v>2610.6671249999999</v>
      </c>
      <c r="K450" s="335" t="s">
        <v>867</v>
      </c>
      <c r="L450" s="335">
        <v>4</v>
      </c>
      <c r="M450" s="335" t="s">
        <v>871</v>
      </c>
      <c r="N450" s="339">
        <v>3.25</v>
      </c>
      <c r="O450" s="341">
        <v>7.5</v>
      </c>
      <c r="P450" s="341" t="s">
        <v>25</v>
      </c>
      <c r="Q450" s="341">
        <v>0</v>
      </c>
      <c r="R450" s="342" t="s">
        <v>25</v>
      </c>
      <c r="S450" s="342" t="s">
        <v>25</v>
      </c>
    </row>
    <row r="451" spans="1:19" ht="15" customHeight="1" x14ac:dyDescent="0.3">
      <c r="A451" s="335" t="s">
        <v>862</v>
      </c>
      <c r="B451" s="335" t="s">
        <v>26</v>
      </c>
      <c r="C451" s="335" t="s">
        <v>27</v>
      </c>
      <c r="D451" s="335" t="s">
        <v>792</v>
      </c>
      <c r="E451" s="336" t="s">
        <v>793</v>
      </c>
      <c r="F451" s="336" t="s">
        <v>744</v>
      </c>
      <c r="G451" s="337">
        <v>5</v>
      </c>
      <c r="H451" s="338">
        <v>0.1</v>
      </c>
      <c r="I451" s="339">
        <v>509.31490000000002</v>
      </c>
      <c r="J451" s="340">
        <v>2801.2319499999999</v>
      </c>
      <c r="K451" s="335" t="s">
        <v>867</v>
      </c>
      <c r="L451" s="335">
        <v>5</v>
      </c>
      <c r="M451" s="335" t="s">
        <v>872</v>
      </c>
      <c r="N451" s="339">
        <v>3.25</v>
      </c>
      <c r="O451" s="341">
        <v>5</v>
      </c>
      <c r="P451" s="341" t="s">
        <v>25</v>
      </c>
      <c r="Q451" s="341">
        <v>0</v>
      </c>
      <c r="R451" s="342" t="s">
        <v>25</v>
      </c>
      <c r="S451" s="342" t="s">
        <v>25</v>
      </c>
    </row>
    <row r="452" spans="1:19" ht="15" customHeight="1" x14ac:dyDescent="0.3">
      <c r="A452" s="335" t="s">
        <v>862</v>
      </c>
      <c r="B452" s="335" t="s">
        <v>26</v>
      </c>
      <c r="C452" s="335" t="s">
        <v>27</v>
      </c>
      <c r="D452" s="335" t="s">
        <v>795</v>
      </c>
      <c r="E452" s="336" t="s">
        <v>796</v>
      </c>
      <c r="F452" s="336" t="s">
        <v>744</v>
      </c>
      <c r="G452" s="337">
        <v>7.5</v>
      </c>
      <c r="H452" s="338">
        <v>0.1</v>
      </c>
      <c r="I452" s="339">
        <v>509.31490000000002</v>
      </c>
      <c r="J452" s="340">
        <v>4201.847925</v>
      </c>
      <c r="K452" s="335" t="s">
        <v>867</v>
      </c>
      <c r="L452" s="335">
        <v>6</v>
      </c>
      <c r="M452" s="335" t="s">
        <v>873</v>
      </c>
      <c r="N452" s="339">
        <v>3.25</v>
      </c>
      <c r="O452" s="341">
        <v>7.5</v>
      </c>
      <c r="P452" s="341" t="s">
        <v>25</v>
      </c>
      <c r="Q452" s="341">
        <v>0</v>
      </c>
      <c r="R452" s="342" t="s">
        <v>25</v>
      </c>
      <c r="S452" s="342" t="s">
        <v>25</v>
      </c>
    </row>
    <row r="453" spans="1:19" ht="15" customHeight="1" x14ac:dyDescent="0.3">
      <c r="A453" s="335" t="s">
        <v>862</v>
      </c>
      <c r="B453" s="335" t="s">
        <v>26</v>
      </c>
      <c r="C453" s="335" t="s">
        <v>27</v>
      </c>
      <c r="D453" s="335" t="s">
        <v>874</v>
      </c>
      <c r="E453" s="336" t="s">
        <v>875</v>
      </c>
      <c r="F453" s="336" t="s">
        <v>35</v>
      </c>
      <c r="G453" s="337">
        <v>1</v>
      </c>
      <c r="H453" s="338">
        <v>0.05</v>
      </c>
      <c r="I453" s="339">
        <v>2148.7603305785101</v>
      </c>
      <c r="J453" s="340">
        <v>2256.19834710744</v>
      </c>
      <c r="K453" s="335" t="s">
        <v>867</v>
      </c>
      <c r="L453" s="335">
        <v>7</v>
      </c>
      <c r="M453" s="335" t="s">
        <v>876</v>
      </c>
      <c r="N453" s="339">
        <v>3.25</v>
      </c>
      <c r="O453" s="341">
        <v>1</v>
      </c>
      <c r="P453" s="341" t="s">
        <v>25</v>
      </c>
      <c r="Q453" s="341">
        <v>0</v>
      </c>
      <c r="R453" s="342" t="s">
        <v>25</v>
      </c>
      <c r="S453" s="342" t="s">
        <v>25</v>
      </c>
    </row>
    <row r="454" spans="1:19" ht="15" customHeight="1" x14ac:dyDescent="0.3">
      <c r="A454" s="335" t="s">
        <v>862</v>
      </c>
      <c r="B454" s="335" t="s">
        <v>26</v>
      </c>
      <c r="C454" s="335" t="s">
        <v>27</v>
      </c>
      <c r="D454" s="335" t="s">
        <v>801</v>
      </c>
      <c r="E454" s="336" t="s">
        <v>802</v>
      </c>
      <c r="F454" s="336" t="s">
        <v>35</v>
      </c>
      <c r="G454" s="337">
        <v>0.5</v>
      </c>
      <c r="H454" s="338">
        <v>0.05</v>
      </c>
      <c r="I454" s="339">
        <v>202.42</v>
      </c>
      <c r="J454" s="340">
        <v>106.2705</v>
      </c>
      <c r="K454" s="335" t="s">
        <v>867</v>
      </c>
      <c r="L454" s="335">
        <v>8</v>
      </c>
      <c r="M454" s="335" t="s">
        <v>877</v>
      </c>
      <c r="N454" s="339">
        <v>3.25</v>
      </c>
      <c r="O454" s="341">
        <v>0.5</v>
      </c>
      <c r="P454" s="341" t="s">
        <v>25</v>
      </c>
      <c r="Q454" s="341">
        <v>0</v>
      </c>
      <c r="R454" s="342" t="s">
        <v>25</v>
      </c>
      <c r="S454" s="342" t="s">
        <v>25</v>
      </c>
    </row>
    <row r="455" spans="1:19" ht="15" customHeight="1" x14ac:dyDescent="0.3">
      <c r="A455" s="335" t="s">
        <v>862</v>
      </c>
      <c r="B455" s="335" t="s">
        <v>26</v>
      </c>
      <c r="C455" s="335" t="s">
        <v>27</v>
      </c>
      <c r="D455" s="335" t="s">
        <v>96</v>
      </c>
      <c r="E455" s="336" t="s">
        <v>97</v>
      </c>
      <c r="F455" s="336" t="s">
        <v>98</v>
      </c>
      <c r="G455" s="337">
        <v>3530.1140378925602</v>
      </c>
      <c r="H455" s="338">
        <v>0</v>
      </c>
      <c r="I455" s="339">
        <v>1</v>
      </c>
      <c r="J455" s="340">
        <v>3530.1140378925602</v>
      </c>
      <c r="K455" s="335" t="s">
        <v>867</v>
      </c>
      <c r="L455" s="335">
        <v>9</v>
      </c>
      <c r="M455" s="335" t="s">
        <v>878</v>
      </c>
      <c r="N455" s="339">
        <v>3.25</v>
      </c>
      <c r="O455" s="341">
        <v>3530.1140378925602</v>
      </c>
      <c r="P455" s="341" t="s">
        <v>25</v>
      </c>
      <c r="Q455" s="341">
        <v>0</v>
      </c>
      <c r="R455" s="342" t="s">
        <v>25</v>
      </c>
      <c r="S455" s="342" t="s">
        <v>25</v>
      </c>
    </row>
    <row r="456" spans="1:19" ht="15" customHeight="1" x14ac:dyDescent="0.3">
      <c r="A456" s="335" t="s">
        <v>862</v>
      </c>
      <c r="B456" s="335" t="s">
        <v>56</v>
      </c>
      <c r="C456" s="335" t="s">
        <v>57</v>
      </c>
      <c r="D456" s="343" t="s">
        <v>58</v>
      </c>
      <c r="E456" s="336" t="s">
        <v>59</v>
      </c>
      <c r="F456" s="336" t="s">
        <v>60</v>
      </c>
      <c r="G456" s="337">
        <v>1</v>
      </c>
      <c r="H456" s="338">
        <v>0</v>
      </c>
      <c r="I456" s="339">
        <v>60860.580776572002</v>
      </c>
      <c r="J456" s="340">
        <v>60860.580776572002</v>
      </c>
      <c r="K456" s="335" t="s">
        <v>879</v>
      </c>
      <c r="L456" s="335">
        <v>1</v>
      </c>
      <c r="M456" s="335" t="s">
        <v>880</v>
      </c>
      <c r="N456" s="339">
        <v>3.25</v>
      </c>
      <c r="O456" s="341">
        <v>0.30769230769230799</v>
      </c>
      <c r="P456" s="341" t="s">
        <v>25</v>
      </c>
      <c r="Q456" s="341">
        <v>0</v>
      </c>
      <c r="R456" s="342" t="s">
        <v>25</v>
      </c>
      <c r="S456" s="342" t="s">
        <v>25</v>
      </c>
    </row>
    <row r="457" spans="1:19" ht="15" customHeight="1" x14ac:dyDescent="0.3">
      <c r="A457" s="335" t="s">
        <v>862</v>
      </c>
      <c r="B457" s="335" t="s">
        <v>56</v>
      </c>
      <c r="C457" s="335" t="s">
        <v>57</v>
      </c>
      <c r="D457" s="343" t="s">
        <v>63</v>
      </c>
      <c r="E457" s="336" t="s">
        <v>64</v>
      </c>
      <c r="F457" s="336" t="s">
        <v>60</v>
      </c>
      <c r="G457" s="337">
        <v>1</v>
      </c>
      <c r="H457" s="338">
        <v>0</v>
      </c>
      <c r="I457" s="339">
        <v>85927.097156571996</v>
      </c>
      <c r="J457" s="340">
        <v>85927.097156571996</v>
      </c>
      <c r="K457" s="335" t="s">
        <v>879</v>
      </c>
      <c r="L457" s="335">
        <v>2</v>
      </c>
      <c r="M457" s="335" t="s">
        <v>881</v>
      </c>
      <c r="N457" s="339">
        <v>3.25</v>
      </c>
      <c r="O457" s="341">
        <v>0.30769230769230799</v>
      </c>
      <c r="P457" s="341" t="s">
        <v>25</v>
      </c>
      <c r="Q457" s="341">
        <v>0</v>
      </c>
      <c r="R457" s="342" t="s">
        <v>25</v>
      </c>
      <c r="S457" s="342" t="s">
        <v>25</v>
      </c>
    </row>
    <row r="458" spans="1:19" ht="15" customHeight="1" x14ac:dyDescent="0.3">
      <c r="A458" s="335" t="s">
        <v>882</v>
      </c>
      <c r="B458" s="335" t="s">
        <v>20</v>
      </c>
      <c r="C458" s="335"/>
      <c r="D458" s="335" t="s">
        <v>67</v>
      </c>
      <c r="E458" s="336" t="s">
        <v>68</v>
      </c>
      <c r="F458" s="336"/>
      <c r="G458" s="337">
        <v>0.5</v>
      </c>
      <c r="H458" s="338">
        <v>0</v>
      </c>
      <c r="I458" s="339">
        <v>571.17949098076099</v>
      </c>
      <c r="J458" s="340">
        <v>285.58974549038101</v>
      </c>
      <c r="K458" s="335" t="s">
        <v>883</v>
      </c>
      <c r="L458" s="335">
        <v>1</v>
      </c>
      <c r="M458" s="335" t="s">
        <v>884</v>
      </c>
      <c r="N458" s="339">
        <v>3.25</v>
      </c>
      <c r="O458" s="341">
        <v>0.5</v>
      </c>
      <c r="P458" s="341" t="s">
        <v>25</v>
      </c>
      <c r="Q458" s="341">
        <v>0</v>
      </c>
      <c r="R458" s="342" t="s">
        <v>25</v>
      </c>
      <c r="S458" s="342" t="s">
        <v>25</v>
      </c>
    </row>
    <row r="459" spans="1:19" ht="15" customHeight="1" x14ac:dyDescent="0.3">
      <c r="A459" s="335" t="s">
        <v>882</v>
      </c>
      <c r="B459" s="335" t="s">
        <v>20</v>
      </c>
      <c r="C459" s="335"/>
      <c r="D459" s="335" t="s">
        <v>775</v>
      </c>
      <c r="E459" s="336" t="s">
        <v>776</v>
      </c>
      <c r="F459" s="336"/>
      <c r="G459" s="337">
        <v>1</v>
      </c>
      <c r="H459" s="338">
        <v>0</v>
      </c>
      <c r="I459" s="339">
        <v>5063.0947914732396</v>
      </c>
      <c r="J459" s="340">
        <v>5063.0947914732396</v>
      </c>
      <c r="K459" s="335" t="s">
        <v>883</v>
      </c>
      <c r="L459" s="335">
        <v>2</v>
      </c>
      <c r="M459" s="335" t="s">
        <v>885</v>
      </c>
      <c r="N459" s="339">
        <v>3.25</v>
      </c>
      <c r="O459" s="341">
        <v>1</v>
      </c>
      <c r="P459" s="341" t="s">
        <v>25</v>
      </c>
      <c r="Q459" s="341">
        <v>0</v>
      </c>
      <c r="R459" s="342" t="s">
        <v>25</v>
      </c>
      <c r="S459" s="342" t="s">
        <v>25</v>
      </c>
    </row>
    <row r="460" spans="1:19" ht="15" customHeight="1" x14ac:dyDescent="0.3">
      <c r="A460" s="335" t="s">
        <v>882</v>
      </c>
      <c r="B460" s="335" t="s">
        <v>20</v>
      </c>
      <c r="C460" s="335"/>
      <c r="D460" s="335" t="s">
        <v>578</v>
      </c>
      <c r="E460" s="336" t="s">
        <v>579</v>
      </c>
      <c r="F460" s="336"/>
      <c r="G460" s="337">
        <v>0.5</v>
      </c>
      <c r="H460" s="338">
        <v>0</v>
      </c>
      <c r="I460" s="339">
        <v>140.198092594309</v>
      </c>
      <c r="J460" s="340">
        <v>70.099046297154501</v>
      </c>
      <c r="K460" s="335" t="s">
        <v>883</v>
      </c>
      <c r="L460" s="335">
        <v>3</v>
      </c>
      <c r="M460" s="335" t="s">
        <v>886</v>
      </c>
      <c r="N460" s="339">
        <v>3.25</v>
      </c>
      <c r="O460" s="341">
        <v>0.5</v>
      </c>
      <c r="P460" s="341" t="s">
        <v>25</v>
      </c>
      <c r="Q460" s="341">
        <v>0</v>
      </c>
      <c r="R460" s="342" t="s">
        <v>25</v>
      </c>
      <c r="S460" s="342" t="s">
        <v>25</v>
      </c>
    </row>
    <row r="461" spans="1:19" ht="15" customHeight="1" x14ac:dyDescent="0.3">
      <c r="A461" s="335" t="s">
        <v>882</v>
      </c>
      <c r="B461" s="335" t="s">
        <v>26</v>
      </c>
      <c r="C461" s="335" t="s">
        <v>27</v>
      </c>
      <c r="D461" s="335" t="s">
        <v>887</v>
      </c>
      <c r="E461" s="336" t="s">
        <v>888</v>
      </c>
      <c r="F461" s="336" t="s">
        <v>35</v>
      </c>
      <c r="G461" s="337">
        <v>3</v>
      </c>
      <c r="H461" s="338">
        <v>0.1</v>
      </c>
      <c r="I461" s="339">
        <v>351.14</v>
      </c>
      <c r="J461" s="340">
        <v>1158.7619999999999</v>
      </c>
      <c r="K461" s="335" t="s">
        <v>889</v>
      </c>
      <c r="L461" s="335">
        <v>1</v>
      </c>
      <c r="M461" s="335" t="s">
        <v>890</v>
      </c>
      <c r="N461" s="339">
        <v>3.25</v>
      </c>
      <c r="O461" s="341">
        <v>3</v>
      </c>
      <c r="P461" s="341" t="s">
        <v>25</v>
      </c>
      <c r="Q461" s="341">
        <v>0</v>
      </c>
      <c r="R461" s="342" t="s">
        <v>25</v>
      </c>
      <c r="S461" s="342" t="s">
        <v>25</v>
      </c>
    </row>
    <row r="462" spans="1:19" ht="15" customHeight="1" x14ac:dyDescent="0.3">
      <c r="A462" s="335" t="s">
        <v>882</v>
      </c>
      <c r="B462" s="335" t="s">
        <v>26</v>
      </c>
      <c r="C462" s="335" t="s">
        <v>27</v>
      </c>
      <c r="D462" s="335" t="s">
        <v>891</v>
      </c>
      <c r="E462" s="336" t="s">
        <v>892</v>
      </c>
      <c r="F462" s="336" t="s">
        <v>744</v>
      </c>
      <c r="G462" s="337">
        <v>7.5</v>
      </c>
      <c r="H462" s="338">
        <v>0.1</v>
      </c>
      <c r="I462" s="339">
        <v>666.92666666666696</v>
      </c>
      <c r="J462" s="340">
        <v>5502.1450000000004</v>
      </c>
      <c r="K462" s="335" t="s">
        <v>889</v>
      </c>
      <c r="L462" s="335">
        <v>2</v>
      </c>
      <c r="M462" s="335" t="s">
        <v>893</v>
      </c>
      <c r="N462" s="339">
        <v>3.25</v>
      </c>
      <c r="O462" s="341">
        <v>7.5</v>
      </c>
      <c r="P462" s="341" t="s">
        <v>25</v>
      </c>
      <c r="Q462" s="341">
        <v>0</v>
      </c>
      <c r="R462" s="342" t="s">
        <v>25</v>
      </c>
      <c r="S462" s="342" t="s">
        <v>25</v>
      </c>
    </row>
    <row r="463" spans="1:19" ht="15" customHeight="1" x14ac:dyDescent="0.3">
      <c r="A463" s="335" t="s">
        <v>882</v>
      </c>
      <c r="B463" s="335" t="s">
        <v>26</v>
      </c>
      <c r="C463" s="335" t="s">
        <v>27</v>
      </c>
      <c r="D463" s="335" t="s">
        <v>894</v>
      </c>
      <c r="E463" s="336" t="s">
        <v>895</v>
      </c>
      <c r="F463" s="336" t="s">
        <v>35</v>
      </c>
      <c r="G463" s="337">
        <v>3</v>
      </c>
      <c r="H463" s="338">
        <v>0.1</v>
      </c>
      <c r="I463" s="339">
        <v>280.10000000000002</v>
      </c>
      <c r="J463" s="340">
        <v>924.33</v>
      </c>
      <c r="K463" s="335" t="s">
        <v>889</v>
      </c>
      <c r="L463" s="335">
        <v>3</v>
      </c>
      <c r="M463" s="335" t="s">
        <v>896</v>
      </c>
      <c r="N463" s="339">
        <v>3.25</v>
      </c>
      <c r="O463" s="341">
        <v>3</v>
      </c>
      <c r="P463" s="341" t="s">
        <v>25</v>
      </c>
      <c r="Q463" s="341">
        <v>0</v>
      </c>
      <c r="R463" s="342" t="s">
        <v>25</v>
      </c>
      <c r="S463" s="342" t="s">
        <v>25</v>
      </c>
    </row>
    <row r="464" spans="1:19" ht="15" customHeight="1" x14ac:dyDescent="0.3">
      <c r="A464" s="335" t="s">
        <v>882</v>
      </c>
      <c r="B464" s="335" t="s">
        <v>26</v>
      </c>
      <c r="C464" s="335" t="s">
        <v>27</v>
      </c>
      <c r="D464" s="335" t="s">
        <v>897</v>
      </c>
      <c r="E464" s="336" t="s">
        <v>898</v>
      </c>
      <c r="F464" s="336" t="s">
        <v>744</v>
      </c>
      <c r="G464" s="337">
        <v>22.5</v>
      </c>
      <c r="H464" s="338">
        <v>0.1</v>
      </c>
      <c r="I464" s="339">
        <v>834.6</v>
      </c>
      <c r="J464" s="340">
        <v>20656.349999999999</v>
      </c>
      <c r="K464" s="335" t="s">
        <v>889</v>
      </c>
      <c r="L464" s="335">
        <v>4</v>
      </c>
      <c r="M464" s="335" t="s">
        <v>899</v>
      </c>
      <c r="N464" s="339">
        <v>3.25</v>
      </c>
      <c r="O464" s="341">
        <v>22.5</v>
      </c>
      <c r="P464" s="341" t="s">
        <v>25</v>
      </c>
      <c r="Q464" s="341">
        <v>0</v>
      </c>
      <c r="R464" s="342" t="s">
        <v>25</v>
      </c>
      <c r="S464" s="342" t="s">
        <v>25</v>
      </c>
    </row>
    <row r="465" spans="1:19" ht="15" customHeight="1" x14ac:dyDescent="0.3">
      <c r="A465" s="335" t="s">
        <v>882</v>
      </c>
      <c r="B465" s="335" t="s">
        <v>26</v>
      </c>
      <c r="C465" s="335" t="s">
        <v>27</v>
      </c>
      <c r="D465" s="335" t="s">
        <v>801</v>
      </c>
      <c r="E465" s="336" t="s">
        <v>802</v>
      </c>
      <c r="F465" s="336" t="s">
        <v>35</v>
      </c>
      <c r="G465" s="337">
        <v>1</v>
      </c>
      <c r="H465" s="338">
        <v>0.05</v>
      </c>
      <c r="I465" s="339">
        <v>202.42</v>
      </c>
      <c r="J465" s="340">
        <v>212.541</v>
      </c>
      <c r="K465" s="335" t="s">
        <v>889</v>
      </c>
      <c r="L465" s="335">
        <v>5</v>
      </c>
      <c r="M465" s="335" t="s">
        <v>900</v>
      </c>
      <c r="N465" s="339">
        <v>3.25</v>
      </c>
      <c r="O465" s="341">
        <v>1</v>
      </c>
      <c r="P465" s="341" t="s">
        <v>25</v>
      </c>
      <c r="Q465" s="341">
        <v>0</v>
      </c>
      <c r="R465" s="342" t="s">
        <v>25</v>
      </c>
      <c r="S465" s="342" t="s">
        <v>25</v>
      </c>
    </row>
    <row r="466" spans="1:19" ht="15" customHeight="1" x14ac:dyDescent="0.3">
      <c r="A466" s="335" t="s">
        <v>882</v>
      </c>
      <c r="B466" s="335" t="s">
        <v>26</v>
      </c>
      <c r="C466" s="335" t="s">
        <v>27</v>
      </c>
      <c r="D466" s="335" t="s">
        <v>96</v>
      </c>
      <c r="E466" s="336" t="s">
        <v>97</v>
      </c>
      <c r="F466" s="336" t="s">
        <v>98</v>
      </c>
      <c r="G466" s="337">
        <v>5975.3668799999996</v>
      </c>
      <c r="H466" s="338">
        <v>0</v>
      </c>
      <c r="I466" s="339">
        <v>1</v>
      </c>
      <c r="J466" s="340">
        <v>5975.3668799999996</v>
      </c>
      <c r="K466" s="335" t="s">
        <v>889</v>
      </c>
      <c r="L466" s="335">
        <v>6</v>
      </c>
      <c r="M466" s="335" t="s">
        <v>901</v>
      </c>
      <c r="N466" s="339">
        <v>3.25</v>
      </c>
      <c r="O466" s="341">
        <v>5975.3668799999996</v>
      </c>
      <c r="P466" s="341" t="s">
        <v>25</v>
      </c>
      <c r="Q466" s="341">
        <v>0</v>
      </c>
      <c r="R466" s="342" t="s">
        <v>25</v>
      </c>
      <c r="S466" s="342" t="s">
        <v>25</v>
      </c>
    </row>
    <row r="467" spans="1:19" ht="15" customHeight="1" x14ac:dyDescent="0.3">
      <c r="A467" s="335" t="s">
        <v>882</v>
      </c>
      <c r="B467" s="335" t="s">
        <v>56</v>
      </c>
      <c r="C467" s="335" t="s">
        <v>57</v>
      </c>
      <c r="D467" s="343" t="s">
        <v>58</v>
      </c>
      <c r="E467" s="336" t="s">
        <v>59</v>
      </c>
      <c r="F467" s="336" t="s">
        <v>60</v>
      </c>
      <c r="G467" s="337">
        <v>1</v>
      </c>
      <c r="H467" s="338">
        <v>0</v>
      </c>
      <c r="I467" s="339">
        <v>60860.580776572002</v>
      </c>
      <c r="J467" s="340">
        <v>60860.580776572002</v>
      </c>
      <c r="K467" s="335" t="s">
        <v>902</v>
      </c>
      <c r="L467" s="335">
        <v>1</v>
      </c>
      <c r="M467" s="335" t="s">
        <v>903</v>
      </c>
      <c r="N467" s="339">
        <v>3.25</v>
      </c>
      <c r="O467" s="341">
        <v>0.30769230769230799</v>
      </c>
      <c r="P467" s="341" t="s">
        <v>25</v>
      </c>
      <c r="Q467" s="341">
        <v>0</v>
      </c>
      <c r="R467" s="342" t="s">
        <v>25</v>
      </c>
      <c r="S467" s="342" t="s">
        <v>25</v>
      </c>
    </row>
    <row r="468" spans="1:19" ht="15" customHeight="1" x14ac:dyDescent="0.3">
      <c r="A468" s="335" t="s">
        <v>882</v>
      </c>
      <c r="B468" s="335" t="s">
        <v>56</v>
      </c>
      <c r="C468" s="335" t="s">
        <v>57</v>
      </c>
      <c r="D468" s="343" t="s">
        <v>63</v>
      </c>
      <c r="E468" s="336" t="s">
        <v>64</v>
      </c>
      <c r="F468" s="336" t="s">
        <v>60</v>
      </c>
      <c r="G468" s="337">
        <v>1</v>
      </c>
      <c r="H468" s="338">
        <v>0</v>
      </c>
      <c r="I468" s="339">
        <v>85927.097156571996</v>
      </c>
      <c r="J468" s="340">
        <v>85927.097156571996</v>
      </c>
      <c r="K468" s="335" t="s">
        <v>902</v>
      </c>
      <c r="L468" s="335">
        <v>2</v>
      </c>
      <c r="M468" s="335" t="s">
        <v>904</v>
      </c>
      <c r="N468" s="339">
        <v>3.25</v>
      </c>
      <c r="O468" s="341">
        <v>0.30769230769230799</v>
      </c>
      <c r="P468" s="341" t="s">
        <v>25</v>
      </c>
      <c r="Q468" s="341">
        <v>0</v>
      </c>
      <c r="R468" s="342" t="s">
        <v>25</v>
      </c>
      <c r="S468" s="342" t="s">
        <v>25</v>
      </c>
    </row>
    <row r="469" spans="1:19" ht="15" customHeight="1" x14ac:dyDescent="0.3">
      <c r="A469" s="335" t="s">
        <v>905</v>
      </c>
      <c r="B469" s="335" t="s">
        <v>20</v>
      </c>
      <c r="C469" s="335"/>
      <c r="D469" s="335" t="s">
        <v>67</v>
      </c>
      <c r="E469" s="336" t="s">
        <v>68</v>
      </c>
      <c r="F469" s="336"/>
      <c r="G469" s="337">
        <v>0.5</v>
      </c>
      <c r="H469" s="338">
        <v>0</v>
      </c>
      <c r="I469" s="339">
        <v>571.17949098076099</v>
      </c>
      <c r="J469" s="340">
        <v>285.58974549038101</v>
      </c>
      <c r="K469" s="335" t="s">
        <v>906</v>
      </c>
      <c r="L469" s="335">
        <v>1</v>
      </c>
      <c r="M469" s="335" t="s">
        <v>907</v>
      </c>
      <c r="N469" s="339">
        <v>3.25</v>
      </c>
      <c r="O469" s="341">
        <v>0.5</v>
      </c>
      <c r="P469" s="341" t="s">
        <v>25</v>
      </c>
      <c r="Q469" s="341">
        <v>0</v>
      </c>
      <c r="R469" s="342" t="s">
        <v>25</v>
      </c>
      <c r="S469" s="342" t="s">
        <v>25</v>
      </c>
    </row>
    <row r="470" spans="1:19" ht="15" customHeight="1" x14ac:dyDescent="0.3">
      <c r="A470" s="335" t="s">
        <v>905</v>
      </c>
      <c r="B470" s="335" t="s">
        <v>20</v>
      </c>
      <c r="C470" s="335"/>
      <c r="D470" s="335" t="s">
        <v>775</v>
      </c>
      <c r="E470" s="336" t="s">
        <v>776</v>
      </c>
      <c r="F470" s="336"/>
      <c r="G470" s="337">
        <v>1</v>
      </c>
      <c r="H470" s="338">
        <v>0</v>
      </c>
      <c r="I470" s="339">
        <v>5063.0947914732396</v>
      </c>
      <c r="J470" s="340">
        <v>5063.0947914732396</v>
      </c>
      <c r="K470" s="335" t="s">
        <v>906</v>
      </c>
      <c r="L470" s="335">
        <v>2</v>
      </c>
      <c r="M470" s="335" t="s">
        <v>908</v>
      </c>
      <c r="N470" s="339">
        <v>3.25</v>
      </c>
      <c r="O470" s="341">
        <v>1</v>
      </c>
      <c r="P470" s="341" t="s">
        <v>25</v>
      </c>
      <c r="Q470" s="341">
        <v>0</v>
      </c>
      <c r="R470" s="342" t="s">
        <v>25</v>
      </c>
      <c r="S470" s="342" t="s">
        <v>25</v>
      </c>
    </row>
    <row r="471" spans="1:19" ht="15" customHeight="1" x14ac:dyDescent="0.3">
      <c r="A471" s="335" t="s">
        <v>905</v>
      </c>
      <c r="B471" s="335" t="s">
        <v>20</v>
      </c>
      <c r="C471" s="335"/>
      <c r="D471" s="335" t="s">
        <v>578</v>
      </c>
      <c r="E471" s="336" t="s">
        <v>579</v>
      </c>
      <c r="F471" s="336"/>
      <c r="G471" s="337">
        <v>0.5</v>
      </c>
      <c r="H471" s="338">
        <v>0</v>
      </c>
      <c r="I471" s="339">
        <v>140.198092594309</v>
      </c>
      <c r="J471" s="340">
        <v>70.099046297154501</v>
      </c>
      <c r="K471" s="335" t="s">
        <v>906</v>
      </c>
      <c r="L471" s="335">
        <v>3</v>
      </c>
      <c r="M471" s="335" t="s">
        <v>909</v>
      </c>
      <c r="N471" s="339">
        <v>3.25</v>
      </c>
      <c r="O471" s="341">
        <v>0.5</v>
      </c>
      <c r="P471" s="341" t="s">
        <v>25</v>
      </c>
      <c r="Q471" s="341">
        <v>0</v>
      </c>
      <c r="R471" s="342" t="s">
        <v>25</v>
      </c>
      <c r="S471" s="342" t="s">
        <v>25</v>
      </c>
    </row>
    <row r="472" spans="1:19" ht="15" customHeight="1" x14ac:dyDescent="0.3">
      <c r="A472" s="335" t="s">
        <v>905</v>
      </c>
      <c r="B472" s="335" t="s">
        <v>26</v>
      </c>
      <c r="C472" s="335" t="s">
        <v>27</v>
      </c>
      <c r="D472" s="335" t="s">
        <v>887</v>
      </c>
      <c r="E472" s="336" t="s">
        <v>888</v>
      </c>
      <c r="F472" s="336" t="s">
        <v>35</v>
      </c>
      <c r="G472" s="337">
        <v>4</v>
      </c>
      <c r="H472" s="338">
        <v>0.1</v>
      </c>
      <c r="I472" s="339">
        <v>351.14</v>
      </c>
      <c r="J472" s="340">
        <v>1545.0160000000001</v>
      </c>
      <c r="K472" s="335" t="s">
        <v>910</v>
      </c>
      <c r="L472" s="335">
        <v>1</v>
      </c>
      <c r="M472" s="335" t="s">
        <v>911</v>
      </c>
      <c r="N472" s="339">
        <v>3.25</v>
      </c>
      <c r="O472" s="341">
        <v>4</v>
      </c>
      <c r="P472" s="341" t="s">
        <v>25</v>
      </c>
      <c r="Q472" s="341">
        <v>0</v>
      </c>
      <c r="R472" s="342" t="s">
        <v>25</v>
      </c>
      <c r="S472" s="342" t="s">
        <v>25</v>
      </c>
    </row>
    <row r="473" spans="1:19" ht="15" customHeight="1" x14ac:dyDescent="0.3">
      <c r="A473" s="335" t="s">
        <v>905</v>
      </c>
      <c r="B473" s="335" t="s">
        <v>26</v>
      </c>
      <c r="C473" s="335" t="s">
        <v>27</v>
      </c>
      <c r="D473" s="335" t="s">
        <v>891</v>
      </c>
      <c r="E473" s="336" t="s">
        <v>892</v>
      </c>
      <c r="F473" s="336" t="s">
        <v>744</v>
      </c>
      <c r="G473" s="337">
        <v>7.5</v>
      </c>
      <c r="H473" s="338">
        <v>0.05</v>
      </c>
      <c r="I473" s="339">
        <v>666.92666666666696</v>
      </c>
      <c r="J473" s="340">
        <v>5252.0474999999997</v>
      </c>
      <c r="K473" s="335" t="s">
        <v>910</v>
      </c>
      <c r="L473" s="335">
        <v>2</v>
      </c>
      <c r="M473" s="335" t="s">
        <v>912</v>
      </c>
      <c r="N473" s="339">
        <v>3.25</v>
      </c>
      <c r="O473" s="341">
        <v>7.5</v>
      </c>
      <c r="P473" s="341" t="s">
        <v>25</v>
      </c>
      <c r="Q473" s="341">
        <v>0</v>
      </c>
      <c r="R473" s="342" t="s">
        <v>25</v>
      </c>
      <c r="S473" s="342" t="s">
        <v>25</v>
      </c>
    </row>
    <row r="474" spans="1:19" ht="15" customHeight="1" x14ac:dyDescent="0.3">
      <c r="A474" s="335" t="s">
        <v>905</v>
      </c>
      <c r="B474" s="335" t="s">
        <v>26</v>
      </c>
      <c r="C474" s="335" t="s">
        <v>27</v>
      </c>
      <c r="D474" s="335" t="s">
        <v>894</v>
      </c>
      <c r="E474" s="336" t="s">
        <v>895</v>
      </c>
      <c r="F474" s="336" t="s">
        <v>35</v>
      </c>
      <c r="G474" s="337">
        <v>1.2</v>
      </c>
      <c r="H474" s="338">
        <v>0.1</v>
      </c>
      <c r="I474" s="339">
        <v>280.10000000000002</v>
      </c>
      <c r="J474" s="340">
        <v>369.73200000000003</v>
      </c>
      <c r="K474" s="335" t="s">
        <v>910</v>
      </c>
      <c r="L474" s="335">
        <v>3</v>
      </c>
      <c r="M474" s="335" t="s">
        <v>913</v>
      </c>
      <c r="N474" s="339">
        <v>3.25</v>
      </c>
      <c r="O474" s="341">
        <v>1.2</v>
      </c>
      <c r="P474" s="341" t="s">
        <v>25</v>
      </c>
      <c r="Q474" s="341">
        <v>0</v>
      </c>
      <c r="R474" s="342" t="s">
        <v>25</v>
      </c>
      <c r="S474" s="342" t="s">
        <v>25</v>
      </c>
    </row>
    <row r="475" spans="1:19" ht="15" customHeight="1" x14ac:dyDescent="0.3">
      <c r="A475" s="335" t="s">
        <v>905</v>
      </c>
      <c r="B475" s="335" t="s">
        <v>26</v>
      </c>
      <c r="C475" s="335" t="s">
        <v>27</v>
      </c>
      <c r="D475" s="335" t="s">
        <v>789</v>
      </c>
      <c r="E475" s="336" t="s">
        <v>790</v>
      </c>
      <c r="F475" s="336" t="s">
        <v>744</v>
      </c>
      <c r="G475" s="337">
        <v>7.5</v>
      </c>
      <c r="H475" s="338">
        <v>0.1</v>
      </c>
      <c r="I475" s="339">
        <v>316.44450000000001</v>
      </c>
      <c r="J475" s="340">
        <v>2610.6671249999999</v>
      </c>
      <c r="K475" s="335" t="s">
        <v>910</v>
      </c>
      <c r="L475" s="335">
        <v>4</v>
      </c>
      <c r="M475" s="335" t="s">
        <v>914</v>
      </c>
      <c r="N475" s="339">
        <v>3.25</v>
      </c>
      <c r="O475" s="341">
        <v>7.5</v>
      </c>
      <c r="P475" s="341" t="s">
        <v>25</v>
      </c>
      <c r="Q475" s="341">
        <v>0</v>
      </c>
      <c r="R475" s="342" t="s">
        <v>25</v>
      </c>
      <c r="S475" s="342" t="s">
        <v>25</v>
      </c>
    </row>
    <row r="476" spans="1:19" ht="15" customHeight="1" x14ac:dyDescent="0.3">
      <c r="A476" s="335" t="s">
        <v>905</v>
      </c>
      <c r="B476" s="335" t="s">
        <v>26</v>
      </c>
      <c r="C476" s="335" t="s">
        <v>27</v>
      </c>
      <c r="D476" s="335" t="s">
        <v>801</v>
      </c>
      <c r="E476" s="336" t="s">
        <v>802</v>
      </c>
      <c r="F476" s="336" t="s">
        <v>35</v>
      </c>
      <c r="G476" s="337">
        <v>1</v>
      </c>
      <c r="H476" s="338">
        <v>0.05</v>
      </c>
      <c r="I476" s="339">
        <v>202.42</v>
      </c>
      <c r="J476" s="340">
        <v>212.541</v>
      </c>
      <c r="K476" s="335" t="s">
        <v>910</v>
      </c>
      <c r="L476" s="335">
        <v>5</v>
      </c>
      <c r="M476" s="335" t="s">
        <v>915</v>
      </c>
      <c r="N476" s="339">
        <v>3.25</v>
      </c>
      <c r="O476" s="341">
        <v>1</v>
      </c>
      <c r="P476" s="341" t="s">
        <v>25</v>
      </c>
      <c r="Q476" s="341">
        <v>0</v>
      </c>
      <c r="R476" s="342" t="s">
        <v>25</v>
      </c>
      <c r="S476" s="342" t="s">
        <v>25</v>
      </c>
    </row>
    <row r="477" spans="1:19" ht="15" customHeight="1" x14ac:dyDescent="0.3">
      <c r="A477" s="335" t="s">
        <v>905</v>
      </c>
      <c r="B477" s="335" t="s">
        <v>26</v>
      </c>
      <c r="C477" s="335" t="s">
        <v>27</v>
      </c>
      <c r="D477" s="335" t="s">
        <v>96</v>
      </c>
      <c r="E477" s="336" t="s">
        <v>97</v>
      </c>
      <c r="F477" s="336" t="s">
        <v>98</v>
      </c>
      <c r="G477" s="337">
        <v>2097.90076125</v>
      </c>
      <c r="H477" s="338">
        <v>0</v>
      </c>
      <c r="I477" s="339">
        <v>1</v>
      </c>
      <c r="J477" s="340">
        <v>2097.90076125</v>
      </c>
      <c r="K477" s="335" t="s">
        <v>910</v>
      </c>
      <c r="L477" s="335">
        <v>6</v>
      </c>
      <c r="M477" s="335" t="s">
        <v>916</v>
      </c>
      <c r="N477" s="339">
        <v>3.25</v>
      </c>
      <c r="O477" s="341">
        <v>2097.90076125</v>
      </c>
      <c r="P477" s="341" t="s">
        <v>25</v>
      </c>
      <c r="Q477" s="341">
        <v>0</v>
      </c>
      <c r="R477" s="342" t="s">
        <v>25</v>
      </c>
      <c r="S477" s="342" t="s">
        <v>25</v>
      </c>
    </row>
    <row r="478" spans="1:19" ht="15" customHeight="1" x14ac:dyDescent="0.3">
      <c r="A478" s="335" t="s">
        <v>905</v>
      </c>
      <c r="B478" s="335" t="s">
        <v>56</v>
      </c>
      <c r="C478" s="335" t="s">
        <v>57</v>
      </c>
      <c r="D478" s="343" t="s">
        <v>58</v>
      </c>
      <c r="E478" s="336" t="s">
        <v>59</v>
      </c>
      <c r="F478" s="336" t="s">
        <v>60</v>
      </c>
      <c r="G478" s="337">
        <v>1</v>
      </c>
      <c r="H478" s="338">
        <v>0</v>
      </c>
      <c r="I478" s="339">
        <v>60860.580776572002</v>
      </c>
      <c r="J478" s="340">
        <v>60860.580776572002</v>
      </c>
      <c r="K478" s="335" t="s">
        <v>917</v>
      </c>
      <c r="L478" s="335">
        <v>1</v>
      </c>
      <c r="M478" s="335" t="s">
        <v>918</v>
      </c>
      <c r="N478" s="339">
        <v>3.25</v>
      </c>
      <c r="O478" s="341">
        <v>0.30769230769230799</v>
      </c>
      <c r="P478" s="341" t="s">
        <v>25</v>
      </c>
      <c r="Q478" s="341">
        <v>0</v>
      </c>
      <c r="R478" s="342" t="s">
        <v>25</v>
      </c>
      <c r="S478" s="342" t="s">
        <v>25</v>
      </c>
    </row>
    <row r="479" spans="1:19" ht="15" customHeight="1" x14ac:dyDescent="0.3">
      <c r="A479" s="335" t="s">
        <v>905</v>
      </c>
      <c r="B479" s="335" t="s">
        <v>56</v>
      </c>
      <c r="C479" s="335" t="s">
        <v>57</v>
      </c>
      <c r="D479" s="343" t="s">
        <v>63</v>
      </c>
      <c r="E479" s="336" t="s">
        <v>64</v>
      </c>
      <c r="F479" s="336" t="s">
        <v>60</v>
      </c>
      <c r="G479" s="337">
        <v>1</v>
      </c>
      <c r="H479" s="338">
        <v>0</v>
      </c>
      <c r="I479" s="339">
        <v>85927.097156571996</v>
      </c>
      <c r="J479" s="340">
        <v>85927.097156571996</v>
      </c>
      <c r="K479" s="335" t="s">
        <v>917</v>
      </c>
      <c r="L479" s="335">
        <v>2</v>
      </c>
      <c r="M479" s="335" t="s">
        <v>919</v>
      </c>
      <c r="N479" s="339">
        <v>3.25</v>
      </c>
      <c r="O479" s="341">
        <v>0.30769230769230799</v>
      </c>
      <c r="P479" s="341" t="s">
        <v>25</v>
      </c>
      <c r="Q479" s="341">
        <v>0</v>
      </c>
      <c r="R479" s="342" t="s">
        <v>25</v>
      </c>
      <c r="S479" s="342" t="s">
        <v>25</v>
      </c>
    </row>
    <row r="480" spans="1:19" ht="15" customHeight="1" x14ac:dyDescent="0.3">
      <c r="A480" s="335" t="s">
        <v>920</v>
      </c>
      <c r="B480" s="335" t="s">
        <v>26</v>
      </c>
      <c r="C480" s="335" t="s">
        <v>27</v>
      </c>
      <c r="D480" s="335" t="s">
        <v>526</v>
      </c>
      <c r="E480" s="336" t="s">
        <v>527</v>
      </c>
      <c r="F480" s="336" t="s">
        <v>167</v>
      </c>
      <c r="G480" s="337">
        <v>1.2500000000000001E-2</v>
      </c>
      <c r="H480" s="338">
        <v>0.15</v>
      </c>
      <c r="I480" s="339">
        <v>2302.02</v>
      </c>
      <c r="J480" s="340">
        <v>33.091537500000001</v>
      </c>
      <c r="K480" s="335" t="s">
        <v>921</v>
      </c>
      <c r="L480" s="335">
        <v>1</v>
      </c>
      <c r="M480" s="335" t="s">
        <v>922</v>
      </c>
      <c r="N480" s="339">
        <v>24</v>
      </c>
      <c r="O480" s="341">
        <v>1.2500000000000001E-2</v>
      </c>
      <c r="P480" s="341" t="s">
        <v>25</v>
      </c>
      <c r="Q480" s="341">
        <v>0</v>
      </c>
      <c r="R480" s="342" t="s">
        <v>25</v>
      </c>
      <c r="S480" s="342" t="s">
        <v>25</v>
      </c>
    </row>
    <row r="481" spans="1:19" ht="15" customHeight="1" x14ac:dyDescent="0.3">
      <c r="A481" s="335" t="s">
        <v>920</v>
      </c>
      <c r="B481" s="335" t="s">
        <v>26</v>
      </c>
      <c r="C481" s="335" t="s">
        <v>27</v>
      </c>
      <c r="D481" s="335" t="s">
        <v>731</v>
      </c>
      <c r="E481" s="336" t="s">
        <v>732</v>
      </c>
      <c r="F481" s="336" t="s">
        <v>733</v>
      </c>
      <c r="G481" s="337">
        <v>0.125</v>
      </c>
      <c r="H481" s="338">
        <v>0.05</v>
      </c>
      <c r="I481" s="339">
        <v>2130.1681250000001</v>
      </c>
      <c r="J481" s="340">
        <v>279.58456640625002</v>
      </c>
      <c r="K481" s="335" t="s">
        <v>921</v>
      </c>
      <c r="L481" s="335">
        <v>2</v>
      </c>
      <c r="M481" s="335" t="s">
        <v>923</v>
      </c>
      <c r="N481" s="339">
        <v>24</v>
      </c>
      <c r="O481" s="341">
        <v>0.125</v>
      </c>
      <c r="P481" s="341" t="s">
        <v>25</v>
      </c>
      <c r="Q481" s="341">
        <v>0</v>
      </c>
      <c r="R481" s="342" t="s">
        <v>25</v>
      </c>
      <c r="S481" s="342" t="s">
        <v>25</v>
      </c>
    </row>
    <row r="482" spans="1:19" ht="15" customHeight="1" x14ac:dyDescent="0.3">
      <c r="A482" s="335" t="s">
        <v>920</v>
      </c>
      <c r="B482" s="335" t="s">
        <v>26</v>
      </c>
      <c r="C482" s="335" t="s">
        <v>27</v>
      </c>
      <c r="D482" s="335" t="s">
        <v>924</v>
      </c>
      <c r="E482" s="336" t="s">
        <v>925</v>
      </c>
      <c r="F482" s="336" t="s">
        <v>744</v>
      </c>
      <c r="G482" s="337">
        <v>0.02</v>
      </c>
      <c r="H482" s="338">
        <v>0.02</v>
      </c>
      <c r="I482" s="339">
        <v>2755.25</v>
      </c>
      <c r="J482" s="340">
        <v>56.207099999999997</v>
      </c>
      <c r="K482" s="335" t="s">
        <v>921</v>
      </c>
      <c r="L482" s="335">
        <v>3</v>
      </c>
      <c r="M482" s="335" t="s">
        <v>926</v>
      </c>
      <c r="N482" s="339">
        <v>24</v>
      </c>
      <c r="O482" s="341">
        <v>0.02</v>
      </c>
      <c r="P482" s="341" t="s">
        <v>25</v>
      </c>
      <c r="Q482" s="341">
        <v>0</v>
      </c>
      <c r="R482" s="342" t="s">
        <v>25</v>
      </c>
      <c r="S482" s="342" t="s">
        <v>25</v>
      </c>
    </row>
    <row r="483" spans="1:19" ht="15" customHeight="1" x14ac:dyDescent="0.3">
      <c r="A483" s="335" t="s">
        <v>920</v>
      </c>
      <c r="B483" s="335" t="s">
        <v>26</v>
      </c>
      <c r="C483" s="335" t="s">
        <v>27</v>
      </c>
      <c r="D483" s="335" t="s">
        <v>927</v>
      </c>
      <c r="E483" s="336" t="s">
        <v>928</v>
      </c>
      <c r="F483" s="336" t="s">
        <v>744</v>
      </c>
      <c r="G483" s="337">
        <v>2.3E-3</v>
      </c>
      <c r="H483" s="338">
        <v>0.02</v>
      </c>
      <c r="I483" s="339">
        <v>1968.04</v>
      </c>
      <c r="J483" s="340">
        <v>4.6170218399999996</v>
      </c>
      <c r="K483" s="335" t="s">
        <v>921</v>
      </c>
      <c r="L483" s="335">
        <v>4</v>
      </c>
      <c r="M483" s="335" t="s">
        <v>929</v>
      </c>
      <c r="N483" s="339">
        <v>24</v>
      </c>
      <c r="O483" s="341">
        <v>2.3E-3</v>
      </c>
      <c r="P483" s="341" t="s">
        <v>25</v>
      </c>
      <c r="Q483" s="341">
        <v>0</v>
      </c>
      <c r="R483" s="342" t="s">
        <v>25</v>
      </c>
      <c r="S483" s="342" t="s">
        <v>25</v>
      </c>
    </row>
    <row r="484" spans="1:19" ht="15" customHeight="1" x14ac:dyDescent="0.3">
      <c r="A484" s="335" t="s">
        <v>920</v>
      </c>
      <c r="B484" s="335" t="s">
        <v>56</v>
      </c>
      <c r="C484" s="335" t="s">
        <v>57</v>
      </c>
      <c r="D484" s="343" t="s">
        <v>413</v>
      </c>
      <c r="E484" s="336" t="s">
        <v>414</v>
      </c>
      <c r="F484" s="336" t="s">
        <v>60</v>
      </c>
      <c r="G484" s="337">
        <v>1</v>
      </c>
      <c r="H484" s="338">
        <v>0</v>
      </c>
      <c r="I484" s="339">
        <v>65493.071636572</v>
      </c>
      <c r="J484" s="340">
        <v>65493.071636572</v>
      </c>
      <c r="K484" s="335" t="s">
        <v>930</v>
      </c>
      <c r="L484" s="335">
        <v>1</v>
      </c>
      <c r="M484" s="335" t="s">
        <v>931</v>
      </c>
      <c r="N484" s="339">
        <v>24</v>
      </c>
      <c r="O484" s="341">
        <v>4.1666666666666699E-2</v>
      </c>
      <c r="P484" s="341" t="s">
        <v>25</v>
      </c>
      <c r="Q484" s="341">
        <v>0</v>
      </c>
      <c r="R484" s="342" t="s">
        <v>25</v>
      </c>
      <c r="S484" s="342" t="s">
        <v>25</v>
      </c>
    </row>
    <row r="485" spans="1:19" ht="15" customHeight="1" x14ac:dyDescent="0.3">
      <c r="A485" s="335" t="s">
        <v>920</v>
      </c>
      <c r="B485" s="335" t="s">
        <v>56</v>
      </c>
      <c r="C485" s="335" t="s">
        <v>57</v>
      </c>
      <c r="D485" s="343" t="s">
        <v>63</v>
      </c>
      <c r="E485" s="336" t="s">
        <v>64</v>
      </c>
      <c r="F485" s="336" t="s">
        <v>60</v>
      </c>
      <c r="G485" s="337">
        <v>1</v>
      </c>
      <c r="H485" s="338">
        <v>0</v>
      </c>
      <c r="I485" s="339">
        <v>85927.097156571996</v>
      </c>
      <c r="J485" s="340">
        <v>85927.097156571996</v>
      </c>
      <c r="K485" s="335" t="s">
        <v>930</v>
      </c>
      <c r="L485" s="335">
        <v>2</v>
      </c>
      <c r="M485" s="335" t="s">
        <v>932</v>
      </c>
      <c r="N485" s="339">
        <v>24</v>
      </c>
      <c r="O485" s="341">
        <v>4.1666666666666699E-2</v>
      </c>
      <c r="P485" s="341" t="s">
        <v>25</v>
      </c>
      <c r="Q485" s="341">
        <v>0</v>
      </c>
      <c r="R485" s="342" t="s">
        <v>25</v>
      </c>
      <c r="S485" s="342" t="s">
        <v>25</v>
      </c>
    </row>
    <row r="486" spans="1:19" ht="15" customHeight="1" x14ac:dyDescent="0.3">
      <c r="A486" s="335" t="s">
        <v>933</v>
      </c>
      <c r="B486" s="335" t="s">
        <v>26</v>
      </c>
      <c r="C486" s="335" t="s">
        <v>27</v>
      </c>
      <c r="D486" s="335" t="s">
        <v>526</v>
      </c>
      <c r="E486" s="336" t="s">
        <v>527</v>
      </c>
      <c r="F486" s="336" t="s">
        <v>167</v>
      </c>
      <c r="G486" s="337">
        <v>1.2500000000000001E-2</v>
      </c>
      <c r="H486" s="338">
        <v>0.15</v>
      </c>
      <c r="I486" s="339">
        <v>2302.02</v>
      </c>
      <c r="J486" s="340">
        <v>33.091537500000001</v>
      </c>
      <c r="K486" s="335" t="s">
        <v>934</v>
      </c>
      <c r="L486" s="335">
        <v>1</v>
      </c>
      <c r="M486" s="335" t="s">
        <v>935</v>
      </c>
      <c r="N486" s="339">
        <v>28</v>
      </c>
      <c r="O486" s="341">
        <v>1.2500000000000001E-2</v>
      </c>
      <c r="P486" s="341" t="s">
        <v>25</v>
      </c>
      <c r="Q486" s="341">
        <v>0</v>
      </c>
      <c r="R486" s="342" t="s">
        <v>25</v>
      </c>
      <c r="S486" s="342" t="s">
        <v>25</v>
      </c>
    </row>
    <row r="487" spans="1:19" ht="15" customHeight="1" x14ac:dyDescent="0.3">
      <c r="A487" s="335" t="s">
        <v>933</v>
      </c>
      <c r="B487" s="335" t="s">
        <v>26</v>
      </c>
      <c r="C487" s="335" t="s">
        <v>27</v>
      </c>
      <c r="D487" s="335" t="s">
        <v>731</v>
      </c>
      <c r="E487" s="336" t="s">
        <v>732</v>
      </c>
      <c r="F487" s="336" t="s">
        <v>733</v>
      </c>
      <c r="G487" s="337">
        <v>0.125</v>
      </c>
      <c r="H487" s="338">
        <v>0.05</v>
      </c>
      <c r="I487" s="339">
        <v>2130.1681250000001</v>
      </c>
      <c r="J487" s="340">
        <v>279.58456640625002</v>
      </c>
      <c r="K487" s="335" t="s">
        <v>934</v>
      </c>
      <c r="L487" s="335">
        <v>2</v>
      </c>
      <c r="M487" s="335" t="s">
        <v>936</v>
      </c>
      <c r="N487" s="339">
        <v>28</v>
      </c>
      <c r="O487" s="341">
        <v>0.125</v>
      </c>
      <c r="P487" s="341" t="s">
        <v>25</v>
      </c>
      <c r="Q487" s="341">
        <v>0</v>
      </c>
      <c r="R487" s="342" t="s">
        <v>25</v>
      </c>
      <c r="S487" s="342" t="s">
        <v>25</v>
      </c>
    </row>
    <row r="488" spans="1:19" ht="15" customHeight="1" x14ac:dyDescent="0.3">
      <c r="A488" s="335" t="s">
        <v>933</v>
      </c>
      <c r="B488" s="335" t="s">
        <v>26</v>
      </c>
      <c r="C488" s="335" t="s">
        <v>27</v>
      </c>
      <c r="D488" s="335" t="s">
        <v>735</v>
      </c>
      <c r="E488" s="336" t="s">
        <v>736</v>
      </c>
      <c r="F488" s="336" t="s">
        <v>35</v>
      </c>
      <c r="G488" s="337">
        <v>1.25E-3</v>
      </c>
      <c r="H488" s="338">
        <v>0</v>
      </c>
      <c r="I488" s="339">
        <v>1180.82</v>
      </c>
      <c r="J488" s="340">
        <v>1.4760249999999999</v>
      </c>
      <c r="K488" s="335" t="s">
        <v>934</v>
      </c>
      <c r="L488" s="335">
        <v>3</v>
      </c>
      <c r="M488" s="335" t="s">
        <v>937</v>
      </c>
      <c r="N488" s="339">
        <v>28</v>
      </c>
      <c r="O488" s="341">
        <v>1.25E-3</v>
      </c>
      <c r="P488" s="341" t="s">
        <v>25</v>
      </c>
      <c r="Q488" s="341">
        <v>0</v>
      </c>
      <c r="R488" s="342" t="s">
        <v>25</v>
      </c>
      <c r="S488" s="342" t="s">
        <v>25</v>
      </c>
    </row>
    <row r="489" spans="1:19" ht="15" customHeight="1" x14ac:dyDescent="0.3">
      <c r="A489" s="335" t="s">
        <v>933</v>
      </c>
      <c r="B489" s="335" t="s">
        <v>26</v>
      </c>
      <c r="C489" s="335" t="s">
        <v>27</v>
      </c>
      <c r="D489" s="335" t="s">
        <v>738</v>
      </c>
      <c r="E489" s="336" t="s">
        <v>739</v>
      </c>
      <c r="F489" s="336" t="s">
        <v>740</v>
      </c>
      <c r="G489" s="337">
        <v>0.33</v>
      </c>
      <c r="H489" s="338">
        <v>0.05</v>
      </c>
      <c r="I489" s="339">
        <v>26322.68</v>
      </c>
      <c r="J489" s="340">
        <v>9120.8086199999998</v>
      </c>
      <c r="K489" s="335" t="s">
        <v>934</v>
      </c>
      <c r="L489" s="335">
        <v>4</v>
      </c>
      <c r="M489" s="335" t="s">
        <v>938</v>
      </c>
      <c r="N489" s="339">
        <v>28</v>
      </c>
      <c r="O489" s="341">
        <v>0.33</v>
      </c>
      <c r="P489" s="341" t="s">
        <v>25</v>
      </c>
      <c r="Q489" s="341">
        <v>0</v>
      </c>
      <c r="R489" s="342" t="s">
        <v>25</v>
      </c>
      <c r="S489" s="342" t="s">
        <v>25</v>
      </c>
    </row>
    <row r="490" spans="1:19" ht="15" customHeight="1" x14ac:dyDescent="0.3">
      <c r="A490" s="335" t="s">
        <v>933</v>
      </c>
      <c r="B490" s="335" t="s">
        <v>26</v>
      </c>
      <c r="C490" s="335" t="s">
        <v>27</v>
      </c>
      <c r="D490" s="335" t="s">
        <v>742</v>
      </c>
      <c r="E490" s="336" t="s">
        <v>743</v>
      </c>
      <c r="F490" s="336" t="s">
        <v>744</v>
      </c>
      <c r="G490" s="337">
        <v>0.01</v>
      </c>
      <c r="H490" s="338">
        <v>0.02</v>
      </c>
      <c r="I490" s="339">
        <v>1213.73</v>
      </c>
      <c r="J490" s="340">
        <v>12.380046</v>
      </c>
      <c r="K490" s="335" t="s">
        <v>934</v>
      </c>
      <c r="L490" s="335">
        <v>5</v>
      </c>
      <c r="M490" s="335" t="s">
        <v>939</v>
      </c>
      <c r="N490" s="339">
        <v>28</v>
      </c>
      <c r="O490" s="341">
        <v>0.01</v>
      </c>
      <c r="P490" s="341" t="s">
        <v>25</v>
      </c>
      <c r="Q490" s="341">
        <v>0</v>
      </c>
      <c r="R490" s="342" t="s">
        <v>25</v>
      </c>
      <c r="S490" s="342" t="s">
        <v>25</v>
      </c>
    </row>
    <row r="491" spans="1:19" ht="15" customHeight="1" x14ac:dyDescent="0.3">
      <c r="A491" s="335" t="s">
        <v>933</v>
      </c>
      <c r="B491" s="335" t="s">
        <v>26</v>
      </c>
      <c r="C491" s="335" t="s">
        <v>27</v>
      </c>
      <c r="D491" s="335" t="s">
        <v>746</v>
      </c>
      <c r="E491" s="336" t="s">
        <v>747</v>
      </c>
      <c r="F491" s="336" t="s">
        <v>748</v>
      </c>
      <c r="G491" s="337">
        <v>1.2E-2</v>
      </c>
      <c r="H491" s="338">
        <v>0.02</v>
      </c>
      <c r="I491" s="339">
        <v>4442.2518</v>
      </c>
      <c r="J491" s="340">
        <v>54.373162032000003</v>
      </c>
      <c r="K491" s="335" t="s">
        <v>934</v>
      </c>
      <c r="L491" s="335">
        <v>6</v>
      </c>
      <c r="M491" s="335" t="s">
        <v>940</v>
      </c>
      <c r="N491" s="339">
        <v>28</v>
      </c>
      <c r="O491" s="341">
        <v>1.2E-2</v>
      </c>
      <c r="P491" s="341" t="s">
        <v>25</v>
      </c>
      <c r="Q491" s="341">
        <v>0</v>
      </c>
      <c r="R491" s="342" t="s">
        <v>25</v>
      </c>
      <c r="S491" s="342" t="s">
        <v>25</v>
      </c>
    </row>
    <row r="492" spans="1:19" ht="15" customHeight="1" x14ac:dyDescent="0.3">
      <c r="A492" s="335" t="s">
        <v>933</v>
      </c>
      <c r="B492" s="335" t="s">
        <v>56</v>
      </c>
      <c r="C492" s="335" t="s">
        <v>57</v>
      </c>
      <c r="D492" s="343" t="s">
        <v>58</v>
      </c>
      <c r="E492" s="336" t="s">
        <v>59</v>
      </c>
      <c r="F492" s="336" t="s">
        <v>60</v>
      </c>
      <c r="G492" s="337">
        <v>1</v>
      </c>
      <c r="H492" s="338">
        <v>0</v>
      </c>
      <c r="I492" s="339">
        <v>60860.580776572002</v>
      </c>
      <c r="J492" s="340">
        <v>60860.580776572002</v>
      </c>
      <c r="K492" s="335" t="s">
        <v>941</v>
      </c>
      <c r="L492" s="335">
        <v>1</v>
      </c>
      <c r="M492" s="335" t="s">
        <v>942</v>
      </c>
      <c r="N492" s="339">
        <v>28</v>
      </c>
      <c r="O492" s="341">
        <v>3.5714285714285698E-2</v>
      </c>
      <c r="P492" s="341" t="s">
        <v>25</v>
      </c>
      <c r="Q492" s="341">
        <v>0</v>
      </c>
      <c r="R492" s="342" t="s">
        <v>25</v>
      </c>
      <c r="S492" s="342" t="s">
        <v>25</v>
      </c>
    </row>
    <row r="493" spans="1:19" ht="15" customHeight="1" x14ac:dyDescent="0.3">
      <c r="A493" s="335" t="s">
        <v>933</v>
      </c>
      <c r="B493" s="335" t="s">
        <v>56</v>
      </c>
      <c r="C493" s="335" t="s">
        <v>57</v>
      </c>
      <c r="D493" s="343" t="s">
        <v>413</v>
      </c>
      <c r="E493" s="336" t="s">
        <v>414</v>
      </c>
      <c r="F493" s="336" t="s">
        <v>60</v>
      </c>
      <c r="G493" s="337">
        <v>1</v>
      </c>
      <c r="H493" s="338">
        <v>0</v>
      </c>
      <c r="I493" s="339">
        <v>65493.071636572</v>
      </c>
      <c r="J493" s="340">
        <v>65493.071636572</v>
      </c>
      <c r="K493" s="335" t="s">
        <v>941</v>
      </c>
      <c r="L493" s="335">
        <v>2</v>
      </c>
      <c r="M493" s="335" t="s">
        <v>943</v>
      </c>
      <c r="N493" s="339">
        <v>28</v>
      </c>
      <c r="O493" s="341">
        <v>3.5714285714285698E-2</v>
      </c>
      <c r="P493" s="341" t="s">
        <v>25</v>
      </c>
      <c r="Q493" s="341">
        <v>0</v>
      </c>
      <c r="R493" s="342" t="s">
        <v>25</v>
      </c>
      <c r="S493" s="342" t="s">
        <v>25</v>
      </c>
    </row>
    <row r="494" spans="1:19" ht="15" customHeight="1" x14ac:dyDescent="0.3">
      <c r="A494" s="335" t="s">
        <v>933</v>
      </c>
      <c r="B494" s="335" t="s">
        <v>56</v>
      </c>
      <c r="C494" s="335" t="s">
        <v>57</v>
      </c>
      <c r="D494" s="343" t="s">
        <v>63</v>
      </c>
      <c r="E494" s="336" t="s">
        <v>64</v>
      </c>
      <c r="F494" s="336" t="s">
        <v>60</v>
      </c>
      <c r="G494" s="337">
        <v>1</v>
      </c>
      <c r="H494" s="338">
        <v>0</v>
      </c>
      <c r="I494" s="339">
        <v>85927.097156571996</v>
      </c>
      <c r="J494" s="340">
        <v>85927.097156571996</v>
      </c>
      <c r="K494" s="335" t="s">
        <v>941</v>
      </c>
      <c r="L494" s="335">
        <v>3</v>
      </c>
      <c r="M494" s="335" t="s">
        <v>944</v>
      </c>
      <c r="N494" s="339">
        <v>28</v>
      </c>
      <c r="O494" s="341">
        <v>3.5714285714285698E-2</v>
      </c>
      <c r="P494" s="341" t="s">
        <v>25</v>
      </c>
      <c r="Q494" s="341">
        <v>0</v>
      </c>
      <c r="R494" s="342" t="s">
        <v>25</v>
      </c>
      <c r="S494" s="342" t="s">
        <v>25</v>
      </c>
    </row>
    <row r="495" spans="1:19" ht="15" customHeight="1" x14ac:dyDescent="0.3">
      <c r="A495" s="335" t="s">
        <v>945</v>
      </c>
      <c r="B495" s="335" t="s">
        <v>26</v>
      </c>
      <c r="C495" s="335" t="s">
        <v>27</v>
      </c>
      <c r="D495" s="335" t="s">
        <v>526</v>
      </c>
      <c r="E495" s="336" t="s">
        <v>527</v>
      </c>
      <c r="F495" s="336" t="s">
        <v>167</v>
      </c>
      <c r="G495" s="337">
        <v>1.2500000000000001E-2</v>
      </c>
      <c r="H495" s="338">
        <v>0.15</v>
      </c>
      <c r="I495" s="339">
        <v>2302.02</v>
      </c>
      <c r="J495" s="340">
        <v>33.091537500000001</v>
      </c>
      <c r="K495" s="335" t="s">
        <v>946</v>
      </c>
      <c r="L495" s="335">
        <v>1</v>
      </c>
      <c r="M495" s="335" t="s">
        <v>947</v>
      </c>
      <c r="N495" s="339">
        <v>25</v>
      </c>
      <c r="O495" s="341">
        <v>1.2500000000000001E-2</v>
      </c>
      <c r="P495" s="341" t="s">
        <v>25</v>
      </c>
      <c r="Q495" s="341">
        <v>0</v>
      </c>
      <c r="R495" s="342" t="s">
        <v>25</v>
      </c>
      <c r="S495" s="342" t="s">
        <v>25</v>
      </c>
    </row>
    <row r="496" spans="1:19" ht="15" customHeight="1" x14ac:dyDescent="0.3">
      <c r="A496" s="335" t="s">
        <v>945</v>
      </c>
      <c r="B496" s="335" t="s">
        <v>26</v>
      </c>
      <c r="C496" s="335" t="s">
        <v>27</v>
      </c>
      <c r="D496" s="335" t="s">
        <v>731</v>
      </c>
      <c r="E496" s="336" t="s">
        <v>732</v>
      </c>
      <c r="F496" s="336" t="s">
        <v>733</v>
      </c>
      <c r="G496" s="337">
        <v>0.125</v>
      </c>
      <c r="H496" s="338">
        <v>0.05</v>
      </c>
      <c r="I496" s="339">
        <v>2130.1681250000001</v>
      </c>
      <c r="J496" s="340">
        <v>279.58456640625002</v>
      </c>
      <c r="K496" s="335" t="s">
        <v>946</v>
      </c>
      <c r="L496" s="335">
        <v>2</v>
      </c>
      <c r="M496" s="335" t="s">
        <v>948</v>
      </c>
      <c r="N496" s="339">
        <v>25</v>
      </c>
      <c r="O496" s="341">
        <v>0.125</v>
      </c>
      <c r="P496" s="341" t="s">
        <v>25</v>
      </c>
      <c r="Q496" s="341">
        <v>0</v>
      </c>
      <c r="R496" s="342" t="s">
        <v>25</v>
      </c>
      <c r="S496" s="342" t="s">
        <v>25</v>
      </c>
    </row>
    <row r="497" spans="1:19" ht="15" customHeight="1" x14ac:dyDescent="0.3">
      <c r="A497" s="335" t="s">
        <v>945</v>
      </c>
      <c r="B497" s="335" t="s">
        <v>26</v>
      </c>
      <c r="C497" s="335" t="s">
        <v>27</v>
      </c>
      <c r="D497" s="335" t="s">
        <v>735</v>
      </c>
      <c r="E497" s="336" t="s">
        <v>736</v>
      </c>
      <c r="F497" s="336" t="s">
        <v>35</v>
      </c>
      <c r="G497" s="337">
        <v>1.25E-3</v>
      </c>
      <c r="H497" s="338">
        <v>0</v>
      </c>
      <c r="I497" s="339">
        <v>1180.82</v>
      </c>
      <c r="J497" s="340">
        <v>1.4760249999999999</v>
      </c>
      <c r="K497" s="335" t="s">
        <v>946</v>
      </c>
      <c r="L497" s="335">
        <v>3</v>
      </c>
      <c r="M497" s="335" t="s">
        <v>949</v>
      </c>
      <c r="N497" s="339">
        <v>25</v>
      </c>
      <c r="O497" s="341">
        <v>1.25E-3</v>
      </c>
      <c r="P497" s="341" t="s">
        <v>25</v>
      </c>
      <c r="Q497" s="341">
        <v>0</v>
      </c>
      <c r="R497" s="342" t="s">
        <v>25</v>
      </c>
      <c r="S497" s="342" t="s">
        <v>25</v>
      </c>
    </row>
    <row r="498" spans="1:19" ht="15" customHeight="1" x14ac:dyDescent="0.3">
      <c r="A498" s="335" t="s">
        <v>945</v>
      </c>
      <c r="B498" s="335" t="s">
        <v>26</v>
      </c>
      <c r="C498" s="335" t="s">
        <v>27</v>
      </c>
      <c r="D498" s="335" t="s">
        <v>738</v>
      </c>
      <c r="E498" s="336" t="s">
        <v>739</v>
      </c>
      <c r="F498" s="336" t="s">
        <v>740</v>
      </c>
      <c r="G498" s="337">
        <v>0.33</v>
      </c>
      <c r="H498" s="338">
        <v>0.05</v>
      </c>
      <c r="I498" s="339">
        <v>26322.68</v>
      </c>
      <c r="J498" s="340">
        <v>9120.8086199999998</v>
      </c>
      <c r="K498" s="335" t="s">
        <v>946</v>
      </c>
      <c r="L498" s="335">
        <v>4</v>
      </c>
      <c r="M498" s="335" t="s">
        <v>950</v>
      </c>
      <c r="N498" s="339">
        <v>25</v>
      </c>
      <c r="O498" s="341">
        <v>0.33</v>
      </c>
      <c r="P498" s="341" t="s">
        <v>25</v>
      </c>
      <c r="Q498" s="341">
        <v>0</v>
      </c>
      <c r="R498" s="342" t="s">
        <v>25</v>
      </c>
      <c r="S498" s="342" t="s">
        <v>25</v>
      </c>
    </row>
    <row r="499" spans="1:19" ht="15" customHeight="1" x14ac:dyDescent="0.3">
      <c r="A499" s="335" t="s">
        <v>945</v>
      </c>
      <c r="B499" s="335" t="s">
        <v>26</v>
      </c>
      <c r="C499" s="335" t="s">
        <v>27</v>
      </c>
      <c r="D499" s="335" t="s">
        <v>742</v>
      </c>
      <c r="E499" s="336" t="s">
        <v>743</v>
      </c>
      <c r="F499" s="336" t="s">
        <v>744</v>
      </c>
      <c r="G499" s="337">
        <v>0.01</v>
      </c>
      <c r="H499" s="338">
        <v>0.02</v>
      </c>
      <c r="I499" s="339">
        <v>1213.73</v>
      </c>
      <c r="J499" s="340">
        <v>12.380046</v>
      </c>
      <c r="K499" s="335" t="s">
        <v>946</v>
      </c>
      <c r="L499" s="335">
        <v>5</v>
      </c>
      <c r="M499" s="335" t="s">
        <v>951</v>
      </c>
      <c r="N499" s="339">
        <v>25</v>
      </c>
      <c r="O499" s="341">
        <v>0.01</v>
      </c>
      <c r="P499" s="341" t="s">
        <v>25</v>
      </c>
      <c r="Q499" s="341">
        <v>0</v>
      </c>
      <c r="R499" s="342" t="s">
        <v>25</v>
      </c>
      <c r="S499" s="342" t="s">
        <v>25</v>
      </c>
    </row>
    <row r="500" spans="1:19" ht="15" customHeight="1" x14ac:dyDescent="0.3">
      <c r="A500" s="335" t="s">
        <v>945</v>
      </c>
      <c r="B500" s="335" t="s">
        <v>26</v>
      </c>
      <c r="C500" s="335" t="s">
        <v>27</v>
      </c>
      <c r="D500" s="335" t="s">
        <v>746</v>
      </c>
      <c r="E500" s="336" t="s">
        <v>747</v>
      </c>
      <c r="F500" s="336" t="s">
        <v>748</v>
      </c>
      <c r="G500" s="337">
        <v>1.2E-2</v>
      </c>
      <c r="H500" s="338">
        <v>0.02</v>
      </c>
      <c r="I500" s="339">
        <v>4442.2518</v>
      </c>
      <c r="J500" s="340">
        <v>54.373162032000003</v>
      </c>
      <c r="K500" s="335" t="s">
        <v>946</v>
      </c>
      <c r="L500" s="335">
        <v>6</v>
      </c>
      <c r="M500" s="335" t="s">
        <v>952</v>
      </c>
      <c r="N500" s="339">
        <v>25</v>
      </c>
      <c r="O500" s="341">
        <v>1.2E-2</v>
      </c>
      <c r="P500" s="341" t="s">
        <v>25</v>
      </c>
      <c r="Q500" s="341">
        <v>0</v>
      </c>
      <c r="R500" s="342" t="s">
        <v>25</v>
      </c>
      <c r="S500" s="342" t="s">
        <v>25</v>
      </c>
    </row>
    <row r="501" spans="1:19" ht="15" customHeight="1" x14ac:dyDescent="0.3">
      <c r="A501" s="335" t="s">
        <v>945</v>
      </c>
      <c r="B501" s="335" t="s">
        <v>56</v>
      </c>
      <c r="C501" s="335" t="s">
        <v>57</v>
      </c>
      <c r="D501" s="343" t="s">
        <v>58</v>
      </c>
      <c r="E501" s="336" t="s">
        <v>59</v>
      </c>
      <c r="F501" s="336" t="s">
        <v>60</v>
      </c>
      <c r="G501" s="337">
        <v>1</v>
      </c>
      <c r="H501" s="338">
        <v>0</v>
      </c>
      <c r="I501" s="339">
        <v>60860.580776572002</v>
      </c>
      <c r="J501" s="340">
        <v>60860.580776572002</v>
      </c>
      <c r="K501" s="335" t="s">
        <v>953</v>
      </c>
      <c r="L501" s="335">
        <v>1</v>
      </c>
      <c r="M501" s="335" t="s">
        <v>954</v>
      </c>
      <c r="N501" s="339">
        <v>25</v>
      </c>
      <c r="O501" s="341">
        <v>0.04</v>
      </c>
      <c r="P501" s="341" t="s">
        <v>25</v>
      </c>
      <c r="Q501" s="341">
        <v>0</v>
      </c>
      <c r="R501" s="342" t="s">
        <v>25</v>
      </c>
      <c r="S501" s="342" t="s">
        <v>25</v>
      </c>
    </row>
    <row r="502" spans="1:19" ht="15" customHeight="1" x14ac:dyDescent="0.3">
      <c r="A502" s="335" t="s">
        <v>945</v>
      </c>
      <c r="B502" s="335" t="s">
        <v>56</v>
      </c>
      <c r="C502" s="335" t="s">
        <v>57</v>
      </c>
      <c r="D502" s="343" t="s">
        <v>413</v>
      </c>
      <c r="E502" s="336" t="s">
        <v>414</v>
      </c>
      <c r="F502" s="336" t="s">
        <v>60</v>
      </c>
      <c r="G502" s="337">
        <v>1</v>
      </c>
      <c r="H502" s="338">
        <v>0</v>
      </c>
      <c r="I502" s="339">
        <v>65493.071636572</v>
      </c>
      <c r="J502" s="340">
        <v>65493.071636572</v>
      </c>
      <c r="K502" s="335" t="s">
        <v>953</v>
      </c>
      <c r="L502" s="335">
        <v>2</v>
      </c>
      <c r="M502" s="335" t="s">
        <v>955</v>
      </c>
      <c r="N502" s="339">
        <v>25</v>
      </c>
      <c r="O502" s="341">
        <v>0.04</v>
      </c>
      <c r="P502" s="341" t="s">
        <v>25</v>
      </c>
      <c r="Q502" s="341">
        <v>0</v>
      </c>
      <c r="R502" s="342" t="s">
        <v>25</v>
      </c>
      <c r="S502" s="342" t="s">
        <v>25</v>
      </c>
    </row>
    <row r="503" spans="1:19" ht="15" customHeight="1" x14ac:dyDescent="0.3">
      <c r="A503" s="335" t="s">
        <v>945</v>
      </c>
      <c r="B503" s="335" t="s">
        <v>56</v>
      </c>
      <c r="C503" s="335" t="s">
        <v>57</v>
      </c>
      <c r="D503" s="343" t="s">
        <v>63</v>
      </c>
      <c r="E503" s="336" t="s">
        <v>64</v>
      </c>
      <c r="F503" s="336" t="s">
        <v>60</v>
      </c>
      <c r="G503" s="337">
        <v>1</v>
      </c>
      <c r="H503" s="338">
        <v>0</v>
      </c>
      <c r="I503" s="339">
        <v>85927.097156571996</v>
      </c>
      <c r="J503" s="340">
        <v>85927.097156571996</v>
      </c>
      <c r="K503" s="335" t="s">
        <v>953</v>
      </c>
      <c r="L503" s="335">
        <v>3</v>
      </c>
      <c r="M503" s="335" t="s">
        <v>956</v>
      </c>
      <c r="N503" s="339">
        <v>25</v>
      </c>
      <c r="O503" s="341">
        <v>0.04</v>
      </c>
      <c r="P503" s="341" t="s">
        <v>25</v>
      </c>
      <c r="Q503" s="341">
        <v>0</v>
      </c>
      <c r="R503" s="342" t="s">
        <v>25</v>
      </c>
      <c r="S503" s="342" t="s">
        <v>25</v>
      </c>
    </row>
    <row r="504" spans="1:19" ht="15" customHeight="1" x14ac:dyDescent="0.3">
      <c r="A504" s="335" t="s">
        <v>957</v>
      </c>
      <c r="B504" s="335" t="s">
        <v>26</v>
      </c>
      <c r="C504" s="335" t="s">
        <v>27</v>
      </c>
      <c r="D504" s="335" t="s">
        <v>526</v>
      </c>
      <c r="E504" s="336" t="s">
        <v>527</v>
      </c>
      <c r="F504" s="336" t="s">
        <v>167</v>
      </c>
      <c r="G504" s="337">
        <v>1.2500000000000001E-2</v>
      </c>
      <c r="H504" s="338">
        <v>0.15</v>
      </c>
      <c r="I504" s="339">
        <v>2302.02</v>
      </c>
      <c r="J504" s="340">
        <v>33.091537500000001</v>
      </c>
      <c r="K504" s="335" t="s">
        <v>958</v>
      </c>
      <c r="L504" s="335">
        <v>1</v>
      </c>
      <c r="M504" s="335" t="s">
        <v>959</v>
      </c>
      <c r="N504" s="339">
        <v>28</v>
      </c>
      <c r="O504" s="341">
        <v>1.2500000000000001E-2</v>
      </c>
      <c r="P504" s="341" t="s">
        <v>25</v>
      </c>
      <c r="Q504" s="341">
        <v>0</v>
      </c>
      <c r="R504" s="342" t="s">
        <v>25</v>
      </c>
      <c r="S504" s="342" t="s">
        <v>25</v>
      </c>
    </row>
    <row r="505" spans="1:19" ht="15" customHeight="1" x14ac:dyDescent="0.3">
      <c r="A505" s="335" t="s">
        <v>957</v>
      </c>
      <c r="B505" s="335" t="s">
        <v>26</v>
      </c>
      <c r="C505" s="335" t="s">
        <v>27</v>
      </c>
      <c r="D505" s="335" t="s">
        <v>731</v>
      </c>
      <c r="E505" s="336" t="s">
        <v>732</v>
      </c>
      <c r="F505" s="336" t="s">
        <v>733</v>
      </c>
      <c r="G505" s="337">
        <v>0.125</v>
      </c>
      <c r="H505" s="338">
        <v>0.05</v>
      </c>
      <c r="I505" s="339">
        <v>2130.1681250000001</v>
      </c>
      <c r="J505" s="340">
        <v>279.58456640625002</v>
      </c>
      <c r="K505" s="335" t="s">
        <v>958</v>
      </c>
      <c r="L505" s="335">
        <v>2</v>
      </c>
      <c r="M505" s="335" t="s">
        <v>960</v>
      </c>
      <c r="N505" s="339">
        <v>28</v>
      </c>
      <c r="O505" s="341">
        <v>0.125</v>
      </c>
      <c r="P505" s="341" t="s">
        <v>25</v>
      </c>
      <c r="Q505" s="341">
        <v>0</v>
      </c>
      <c r="R505" s="342" t="s">
        <v>25</v>
      </c>
      <c r="S505" s="342" t="s">
        <v>25</v>
      </c>
    </row>
    <row r="506" spans="1:19" ht="15" customHeight="1" x14ac:dyDescent="0.3">
      <c r="A506" s="335" t="s">
        <v>957</v>
      </c>
      <c r="B506" s="335" t="s">
        <v>26</v>
      </c>
      <c r="C506" s="335" t="s">
        <v>27</v>
      </c>
      <c r="D506" s="335" t="s">
        <v>735</v>
      </c>
      <c r="E506" s="336" t="s">
        <v>736</v>
      </c>
      <c r="F506" s="336" t="s">
        <v>35</v>
      </c>
      <c r="G506" s="337">
        <v>1.25E-3</v>
      </c>
      <c r="H506" s="338">
        <v>0</v>
      </c>
      <c r="I506" s="339">
        <v>1180.82</v>
      </c>
      <c r="J506" s="340">
        <v>1.4760249999999999</v>
      </c>
      <c r="K506" s="335" t="s">
        <v>958</v>
      </c>
      <c r="L506" s="335">
        <v>3</v>
      </c>
      <c r="M506" s="335" t="s">
        <v>961</v>
      </c>
      <c r="N506" s="339">
        <v>28</v>
      </c>
      <c r="O506" s="341">
        <v>1.25E-3</v>
      </c>
      <c r="P506" s="341" t="s">
        <v>25</v>
      </c>
      <c r="Q506" s="341">
        <v>0</v>
      </c>
      <c r="R506" s="342" t="s">
        <v>25</v>
      </c>
      <c r="S506" s="342" t="s">
        <v>25</v>
      </c>
    </row>
    <row r="507" spans="1:19" ht="15" customHeight="1" x14ac:dyDescent="0.3">
      <c r="A507" s="335" t="s">
        <v>957</v>
      </c>
      <c r="B507" s="335" t="s">
        <v>26</v>
      </c>
      <c r="C507" s="335" t="s">
        <v>27</v>
      </c>
      <c r="D507" s="335" t="s">
        <v>962</v>
      </c>
      <c r="E507" s="336" t="s">
        <v>963</v>
      </c>
      <c r="F507" s="336" t="s">
        <v>964</v>
      </c>
      <c r="G507" s="337">
        <v>0.5</v>
      </c>
      <c r="H507" s="338">
        <v>0.02</v>
      </c>
      <c r="I507" s="339">
        <v>51752.74</v>
      </c>
      <c r="J507" s="340">
        <v>26393.897400000002</v>
      </c>
      <c r="K507" s="335" t="s">
        <v>958</v>
      </c>
      <c r="L507" s="335">
        <v>4</v>
      </c>
      <c r="M507" s="335" t="s">
        <v>965</v>
      </c>
      <c r="N507" s="339">
        <v>28</v>
      </c>
      <c r="O507" s="341">
        <v>0.5</v>
      </c>
      <c r="P507" s="341" t="s">
        <v>25</v>
      </c>
      <c r="Q507" s="341">
        <v>0</v>
      </c>
      <c r="R507" s="342" t="s">
        <v>25</v>
      </c>
      <c r="S507" s="342" t="s">
        <v>25</v>
      </c>
    </row>
    <row r="508" spans="1:19" ht="15" customHeight="1" x14ac:dyDescent="0.3">
      <c r="A508" s="335" t="s">
        <v>957</v>
      </c>
      <c r="B508" s="335" t="s">
        <v>26</v>
      </c>
      <c r="C508" s="335" t="s">
        <v>27</v>
      </c>
      <c r="D508" s="335" t="s">
        <v>742</v>
      </c>
      <c r="E508" s="336" t="s">
        <v>743</v>
      </c>
      <c r="F508" s="336" t="s">
        <v>744</v>
      </c>
      <c r="G508" s="337">
        <v>0.01</v>
      </c>
      <c r="H508" s="338">
        <v>0.02</v>
      </c>
      <c r="I508" s="339">
        <v>1213.73</v>
      </c>
      <c r="J508" s="340">
        <v>12.380046</v>
      </c>
      <c r="K508" s="335" t="s">
        <v>958</v>
      </c>
      <c r="L508" s="335">
        <v>5</v>
      </c>
      <c r="M508" s="335" t="s">
        <v>966</v>
      </c>
      <c r="N508" s="339">
        <v>28</v>
      </c>
      <c r="O508" s="341">
        <v>0.01</v>
      </c>
      <c r="P508" s="341" t="s">
        <v>25</v>
      </c>
      <c r="Q508" s="341">
        <v>0</v>
      </c>
      <c r="R508" s="342" t="s">
        <v>25</v>
      </c>
      <c r="S508" s="342" t="s">
        <v>25</v>
      </c>
    </row>
    <row r="509" spans="1:19" ht="15" customHeight="1" x14ac:dyDescent="0.3">
      <c r="A509" s="335" t="s">
        <v>957</v>
      </c>
      <c r="B509" s="335" t="s">
        <v>26</v>
      </c>
      <c r="C509" s="335" t="s">
        <v>27</v>
      </c>
      <c r="D509" s="335" t="s">
        <v>746</v>
      </c>
      <c r="E509" s="336" t="s">
        <v>747</v>
      </c>
      <c r="F509" s="336" t="s">
        <v>748</v>
      </c>
      <c r="G509" s="337">
        <v>1.2E-2</v>
      </c>
      <c r="H509" s="338">
        <v>0.05</v>
      </c>
      <c r="I509" s="339">
        <v>4442.2518</v>
      </c>
      <c r="J509" s="340">
        <v>55.972372679999999</v>
      </c>
      <c r="K509" s="335" t="s">
        <v>958</v>
      </c>
      <c r="L509" s="335">
        <v>6</v>
      </c>
      <c r="M509" s="335" t="s">
        <v>967</v>
      </c>
      <c r="N509" s="339">
        <v>28</v>
      </c>
      <c r="O509" s="341">
        <v>1.2E-2</v>
      </c>
      <c r="P509" s="341" t="s">
        <v>25</v>
      </c>
      <c r="Q509" s="341">
        <v>0</v>
      </c>
      <c r="R509" s="342" t="s">
        <v>25</v>
      </c>
      <c r="S509" s="342" t="s">
        <v>25</v>
      </c>
    </row>
    <row r="510" spans="1:19" ht="15" customHeight="1" x14ac:dyDescent="0.3">
      <c r="A510" s="335" t="s">
        <v>957</v>
      </c>
      <c r="B510" s="335" t="s">
        <v>56</v>
      </c>
      <c r="C510" s="335" t="s">
        <v>57</v>
      </c>
      <c r="D510" s="343" t="s">
        <v>58</v>
      </c>
      <c r="E510" s="336" t="s">
        <v>59</v>
      </c>
      <c r="F510" s="336" t="s">
        <v>60</v>
      </c>
      <c r="G510" s="337">
        <v>1</v>
      </c>
      <c r="H510" s="338">
        <v>0</v>
      </c>
      <c r="I510" s="339">
        <v>60860.580776572002</v>
      </c>
      <c r="J510" s="340">
        <v>60860.580776572002</v>
      </c>
      <c r="K510" s="335" t="s">
        <v>968</v>
      </c>
      <c r="L510" s="335">
        <v>1</v>
      </c>
      <c r="M510" s="335" t="s">
        <v>969</v>
      </c>
      <c r="N510" s="339">
        <v>28</v>
      </c>
      <c r="O510" s="341">
        <v>3.5714285714285698E-2</v>
      </c>
      <c r="P510" s="341" t="s">
        <v>25</v>
      </c>
      <c r="Q510" s="341">
        <v>0</v>
      </c>
      <c r="R510" s="342" t="s">
        <v>25</v>
      </c>
      <c r="S510" s="342" t="s">
        <v>25</v>
      </c>
    </row>
    <row r="511" spans="1:19" ht="15" customHeight="1" x14ac:dyDescent="0.3">
      <c r="A511" s="335" t="s">
        <v>957</v>
      </c>
      <c r="B511" s="335" t="s">
        <v>56</v>
      </c>
      <c r="C511" s="335" t="s">
        <v>57</v>
      </c>
      <c r="D511" s="343" t="s">
        <v>413</v>
      </c>
      <c r="E511" s="336" t="s">
        <v>414</v>
      </c>
      <c r="F511" s="336" t="s">
        <v>60</v>
      </c>
      <c r="G511" s="337">
        <v>1</v>
      </c>
      <c r="H511" s="338">
        <v>0</v>
      </c>
      <c r="I511" s="339">
        <v>65493.071636572</v>
      </c>
      <c r="J511" s="340">
        <v>65493.071636572</v>
      </c>
      <c r="K511" s="335" t="s">
        <v>968</v>
      </c>
      <c r="L511" s="335">
        <v>2</v>
      </c>
      <c r="M511" s="335" t="s">
        <v>970</v>
      </c>
      <c r="N511" s="339">
        <v>28</v>
      </c>
      <c r="O511" s="341">
        <v>3.5714285714285698E-2</v>
      </c>
      <c r="P511" s="341" t="s">
        <v>25</v>
      </c>
      <c r="Q511" s="341">
        <v>0</v>
      </c>
      <c r="R511" s="342" t="s">
        <v>25</v>
      </c>
      <c r="S511" s="342" t="s">
        <v>25</v>
      </c>
    </row>
    <row r="512" spans="1:19" ht="15" customHeight="1" x14ac:dyDescent="0.3">
      <c r="A512" s="335" t="s">
        <v>957</v>
      </c>
      <c r="B512" s="335" t="s">
        <v>56</v>
      </c>
      <c r="C512" s="335" t="s">
        <v>57</v>
      </c>
      <c r="D512" s="343" t="s">
        <v>63</v>
      </c>
      <c r="E512" s="336" t="s">
        <v>64</v>
      </c>
      <c r="F512" s="336" t="s">
        <v>60</v>
      </c>
      <c r="G512" s="337">
        <v>1</v>
      </c>
      <c r="H512" s="338">
        <v>0</v>
      </c>
      <c r="I512" s="339">
        <v>85927.097156571996</v>
      </c>
      <c r="J512" s="340">
        <v>85927.097156571996</v>
      </c>
      <c r="K512" s="335" t="s">
        <v>968</v>
      </c>
      <c r="L512" s="335">
        <v>3</v>
      </c>
      <c r="M512" s="335" t="s">
        <v>971</v>
      </c>
      <c r="N512" s="339">
        <v>28</v>
      </c>
      <c r="O512" s="341">
        <v>3.5714285714285698E-2</v>
      </c>
      <c r="P512" s="341" t="s">
        <v>25</v>
      </c>
      <c r="Q512" s="341">
        <v>0</v>
      </c>
      <c r="R512" s="342" t="s">
        <v>25</v>
      </c>
      <c r="S512" s="342" t="s">
        <v>25</v>
      </c>
    </row>
    <row r="513" spans="1:19" ht="15" customHeight="1" x14ac:dyDescent="0.3">
      <c r="A513" s="335" t="s">
        <v>972</v>
      </c>
      <c r="B513" s="335" t="s">
        <v>56</v>
      </c>
      <c r="C513" s="335" t="s">
        <v>57</v>
      </c>
      <c r="D513" s="343" t="s">
        <v>58</v>
      </c>
      <c r="E513" s="336" t="s">
        <v>59</v>
      </c>
      <c r="F513" s="336" t="s">
        <v>60</v>
      </c>
      <c r="G513" s="337">
        <v>1</v>
      </c>
      <c r="H513" s="338">
        <v>0</v>
      </c>
      <c r="I513" s="339">
        <v>60860.580776572002</v>
      </c>
      <c r="J513" s="340">
        <v>60860.580776572002</v>
      </c>
      <c r="K513" s="335" t="s">
        <v>973</v>
      </c>
      <c r="L513" s="335">
        <v>1</v>
      </c>
      <c r="M513" s="335" t="s">
        <v>974</v>
      </c>
      <c r="N513" s="339">
        <v>3.8</v>
      </c>
      <c r="O513" s="341">
        <v>0.26315789473684198</v>
      </c>
      <c r="P513" s="341" t="s">
        <v>25</v>
      </c>
      <c r="Q513" s="341">
        <v>0</v>
      </c>
      <c r="R513" s="342" t="s">
        <v>25</v>
      </c>
      <c r="S513" s="342" t="s">
        <v>25</v>
      </c>
    </row>
    <row r="514" spans="1:19" ht="15" customHeight="1" x14ac:dyDescent="0.3">
      <c r="A514" s="335" t="s">
        <v>972</v>
      </c>
      <c r="B514" s="335" t="s">
        <v>56</v>
      </c>
      <c r="C514" s="335" t="s">
        <v>57</v>
      </c>
      <c r="D514" s="343" t="s">
        <v>63</v>
      </c>
      <c r="E514" s="336" t="s">
        <v>64</v>
      </c>
      <c r="F514" s="336" t="s">
        <v>60</v>
      </c>
      <c r="G514" s="337">
        <v>1</v>
      </c>
      <c r="H514" s="338">
        <v>0</v>
      </c>
      <c r="I514" s="339">
        <v>85927.097156571996</v>
      </c>
      <c r="J514" s="340">
        <v>85927.097156571996</v>
      </c>
      <c r="K514" s="335" t="s">
        <v>973</v>
      </c>
      <c r="L514" s="335">
        <v>2</v>
      </c>
      <c r="M514" s="335" t="s">
        <v>975</v>
      </c>
      <c r="N514" s="339">
        <v>3.8</v>
      </c>
      <c r="O514" s="341">
        <v>0.26315789473684198</v>
      </c>
      <c r="P514" s="341" t="s">
        <v>25</v>
      </c>
      <c r="Q514" s="341">
        <v>0</v>
      </c>
      <c r="R514" s="342" t="s">
        <v>25</v>
      </c>
      <c r="S514" s="342" t="s">
        <v>25</v>
      </c>
    </row>
    <row r="515" spans="1:19" ht="15" customHeight="1" x14ac:dyDescent="0.3">
      <c r="A515" s="335" t="s">
        <v>976</v>
      </c>
      <c r="B515" s="335" t="s">
        <v>56</v>
      </c>
      <c r="C515" s="335" t="s">
        <v>57</v>
      </c>
      <c r="D515" s="343" t="s">
        <v>58</v>
      </c>
      <c r="E515" s="336" t="s">
        <v>59</v>
      </c>
      <c r="F515" s="336" t="s">
        <v>60</v>
      </c>
      <c r="G515" s="337">
        <v>7</v>
      </c>
      <c r="H515" s="338">
        <v>0</v>
      </c>
      <c r="I515" s="339">
        <v>60860.580776572002</v>
      </c>
      <c r="J515" s="340">
        <v>426024.06543600402</v>
      </c>
      <c r="K515" s="335" t="s">
        <v>977</v>
      </c>
      <c r="L515" s="335">
        <v>1</v>
      </c>
      <c r="M515" s="335" t="s">
        <v>978</v>
      </c>
      <c r="N515" s="339">
        <v>36</v>
      </c>
      <c r="O515" s="341">
        <v>0.194444444444444</v>
      </c>
      <c r="P515" s="341" t="s">
        <v>25</v>
      </c>
      <c r="Q515" s="341">
        <v>0</v>
      </c>
      <c r="R515" s="342" t="s">
        <v>25</v>
      </c>
      <c r="S515" s="342" t="s">
        <v>25</v>
      </c>
    </row>
    <row r="516" spans="1:19" ht="15" customHeight="1" x14ac:dyDescent="0.3">
      <c r="A516" s="335" t="s">
        <v>976</v>
      </c>
      <c r="B516" s="335" t="s">
        <v>56</v>
      </c>
      <c r="C516" s="335" t="s">
        <v>57</v>
      </c>
      <c r="D516" s="343" t="s">
        <v>63</v>
      </c>
      <c r="E516" s="336" t="s">
        <v>64</v>
      </c>
      <c r="F516" s="336" t="s">
        <v>60</v>
      </c>
      <c r="G516" s="337">
        <v>1</v>
      </c>
      <c r="H516" s="338">
        <v>0</v>
      </c>
      <c r="I516" s="339">
        <v>85927.097156571996</v>
      </c>
      <c r="J516" s="340">
        <v>85927.097156571996</v>
      </c>
      <c r="K516" s="335" t="s">
        <v>977</v>
      </c>
      <c r="L516" s="335">
        <v>2</v>
      </c>
      <c r="M516" s="335" t="s">
        <v>979</v>
      </c>
      <c r="N516" s="339">
        <v>36</v>
      </c>
      <c r="O516" s="341">
        <v>2.7777777777777801E-2</v>
      </c>
      <c r="P516" s="341" t="s">
        <v>25</v>
      </c>
      <c r="Q516" s="341">
        <v>0</v>
      </c>
      <c r="R516" s="342" t="s">
        <v>25</v>
      </c>
      <c r="S516" s="342" t="s">
        <v>25</v>
      </c>
    </row>
    <row r="517" spans="1:19" ht="15" customHeight="1" x14ac:dyDescent="0.3">
      <c r="A517" s="335" t="s">
        <v>980</v>
      </c>
      <c r="B517" s="335" t="s">
        <v>26</v>
      </c>
      <c r="C517" s="335" t="s">
        <v>27</v>
      </c>
      <c r="D517" s="335" t="s">
        <v>981</v>
      </c>
      <c r="E517" s="336" t="s">
        <v>982</v>
      </c>
      <c r="F517" s="336" t="s">
        <v>744</v>
      </c>
      <c r="G517" s="337">
        <v>32</v>
      </c>
      <c r="H517" s="338">
        <v>1E-3</v>
      </c>
      <c r="I517" s="339">
        <v>3148.86</v>
      </c>
      <c r="J517" s="340">
        <v>100864.28352</v>
      </c>
      <c r="K517" s="335" t="s">
        <v>983</v>
      </c>
      <c r="L517" s="335">
        <v>1</v>
      </c>
      <c r="M517" s="335" t="s">
        <v>984</v>
      </c>
      <c r="N517" s="339">
        <v>12</v>
      </c>
      <c r="O517" s="341">
        <v>32</v>
      </c>
      <c r="P517" s="341" t="s">
        <v>25</v>
      </c>
      <c r="Q517" s="341">
        <v>0</v>
      </c>
      <c r="R517" s="342" t="s">
        <v>25</v>
      </c>
      <c r="S517" s="342" t="s">
        <v>25</v>
      </c>
    </row>
    <row r="518" spans="1:19" ht="15" customHeight="1" x14ac:dyDescent="0.3">
      <c r="A518" s="335" t="s">
        <v>980</v>
      </c>
      <c r="B518" s="335" t="s">
        <v>26</v>
      </c>
      <c r="C518" s="335" t="s">
        <v>27</v>
      </c>
      <c r="D518" s="335" t="s">
        <v>735</v>
      </c>
      <c r="E518" s="336" t="s">
        <v>736</v>
      </c>
      <c r="F518" s="336" t="s">
        <v>35</v>
      </c>
      <c r="G518" s="337">
        <v>16</v>
      </c>
      <c r="H518" s="338">
        <v>1E-3</v>
      </c>
      <c r="I518" s="339">
        <v>1180.82</v>
      </c>
      <c r="J518" s="340">
        <v>18912.01312</v>
      </c>
      <c r="K518" s="335" t="s">
        <v>983</v>
      </c>
      <c r="L518" s="335">
        <v>2</v>
      </c>
      <c r="M518" s="335" t="s">
        <v>985</v>
      </c>
      <c r="N518" s="339">
        <v>12</v>
      </c>
      <c r="O518" s="341">
        <v>16</v>
      </c>
      <c r="P518" s="341" t="s">
        <v>25</v>
      </c>
      <c r="Q518" s="341">
        <v>0</v>
      </c>
      <c r="R518" s="342" t="s">
        <v>25</v>
      </c>
      <c r="S518" s="342" t="s">
        <v>25</v>
      </c>
    </row>
    <row r="519" spans="1:19" ht="15" customHeight="1" x14ac:dyDescent="0.3">
      <c r="A519" s="335" t="s">
        <v>980</v>
      </c>
      <c r="B519" s="335" t="s">
        <v>26</v>
      </c>
      <c r="C519" s="335" t="s">
        <v>27</v>
      </c>
      <c r="D519" s="335" t="s">
        <v>986</v>
      </c>
      <c r="E519" s="336" t="s">
        <v>987</v>
      </c>
      <c r="F519" s="336" t="s">
        <v>988</v>
      </c>
      <c r="G519" s="337">
        <v>6</v>
      </c>
      <c r="H519" s="338">
        <v>1E-3</v>
      </c>
      <c r="I519" s="339">
        <v>19680.39</v>
      </c>
      <c r="J519" s="340">
        <v>118200.42234</v>
      </c>
      <c r="K519" s="335" t="s">
        <v>983</v>
      </c>
      <c r="L519" s="335">
        <v>3</v>
      </c>
      <c r="M519" s="335" t="s">
        <v>989</v>
      </c>
      <c r="N519" s="339">
        <v>12</v>
      </c>
      <c r="O519" s="341">
        <v>6</v>
      </c>
      <c r="P519" s="341" t="s">
        <v>25</v>
      </c>
      <c r="Q519" s="341">
        <v>0</v>
      </c>
      <c r="R519" s="342" t="s">
        <v>25</v>
      </c>
      <c r="S519" s="342" t="s">
        <v>25</v>
      </c>
    </row>
    <row r="520" spans="1:19" ht="15" customHeight="1" x14ac:dyDescent="0.3">
      <c r="A520" s="335" t="s">
        <v>980</v>
      </c>
      <c r="B520" s="335" t="s">
        <v>26</v>
      </c>
      <c r="C520" s="335" t="s">
        <v>27</v>
      </c>
      <c r="D520" s="335" t="s">
        <v>990</v>
      </c>
      <c r="E520" s="336" t="s">
        <v>991</v>
      </c>
      <c r="F520" s="336" t="s">
        <v>744</v>
      </c>
      <c r="G520" s="337">
        <v>16</v>
      </c>
      <c r="H520" s="338">
        <v>1E-3</v>
      </c>
      <c r="I520" s="339">
        <v>3936.08</v>
      </c>
      <c r="J520" s="340">
        <v>63040.257279999998</v>
      </c>
      <c r="K520" s="335" t="s">
        <v>983</v>
      </c>
      <c r="L520" s="335">
        <v>4</v>
      </c>
      <c r="M520" s="335" t="s">
        <v>992</v>
      </c>
      <c r="N520" s="339">
        <v>12</v>
      </c>
      <c r="O520" s="341">
        <v>16</v>
      </c>
      <c r="P520" s="341" t="s">
        <v>25</v>
      </c>
      <c r="Q520" s="341">
        <v>0</v>
      </c>
      <c r="R520" s="342" t="s">
        <v>25</v>
      </c>
      <c r="S520" s="342" t="s">
        <v>25</v>
      </c>
    </row>
    <row r="521" spans="1:19" ht="15" customHeight="1" x14ac:dyDescent="0.3">
      <c r="A521" s="335" t="s">
        <v>980</v>
      </c>
      <c r="B521" s="335" t="s">
        <v>26</v>
      </c>
      <c r="C521" s="335" t="s">
        <v>27</v>
      </c>
      <c r="D521" s="335" t="s">
        <v>993</v>
      </c>
      <c r="E521" s="336" t="s">
        <v>994</v>
      </c>
      <c r="F521" s="336" t="s">
        <v>83</v>
      </c>
      <c r="G521" s="337">
        <v>1</v>
      </c>
      <c r="H521" s="338">
        <v>1E-3</v>
      </c>
      <c r="I521" s="339">
        <v>137000</v>
      </c>
      <c r="J521" s="340">
        <v>137137</v>
      </c>
      <c r="K521" s="335" t="s">
        <v>983</v>
      </c>
      <c r="L521" s="335">
        <v>5</v>
      </c>
      <c r="M521" s="335" t="s">
        <v>995</v>
      </c>
      <c r="N521" s="339">
        <v>12</v>
      </c>
      <c r="O521" s="341">
        <v>1</v>
      </c>
      <c r="P521" s="341" t="s">
        <v>25</v>
      </c>
      <c r="Q521" s="341">
        <v>0</v>
      </c>
      <c r="R521" s="342" t="s">
        <v>25</v>
      </c>
      <c r="S521" s="342" t="s">
        <v>25</v>
      </c>
    </row>
    <row r="522" spans="1:19" ht="15" customHeight="1" x14ac:dyDescent="0.3">
      <c r="A522" s="335" t="s">
        <v>980</v>
      </c>
      <c r="B522" s="335" t="s">
        <v>56</v>
      </c>
      <c r="C522" s="335" t="s">
        <v>57</v>
      </c>
      <c r="D522" s="343" t="s">
        <v>58</v>
      </c>
      <c r="E522" s="336" t="s">
        <v>59</v>
      </c>
      <c r="F522" s="336" t="s">
        <v>60</v>
      </c>
      <c r="G522" s="337">
        <v>0.75</v>
      </c>
      <c r="H522" s="338">
        <v>0</v>
      </c>
      <c r="I522" s="339">
        <v>60860.580776572002</v>
      </c>
      <c r="J522" s="340">
        <v>45645.435582429003</v>
      </c>
      <c r="K522" s="335" t="s">
        <v>996</v>
      </c>
      <c r="L522" s="335">
        <v>1</v>
      </c>
      <c r="M522" s="335" t="s">
        <v>997</v>
      </c>
      <c r="N522" s="339">
        <v>12</v>
      </c>
      <c r="O522" s="341">
        <v>6.25E-2</v>
      </c>
      <c r="P522" s="341" t="s">
        <v>25</v>
      </c>
      <c r="Q522" s="341">
        <v>0</v>
      </c>
      <c r="R522" s="342" t="s">
        <v>25</v>
      </c>
      <c r="S522" s="342" t="s">
        <v>25</v>
      </c>
    </row>
    <row r="523" spans="1:19" ht="15" customHeight="1" x14ac:dyDescent="0.3">
      <c r="A523" s="335" t="s">
        <v>980</v>
      </c>
      <c r="B523" s="335" t="s">
        <v>56</v>
      </c>
      <c r="C523" s="335" t="s">
        <v>57</v>
      </c>
      <c r="D523" s="343" t="s">
        <v>63</v>
      </c>
      <c r="E523" s="336" t="s">
        <v>64</v>
      </c>
      <c r="F523" s="336" t="s">
        <v>60</v>
      </c>
      <c r="G523" s="337">
        <v>1</v>
      </c>
      <c r="H523" s="338">
        <v>0</v>
      </c>
      <c r="I523" s="339">
        <v>85927.097156571996</v>
      </c>
      <c r="J523" s="340">
        <v>85927.097156571996</v>
      </c>
      <c r="K523" s="335" t="s">
        <v>996</v>
      </c>
      <c r="L523" s="335">
        <v>2</v>
      </c>
      <c r="M523" s="335" t="s">
        <v>998</v>
      </c>
      <c r="N523" s="339">
        <v>12</v>
      </c>
      <c r="O523" s="341">
        <v>8.3333333333333301E-2</v>
      </c>
      <c r="P523" s="341" t="s">
        <v>25</v>
      </c>
      <c r="Q523" s="341">
        <v>0</v>
      </c>
      <c r="R523" s="342" t="s">
        <v>25</v>
      </c>
      <c r="S523" s="342" t="s">
        <v>25</v>
      </c>
    </row>
    <row r="524" spans="1:19" ht="15" customHeight="1" x14ac:dyDescent="0.3">
      <c r="A524" s="335" t="s">
        <v>999</v>
      </c>
      <c r="B524" s="335" t="s">
        <v>26</v>
      </c>
      <c r="C524" s="335" t="s">
        <v>27</v>
      </c>
      <c r="D524" s="335" t="s">
        <v>981</v>
      </c>
      <c r="E524" s="336" t="s">
        <v>982</v>
      </c>
      <c r="F524" s="336" t="s">
        <v>744</v>
      </c>
      <c r="G524" s="337">
        <v>32</v>
      </c>
      <c r="H524" s="338">
        <v>1E-3</v>
      </c>
      <c r="I524" s="339">
        <v>3148.86</v>
      </c>
      <c r="J524" s="340">
        <v>100864.28352</v>
      </c>
      <c r="K524" s="335" t="s">
        <v>1000</v>
      </c>
      <c r="L524" s="335">
        <v>1</v>
      </c>
      <c r="M524" s="335" t="s">
        <v>1001</v>
      </c>
      <c r="N524" s="339">
        <v>12</v>
      </c>
      <c r="O524" s="341">
        <v>32</v>
      </c>
      <c r="P524" s="341" t="s">
        <v>25</v>
      </c>
      <c r="Q524" s="341">
        <v>0</v>
      </c>
      <c r="R524" s="342" t="s">
        <v>25</v>
      </c>
      <c r="S524" s="342" t="s">
        <v>25</v>
      </c>
    </row>
    <row r="525" spans="1:19" ht="15" customHeight="1" x14ac:dyDescent="0.3">
      <c r="A525" s="335" t="s">
        <v>999</v>
      </c>
      <c r="B525" s="335" t="s">
        <v>26</v>
      </c>
      <c r="C525" s="335" t="s">
        <v>27</v>
      </c>
      <c r="D525" s="335" t="s">
        <v>735</v>
      </c>
      <c r="E525" s="336" t="s">
        <v>736</v>
      </c>
      <c r="F525" s="336" t="s">
        <v>35</v>
      </c>
      <c r="G525" s="337">
        <v>16</v>
      </c>
      <c r="H525" s="338">
        <v>1E-3</v>
      </c>
      <c r="I525" s="339">
        <v>1180.82</v>
      </c>
      <c r="J525" s="340">
        <v>18912.01312</v>
      </c>
      <c r="K525" s="335" t="s">
        <v>1000</v>
      </c>
      <c r="L525" s="335">
        <v>2</v>
      </c>
      <c r="M525" s="335" t="s">
        <v>1002</v>
      </c>
      <c r="N525" s="339">
        <v>12</v>
      </c>
      <c r="O525" s="341">
        <v>16</v>
      </c>
      <c r="P525" s="341" t="s">
        <v>25</v>
      </c>
      <c r="Q525" s="341">
        <v>0</v>
      </c>
      <c r="R525" s="342" t="s">
        <v>25</v>
      </c>
      <c r="S525" s="342" t="s">
        <v>25</v>
      </c>
    </row>
    <row r="526" spans="1:19" ht="15" customHeight="1" x14ac:dyDescent="0.3">
      <c r="A526" s="335" t="s">
        <v>999</v>
      </c>
      <c r="B526" s="335" t="s">
        <v>26</v>
      </c>
      <c r="C526" s="335" t="s">
        <v>27</v>
      </c>
      <c r="D526" s="335" t="s">
        <v>1003</v>
      </c>
      <c r="E526" s="336" t="s">
        <v>1004</v>
      </c>
      <c r="F526" s="336" t="s">
        <v>988</v>
      </c>
      <c r="G526" s="337">
        <v>6</v>
      </c>
      <c r="H526" s="338">
        <v>1E-3</v>
      </c>
      <c r="I526" s="339">
        <v>27552.55</v>
      </c>
      <c r="J526" s="340">
        <v>165480.6153</v>
      </c>
      <c r="K526" s="335" t="s">
        <v>1000</v>
      </c>
      <c r="L526" s="335">
        <v>3</v>
      </c>
      <c r="M526" s="335" t="s">
        <v>1005</v>
      </c>
      <c r="N526" s="339">
        <v>12</v>
      </c>
      <c r="O526" s="341">
        <v>6</v>
      </c>
      <c r="P526" s="341" t="s">
        <v>25</v>
      </c>
      <c r="Q526" s="341">
        <v>0</v>
      </c>
      <c r="R526" s="342" t="s">
        <v>25</v>
      </c>
      <c r="S526" s="342" t="s">
        <v>25</v>
      </c>
    </row>
    <row r="527" spans="1:19" ht="15" customHeight="1" x14ac:dyDescent="0.3">
      <c r="A527" s="335" t="s">
        <v>999</v>
      </c>
      <c r="B527" s="335" t="s">
        <v>26</v>
      </c>
      <c r="C527" s="335" t="s">
        <v>27</v>
      </c>
      <c r="D527" s="335" t="s">
        <v>990</v>
      </c>
      <c r="E527" s="336" t="s">
        <v>991</v>
      </c>
      <c r="F527" s="336" t="s">
        <v>744</v>
      </c>
      <c r="G527" s="337">
        <v>16</v>
      </c>
      <c r="H527" s="338">
        <v>1E-3</v>
      </c>
      <c r="I527" s="339">
        <v>3936.08</v>
      </c>
      <c r="J527" s="340">
        <v>63040.257279999998</v>
      </c>
      <c r="K527" s="335" t="s">
        <v>1000</v>
      </c>
      <c r="L527" s="335">
        <v>4</v>
      </c>
      <c r="M527" s="335" t="s">
        <v>1006</v>
      </c>
      <c r="N527" s="339">
        <v>12</v>
      </c>
      <c r="O527" s="341">
        <v>16</v>
      </c>
      <c r="P527" s="341" t="s">
        <v>25</v>
      </c>
      <c r="Q527" s="341">
        <v>0</v>
      </c>
      <c r="R527" s="342" t="s">
        <v>25</v>
      </c>
      <c r="S527" s="342" t="s">
        <v>25</v>
      </c>
    </row>
    <row r="528" spans="1:19" ht="15" customHeight="1" x14ac:dyDescent="0.3">
      <c r="A528" s="335" t="s">
        <v>999</v>
      </c>
      <c r="B528" s="335" t="s">
        <v>26</v>
      </c>
      <c r="C528" s="335" t="s">
        <v>27</v>
      </c>
      <c r="D528" s="335" t="s">
        <v>993</v>
      </c>
      <c r="E528" s="336" t="s">
        <v>994</v>
      </c>
      <c r="F528" s="336" t="s">
        <v>83</v>
      </c>
      <c r="G528" s="337">
        <v>1</v>
      </c>
      <c r="H528" s="338">
        <v>0.05</v>
      </c>
      <c r="I528" s="339">
        <v>137000</v>
      </c>
      <c r="J528" s="340">
        <v>143850</v>
      </c>
      <c r="K528" s="335" t="s">
        <v>1000</v>
      </c>
      <c r="L528" s="335">
        <v>5</v>
      </c>
      <c r="M528" s="335" t="s">
        <v>1007</v>
      </c>
      <c r="N528" s="339">
        <v>12</v>
      </c>
      <c r="O528" s="341">
        <v>1</v>
      </c>
      <c r="P528" s="341" t="s">
        <v>25</v>
      </c>
      <c r="Q528" s="341">
        <v>0</v>
      </c>
      <c r="R528" s="342" t="s">
        <v>25</v>
      </c>
      <c r="S528" s="342" t="s">
        <v>25</v>
      </c>
    </row>
    <row r="529" spans="1:19" ht="15" customHeight="1" x14ac:dyDescent="0.3">
      <c r="A529" s="335" t="s">
        <v>999</v>
      </c>
      <c r="B529" s="335" t="s">
        <v>26</v>
      </c>
      <c r="C529" s="335" t="s">
        <v>27</v>
      </c>
      <c r="D529" s="335" t="s">
        <v>1008</v>
      </c>
      <c r="E529" s="336" t="s">
        <v>1009</v>
      </c>
      <c r="F529" s="336" t="s">
        <v>83</v>
      </c>
      <c r="G529" s="337">
        <v>1</v>
      </c>
      <c r="H529" s="338">
        <v>0.05</v>
      </c>
      <c r="I529" s="339">
        <v>5330</v>
      </c>
      <c r="J529" s="340">
        <v>5596.5</v>
      </c>
      <c r="K529" s="335" t="s">
        <v>1000</v>
      </c>
      <c r="L529" s="335">
        <v>6</v>
      </c>
      <c r="M529" s="335" t="s">
        <v>1010</v>
      </c>
      <c r="N529" s="339">
        <v>12</v>
      </c>
      <c r="O529" s="341">
        <v>1</v>
      </c>
      <c r="P529" s="341" t="s">
        <v>25</v>
      </c>
      <c r="Q529" s="341">
        <v>0</v>
      </c>
      <c r="R529" s="342" t="s">
        <v>25</v>
      </c>
      <c r="S529" s="342" t="s">
        <v>25</v>
      </c>
    </row>
    <row r="530" spans="1:19" ht="15" customHeight="1" x14ac:dyDescent="0.3">
      <c r="A530" s="335" t="s">
        <v>999</v>
      </c>
      <c r="B530" s="335" t="s">
        <v>56</v>
      </c>
      <c r="C530" s="335" t="s">
        <v>57</v>
      </c>
      <c r="D530" s="343" t="s">
        <v>58</v>
      </c>
      <c r="E530" s="336" t="s">
        <v>59</v>
      </c>
      <c r="F530" s="336" t="s">
        <v>60</v>
      </c>
      <c r="G530" s="337">
        <v>0.75</v>
      </c>
      <c r="H530" s="338">
        <v>0</v>
      </c>
      <c r="I530" s="339">
        <v>60860.580776572002</v>
      </c>
      <c r="J530" s="340">
        <v>45645.435582429003</v>
      </c>
      <c r="K530" s="335" t="s">
        <v>1011</v>
      </c>
      <c r="L530" s="335">
        <v>1</v>
      </c>
      <c r="M530" s="335" t="s">
        <v>1012</v>
      </c>
      <c r="N530" s="339">
        <v>12</v>
      </c>
      <c r="O530" s="341">
        <v>6.25E-2</v>
      </c>
      <c r="P530" s="341" t="s">
        <v>25</v>
      </c>
      <c r="Q530" s="341">
        <v>0</v>
      </c>
      <c r="R530" s="342" t="s">
        <v>25</v>
      </c>
      <c r="S530" s="342" t="s">
        <v>25</v>
      </c>
    </row>
    <row r="531" spans="1:19" ht="15" customHeight="1" x14ac:dyDescent="0.3">
      <c r="A531" s="335" t="s">
        <v>999</v>
      </c>
      <c r="B531" s="335" t="s">
        <v>56</v>
      </c>
      <c r="C531" s="335" t="s">
        <v>57</v>
      </c>
      <c r="D531" s="343" t="s">
        <v>63</v>
      </c>
      <c r="E531" s="336" t="s">
        <v>64</v>
      </c>
      <c r="F531" s="336" t="s">
        <v>60</v>
      </c>
      <c r="G531" s="337">
        <v>1</v>
      </c>
      <c r="H531" s="338">
        <v>0</v>
      </c>
      <c r="I531" s="339">
        <v>85927.097156571996</v>
      </c>
      <c r="J531" s="340">
        <v>85927.097156571996</v>
      </c>
      <c r="K531" s="335" t="s">
        <v>1011</v>
      </c>
      <c r="L531" s="335">
        <v>2</v>
      </c>
      <c r="M531" s="335" t="s">
        <v>1013</v>
      </c>
      <c r="N531" s="339">
        <v>12</v>
      </c>
      <c r="O531" s="341">
        <v>8.3333333333333301E-2</v>
      </c>
      <c r="P531" s="341" t="s">
        <v>25</v>
      </c>
      <c r="Q531" s="341">
        <v>0</v>
      </c>
      <c r="R531" s="342" t="s">
        <v>25</v>
      </c>
      <c r="S531" s="342" t="s">
        <v>25</v>
      </c>
    </row>
    <row r="532" spans="1:19" ht="15" customHeight="1" x14ac:dyDescent="0.3">
      <c r="A532" s="335" t="s">
        <v>1014</v>
      </c>
      <c r="B532" s="335" t="s">
        <v>20</v>
      </c>
      <c r="C532" s="335"/>
      <c r="D532" s="335" t="s">
        <v>372</v>
      </c>
      <c r="E532" s="336" t="s">
        <v>373</v>
      </c>
      <c r="F532" s="336"/>
      <c r="G532" s="337">
        <v>1</v>
      </c>
      <c r="H532" s="338">
        <v>0</v>
      </c>
      <c r="I532" s="339">
        <v>1723.6259595547101</v>
      </c>
      <c r="J532" s="340">
        <v>1723.6259595547101</v>
      </c>
      <c r="K532" s="335" t="s">
        <v>1015</v>
      </c>
      <c r="L532" s="335">
        <v>1</v>
      </c>
      <c r="M532" s="335" t="s">
        <v>1016</v>
      </c>
      <c r="N532" s="339">
        <v>20</v>
      </c>
      <c r="O532" s="341">
        <v>1</v>
      </c>
      <c r="P532" s="341" t="s">
        <v>25</v>
      </c>
      <c r="Q532" s="341">
        <v>0</v>
      </c>
      <c r="R532" s="342" t="s">
        <v>25</v>
      </c>
      <c r="S532" s="342" t="s">
        <v>25</v>
      </c>
    </row>
    <row r="533" spans="1:19" ht="15" customHeight="1" x14ac:dyDescent="0.3">
      <c r="A533" s="335" t="s">
        <v>1014</v>
      </c>
      <c r="B533" s="335" t="s">
        <v>20</v>
      </c>
      <c r="C533" s="335"/>
      <c r="D533" s="335" t="s">
        <v>376</v>
      </c>
      <c r="E533" s="336" t="s">
        <v>377</v>
      </c>
      <c r="F533" s="336"/>
      <c r="G533" s="337">
        <v>1</v>
      </c>
      <c r="H533" s="338">
        <v>0</v>
      </c>
      <c r="I533" s="339">
        <v>200.25307946474501</v>
      </c>
      <c r="J533" s="340">
        <v>200.25307946474501</v>
      </c>
      <c r="K533" s="335" t="s">
        <v>1015</v>
      </c>
      <c r="L533" s="335">
        <v>2</v>
      </c>
      <c r="M533" s="335" t="s">
        <v>1017</v>
      </c>
      <c r="N533" s="339">
        <v>20</v>
      </c>
      <c r="O533" s="341">
        <v>1</v>
      </c>
      <c r="P533" s="341" t="s">
        <v>25</v>
      </c>
      <c r="Q533" s="341">
        <v>0</v>
      </c>
      <c r="R533" s="342" t="s">
        <v>25</v>
      </c>
      <c r="S533" s="342" t="s">
        <v>25</v>
      </c>
    </row>
    <row r="534" spans="1:19" ht="15" customHeight="1" x14ac:dyDescent="0.3">
      <c r="A534" s="335" t="s">
        <v>1014</v>
      </c>
      <c r="B534" s="335" t="s">
        <v>26</v>
      </c>
      <c r="C534" s="335" t="s">
        <v>27</v>
      </c>
      <c r="D534" s="335" t="s">
        <v>379</v>
      </c>
      <c r="E534" s="336" t="s">
        <v>380</v>
      </c>
      <c r="F534" s="336" t="s">
        <v>30</v>
      </c>
      <c r="G534" s="337">
        <v>4.0000000000000001E-3</v>
      </c>
      <c r="H534" s="338">
        <v>0.05</v>
      </c>
      <c r="I534" s="339">
        <v>30467.49</v>
      </c>
      <c r="J534" s="340">
        <v>127.963458</v>
      </c>
      <c r="K534" s="335" t="s">
        <v>1018</v>
      </c>
      <c r="L534" s="335">
        <v>1</v>
      </c>
      <c r="M534" s="335" t="s">
        <v>1019</v>
      </c>
      <c r="N534" s="339">
        <v>20</v>
      </c>
      <c r="O534" s="341">
        <v>4.0000000000000001E-3</v>
      </c>
      <c r="P534" s="341" t="s">
        <v>25</v>
      </c>
      <c r="Q534" s="341">
        <v>0</v>
      </c>
      <c r="R534" s="342" t="s">
        <v>25</v>
      </c>
      <c r="S534" s="342" t="s">
        <v>25</v>
      </c>
    </row>
    <row r="535" spans="1:19" ht="15" customHeight="1" x14ac:dyDescent="0.3">
      <c r="A535" s="335" t="s">
        <v>1014</v>
      </c>
      <c r="B535" s="335" t="s">
        <v>26</v>
      </c>
      <c r="C535" s="335" t="s">
        <v>27</v>
      </c>
      <c r="D535" s="335" t="s">
        <v>383</v>
      </c>
      <c r="E535" s="336" t="s">
        <v>384</v>
      </c>
      <c r="F535" s="336" t="s">
        <v>35</v>
      </c>
      <c r="G535" s="337">
        <v>1.4999999999999999E-2</v>
      </c>
      <c r="H535" s="338">
        <v>0.05</v>
      </c>
      <c r="I535" s="339">
        <v>5661.4</v>
      </c>
      <c r="J535" s="340">
        <v>89.167050000000003</v>
      </c>
      <c r="K535" s="335" t="s">
        <v>1018</v>
      </c>
      <c r="L535" s="335">
        <v>2</v>
      </c>
      <c r="M535" s="335" t="s">
        <v>1020</v>
      </c>
      <c r="N535" s="339">
        <v>20</v>
      </c>
      <c r="O535" s="341">
        <v>1.4999999999999999E-2</v>
      </c>
      <c r="P535" s="341" t="s">
        <v>25</v>
      </c>
      <c r="Q535" s="341">
        <v>0</v>
      </c>
      <c r="R535" s="342" t="s">
        <v>25</v>
      </c>
      <c r="S535" s="342" t="s">
        <v>25</v>
      </c>
    </row>
    <row r="536" spans="1:19" ht="15" customHeight="1" x14ac:dyDescent="0.3">
      <c r="A536" s="335" t="s">
        <v>1014</v>
      </c>
      <c r="B536" s="335" t="s">
        <v>26</v>
      </c>
      <c r="C536" s="335" t="s">
        <v>27</v>
      </c>
      <c r="D536" s="335" t="s">
        <v>386</v>
      </c>
      <c r="E536" s="336" t="s">
        <v>387</v>
      </c>
      <c r="F536" s="336" t="s">
        <v>35</v>
      </c>
      <c r="G536" s="337">
        <v>0.05</v>
      </c>
      <c r="H536" s="338">
        <v>0.1</v>
      </c>
      <c r="I536" s="339">
        <v>3293.01</v>
      </c>
      <c r="J536" s="340">
        <v>181.11555000000001</v>
      </c>
      <c r="K536" s="335" t="s">
        <v>1018</v>
      </c>
      <c r="L536" s="335">
        <v>3</v>
      </c>
      <c r="M536" s="335" t="s">
        <v>1021</v>
      </c>
      <c r="N536" s="339">
        <v>20</v>
      </c>
      <c r="O536" s="341">
        <v>0.05</v>
      </c>
      <c r="P536" s="341" t="s">
        <v>25</v>
      </c>
      <c r="Q536" s="341">
        <v>0</v>
      </c>
      <c r="R536" s="342" t="s">
        <v>25</v>
      </c>
      <c r="S536" s="342" t="s">
        <v>25</v>
      </c>
    </row>
    <row r="537" spans="1:19" ht="15" customHeight="1" x14ac:dyDescent="0.3">
      <c r="A537" s="335" t="s">
        <v>1014</v>
      </c>
      <c r="B537" s="335" t="s">
        <v>26</v>
      </c>
      <c r="C537" s="335" t="s">
        <v>27</v>
      </c>
      <c r="D537" s="335" t="s">
        <v>33</v>
      </c>
      <c r="E537" s="336" t="s">
        <v>34</v>
      </c>
      <c r="F537" s="336" t="s">
        <v>35</v>
      </c>
      <c r="G537" s="337">
        <v>0.03</v>
      </c>
      <c r="H537" s="338">
        <v>0.05</v>
      </c>
      <c r="I537" s="339">
        <v>735.06</v>
      </c>
      <c r="J537" s="340">
        <v>23.154389999999999</v>
      </c>
      <c r="K537" s="335" t="s">
        <v>1018</v>
      </c>
      <c r="L537" s="335">
        <v>4</v>
      </c>
      <c r="M537" s="335" t="s">
        <v>1022</v>
      </c>
      <c r="N537" s="339">
        <v>20</v>
      </c>
      <c r="O537" s="341">
        <v>0.03</v>
      </c>
      <c r="P537" s="341" t="s">
        <v>25</v>
      </c>
      <c r="Q537" s="341">
        <v>0</v>
      </c>
      <c r="R537" s="342" t="s">
        <v>25</v>
      </c>
      <c r="S537" s="342" t="s">
        <v>25</v>
      </c>
    </row>
    <row r="538" spans="1:19" ht="15" customHeight="1" x14ac:dyDescent="0.3">
      <c r="A538" s="335" t="s">
        <v>1014</v>
      </c>
      <c r="B538" s="335" t="s">
        <v>26</v>
      </c>
      <c r="C538" s="335" t="s">
        <v>27</v>
      </c>
      <c r="D538" s="335" t="s">
        <v>1023</v>
      </c>
      <c r="E538" s="336" t="s">
        <v>1024</v>
      </c>
      <c r="F538" s="336" t="s">
        <v>35</v>
      </c>
      <c r="G538" s="337">
        <v>5.0000000000000001E-3</v>
      </c>
      <c r="H538" s="338">
        <v>0.05</v>
      </c>
      <c r="I538" s="339">
        <v>6678.36</v>
      </c>
      <c r="J538" s="340">
        <v>35.061390000000003</v>
      </c>
      <c r="K538" s="335" t="s">
        <v>1018</v>
      </c>
      <c r="L538" s="335">
        <v>5</v>
      </c>
      <c r="M538" s="335" t="s">
        <v>1025</v>
      </c>
      <c r="N538" s="339">
        <v>20</v>
      </c>
      <c r="O538" s="341">
        <v>5.0000000000000001E-3</v>
      </c>
      <c r="P538" s="341" t="s">
        <v>25</v>
      </c>
      <c r="Q538" s="341">
        <v>0</v>
      </c>
      <c r="R538" s="342" t="s">
        <v>25</v>
      </c>
      <c r="S538" s="342" t="s">
        <v>25</v>
      </c>
    </row>
    <row r="539" spans="1:19" ht="15" customHeight="1" x14ac:dyDescent="0.3">
      <c r="A539" s="335" t="s">
        <v>1014</v>
      </c>
      <c r="B539" s="335" t="s">
        <v>26</v>
      </c>
      <c r="C539" s="335" t="s">
        <v>27</v>
      </c>
      <c r="D539" s="335" t="s">
        <v>40</v>
      </c>
      <c r="E539" s="336" t="s">
        <v>41</v>
      </c>
      <c r="F539" s="336" t="s">
        <v>35</v>
      </c>
      <c r="G539" s="337">
        <v>5.0000000000000001E-3</v>
      </c>
      <c r="H539" s="338">
        <v>0.05</v>
      </c>
      <c r="I539" s="339">
        <v>5282.24</v>
      </c>
      <c r="J539" s="340">
        <v>27.731760000000001</v>
      </c>
      <c r="K539" s="335" t="s">
        <v>1018</v>
      </c>
      <c r="L539" s="335">
        <v>6</v>
      </c>
      <c r="M539" s="335" t="s">
        <v>1026</v>
      </c>
      <c r="N539" s="339">
        <v>20</v>
      </c>
      <c r="O539" s="341">
        <v>5.0000000000000001E-3</v>
      </c>
      <c r="P539" s="341" t="s">
        <v>25</v>
      </c>
      <c r="Q539" s="341">
        <v>0</v>
      </c>
      <c r="R539" s="342" t="s">
        <v>25</v>
      </c>
      <c r="S539" s="342" t="s">
        <v>25</v>
      </c>
    </row>
    <row r="540" spans="1:19" ht="15" customHeight="1" x14ac:dyDescent="0.3">
      <c r="A540" s="335" t="s">
        <v>1014</v>
      </c>
      <c r="B540" s="335" t="s">
        <v>26</v>
      </c>
      <c r="C540" s="335" t="s">
        <v>27</v>
      </c>
      <c r="D540" s="335" t="s">
        <v>392</v>
      </c>
      <c r="E540" s="336" t="s">
        <v>393</v>
      </c>
      <c r="F540" s="336" t="s">
        <v>35</v>
      </c>
      <c r="G540" s="337">
        <v>0.01</v>
      </c>
      <c r="H540" s="338">
        <v>0.05</v>
      </c>
      <c r="I540" s="339">
        <v>7427.6</v>
      </c>
      <c r="J540" s="340">
        <v>77.989800000000002</v>
      </c>
      <c r="K540" s="335" t="s">
        <v>1018</v>
      </c>
      <c r="L540" s="335">
        <v>7</v>
      </c>
      <c r="M540" s="335" t="s">
        <v>1027</v>
      </c>
      <c r="N540" s="339">
        <v>20</v>
      </c>
      <c r="O540" s="341">
        <v>0.01</v>
      </c>
      <c r="P540" s="341" t="s">
        <v>25</v>
      </c>
      <c r="Q540" s="341">
        <v>0</v>
      </c>
      <c r="R540" s="342" t="s">
        <v>25</v>
      </c>
      <c r="S540" s="342" t="s">
        <v>25</v>
      </c>
    </row>
    <row r="541" spans="1:19" ht="15" customHeight="1" x14ac:dyDescent="0.3">
      <c r="A541" s="335" t="s">
        <v>1014</v>
      </c>
      <c r="B541" s="335" t="s">
        <v>26</v>
      </c>
      <c r="C541" s="335" t="s">
        <v>27</v>
      </c>
      <c r="D541" s="335" t="s">
        <v>395</v>
      </c>
      <c r="E541" s="336" t="s">
        <v>396</v>
      </c>
      <c r="F541" s="336" t="s">
        <v>397</v>
      </c>
      <c r="G541" s="337">
        <v>1.2500000000000001E-2</v>
      </c>
      <c r="H541" s="338">
        <v>0.1</v>
      </c>
      <c r="I541" s="339">
        <v>120622.23</v>
      </c>
      <c r="J541" s="340">
        <v>1658.5556624999999</v>
      </c>
      <c r="K541" s="335" t="s">
        <v>1018</v>
      </c>
      <c r="L541" s="335">
        <v>8</v>
      </c>
      <c r="M541" s="335" t="s">
        <v>1028</v>
      </c>
      <c r="N541" s="339">
        <v>20</v>
      </c>
      <c r="O541" s="341">
        <v>1.2500000000000001E-2</v>
      </c>
      <c r="P541" s="341" t="s">
        <v>25</v>
      </c>
      <c r="Q541" s="341">
        <v>0</v>
      </c>
      <c r="R541" s="342" t="s">
        <v>25</v>
      </c>
      <c r="S541" s="342" t="s">
        <v>25</v>
      </c>
    </row>
    <row r="542" spans="1:19" ht="15" customHeight="1" x14ac:dyDescent="0.3">
      <c r="A542" s="335" t="s">
        <v>1014</v>
      </c>
      <c r="B542" s="335" t="s">
        <v>26</v>
      </c>
      <c r="C542" s="335" t="s">
        <v>27</v>
      </c>
      <c r="D542" s="335" t="s">
        <v>1029</v>
      </c>
      <c r="E542" s="336" t="s">
        <v>1030</v>
      </c>
      <c r="F542" s="336" t="s">
        <v>397</v>
      </c>
      <c r="G542" s="337">
        <v>2E-3</v>
      </c>
      <c r="H542" s="338">
        <v>0.1</v>
      </c>
      <c r="I542" s="339">
        <v>18735.77</v>
      </c>
      <c r="J542" s="340">
        <v>41.218693999999999</v>
      </c>
      <c r="K542" s="335" t="s">
        <v>1018</v>
      </c>
      <c r="L542" s="335">
        <v>9</v>
      </c>
      <c r="M542" s="335" t="s">
        <v>1031</v>
      </c>
      <c r="N542" s="339">
        <v>20</v>
      </c>
      <c r="O542" s="341">
        <v>2E-3</v>
      </c>
      <c r="P542" s="341" t="s">
        <v>25</v>
      </c>
      <c r="Q542" s="341">
        <v>0</v>
      </c>
      <c r="R542" s="342" t="s">
        <v>25</v>
      </c>
      <c r="S542" s="342" t="s">
        <v>25</v>
      </c>
    </row>
    <row r="543" spans="1:19" ht="15" customHeight="1" x14ac:dyDescent="0.3">
      <c r="A543" s="335" t="s">
        <v>1014</v>
      </c>
      <c r="B543" s="335" t="s">
        <v>26</v>
      </c>
      <c r="C543" s="335" t="s">
        <v>27</v>
      </c>
      <c r="D543" s="335" t="s">
        <v>1032</v>
      </c>
      <c r="E543" s="336" t="s">
        <v>1033</v>
      </c>
      <c r="F543" s="336" t="s">
        <v>30</v>
      </c>
      <c r="G543" s="337">
        <v>1E-3</v>
      </c>
      <c r="H543" s="338">
        <v>0.05</v>
      </c>
      <c r="I543" s="339">
        <v>9639</v>
      </c>
      <c r="J543" s="340">
        <v>10.120950000000001</v>
      </c>
      <c r="K543" s="335" t="s">
        <v>1018</v>
      </c>
      <c r="L543" s="335">
        <v>10</v>
      </c>
      <c r="M543" s="335" t="s">
        <v>1034</v>
      </c>
      <c r="N543" s="339">
        <v>20</v>
      </c>
      <c r="O543" s="341">
        <v>1E-3</v>
      </c>
      <c r="P543" s="341" t="s">
        <v>25</v>
      </c>
      <c r="Q543" s="341">
        <v>0</v>
      </c>
      <c r="R543" s="342" t="s">
        <v>25</v>
      </c>
      <c r="S543" s="342" t="s">
        <v>25</v>
      </c>
    </row>
    <row r="544" spans="1:19" ht="15" customHeight="1" x14ac:dyDescent="0.3">
      <c r="A544" s="335" t="s">
        <v>1014</v>
      </c>
      <c r="B544" s="335" t="s">
        <v>56</v>
      </c>
      <c r="C544" s="335" t="s">
        <v>57</v>
      </c>
      <c r="D544" s="343" t="s">
        <v>63</v>
      </c>
      <c r="E544" s="336" t="s">
        <v>64</v>
      </c>
      <c r="F544" s="336" t="s">
        <v>60</v>
      </c>
      <c r="G544" s="337">
        <v>1</v>
      </c>
      <c r="H544" s="338">
        <v>0</v>
      </c>
      <c r="I544" s="339">
        <v>85927.097156571996</v>
      </c>
      <c r="J544" s="340">
        <v>85927.097156571996</v>
      </c>
      <c r="K544" s="335" t="s">
        <v>1035</v>
      </c>
      <c r="L544" s="335">
        <v>1</v>
      </c>
      <c r="M544" s="335" t="s">
        <v>1036</v>
      </c>
      <c r="N544" s="339">
        <v>20</v>
      </c>
      <c r="O544" s="341">
        <v>0.05</v>
      </c>
      <c r="P544" s="341" t="s">
        <v>25</v>
      </c>
      <c r="Q544" s="341">
        <v>0</v>
      </c>
      <c r="R544" s="342" t="s">
        <v>25</v>
      </c>
      <c r="S544" s="342" t="s">
        <v>25</v>
      </c>
    </row>
    <row r="545" spans="1:19" ht="15" customHeight="1" x14ac:dyDescent="0.3">
      <c r="A545" s="335" t="s">
        <v>1037</v>
      </c>
      <c r="B545" s="335" t="s">
        <v>20</v>
      </c>
      <c r="C545" s="335"/>
      <c r="D545" s="335" t="s">
        <v>372</v>
      </c>
      <c r="E545" s="336" t="s">
        <v>373</v>
      </c>
      <c r="F545" s="336"/>
      <c r="G545" s="337">
        <v>2</v>
      </c>
      <c r="H545" s="338">
        <v>0</v>
      </c>
      <c r="I545" s="339">
        <v>1723.6259595547101</v>
      </c>
      <c r="J545" s="340">
        <v>3447.2519191094202</v>
      </c>
      <c r="K545" s="335" t="s">
        <v>1038</v>
      </c>
      <c r="L545" s="335">
        <v>1</v>
      </c>
      <c r="M545" s="335" t="s">
        <v>1039</v>
      </c>
      <c r="N545" s="339">
        <v>22</v>
      </c>
      <c r="O545" s="341">
        <v>2</v>
      </c>
      <c r="P545" s="341" t="s">
        <v>25</v>
      </c>
      <c r="Q545" s="341">
        <v>0</v>
      </c>
      <c r="R545" s="342" t="s">
        <v>25</v>
      </c>
      <c r="S545" s="342" t="s">
        <v>25</v>
      </c>
    </row>
    <row r="546" spans="1:19" ht="15" customHeight="1" x14ac:dyDescent="0.3">
      <c r="A546" s="335" t="s">
        <v>1037</v>
      </c>
      <c r="B546" s="335" t="s">
        <v>20</v>
      </c>
      <c r="C546" s="335"/>
      <c r="D546" s="335" t="s">
        <v>376</v>
      </c>
      <c r="E546" s="336" t="s">
        <v>377</v>
      </c>
      <c r="F546" s="336"/>
      <c r="G546" s="337">
        <v>2</v>
      </c>
      <c r="H546" s="338">
        <v>0</v>
      </c>
      <c r="I546" s="339">
        <v>200.25307946474501</v>
      </c>
      <c r="J546" s="340">
        <v>400.50615892949003</v>
      </c>
      <c r="K546" s="335" t="s">
        <v>1038</v>
      </c>
      <c r="L546" s="335">
        <v>2</v>
      </c>
      <c r="M546" s="335" t="s">
        <v>1040</v>
      </c>
      <c r="N546" s="339">
        <v>22</v>
      </c>
      <c r="O546" s="341">
        <v>2</v>
      </c>
      <c r="P546" s="341" t="s">
        <v>25</v>
      </c>
      <c r="Q546" s="341">
        <v>0</v>
      </c>
      <c r="R546" s="342" t="s">
        <v>25</v>
      </c>
      <c r="S546" s="342" t="s">
        <v>25</v>
      </c>
    </row>
    <row r="547" spans="1:19" ht="15" customHeight="1" x14ac:dyDescent="0.3">
      <c r="A547" s="335" t="s">
        <v>1037</v>
      </c>
      <c r="B547" s="335" t="s">
        <v>26</v>
      </c>
      <c r="C547" s="335" t="s">
        <v>27</v>
      </c>
      <c r="D547" s="335" t="s">
        <v>379</v>
      </c>
      <c r="E547" s="336" t="s">
        <v>380</v>
      </c>
      <c r="F547" s="336" t="s">
        <v>30</v>
      </c>
      <c r="G547" s="337">
        <v>4.0000000000000001E-3</v>
      </c>
      <c r="H547" s="338">
        <v>0.05</v>
      </c>
      <c r="I547" s="339">
        <v>30467.49</v>
      </c>
      <c r="J547" s="340">
        <v>127.963458</v>
      </c>
      <c r="K547" s="335" t="s">
        <v>1041</v>
      </c>
      <c r="L547" s="335">
        <v>1</v>
      </c>
      <c r="M547" s="335" t="s">
        <v>1042</v>
      </c>
      <c r="N547" s="339">
        <v>22</v>
      </c>
      <c r="O547" s="341">
        <v>4.0000000000000001E-3</v>
      </c>
      <c r="P547" s="341" t="s">
        <v>25</v>
      </c>
      <c r="Q547" s="341">
        <v>0</v>
      </c>
      <c r="R547" s="342" t="s">
        <v>25</v>
      </c>
      <c r="S547" s="342" t="s">
        <v>25</v>
      </c>
    </row>
    <row r="548" spans="1:19" ht="15" customHeight="1" x14ac:dyDescent="0.3">
      <c r="A548" s="335" t="s">
        <v>1037</v>
      </c>
      <c r="B548" s="335" t="s">
        <v>26</v>
      </c>
      <c r="C548" s="335" t="s">
        <v>27</v>
      </c>
      <c r="D548" s="335" t="s">
        <v>383</v>
      </c>
      <c r="E548" s="336" t="s">
        <v>384</v>
      </c>
      <c r="F548" s="336" t="s">
        <v>35</v>
      </c>
      <c r="G548" s="337">
        <v>2.5000000000000001E-2</v>
      </c>
      <c r="H548" s="338">
        <v>0.05</v>
      </c>
      <c r="I548" s="339">
        <v>5661.4</v>
      </c>
      <c r="J548" s="340">
        <v>148.61175</v>
      </c>
      <c r="K548" s="335" t="s">
        <v>1041</v>
      </c>
      <c r="L548" s="335">
        <v>2</v>
      </c>
      <c r="M548" s="335" t="s">
        <v>1043</v>
      </c>
      <c r="N548" s="339">
        <v>22</v>
      </c>
      <c r="O548" s="341">
        <v>2.5000000000000001E-2</v>
      </c>
      <c r="P548" s="341" t="s">
        <v>25</v>
      </c>
      <c r="Q548" s="341">
        <v>0</v>
      </c>
      <c r="R548" s="342" t="s">
        <v>25</v>
      </c>
      <c r="S548" s="342" t="s">
        <v>25</v>
      </c>
    </row>
    <row r="549" spans="1:19" ht="15" customHeight="1" x14ac:dyDescent="0.3">
      <c r="A549" s="335" t="s">
        <v>1037</v>
      </c>
      <c r="B549" s="335" t="s">
        <v>26</v>
      </c>
      <c r="C549" s="335" t="s">
        <v>27</v>
      </c>
      <c r="D549" s="335" t="s">
        <v>386</v>
      </c>
      <c r="E549" s="336" t="s">
        <v>387</v>
      </c>
      <c r="F549" s="336" t="s">
        <v>35</v>
      </c>
      <c r="G549" s="337">
        <v>0.05</v>
      </c>
      <c r="H549" s="338">
        <v>0.1</v>
      </c>
      <c r="I549" s="339">
        <v>3293.01</v>
      </c>
      <c r="J549" s="340">
        <v>181.11555000000001</v>
      </c>
      <c r="K549" s="335" t="s">
        <v>1041</v>
      </c>
      <c r="L549" s="335">
        <v>3</v>
      </c>
      <c r="M549" s="335" t="s">
        <v>1044</v>
      </c>
      <c r="N549" s="339">
        <v>22</v>
      </c>
      <c r="O549" s="341">
        <v>0.05</v>
      </c>
      <c r="P549" s="341" t="s">
        <v>25</v>
      </c>
      <c r="Q549" s="341">
        <v>0</v>
      </c>
      <c r="R549" s="342" t="s">
        <v>25</v>
      </c>
      <c r="S549" s="342" t="s">
        <v>25</v>
      </c>
    </row>
    <row r="550" spans="1:19" ht="15" customHeight="1" x14ac:dyDescent="0.3">
      <c r="A550" s="335" t="s">
        <v>1037</v>
      </c>
      <c r="B550" s="335" t="s">
        <v>26</v>
      </c>
      <c r="C550" s="335" t="s">
        <v>27</v>
      </c>
      <c r="D550" s="335" t="s">
        <v>33</v>
      </c>
      <c r="E550" s="336" t="s">
        <v>34</v>
      </c>
      <c r="F550" s="336" t="s">
        <v>35</v>
      </c>
      <c r="G550" s="337">
        <v>0.03</v>
      </c>
      <c r="H550" s="338">
        <v>0.05</v>
      </c>
      <c r="I550" s="339">
        <v>735.06</v>
      </c>
      <c r="J550" s="340">
        <v>23.154389999999999</v>
      </c>
      <c r="K550" s="335" t="s">
        <v>1041</v>
      </c>
      <c r="L550" s="335">
        <v>4</v>
      </c>
      <c r="M550" s="335" t="s">
        <v>1045</v>
      </c>
      <c r="N550" s="339">
        <v>22</v>
      </c>
      <c r="O550" s="341">
        <v>0.03</v>
      </c>
      <c r="P550" s="341" t="s">
        <v>25</v>
      </c>
      <c r="Q550" s="341">
        <v>0</v>
      </c>
      <c r="R550" s="342" t="s">
        <v>25</v>
      </c>
      <c r="S550" s="342" t="s">
        <v>25</v>
      </c>
    </row>
    <row r="551" spans="1:19" ht="15" customHeight="1" x14ac:dyDescent="0.3">
      <c r="A551" s="335" t="s">
        <v>1037</v>
      </c>
      <c r="B551" s="335" t="s">
        <v>26</v>
      </c>
      <c r="C551" s="335" t="s">
        <v>27</v>
      </c>
      <c r="D551" s="335" t="s">
        <v>1023</v>
      </c>
      <c r="E551" s="336" t="s">
        <v>1024</v>
      </c>
      <c r="F551" s="336" t="s">
        <v>35</v>
      </c>
      <c r="G551" s="337">
        <v>5.0000000000000001E-3</v>
      </c>
      <c r="H551" s="338">
        <v>0.05</v>
      </c>
      <c r="I551" s="339">
        <v>6678.36</v>
      </c>
      <c r="J551" s="340">
        <v>35.061390000000003</v>
      </c>
      <c r="K551" s="335" t="s">
        <v>1041</v>
      </c>
      <c r="L551" s="335">
        <v>5</v>
      </c>
      <c r="M551" s="335" t="s">
        <v>1046</v>
      </c>
      <c r="N551" s="339">
        <v>22</v>
      </c>
      <c r="O551" s="341">
        <v>5.0000000000000001E-3</v>
      </c>
      <c r="P551" s="341" t="s">
        <v>25</v>
      </c>
      <c r="Q551" s="341">
        <v>0</v>
      </c>
      <c r="R551" s="342" t="s">
        <v>25</v>
      </c>
      <c r="S551" s="342" t="s">
        <v>25</v>
      </c>
    </row>
    <row r="552" spans="1:19" ht="15" customHeight="1" x14ac:dyDescent="0.3">
      <c r="A552" s="335" t="s">
        <v>1037</v>
      </c>
      <c r="B552" s="335" t="s">
        <v>26</v>
      </c>
      <c r="C552" s="335" t="s">
        <v>27</v>
      </c>
      <c r="D552" s="335" t="s">
        <v>40</v>
      </c>
      <c r="E552" s="336" t="s">
        <v>41</v>
      </c>
      <c r="F552" s="336" t="s">
        <v>35</v>
      </c>
      <c r="G552" s="337">
        <v>5.0000000000000001E-3</v>
      </c>
      <c r="H552" s="338">
        <v>0.05</v>
      </c>
      <c r="I552" s="339">
        <v>5282.24</v>
      </c>
      <c r="J552" s="340">
        <v>27.731760000000001</v>
      </c>
      <c r="K552" s="335" t="s">
        <v>1041</v>
      </c>
      <c r="L552" s="335">
        <v>6</v>
      </c>
      <c r="M552" s="335" t="s">
        <v>1047</v>
      </c>
      <c r="N552" s="339">
        <v>22</v>
      </c>
      <c r="O552" s="341">
        <v>5.0000000000000001E-3</v>
      </c>
      <c r="P552" s="341" t="s">
        <v>25</v>
      </c>
      <c r="Q552" s="341">
        <v>0</v>
      </c>
      <c r="R552" s="342" t="s">
        <v>25</v>
      </c>
      <c r="S552" s="342" t="s">
        <v>25</v>
      </c>
    </row>
    <row r="553" spans="1:19" ht="15" customHeight="1" x14ac:dyDescent="0.3">
      <c r="A553" s="335" t="s">
        <v>1037</v>
      </c>
      <c r="B553" s="335" t="s">
        <v>26</v>
      </c>
      <c r="C553" s="335" t="s">
        <v>27</v>
      </c>
      <c r="D553" s="335" t="s">
        <v>392</v>
      </c>
      <c r="E553" s="336" t="s">
        <v>393</v>
      </c>
      <c r="F553" s="336" t="s">
        <v>35</v>
      </c>
      <c r="G553" s="337">
        <v>0.01</v>
      </c>
      <c r="H553" s="338">
        <v>0.05</v>
      </c>
      <c r="I553" s="339">
        <v>7427.6</v>
      </c>
      <c r="J553" s="340">
        <v>77.989800000000002</v>
      </c>
      <c r="K553" s="335" t="s">
        <v>1041</v>
      </c>
      <c r="L553" s="335">
        <v>7</v>
      </c>
      <c r="M553" s="335" t="s">
        <v>1048</v>
      </c>
      <c r="N553" s="339">
        <v>22</v>
      </c>
      <c r="O553" s="341">
        <v>0.01</v>
      </c>
      <c r="P553" s="341" t="s">
        <v>25</v>
      </c>
      <c r="Q553" s="341">
        <v>0</v>
      </c>
      <c r="R553" s="342" t="s">
        <v>25</v>
      </c>
      <c r="S553" s="342" t="s">
        <v>25</v>
      </c>
    </row>
    <row r="554" spans="1:19" ht="15" customHeight="1" x14ac:dyDescent="0.3">
      <c r="A554" s="335" t="s">
        <v>1037</v>
      </c>
      <c r="B554" s="335" t="s">
        <v>26</v>
      </c>
      <c r="C554" s="335" t="s">
        <v>27</v>
      </c>
      <c r="D554" s="335" t="s">
        <v>395</v>
      </c>
      <c r="E554" s="336" t="s">
        <v>396</v>
      </c>
      <c r="F554" s="336" t="s">
        <v>397</v>
      </c>
      <c r="G554" s="337">
        <v>1.2500000000000001E-2</v>
      </c>
      <c r="H554" s="338">
        <v>0.1</v>
      </c>
      <c r="I554" s="339">
        <v>120622.23</v>
      </c>
      <c r="J554" s="340">
        <v>1658.5556624999999</v>
      </c>
      <c r="K554" s="335" t="s">
        <v>1041</v>
      </c>
      <c r="L554" s="335">
        <v>8</v>
      </c>
      <c r="M554" s="335" t="s">
        <v>1049</v>
      </c>
      <c r="N554" s="339">
        <v>22</v>
      </c>
      <c r="O554" s="341">
        <v>1.2500000000000001E-2</v>
      </c>
      <c r="P554" s="341" t="s">
        <v>25</v>
      </c>
      <c r="Q554" s="341">
        <v>0</v>
      </c>
      <c r="R554" s="342" t="s">
        <v>25</v>
      </c>
      <c r="S554" s="342" t="s">
        <v>25</v>
      </c>
    </row>
    <row r="555" spans="1:19" ht="15" customHeight="1" x14ac:dyDescent="0.3">
      <c r="A555" s="335" t="s">
        <v>1037</v>
      </c>
      <c r="B555" s="335" t="s">
        <v>26</v>
      </c>
      <c r="C555" s="335" t="s">
        <v>27</v>
      </c>
      <c r="D555" s="335" t="s">
        <v>1029</v>
      </c>
      <c r="E555" s="336" t="s">
        <v>1030</v>
      </c>
      <c r="F555" s="336" t="s">
        <v>397</v>
      </c>
      <c r="G555" s="337">
        <v>0.03</v>
      </c>
      <c r="H555" s="338">
        <v>0.1</v>
      </c>
      <c r="I555" s="339">
        <v>18735.77</v>
      </c>
      <c r="J555" s="340">
        <v>618.28040999999996</v>
      </c>
      <c r="K555" s="335" t="s">
        <v>1041</v>
      </c>
      <c r="L555" s="335">
        <v>9</v>
      </c>
      <c r="M555" s="335" t="s">
        <v>1050</v>
      </c>
      <c r="N555" s="339">
        <v>22</v>
      </c>
      <c r="O555" s="341">
        <v>0.03</v>
      </c>
      <c r="P555" s="341" t="s">
        <v>25</v>
      </c>
      <c r="Q555" s="341">
        <v>0</v>
      </c>
      <c r="R555" s="342" t="s">
        <v>25</v>
      </c>
      <c r="S555" s="342" t="s">
        <v>25</v>
      </c>
    </row>
    <row r="556" spans="1:19" ht="15" customHeight="1" x14ac:dyDescent="0.3">
      <c r="A556" s="335" t="s">
        <v>1037</v>
      </c>
      <c r="B556" s="335" t="s">
        <v>26</v>
      </c>
      <c r="C556" s="335" t="s">
        <v>27</v>
      </c>
      <c r="D556" s="335" t="s">
        <v>1032</v>
      </c>
      <c r="E556" s="336" t="s">
        <v>1033</v>
      </c>
      <c r="F556" s="336" t="s">
        <v>30</v>
      </c>
      <c r="G556" s="337">
        <v>2.5000000000000001E-3</v>
      </c>
      <c r="H556" s="338">
        <v>0.05</v>
      </c>
      <c r="I556" s="339">
        <v>9639</v>
      </c>
      <c r="J556" s="340">
        <v>25.302375000000001</v>
      </c>
      <c r="K556" s="335" t="s">
        <v>1041</v>
      </c>
      <c r="L556" s="335">
        <v>10</v>
      </c>
      <c r="M556" s="335" t="s">
        <v>1051</v>
      </c>
      <c r="N556" s="339">
        <v>22</v>
      </c>
      <c r="O556" s="341">
        <v>2.5000000000000001E-3</v>
      </c>
      <c r="P556" s="341" t="s">
        <v>25</v>
      </c>
      <c r="Q556" s="341">
        <v>0</v>
      </c>
      <c r="R556" s="342" t="s">
        <v>25</v>
      </c>
      <c r="S556" s="342" t="s">
        <v>25</v>
      </c>
    </row>
    <row r="557" spans="1:19" ht="15" customHeight="1" x14ac:dyDescent="0.3">
      <c r="A557" s="335" t="s">
        <v>1037</v>
      </c>
      <c r="B557" s="335" t="s">
        <v>56</v>
      </c>
      <c r="C557" s="335" t="s">
        <v>57</v>
      </c>
      <c r="D557" s="343" t="s">
        <v>413</v>
      </c>
      <c r="E557" s="336" t="s">
        <v>414</v>
      </c>
      <c r="F557" s="336" t="s">
        <v>60</v>
      </c>
      <c r="G557" s="337">
        <v>1.25</v>
      </c>
      <c r="H557" s="338">
        <v>0</v>
      </c>
      <c r="I557" s="339">
        <v>65493.071636572</v>
      </c>
      <c r="J557" s="340">
        <v>81866.339545715004</v>
      </c>
      <c r="K557" s="335" t="s">
        <v>1052</v>
      </c>
      <c r="L557" s="335">
        <v>1</v>
      </c>
      <c r="M557" s="335" t="s">
        <v>1053</v>
      </c>
      <c r="N557" s="339">
        <v>22</v>
      </c>
      <c r="O557" s="341">
        <v>5.6818181818181802E-2</v>
      </c>
      <c r="P557" s="341" t="s">
        <v>25</v>
      </c>
      <c r="Q557" s="341">
        <v>0</v>
      </c>
      <c r="R557" s="342" t="s">
        <v>25</v>
      </c>
      <c r="S557" s="342" t="s">
        <v>25</v>
      </c>
    </row>
    <row r="558" spans="1:19" ht="15" customHeight="1" x14ac:dyDescent="0.3">
      <c r="A558" s="335" t="s">
        <v>1037</v>
      </c>
      <c r="B558" s="335" t="s">
        <v>56</v>
      </c>
      <c r="C558" s="335" t="s">
        <v>57</v>
      </c>
      <c r="D558" s="343" t="s">
        <v>63</v>
      </c>
      <c r="E558" s="336" t="s">
        <v>64</v>
      </c>
      <c r="F558" s="336" t="s">
        <v>60</v>
      </c>
      <c r="G558" s="337">
        <v>1</v>
      </c>
      <c r="H558" s="338">
        <v>0</v>
      </c>
      <c r="I558" s="339">
        <v>85927.097156571996</v>
      </c>
      <c r="J558" s="340">
        <v>85927.097156571996</v>
      </c>
      <c r="K558" s="335" t="s">
        <v>1052</v>
      </c>
      <c r="L558" s="335">
        <v>2</v>
      </c>
      <c r="M558" s="335" t="s">
        <v>1054</v>
      </c>
      <c r="N558" s="339">
        <v>22</v>
      </c>
      <c r="O558" s="341">
        <v>4.5454545454545497E-2</v>
      </c>
      <c r="P558" s="341" t="s">
        <v>25</v>
      </c>
      <c r="Q558" s="341">
        <v>0</v>
      </c>
      <c r="R558" s="342" t="s">
        <v>25</v>
      </c>
      <c r="S558" s="342" t="s">
        <v>25</v>
      </c>
    </row>
    <row r="559" spans="1:19" ht="15" customHeight="1" x14ac:dyDescent="0.3">
      <c r="A559" s="335" t="s">
        <v>1055</v>
      </c>
      <c r="B559" s="335" t="s">
        <v>20</v>
      </c>
      <c r="C559" s="335"/>
      <c r="D559" s="335" t="s">
        <v>67</v>
      </c>
      <c r="E559" s="336" t="s">
        <v>68</v>
      </c>
      <c r="F559" s="336"/>
      <c r="G559" s="337">
        <v>1</v>
      </c>
      <c r="H559" s="338">
        <v>0</v>
      </c>
      <c r="I559" s="339">
        <v>571.17949098076099</v>
      </c>
      <c r="J559" s="340">
        <v>571.17949098076099</v>
      </c>
      <c r="K559" s="335" t="s">
        <v>1056</v>
      </c>
      <c r="L559" s="335">
        <v>1</v>
      </c>
      <c r="M559" s="335" t="s">
        <v>1057</v>
      </c>
      <c r="N559" s="339">
        <v>17.5</v>
      </c>
      <c r="O559" s="341">
        <v>1</v>
      </c>
      <c r="P559" s="341" t="s">
        <v>25</v>
      </c>
      <c r="Q559" s="341">
        <v>0</v>
      </c>
      <c r="R559" s="342" t="s">
        <v>25</v>
      </c>
      <c r="S559" s="342" t="s">
        <v>25</v>
      </c>
    </row>
    <row r="560" spans="1:19" ht="15" customHeight="1" x14ac:dyDescent="0.3">
      <c r="A560" s="335" t="s">
        <v>1055</v>
      </c>
      <c r="B560" s="335" t="s">
        <v>20</v>
      </c>
      <c r="C560" s="335"/>
      <c r="D560" s="335" t="s">
        <v>372</v>
      </c>
      <c r="E560" s="336" t="s">
        <v>373</v>
      </c>
      <c r="F560" s="336"/>
      <c r="G560" s="337">
        <v>2</v>
      </c>
      <c r="H560" s="338">
        <v>0</v>
      </c>
      <c r="I560" s="339">
        <v>1723.6259595547101</v>
      </c>
      <c r="J560" s="340">
        <v>3447.2519191094202</v>
      </c>
      <c r="K560" s="335" t="s">
        <v>1056</v>
      </c>
      <c r="L560" s="335">
        <v>2</v>
      </c>
      <c r="M560" s="335" t="s">
        <v>1058</v>
      </c>
      <c r="N560" s="339">
        <v>17.5</v>
      </c>
      <c r="O560" s="341">
        <v>2</v>
      </c>
      <c r="P560" s="341" t="s">
        <v>25</v>
      </c>
      <c r="Q560" s="341">
        <v>0</v>
      </c>
      <c r="R560" s="342" t="s">
        <v>25</v>
      </c>
      <c r="S560" s="342" t="s">
        <v>25</v>
      </c>
    </row>
    <row r="561" spans="1:19" ht="15" customHeight="1" x14ac:dyDescent="0.3">
      <c r="A561" s="335" t="s">
        <v>1055</v>
      </c>
      <c r="B561" s="335" t="s">
        <v>20</v>
      </c>
      <c r="C561" s="335"/>
      <c r="D561" s="335" t="s">
        <v>376</v>
      </c>
      <c r="E561" s="336" t="s">
        <v>377</v>
      </c>
      <c r="F561" s="336"/>
      <c r="G561" s="337">
        <v>1</v>
      </c>
      <c r="H561" s="338">
        <v>0</v>
      </c>
      <c r="I561" s="339">
        <v>200.25307946474501</v>
      </c>
      <c r="J561" s="340">
        <v>200.25307946474501</v>
      </c>
      <c r="K561" s="335" t="s">
        <v>1056</v>
      </c>
      <c r="L561" s="335">
        <v>3</v>
      </c>
      <c r="M561" s="335" t="s">
        <v>1059</v>
      </c>
      <c r="N561" s="339">
        <v>17.5</v>
      </c>
      <c r="O561" s="341">
        <v>1</v>
      </c>
      <c r="P561" s="341" t="s">
        <v>25</v>
      </c>
      <c r="Q561" s="341">
        <v>0</v>
      </c>
      <c r="R561" s="342" t="s">
        <v>25</v>
      </c>
      <c r="S561" s="342" t="s">
        <v>25</v>
      </c>
    </row>
    <row r="562" spans="1:19" ht="15" customHeight="1" x14ac:dyDescent="0.3">
      <c r="A562" s="335" t="s">
        <v>1055</v>
      </c>
      <c r="B562" s="335" t="s">
        <v>26</v>
      </c>
      <c r="C562" s="335" t="s">
        <v>27</v>
      </c>
      <c r="D562" s="335" t="s">
        <v>379</v>
      </c>
      <c r="E562" s="336" t="s">
        <v>380</v>
      </c>
      <c r="F562" s="336" t="s">
        <v>30</v>
      </c>
      <c r="G562" s="337">
        <v>4.0000000000000001E-3</v>
      </c>
      <c r="H562" s="338">
        <v>0.05</v>
      </c>
      <c r="I562" s="339">
        <v>30467.49</v>
      </c>
      <c r="J562" s="340">
        <v>127.963458</v>
      </c>
      <c r="K562" s="335" t="s">
        <v>1060</v>
      </c>
      <c r="L562" s="335">
        <v>1</v>
      </c>
      <c r="M562" s="335" t="s">
        <v>1061</v>
      </c>
      <c r="N562" s="339">
        <v>17.5</v>
      </c>
      <c r="O562" s="341">
        <v>4.0000000000000001E-3</v>
      </c>
      <c r="P562" s="341" t="s">
        <v>25</v>
      </c>
      <c r="Q562" s="341">
        <v>0</v>
      </c>
      <c r="R562" s="342" t="s">
        <v>25</v>
      </c>
      <c r="S562" s="342" t="s">
        <v>25</v>
      </c>
    </row>
    <row r="563" spans="1:19" ht="15" customHeight="1" x14ac:dyDescent="0.3">
      <c r="A563" s="335" t="s">
        <v>1055</v>
      </c>
      <c r="B563" s="335" t="s">
        <v>26</v>
      </c>
      <c r="C563" s="335" t="s">
        <v>27</v>
      </c>
      <c r="D563" s="335" t="s">
        <v>383</v>
      </c>
      <c r="E563" s="336" t="s">
        <v>384</v>
      </c>
      <c r="F563" s="336" t="s">
        <v>35</v>
      </c>
      <c r="G563" s="337">
        <v>2.5000000000000001E-2</v>
      </c>
      <c r="H563" s="338">
        <v>0.05</v>
      </c>
      <c r="I563" s="339">
        <v>5661.4</v>
      </c>
      <c r="J563" s="340">
        <v>148.61175</v>
      </c>
      <c r="K563" s="335" t="s">
        <v>1060</v>
      </c>
      <c r="L563" s="335">
        <v>2</v>
      </c>
      <c r="M563" s="335" t="s">
        <v>1062</v>
      </c>
      <c r="N563" s="339">
        <v>17.5</v>
      </c>
      <c r="O563" s="341">
        <v>2.5000000000000001E-2</v>
      </c>
      <c r="P563" s="341" t="s">
        <v>25</v>
      </c>
      <c r="Q563" s="341">
        <v>0</v>
      </c>
      <c r="R563" s="342" t="s">
        <v>25</v>
      </c>
      <c r="S563" s="342" t="s">
        <v>25</v>
      </c>
    </row>
    <row r="564" spans="1:19" ht="15" customHeight="1" x14ac:dyDescent="0.3">
      <c r="A564" s="335" t="s">
        <v>1055</v>
      </c>
      <c r="B564" s="335" t="s">
        <v>26</v>
      </c>
      <c r="C564" s="335" t="s">
        <v>27</v>
      </c>
      <c r="D564" s="335" t="s">
        <v>386</v>
      </c>
      <c r="E564" s="336" t="s">
        <v>387</v>
      </c>
      <c r="F564" s="336" t="s">
        <v>35</v>
      </c>
      <c r="G564" s="337">
        <v>0.05</v>
      </c>
      <c r="H564" s="338">
        <v>0.1</v>
      </c>
      <c r="I564" s="339">
        <v>3293.01</v>
      </c>
      <c r="J564" s="340">
        <v>181.11555000000001</v>
      </c>
      <c r="K564" s="335" t="s">
        <v>1060</v>
      </c>
      <c r="L564" s="335">
        <v>3</v>
      </c>
      <c r="M564" s="335" t="s">
        <v>1063</v>
      </c>
      <c r="N564" s="339">
        <v>17.5</v>
      </c>
      <c r="O564" s="341">
        <v>0.05</v>
      </c>
      <c r="P564" s="341" t="s">
        <v>25</v>
      </c>
      <c r="Q564" s="341">
        <v>0</v>
      </c>
      <c r="R564" s="342" t="s">
        <v>25</v>
      </c>
      <c r="S564" s="342" t="s">
        <v>25</v>
      </c>
    </row>
    <row r="565" spans="1:19" ht="15" customHeight="1" x14ac:dyDescent="0.3">
      <c r="A565" s="335" t="s">
        <v>1055</v>
      </c>
      <c r="B565" s="335" t="s">
        <v>26</v>
      </c>
      <c r="C565" s="335" t="s">
        <v>27</v>
      </c>
      <c r="D565" s="335" t="s">
        <v>33</v>
      </c>
      <c r="E565" s="336" t="s">
        <v>34</v>
      </c>
      <c r="F565" s="336" t="s">
        <v>35</v>
      </c>
      <c r="G565" s="337">
        <v>0.03</v>
      </c>
      <c r="H565" s="338">
        <v>0.05</v>
      </c>
      <c r="I565" s="339">
        <v>735.06</v>
      </c>
      <c r="J565" s="340">
        <v>23.154389999999999</v>
      </c>
      <c r="K565" s="335" t="s">
        <v>1060</v>
      </c>
      <c r="L565" s="335">
        <v>4</v>
      </c>
      <c r="M565" s="335" t="s">
        <v>1064</v>
      </c>
      <c r="N565" s="339">
        <v>17.5</v>
      </c>
      <c r="O565" s="341">
        <v>0.03</v>
      </c>
      <c r="P565" s="341" t="s">
        <v>25</v>
      </c>
      <c r="Q565" s="341">
        <v>0</v>
      </c>
      <c r="R565" s="342" t="s">
        <v>25</v>
      </c>
      <c r="S565" s="342" t="s">
        <v>25</v>
      </c>
    </row>
    <row r="566" spans="1:19" ht="15" customHeight="1" x14ac:dyDescent="0.3">
      <c r="A566" s="335" t="s">
        <v>1055</v>
      </c>
      <c r="B566" s="335" t="s">
        <v>26</v>
      </c>
      <c r="C566" s="335" t="s">
        <v>27</v>
      </c>
      <c r="D566" s="335" t="s">
        <v>1023</v>
      </c>
      <c r="E566" s="336" t="s">
        <v>1024</v>
      </c>
      <c r="F566" s="336" t="s">
        <v>35</v>
      </c>
      <c r="G566" s="337">
        <v>5.0000000000000001E-3</v>
      </c>
      <c r="H566" s="338">
        <v>0.05</v>
      </c>
      <c r="I566" s="339">
        <v>6678.36</v>
      </c>
      <c r="J566" s="340">
        <v>35.061390000000003</v>
      </c>
      <c r="K566" s="335" t="s">
        <v>1060</v>
      </c>
      <c r="L566" s="335">
        <v>5</v>
      </c>
      <c r="M566" s="335" t="s">
        <v>1065</v>
      </c>
      <c r="N566" s="339">
        <v>17.5</v>
      </c>
      <c r="O566" s="341">
        <v>5.0000000000000001E-3</v>
      </c>
      <c r="P566" s="341" t="s">
        <v>25</v>
      </c>
      <c r="Q566" s="341">
        <v>0</v>
      </c>
      <c r="R566" s="342" t="s">
        <v>25</v>
      </c>
      <c r="S566" s="342" t="s">
        <v>25</v>
      </c>
    </row>
    <row r="567" spans="1:19" ht="15" customHeight="1" x14ac:dyDescent="0.3">
      <c r="A567" s="335" t="s">
        <v>1055</v>
      </c>
      <c r="B567" s="335" t="s">
        <v>26</v>
      </c>
      <c r="C567" s="335" t="s">
        <v>27</v>
      </c>
      <c r="D567" s="335" t="s">
        <v>40</v>
      </c>
      <c r="E567" s="336" t="s">
        <v>41</v>
      </c>
      <c r="F567" s="336" t="s">
        <v>35</v>
      </c>
      <c r="G567" s="337">
        <v>5.0000000000000001E-3</v>
      </c>
      <c r="H567" s="338">
        <v>0.05</v>
      </c>
      <c r="I567" s="339">
        <v>5282.24</v>
      </c>
      <c r="J567" s="340">
        <v>27.731760000000001</v>
      </c>
      <c r="K567" s="335" t="s">
        <v>1060</v>
      </c>
      <c r="L567" s="335">
        <v>6</v>
      </c>
      <c r="M567" s="335" t="s">
        <v>1066</v>
      </c>
      <c r="N567" s="339">
        <v>17.5</v>
      </c>
      <c r="O567" s="341">
        <v>5.0000000000000001E-3</v>
      </c>
      <c r="P567" s="341" t="s">
        <v>25</v>
      </c>
      <c r="Q567" s="341">
        <v>0</v>
      </c>
      <c r="R567" s="342" t="s">
        <v>25</v>
      </c>
      <c r="S567" s="342" t="s">
        <v>25</v>
      </c>
    </row>
    <row r="568" spans="1:19" ht="15" customHeight="1" x14ac:dyDescent="0.3">
      <c r="A568" s="335" t="s">
        <v>1055</v>
      </c>
      <c r="B568" s="335" t="s">
        <v>26</v>
      </c>
      <c r="C568" s="335" t="s">
        <v>27</v>
      </c>
      <c r="D568" s="335" t="s">
        <v>392</v>
      </c>
      <c r="E568" s="336" t="s">
        <v>393</v>
      </c>
      <c r="F568" s="336" t="s">
        <v>35</v>
      </c>
      <c r="G568" s="337">
        <v>0.01</v>
      </c>
      <c r="H568" s="338">
        <v>0.05</v>
      </c>
      <c r="I568" s="339">
        <v>7427.6</v>
      </c>
      <c r="J568" s="340">
        <v>77.989800000000002</v>
      </c>
      <c r="K568" s="335" t="s">
        <v>1060</v>
      </c>
      <c r="L568" s="335">
        <v>7</v>
      </c>
      <c r="M568" s="335" t="s">
        <v>1067</v>
      </c>
      <c r="N568" s="339">
        <v>17.5</v>
      </c>
      <c r="O568" s="341">
        <v>0.01</v>
      </c>
      <c r="P568" s="341" t="s">
        <v>25</v>
      </c>
      <c r="Q568" s="341">
        <v>0</v>
      </c>
      <c r="R568" s="342" t="s">
        <v>25</v>
      </c>
      <c r="S568" s="342" t="s">
        <v>25</v>
      </c>
    </row>
    <row r="569" spans="1:19" ht="15" customHeight="1" x14ac:dyDescent="0.3">
      <c r="A569" s="335" t="s">
        <v>1055</v>
      </c>
      <c r="B569" s="335" t="s">
        <v>26</v>
      </c>
      <c r="C569" s="335" t="s">
        <v>27</v>
      </c>
      <c r="D569" s="335" t="s">
        <v>395</v>
      </c>
      <c r="E569" s="336" t="s">
        <v>396</v>
      </c>
      <c r="F569" s="336" t="s">
        <v>397</v>
      </c>
      <c r="G569" s="337">
        <v>1.2500000000000001E-2</v>
      </c>
      <c r="H569" s="338">
        <v>0.1</v>
      </c>
      <c r="I569" s="339">
        <v>120622.23</v>
      </c>
      <c r="J569" s="340">
        <v>1658.5556624999999</v>
      </c>
      <c r="K569" s="335" t="s">
        <v>1060</v>
      </c>
      <c r="L569" s="335">
        <v>8</v>
      </c>
      <c r="M569" s="335" t="s">
        <v>1068</v>
      </c>
      <c r="N569" s="339">
        <v>17.5</v>
      </c>
      <c r="O569" s="341">
        <v>1.2500000000000001E-2</v>
      </c>
      <c r="P569" s="341" t="s">
        <v>25</v>
      </c>
      <c r="Q569" s="341">
        <v>0</v>
      </c>
      <c r="R569" s="342" t="s">
        <v>25</v>
      </c>
      <c r="S569" s="342" t="s">
        <v>25</v>
      </c>
    </row>
    <row r="570" spans="1:19" ht="15" customHeight="1" x14ac:dyDescent="0.3">
      <c r="A570" s="335" t="s">
        <v>1055</v>
      </c>
      <c r="B570" s="335" t="s">
        <v>26</v>
      </c>
      <c r="C570" s="335" t="s">
        <v>27</v>
      </c>
      <c r="D570" s="335" t="s">
        <v>1029</v>
      </c>
      <c r="E570" s="336" t="s">
        <v>1030</v>
      </c>
      <c r="F570" s="336" t="s">
        <v>397</v>
      </c>
      <c r="G570" s="337">
        <v>0.03</v>
      </c>
      <c r="H570" s="338">
        <v>0.1</v>
      </c>
      <c r="I570" s="339">
        <v>18735.77</v>
      </c>
      <c r="J570" s="340">
        <v>618.28040999999996</v>
      </c>
      <c r="K570" s="335" t="s">
        <v>1060</v>
      </c>
      <c r="L570" s="335">
        <v>9</v>
      </c>
      <c r="M570" s="335" t="s">
        <v>1069</v>
      </c>
      <c r="N570" s="339">
        <v>17.5</v>
      </c>
      <c r="O570" s="341">
        <v>0.03</v>
      </c>
      <c r="P570" s="341" t="s">
        <v>25</v>
      </c>
      <c r="Q570" s="341">
        <v>0</v>
      </c>
      <c r="R570" s="342" t="s">
        <v>25</v>
      </c>
      <c r="S570" s="342" t="s">
        <v>25</v>
      </c>
    </row>
    <row r="571" spans="1:19" ht="15" customHeight="1" x14ac:dyDescent="0.3">
      <c r="A571" s="335" t="s">
        <v>1055</v>
      </c>
      <c r="B571" s="335" t="s">
        <v>26</v>
      </c>
      <c r="C571" s="335" t="s">
        <v>27</v>
      </c>
      <c r="D571" s="335" t="s">
        <v>1032</v>
      </c>
      <c r="E571" s="336" t="s">
        <v>1033</v>
      </c>
      <c r="F571" s="336" t="s">
        <v>30</v>
      </c>
      <c r="G571" s="337">
        <v>2.5000000000000001E-3</v>
      </c>
      <c r="H571" s="338">
        <v>0.05</v>
      </c>
      <c r="I571" s="339">
        <v>9639</v>
      </c>
      <c r="J571" s="340">
        <v>25.302375000000001</v>
      </c>
      <c r="K571" s="335" t="s">
        <v>1060</v>
      </c>
      <c r="L571" s="335">
        <v>10</v>
      </c>
      <c r="M571" s="335" t="s">
        <v>1070</v>
      </c>
      <c r="N571" s="339">
        <v>17.5</v>
      </c>
      <c r="O571" s="341">
        <v>2.5000000000000001E-3</v>
      </c>
      <c r="P571" s="341" t="s">
        <v>25</v>
      </c>
      <c r="Q571" s="341">
        <v>0</v>
      </c>
      <c r="R571" s="342" t="s">
        <v>25</v>
      </c>
      <c r="S571" s="342" t="s">
        <v>25</v>
      </c>
    </row>
    <row r="572" spans="1:19" ht="15" customHeight="1" x14ac:dyDescent="0.3">
      <c r="A572" s="335" t="s">
        <v>1055</v>
      </c>
      <c r="B572" s="335" t="s">
        <v>56</v>
      </c>
      <c r="C572" s="335" t="s">
        <v>57</v>
      </c>
      <c r="D572" s="343" t="s">
        <v>413</v>
      </c>
      <c r="E572" s="336" t="s">
        <v>414</v>
      </c>
      <c r="F572" s="336" t="s">
        <v>60</v>
      </c>
      <c r="G572" s="337">
        <v>1</v>
      </c>
      <c r="H572" s="338">
        <v>0</v>
      </c>
      <c r="I572" s="339">
        <v>65493.071636572</v>
      </c>
      <c r="J572" s="340">
        <v>65493.071636572</v>
      </c>
      <c r="K572" s="335" t="s">
        <v>1071</v>
      </c>
      <c r="L572" s="335">
        <v>1</v>
      </c>
      <c r="M572" s="335" t="s">
        <v>1072</v>
      </c>
      <c r="N572" s="339">
        <v>17.5</v>
      </c>
      <c r="O572" s="341">
        <v>5.7142857142857099E-2</v>
      </c>
      <c r="P572" s="341" t="s">
        <v>25</v>
      </c>
      <c r="Q572" s="341">
        <v>0</v>
      </c>
      <c r="R572" s="342" t="s">
        <v>25</v>
      </c>
      <c r="S572" s="342" t="s">
        <v>25</v>
      </c>
    </row>
    <row r="573" spans="1:19" ht="15" customHeight="1" x14ac:dyDescent="0.3">
      <c r="A573" s="335" t="s">
        <v>1055</v>
      </c>
      <c r="B573" s="335" t="s">
        <v>56</v>
      </c>
      <c r="C573" s="335" t="s">
        <v>57</v>
      </c>
      <c r="D573" s="343" t="s">
        <v>63</v>
      </c>
      <c r="E573" s="336" t="s">
        <v>64</v>
      </c>
      <c r="F573" s="336" t="s">
        <v>60</v>
      </c>
      <c r="G573" s="337">
        <v>1</v>
      </c>
      <c r="H573" s="338">
        <v>0</v>
      </c>
      <c r="I573" s="339">
        <v>85927.097156571996</v>
      </c>
      <c r="J573" s="340">
        <v>85927.097156571996</v>
      </c>
      <c r="K573" s="335" t="s">
        <v>1071</v>
      </c>
      <c r="L573" s="335">
        <v>2</v>
      </c>
      <c r="M573" s="335" t="s">
        <v>1073</v>
      </c>
      <c r="N573" s="339">
        <v>17.5</v>
      </c>
      <c r="O573" s="341">
        <v>5.7142857142857099E-2</v>
      </c>
      <c r="P573" s="341" t="s">
        <v>25</v>
      </c>
      <c r="Q573" s="341">
        <v>0</v>
      </c>
      <c r="R573" s="342" t="s">
        <v>25</v>
      </c>
      <c r="S573" s="342" t="s">
        <v>25</v>
      </c>
    </row>
    <row r="574" spans="1:19" ht="15" customHeight="1" x14ac:dyDescent="0.3">
      <c r="A574" s="335" t="s">
        <v>1074</v>
      </c>
      <c r="B574" s="335" t="s">
        <v>20</v>
      </c>
      <c r="C574" s="335"/>
      <c r="D574" s="335" t="s">
        <v>372</v>
      </c>
      <c r="E574" s="336" t="s">
        <v>373</v>
      </c>
      <c r="F574" s="336"/>
      <c r="G574" s="337">
        <v>1</v>
      </c>
      <c r="H574" s="338">
        <v>0</v>
      </c>
      <c r="I574" s="339">
        <v>1723.6259595547101</v>
      </c>
      <c r="J574" s="340">
        <v>1723.6259595547101</v>
      </c>
      <c r="K574" s="335" t="s">
        <v>1075</v>
      </c>
      <c r="L574" s="335">
        <v>1</v>
      </c>
      <c r="M574" s="335" t="s">
        <v>1076</v>
      </c>
      <c r="N574" s="339">
        <v>15.5</v>
      </c>
      <c r="O574" s="341">
        <v>1</v>
      </c>
      <c r="P574" s="341" t="s">
        <v>25</v>
      </c>
      <c r="Q574" s="341">
        <v>0</v>
      </c>
      <c r="R574" s="342" t="s">
        <v>25</v>
      </c>
      <c r="S574" s="342" t="s">
        <v>25</v>
      </c>
    </row>
    <row r="575" spans="1:19" ht="15" customHeight="1" x14ac:dyDescent="0.3">
      <c r="A575" s="335" t="s">
        <v>1074</v>
      </c>
      <c r="B575" s="335" t="s">
        <v>20</v>
      </c>
      <c r="C575" s="335"/>
      <c r="D575" s="335" t="s">
        <v>376</v>
      </c>
      <c r="E575" s="336" t="s">
        <v>377</v>
      </c>
      <c r="F575" s="336"/>
      <c r="G575" s="337">
        <v>1</v>
      </c>
      <c r="H575" s="338">
        <v>0</v>
      </c>
      <c r="I575" s="339">
        <v>200.25307946474501</v>
      </c>
      <c r="J575" s="340">
        <v>200.25307946474501</v>
      </c>
      <c r="K575" s="335" t="s">
        <v>1075</v>
      </c>
      <c r="L575" s="335">
        <v>2</v>
      </c>
      <c r="M575" s="335" t="s">
        <v>1077</v>
      </c>
      <c r="N575" s="339">
        <v>15.5</v>
      </c>
      <c r="O575" s="341">
        <v>1</v>
      </c>
      <c r="P575" s="341" t="s">
        <v>25</v>
      </c>
      <c r="Q575" s="341">
        <v>0</v>
      </c>
      <c r="R575" s="342" t="s">
        <v>25</v>
      </c>
      <c r="S575" s="342" t="s">
        <v>25</v>
      </c>
    </row>
    <row r="576" spans="1:19" ht="15" customHeight="1" x14ac:dyDescent="0.3">
      <c r="A576" s="335" t="s">
        <v>1074</v>
      </c>
      <c r="B576" s="335" t="s">
        <v>26</v>
      </c>
      <c r="C576" s="335" t="s">
        <v>27</v>
      </c>
      <c r="D576" s="335" t="s">
        <v>379</v>
      </c>
      <c r="E576" s="336" t="s">
        <v>380</v>
      </c>
      <c r="F576" s="336" t="s">
        <v>30</v>
      </c>
      <c r="G576" s="337">
        <v>4.0000000000000001E-3</v>
      </c>
      <c r="H576" s="338">
        <v>0.05</v>
      </c>
      <c r="I576" s="339">
        <v>30467.49</v>
      </c>
      <c r="J576" s="340">
        <v>127.963458</v>
      </c>
      <c r="K576" s="335" t="s">
        <v>1078</v>
      </c>
      <c r="L576" s="335">
        <v>1</v>
      </c>
      <c r="M576" s="335" t="s">
        <v>1079</v>
      </c>
      <c r="N576" s="339">
        <v>15.5</v>
      </c>
      <c r="O576" s="341">
        <v>4.0000000000000001E-3</v>
      </c>
      <c r="P576" s="341" t="s">
        <v>25</v>
      </c>
      <c r="Q576" s="341">
        <v>0</v>
      </c>
      <c r="R576" s="342" t="s">
        <v>25</v>
      </c>
      <c r="S576" s="342" t="s">
        <v>25</v>
      </c>
    </row>
    <row r="577" spans="1:19" ht="15" customHeight="1" x14ac:dyDescent="0.3">
      <c r="A577" s="335" t="s">
        <v>1074</v>
      </c>
      <c r="B577" s="335" t="s">
        <v>26</v>
      </c>
      <c r="C577" s="335" t="s">
        <v>27</v>
      </c>
      <c r="D577" s="335" t="s">
        <v>383</v>
      </c>
      <c r="E577" s="336" t="s">
        <v>384</v>
      </c>
      <c r="F577" s="336" t="s">
        <v>35</v>
      </c>
      <c r="G577" s="337">
        <v>0.01</v>
      </c>
      <c r="H577" s="338">
        <v>0.05</v>
      </c>
      <c r="I577" s="339">
        <v>5661.4</v>
      </c>
      <c r="J577" s="340">
        <v>59.444699999999997</v>
      </c>
      <c r="K577" s="335" t="s">
        <v>1078</v>
      </c>
      <c r="L577" s="335">
        <v>2</v>
      </c>
      <c r="M577" s="335" t="s">
        <v>1080</v>
      </c>
      <c r="N577" s="339">
        <v>15.5</v>
      </c>
      <c r="O577" s="341">
        <v>0.01</v>
      </c>
      <c r="P577" s="341" t="s">
        <v>25</v>
      </c>
      <c r="Q577" s="341">
        <v>0</v>
      </c>
      <c r="R577" s="342" t="s">
        <v>25</v>
      </c>
      <c r="S577" s="342" t="s">
        <v>25</v>
      </c>
    </row>
    <row r="578" spans="1:19" ht="15" customHeight="1" x14ac:dyDescent="0.3">
      <c r="A578" s="335" t="s">
        <v>1074</v>
      </c>
      <c r="B578" s="335" t="s">
        <v>26</v>
      </c>
      <c r="C578" s="335" t="s">
        <v>27</v>
      </c>
      <c r="D578" s="335" t="s">
        <v>386</v>
      </c>
      <c r="E578" s="336" t="s">
        <v>387</v>
      </c>
      <c r="F578" s="336" t="s">
        <v>35</v>
      </c>
      <c r="G578" s="337">
        <v>0.01</v>
      </c>
      <c r="H578" s="338">
        <v>0.1</v>
      </c>
      <c r="I578" s="339">
        <v>3293.01</v>
      </c>
      <c r="J578" s="340">
        <v>36.223109999999998</v>
      </c>
      <c r="K578" s="335" t="s">
        <v>1078</v>
      </c>
      <c r="L578" s="335">
        <v>3</v>
      </c>
      <c r="M578" s="335" t="s">
        <v>1081</v>
      </c>
      <c r="N578" s="339">
        <v>15.5</v>
      </c>
      <c r="O578" s="341">
        <v>0.01</v>
      </c>
      <c r="P578" s="341" t="s">
        <v>25</v>
      </c>
      <c r="Q578" s="341">
        <v>0</v>
      </c>
      <c r="R578" s="342" t="s">
        <v>25</v>
      </c>
      <c r="S578" s="342" t="s">
        <v>25</v>
      </c>
    </row>
    <row r="579" spans="1:19" ht="15" customHeight="1" x14ac:dyDescent="0.3">
      <c r="A579" s="335" t="s">
        <v>1074</v>
      </c>
      <c r="B579" s="335" t="s">
        <v>26</v>
      </c>
      <c r="C579" s="335" t="s">
        <v>27</v>
      </c>
      <c r="D579" s="335" t="s">
        <v>33</v>
      </c>
      <c r="E579" s="336" t="s">
        <v>34</v>
      </c>
      <c r="F579" s="336" t="s">
        <v>35</v>
      </c>
      <c r="G579" s="337">
        <v>0.01</v>
      </c>
      <c r="H579" s="338">
        <v>0.05</v>
      </c>
      <c r="I579" s="339">
        <v>735.06</v>
      </c>
      <c r="J579" s="340">
        <v>7.7181300000000004</v>
      </c>
      <c r="K579" s="335" t="s">
        <v>1078</v>
      </c>
      <c r="L579" s="335">
        <v>4</v>
      </c>
      <c r="M579" s="335" t="s">
        <v>1082</v>
      </c>
      <c r="N579" s="339">
        <v>15.5</v>
      </c>
      <c r="O579" s="341">
        <v>0.01</v>
      </c>
      <c r="P579" s="341" t="s">
        <v>25</v>
      </c>
      <c r="Q579" s="341">
        <v>0</v>
      </c>
      <c r="R579" s="342" t="s">
        <v>25</v>
      </c>
      <c r="S579" s="342" t="s">
        <v>25</v>
      </c>
    </row>
    <row r="580" spans="1:19" ht="15" customHeight="1" x14ac:dyDescent="0.3">
      <c r="A580" s="335" t="s">
        <v>1074</v>
      </c>
      <c r="B580" s="335" t="s">
        <v>26</v>
      </c>
      <c r="C580" s="335" t="s">
        <v>27</v>
      </c>
      <c r="D580" s="335" t="s">
        <v>37</v>
      </c>
      <c r="E580" s="336" t="s">
        <v>38</v>
      </c>
      <c r="F580" s="336" t="s">
        <v>35</v>
      </c>
      <c r="G580" s="337">
        <v>5.0000000000000001E-3</v>
      </c>
      <c r="H580" s="338">
        <v>0.05</v>
      </c>
      <c r="I580" s="339">
        <v>6678.36</v>
      </c>
      <c r="J580" s="340">
        <v>35.061390000000003</v>
      </c>
      <c r="K580" s="335" t="s">
        <v>1078</v>
      </c>
      <c r="L580" s="335">
        <v>5</v>
      </c>
      <c r="M580" s="335" t="s">
        <v>1083</v>
      </c>
      <c r="N580" s="339">
        <v>15.5</v>
      </c>
      <c r="O580" s="341">
        <v>5.0000000000000001E-3</v>
      </c>
      <c r="P580" s="341" t="s">
        <v>25</v>
      </c>
      <c r="Q580" s="341">
        <v>0</v>
      </c>
      <c r="R580" s="342" t="s">
        <v>25</v>
      </c>
      <c r="S580" s="342" t="s">
        <v>25</v>
      </c>
    </row>
    <row r="581" spans="1:19" ht="15" customHeight="1" x14ac:dyDescent="0.3">
      <c r="A581" s="335" t="s">
        <v>1074</v>
      </c>
      <c r="B581" s="335" t="s">
        <v>26</v>
      </c>
      <c r="C581" s="335" t="s">
        <v>27</v>
      </c>
      <c r="D581" s="335" t="s">
        <v>40</v>
      </c>
      <c r="E581" s="336" t="s">
        <v>41</v>
      </c>
      <c r="F581" s="336" t="s">
        <v>35</v>
      </c>
      <c r="G581" s="337">
        <v>5.0000000000000001E-3</v>
      </c>
      <c r="H581" s="338">
        <v>0.05</v>
      </c>
      <c r="I581" s="339">
        <v>5282.24</v>
      </c>
      <c r="J581" s="340">
        <v>27.731760000000001</v>
      </c>
      <c r="K581" s="335" t="s">
        <v>1078</v>
      </c>
      <c r="L581" s="335">
        <v>6</v>
      </c>
      <c r="M581" s="335" t="s">
        <v>1084</v>
      </c>
      <c r="N581" s="339">
        <v>15.5</v>
      </c>
      <c r="O581" s="341">
        <v>5.0000000000000001E-3</v>
      </c>
      <c r="P581" s="341" t="s">
        <v>25</v>
      </c>
      <c r="Q581" s="341">
        <v>0</v>
      </c>
      <c r="R581" s="342" t="s">
        <v>25</v>
      </c>
      <c r="S581" s="342" t="s">
        <v>25</v>
      </c>
    </row>
    <row r="582" spans="1:19" ht="15" customHeight="1" x14ac:dyDescent="0.3">
      <c r="A582" s="335" t="s">
        <v>1074</v>
      </c>
      <c r="B582" s="335" t="s">
        <v>26</v>
      </c>
      <c r="C582" s="335" t="s">
        <v>27</v>
      </c>
      <c r="D582" s="335" t="s">
        <v>392</v>
      </c>
      <c r="E582" s="336" t="s">
        <v>393</v>
      </c>
      <c r="F582" s="336" t="s">
        <v>35</v>
      </c>
      <c r="G582" s="337">
        <v>0.01</v>
      </c>
      <c r="H582" s="338">
        <v>0.05</v>
      </c>
      <c r="I582" s="339">
        <v>7427.6</v>
      </c>
      <c r="J582" s="340">
        <v>77.989800000000002</v>
      </c>
      <c r="K582" s="335" t="s">
        <v>1078</v>
      </c>
      <c r="L582" s="335">
        <v>7</v>
      </c>
      <c r="M582" s="335" t="s">
        <v>1085</v>
      </c>
      <c r="N582" s="339">
        <v>15.5</v>
      </c>
      <c r="O582" s="341">
        <v>0.01</v>
      </c>
      <c r="P582" s="341" t="s">
        <v>25</v>
      </c>
      <c r="Q582" s="341">
        <v>0</v>
      </c>
      <c r="R582" s="342" t="s">
        <v>25</v>
      </c>
      <c r="S582" s="342" t="s">
        <v>25</v>
      </c>
    </row>
    <row r="583" spans="1:19" ht="15" customHeight="1" x14ac:dyDescent="0.3">
      <c r="A583" s="335" t="s">
        <v>1074</v>
      </c>
      <c r="B583" s="335" t="s">
        <v>26</v>
      </c>
      <c r="C583" s="335" t="s">
        <v>27</v>
      </c>
      <c r="D583" s="335" t="s">
        <v>395</v>
      </c>
      <c r="E583" s="336" t="s">
        <v>396</v>
      </c>
      <c r="F583" s="336" t="s">
        <v>397</v>
      </c>
      <c r="G583" s="337">
        <v>1.2500000000000001E-2</v>
      </c>
      <c r="H583" s="338">
        <v>0.1</v>
      </c>
      <c r="I583" s="339">
        <v>120622.23</v>
      </c>
      <c r="J583" s="340">
        <v>1658.5556624999999</v>
      </c>
      <c r="K583" s="335" t="s">
        <v>1078</v>
      </c>
      <c r="L583" s="335">
        <v>8</v>
      </c>
      <c r="M583" s="335" t="s">
        <v>1086</v>
      </c>
      <c r="N583" s="339">
        <v>15.5</v>
      </c>
      <c r="O583" s="341">
        <v>1.2500000000000001E-2</v>
      </c>
      <c r="P583" s="341" t="s">
        <v>25</v>
      </c>
      <c r="Q583" s="341">
        <v>0</v>
      </c>
      <c r="R583" s="342" t="s">
        <v>25</v>
      </c>
      <c r="S583" s="342" t="s">
        <v>25</v>
      </c>
    </row>
    <row r="584" spans="1:19" ht="15" customHeight="1" x14ac:dyDescent="0.3">
      <c r="A584" s="335" t="s">
        <v>1074</v>
      </c>
      <c r="B584" s="335" t="s">
        <v>56</v>
      </c>
      <c r="C584" s="335" t="s">
        <v>57</v>
      </c>
      <c r="D584" s="343" t="s">
        <v>63</v>
      </c>
      <c r="E584" s="336" t="s">
        <v>64</v>
      </c>
      <c r="F584" s="336" t="s">
        <v>60</v>
      </c>
      <c r="G584" s="337">
        <v>1</v>
      </c>
      <c r="H584" s="338">
        <v>0</v>
      </c>
      <c r="I584" s="339">
        <v>85927.097156571996</v>
      </c>
      <c r="J584" s="340">
        <v>85927.097156571996</v>
      </c>
      <c r="K584" s="335" t="s">
        <v>1087</v>
      </c>
      <c r="L584" s="335">
        <v>1</v>
      </c>
      <c r="M584" s="335" t="s">
        <v>1088</v>
      </c>
      <c r="N584" s="339">
        <v>15.5</v>
      </c>
      <c r="O584" s="341">
        <v>6.4516129032258104E-2</v>
      </c>
      <c r="P584" s="341" t="s">
        <v>25</v>
      </c>
      <c r="Q584" s="341">
        <v>0</v>
      </c>
      <c r="R584" s="342" t="s">
        <v>25</v>
      </c>
      <c r="S584" s="342" t="s">
        <v>25</v>
      </c>
    </row>
    <row r="585" spans="1:19" ht="15" customHeight="1" x14ac:dyDescent="0.3">
      <c r="A585" s="335" t="s">
        <v>1089</v>
      </c>
      <c r="B585" s="335" t="s">
        <v>20</v>
      </c>
      <c r="C585" s="335"/>
      <c r="D585" s="335" t="s">
        <v>372</v>
      </c>
      <c r="E585" s="336" t="s">
        <v>373</v>
      </c>
      <c r="F585" s="336"/>
      <c r="G585" s="337">
        <v>1</v>
      </c>
      <c r="H585" s="338">
        <v>0</v>
      </c>
      <c r="I585" s="339">
        <v>1723.6259595547101</v>
      </c>
      <c r="J585" s="340">
        <v>1723.6259595547101</v>
      </c>
      <c r="K585" s="335" t="s">
        <v>1090</v>
      </c>
      <c r="L585" s="335">
        <v>1</v>
      </c>
      <c r="M585" s="335" t="s">
        <v>1091</v>
      </c>
      <c r="N585" s="339">
        <v>8</v>
      </c>
      <c r="O585" s="341">
        <v>1</v>
      </c>
      <c r="P585" s="341" t="s">
        <v>25</v>
      </c>
      <c r="Q585" s="341">
        <v>0</v>
      </c>
      <c r="R585" s="342" t="s">
        <v>25</v>
      </c>
      <c r="S585" s="342" t="s">
        <v>25</v>
      </c>
    </row>
    <row r="586" spans="1:19" ht="15" customHeight="1" x14ac:dyDescent="0.3">
      <c r="A586" s="335" t="s">
        <v>1089</v>
      </c>
      <c r="B586" s="335" t="s">
        <v>20</v>
      </c>
      <c r="C586" s="335"/>
      <c r="D586" s="335" t="s">
        <v>376</v>
      </c>
      <c r="E586" s="336" t="s">
        <v>377</v>
      </c>
      <c r="F586" s="336"/>
      <c r="G586" s="337">
        <v>1</v>
      </c>
      <c r="H586" s="338">
        <v>0</v>
      </c>
      <c r="I586" s="339">
        <v>200.25307946474501</v>
      </c>
      <c r="J586" s="340">
        <v>200.25307946474501</v>
      </c>
      <c r="K586" s="335" t="s">
        <v>1090</v>
      </c>
      <c r="L586" s="335">
        <v>2</v>
      </c>
      <c r="M586" s="335" t="s">
        <v>1092</v>
      </c>
      <c r="N586" s="339">
        <v>8</v>
      </c>
      <c r="O586" s="341">
        <v>1</v>
      </c>
      <c r="P586" s="341" t="s">
        <v>25</v>
      </c>
      <c r="Q586" s="341">
        <v>0</v>
      </c>
      <c r="R586" s="342" t="s">
        <v>25</v>
      </c>
      <c r="S586" s="342" t="s">
        <v>25</v>
      </c>
    </row>
    <row r="587" spans="1:19" ht="15" customHeight="1" x14ac:dyDescent="0.3">
      <c r="A587" s="335" t="s">
        <v>1089</v>
      </c>
      <c r="B587" s="335" t="s">
        <v>26</v>
      </c>
      <c r="C587" s="335" t="s">
        <v>27</v>
      </c>
      <c r="D587" s="335" t="s">
        <v>28</v>
      </c>
      <c r="E587" s="336" t="s">
        <v>29</v>
      </c>
      <c r="F587" s="336" t="s">
        <v>30</v>
      </c>
      <c r="G587" s="337">
        <v>5.0000000000000001E-3</v>
      </c>
      <c r="H587" s="338">
        <v>0.1</v>
      </c>
      <c r="I587" s="339">
        <v>26907.33</v>
      </c>
      <c r="J587" s="340">
        <v>147.99031500000001</v>
      </c>
      <c r="K587" s="335" t="s">
        <v>1093</v>
      </c>
      <c r="L587" s="335">
        <v>1</v>
      </c>
      <c r="M587" s="335" t="s">
        <v>1094</v>
      </c>
      <c r="N587" s="339">
        <v>8</v>
      </c>
      <c r="O587" s="341">
        <v>5.0000000000000001E-3</v>
      </c>
      <c r="P587" s="341" t="s">
        <v>25</v>
      </c>
      <c r="Q587" s="341">
        <v>0</v>
      </c>
      <c r="R587" s="342" t="s">
        <v>25</v>
      </c>
      <c r="S587" s="342" t="s">
        <v>25</v>
      </c>
    </row>
    <row r="588" spans="1:19" ht="15" customHeight="1" x14ac:dyDescent="0.3">
      <c r="A588" s="335" t="s">
        <v>1089</v>
      </c>
      <c r="B588" s="335" t="s">
        <v>26</v>
      </c>
      <c r="C588" s="335" t="s">
        <v>27</v>
      </c>
      <c r="D588" s="335" t="s">
        <v>383</v>
      </c>
      <c r="E588" s="336" t="s">
        <v>384</v>
      </c>
      <c r="F588" s="336" t="s">
        <v>35</v>
      </c>
      <c r="G588" s="337">
        <v>0.02</v>
      </c>
      <c r="H588" s="338">
        <v>0.05</v>
      </c>
      <c r="I588" s="339">
        <v>5661.4</v>
      </c>
      <c r="J588" s="340">
        <v>118.88939999999999</v>
      </c>
      <c r="K588" s="335" t="s">
        <v>1093</v>
      </c>
      <c r="L588" s="335">
        <v>2</v>
      </c>
      <c r="M588" s="335" t="s">
        <v>1095</v>
      </c>
      <c r="N588" s="339">
        <v>8</v>
      </c>
      <c r="O588" s="341">
        <v>0.02</v>
      </c>
      <c r="P588" s="341" t="s">
        <v>25</v>
      </c>
      <c r="Q588" s="341">
        <v>0</v>
      </c>
      <c r="R588" s="342" t="s">
        <v>25</v>
      </c>
      <c r="S588" s="342" t="s">
        <v>25</v>
      </c>
    </row>
    <row r="589" spans="1:19" ht="15" customHeight="1" x14ac:dyDescent="0.3">
      <c r="A589" s="335" t="s">
        <v>1089</v>
      </c>
      <c r="B589" s="335" t="s">
        <v>26</v>
      </c>
      <c r="C589" s="335" t="s">
        <v>27</v>
      </c>
      <c r="D589" s="335" t="s">
        <v>386</v>
      </c>
      <c r="E589" s="336" t="s">
        <v>387</v>
      </c>
      <c r="F589" s="336" t="s">
        <v>35</v>
      </c>
      <c r="G589" s="337">
        <v>0.05</v>
      </c>
      <c r="H589" s="338">
        <v>0.1</v>
      </c>
      <c r="I589" s="339">
        <v>3293.01</v>
      </c>
      <c r="J589" s="340">
        <v>181.11555000000001</v>
      </c>
      <c r="K589" s="335" t="s">
        <v>1093</v>
      </c>
      <c r="L589" s="335">
        <v>3</v>
      </c>
      <c r="M589" s="335" t="s">
        <v>1096</v>
      </c>
      <c r="N589" s="339">
        <v>8</v>
      </c>
      <c r="O589" s="341">
        <v>0.05</v>
      </c>
      <c r="P589" s="341" t="s">
        <v>25</v>
      </c>
      <c r="Q589" s="341">
        <v>0</v>
      </c>
      <c r="R589" s="342" t="s">
        <v>25</v>
      </c>
      <c r="S589" s="342" t="s">
        <v>25</v>
      </c>
    </row>
    <row r="590" spans="1:19" ht="15" customHeight="1" x14ac:dyDescent="0.3">
      <c r="A590" s="335" t="s">
        <v>1089</v>
      </c>
      <c r="B590" s="335" t="s">
        <v>26</v>
      </c>
      <c r="C590" s="335" t="s">
        <v>27</v>
      </c>
      <c r="D590" s="335" t="s">
        <v>33</v>
      </c>
      <c r="E590" s="336" t="s">
        <v>34</v>
      </c>
      <c r="F590" s="336" t="s">
        <v>35</v>
      </c>
      <c r="G590" s="337">
        <v>0.01</v>
      </c>
      <c r="H590" s="338">
        <v>0.05</v>
      </c>
      <c r="I590" s="339">
        <v>735.06</v>
      </c>
      <c r="J590" s="340">
        <v>7.7181300000000004</v>
      </c>
      <c r="K590" s="335" t="s">
        <v>1093</v>
      </c>
      <c r="L590" s="335">
        <v>4</v>
      </c>
      <c r="M590" s="335" t="s">
        <v>1097</v>
      </c>
      <c r="N590" s="339">
        <v>8</v>
      </c>
      <c r="O590" s="341">
        <v>0.01</v>
      </c>
      <c r="P590" s="341" t="s">
        <v>25</v>
      </c>
      <c r="Q590" s="341">
        <v>0</v>
      </c>
      <c r="R590" s="342" t="s">
        <v>25</v>
      </c>
      <c r="S590" s="342" t="s">
        <v>25</v>
      </c>
    </row>
    <row r="591" spans="1:19" ht="15" customHeight="1" x14ac:dyDescent="0.3">
      <c r="A591" s="335" t="s">
        <v>1089</v>
      </c>
      <c r="B591" s="335" t="s">
        <v>26</v>
      </c>
      <c r="C591" s="335" t="s">
        <v>27</v>
      </c>
      <c r="D591" s="335" t="s">
        <v>37</v>
      </c>
      <c r="E591" s="336" t="s">
        <v>38</v>
      </c>
      <c r="F591" s="336" t="s">
        <v>35</v>
      </c>
      <c r="G591" s="337">
        <v>0.01</v>
      </c>
      <c r="H591" s="338">
        <v>0.05</v>
      </c>
      <c r="I591" s="339">
        <v>6678.36</v>
      </c>
      <c r="J591" s="340">
        <v>70.122780000000006</v>
      </c>
      <c r="K591" s="335" t="s">
        <v>1093</v>
      </c>
      <c r="L591" s="335">
        <v>5</v>
      </c>
      <c r="M591" s="335" t="s">
        <v>1098</v>
      </c>
      <c r="N591" s="339">
        <v>8</v>
      </c>
      <c r="O591" s="341">
        <v>0.01</v>
      </c>
      <c r="P591" s="341" t="s">
        <v>25</v>
      </c>
      <c r="Q591" s="341">
        <v>0</v>
      </c>
      <c r="R591" s="342" t="s">
        <v>25</v>
      </c>
      <c r="S591" s="342" t="s">
        <v>25</v>
      </c>
    </row>
    <row r="592" spans="1:19" ht="15" customHeight="1" x14ac:dyDescent="0.3">
      <c r="A592" s="335" t="s">
        <v>1089</v>
      </c>
      <c r="B592" s="335" t="s">
        <v>26</v>
      </c>
      <c r="C592" s="335" t="s">
        <v>27</v>
      </c>
      <c r="D592" s="335" t="s">
        <v>40</v>
      </c>
      <c r="E592" s="336" t="s">
        <v>41</v>
      </c>
      <c r="F592" s="336" t="s">
        <v>35</v>
      </c>
      <c r="G592" s="337">
        <v>0.01</v>
      </c>
      <c r="H592" s="338">
        <v>0.05</v>
      </c>
      <c r="I592" s="339">
        <v>5282.24</v>
      </c>
      <c r="J592" s="340">
        <v>55.463520000000003</v>
      </c>
      <c r="K592" s="335" t="s">
        <v>1093</v>
      </c>
      <c r="L592" s="335">
        <v>6</v>
      </c>
      <c r="M592" s="335" t="s">
        <v>1099</v>
      </c>
      <c r="N592" s="339">
        <v>8</v>
      </c>
      <c r="O592" s="341">
        <v>0.01</v>
      </c>
      <c r="P592" s="341" t="s">
        <v>25</v>
      </c>
      <c r="Q592" s="341">
        <v>0</v>
      </c>
      <c r="R592" s="342" t="s">
        <v>25</v>
      </c>
      <c r="S592" s="342" t="s">
        <v>25</v>
      </c>
    </row>
    <row r="593" spans="1:19" ht="15" customHeight="1" x14ac:dyDescent="0.3">
      <c r="A593" s="335" t="s">
        <v>1089</v>
      </c>
      <c r="B593" s="335" t="s">
        <v>26</v>
      </c>
      <c r="C593" s="335" t="s">
        <v>27</v>
      </c>
      <c r="D593" s="335" t="s">
        <v>392</v>
      </c>
      <c r="E593" s="336" t="s">
        <v>393</v>
      </c>
      <c r="F593" s="336" t="s">
        <v>35</v>
      </c>
      <c r="G593" s="337">
        <v>0.01</v>
      </c>
      <c r="H593" s="338">
        <v>0.05</v>
      </c>
      <c r="I593" s="339">
        <v>7427.6</v>
      </c>
      <c r="J593" s="340">
        <v>77.989800000000002</v>
      </c>
      <c r="K593" s="335" t="s">
        <v>1093</v>
      </c>
      <c r="L593" s="335">
        <v>7</v>
      </c>
      <c r="M593" s="335" t="s">
        <v>1100</v>
      </c>
      <c r="N593" s="339">
        <v>8</v>
      </c>
      <c r="O593" s="341">
        <v>0.01</v>
      </c>
      <c r="P593" s="341" t="s">
        <v>25</v>
      </c>
      <c r="Q593" s="341">
        <v>0</v>
      </c>
      <c r="R593" s="342" t="s">
        <v>25</v>
      </c>
      <c r="S593" s="342" t="s">
        <v>25</v>
      </c>
    </row>
    <row r="594" spans="1:19" ht="15" customHeight="1" x14ac:dyDescent="0.3">
      <c r="A594" s="335" t="s">
        <v>1089</v>
      </c>
      <c r="B594" s="335" t="s">
        <v>26</v>
      </c>
      <c r="C594" s="335" t="s">
        <v>27</v>
      </c>
      <c r="D594" s="335" t="s">
        <v>1101</v>
      </c>
      <c r="E594" s="336" t="s">
        <v>1102</v>
      </c>
      <c r="F594" s="336" t="s">
        <v>30</v>
      </c>
      <c r="G594" s="337">
        <v>6.25E-2</v>
      </c>
      <c r="H594" s="338">
        <v>0.1</v>
      </c>
      <c r="I594" s="339">
        <v>28011.57</v>
      </c>
      <c r="J594" s="340">
        <v>1925.7954374999999</v>
      </c>
      <c r="K594" s="335" t="s">
        <v>1093</v>
      </c>
      <c r="L594" s="335">
        <v>8</v>
      </c>
      <c r="M594" s="335" t="s">
        <v>1103</v>
      </c>
      <c r="N594" s="339">
        <v>8</v>
      </c>
      <c r="O594" s="341">
        <v>6.25E-2</v>
      </c>
      <c r="P594" s="341" t="s">
        <v>25</v>
      </c>
      <c r="Q594" s="341">
        <v>0</v>
      </c>
      <c r="R594" s="342" t="s">
        <v>25</v>
      </c>
      <c r="S594" s="342" t="s">
        <v>25</v>
      </c>
    </row>
    <row r="595" spans="1:19" ht="15" customHeight="1" x14ac:dyDescent="0.3">
      <c r="A595" s="335" t="s">
        <v>1089</v>
      </c>
      <c r="B595" s="335" t="s">
        <v>56</v>
      </c>
      <c r="C595" s="335" t="s">
        <v>57</v>
      </c>
      <c r="D595" s="343" t="s">
        <v>63</v>
      </c>
      <c r="E595" s="336" t="s">
        <v>64</v>
      </c>
      <c r="F595" s="336" t="s">
        <v>60</v>
      </c>
      <c r="G595" s="337">
        <v>1</v>
      </c>
      <c r="H595" s="338">
        <v>0</v>
      </c>
      <c r="I595" s="339">
        <v>85927.097156571996</v>
      </c>
      <c r="J595" s="340">
        <v>85927.097156571996</v>
      </c>
      <c r="K595" s="335" t="s">
        <v>1104</v>
      </c>
      <c r="L595" s="335">
        <v>1</v>
      </c>
      <c r="M595" s="335" t="s">
        <v>1105</v>
      </c>
      <c r="N595" s="339">
        <v>8</v>
      </c>
      <c r="O595" s="341">
        <v>0.125</v>
      </c>
      <c r="P595" s="341" t="s">
        <v>25</v>
      </c>
      <c r="Q595" s="341">
        <v>0</v>
      </c>
      <c r="R595" s="342" t="s">
        <v>25</v>
      </c>
      <c r="S595" s="342" t="s">
        <v>25</v>
      </c>
    </row>
    <row r="596" spans="1:19" ht="15" customHeight="1" x14ac:dyDescent="0.3">
      <c r="A596" s="335" t="s">
        <v>1106</v>
      </c>
      <c r="B596" s="335" t="s">
        <v>20</v>
      </c>
      <c r="C596" s="335"/>
      <c r="D596" s="335" t="s">
        <v>67</v>
      </c>
      <c r="E596" s="336" t="s">
        <v>68</v>
      </c>
      <c r="F596" s="336"/>
      <c r="G596" s="337">
        <v>0.5</v>
      </c>
      <c r="H596" s="338">
        <v>0</v>
      </c>
      <c r="I596" s="339">
        <v>571.17949098076099</v>
      </c>
      <c r="J596" s="340">
        <v>285.58974549038101</v>
      </c>
      <c r="K596" s="335" t="s">
        <v>1107</v>
      </c>
      <c r="L596" s="335">
        <v>1</v>
      </c>
      <c r="M596" s="335" t="s">
        <v>1108</v>
      </c>
      <c r="N596" s="339">
        <v>20</v>
      </c>
      <c r="O596" s="341">
        <v>0.5</v>
      </c>
      <c r="P596" s="341" t="s">
        <v>25</v>
      </c>
      <c r="Q596" s="341">
        <v>0</v>
      </c>
      <c r="R596" s="342" t="s">
        <v>25</v>
      </c>
      <c r="S596" s="342" t="s">
        <v>25</v>
      </c>
    </row>
    <row r="597" spans="1:19" ht="15" customHeight="1" x14ac:dyDescent="0.3">
      <c r="A597" s="335" t="s">
        <v>1106</v>
      </c>
      <c r="B597" s="335" t="s">
        <v>20</v>
      </c>
      <c r="C597" s="335"/>
      <c r="D597" s="335" t="s">
        <v>372</v>
      </c>
      <c r="E597" s="336" t="s">
        <v>373</v>
      </c>
      <c r="F597" s="336"/>
      <c r="G597" s="337">
        <v>1</v>
      </c>
      <c r="H597" s="338">
        <v>0</v>
      </c>
      <c r="I597" s="339">
        <v>1723.6259595547101</v>
      </c>
      <c r="J597" s="340">
        <v>1723.6259595547101</v>
      </c>
      <c r="K597" s="335" t="s">
        <v>1107</v>
      </c>
      <c r="L597" s="335">
        <v>2</v>
      </c>
      <c r="M597" s="335" t="s">
        <v>1109</v>
      </c>
      <c r="N597" s="339">
        <v>20</v>
      </c>
      <c r="O597" s="341">
        <v>1</v>
      </c>
      <c r="P597" s="341" t="s">
        <v>25</v>
      </c>
      <c r="Q597" s="341">
        <v>0</v>
      </c>
      <c r="R597" s="342" t="s">
        <v>25</v>
      </c>
      <c r="S597" s="342" t="s">
        <v>25</v>
      </c>
    </row>
    <row r="598" spans="1:19" ht="15" customHeight="1" x14ac:dyDescent="0.3">
      <c r="A598" s="335" t="s">
        <v>1106</v>
      </c>
      <c r="B598" s="335" t="s">
        <v>20</v>
      </c>
      <c r="C598" s="335"/>
      <c r="D598" s="335" t="s">
        <v>376</v>
      </c>
      <c r="E598" s="336" t="s">
        <v>377</v>
      </c>
      <c r="F598" s="336"/>
      <c r="G598" s="337">
        <v>1</v>
      </c>
      <c r="H598" s="338">
        <v>0</v>
      </c>
      <c r="I598" s="339">
        <v>200.25307946474501</v>
      </c>
      <c r="J598" s="340">
        <v>200.25307946474501</v>
      </c>
      <c r="K598" s="335" t="s">
        <v>1107</v>
      </c>
      <c r="L598" s="335">
        <v>3</v>
      </c>
      <c r="M598" s="335" t="s">
        <v>1110</v>
      </c>
      <c r="N598" s="339">
        <v>20</v>
      </c>
      <c r="O598" s="341">
        <v>1</v>
      </c>
      <c r="P598" s="341" t="s">
        <v>25</v>
      </c>
      <c r="Q598" s="341">
        <v>0</v>
      </c>
      <c r="R598" s="342" t="s">
        <v>25</v>
      </c>
      <c r="S598" s="342" t="s">
        <v>25</v>
      </c>
    </row>
    <row r="599" spans="1:19" ht="15" customHeight="1" x14ac:dyDescent="0.3">
      <c r="A599" s="335" t="s">
        <v>1106</v>
      </c>
      <c r="B599" s="335" t="s">
        <v>20</v>
      </c>
      <c r="C599" s="335"/>
      <c r="D599" s="335" t="s">
        <v>1111</v>
      </c>
      <c r="E599" s="336" t="s">
        <v>1112</v>
      </c>
      <c r="F599" s="336"/>
      <c r="G599" s="337">
        <v>0.75</v>
      </c>
      <c r="H599" s="338">
        <v>0</v>
      </c>
      <c r="I599" s="339">
        <v>1899.1826421923399</v>
      </c>
      <c r="J599" s="340">
        <v>1424.38698164425</v>
      </c>
      <c r="K599" s="335" t="s">
        <v>1107</v>
      </c>
      <c r="L599" s="335">
        <v>4</v>
      </c>
      <c r="M599" s="335" t="s">
        <v>1113</v>
      </c>
      <c r="N599" s="339">
        <v>20</v>
      </c>
      <c r="O599" s="341">
        <v>0.75</v>
      </c>
      <c r="P599" s="341" t="s">
        <v>25</v>
      </c>
      <c r="Q599" s="341">
        <v>0</v>
      </c>
      <c r="R599" s="342" t="s">
        <v>25</v>
      </c>
      <c r="S599" s="342" t="s">
        <v>25</v>
      </c>
    </row>
    <row r="600" spans="1:19" ht="15" customHeight="1" x14ac:dyDescent="0.3">
      <c r="A600" s="335" t="s">
        <v>1106</v>
      </c>
      <c r="B600" s="335" t="s">
        <v>26</v>
      </c>
      <c r="C600" s="335" t="s">
        <v>27</v>
      </c>
      <c r="D600" s="335" t="s">
        <v>386</v>
      </c>
      <c r="E600" s="336" t="s">
        <v>387</v>
      </c>
      <c r="F600" s="336" t="s">
        <v>35</v>
      </c>
      <c r="G600" s="337">
        <v>0.01</v>
      </c>
      <c r="H600" s="338">
        <v>0.05</v>
      </c>
      <c r="I600" s="339">
        <v>3293.01</v>
      </c>
      <c r="J600" s="340">
        <v>34.576605000000001</v>
      </c>
      <c r="K600" s="335" t="s">
        <v>1114</v>
      </c>
      <c r="L600" s="335">
        <v>1</v>
      </c>
      <c r="M600" s="335" t="s">
        <v>1115</v>
      </c>
      <c r="N600" s="339">
        <v>20</v>
      </c>
      <c r="O600" s="341">
        <v>0.01</v>
      </c>
      <c r="P600" s="341" t="s">
        <v>25</v>
      </c>
      <c r="Q600" s="341">
        <v>0</v>
      </c>
      <c r="R600" s="342" t="s">
        <v>25</v>
      </c>
      <c r="S600" s="342" t="s">
        <v>25</v>
      </c>
    </row>
    <row r="601" spans="1:19" ht="15" customHeight="1" x14ac:dyDescent="0.3">
      <c r="A601" s="335" t="s">
        <v>1106</v>
      </c>
      <c r="B601" s="335" t="s">
        <v>26</v>
      </c>
      <c r="C601" s="335" t="s">
        <v>27</v>
      </c>
      <c r="D601" s="335" t="s">
        <v>33</v>
      </c>
      <c r="E601" s="336" t="s">
        <v>34</v>
      </c>
      <c r="F601" s="336" t="s">
        <v>35</v>
      </c>
      <c r="G601" s="337">
        <v>5.0000000000000001E-3</v>
      </c>
      <c r="H601" s="338">
        <v>0.05</v>
      </c>
      <c r="I601" s="339">
        <v>735.06</v>
      </c>
      <c r="J601" s="340">
        <v>3.8590650000000002</v>
      </c>
      <c r="K601" s="335" t="s">
        <v>1114</v>
      </c>
      <c r="L601" s="335">
        <v>2</v>
      </c>
      <c r="M601" s="335" t="s">
        <v>1116</v>
      </c>
      <c r="N601" s="339">
        <v>20</v>
      </c>
      <c r="O601" s="341">
        <v>5.0000000000000001E-3</v>
      </c>
      <c r="P601" s="341" t="s">
        <v>25</v>
      </c>
      <c r="Q601" s="341">
        <v>0</v>
      </c>
      <c r="R601" s="342" t="s">
        <v>25</v>
      </c>
      <c r="S601" s="342" t="s">
        <v>25</v>
      </c>
    </row>
    <row r="602" spans="1:19" ht="15" customHeight="1" x14ac:dyDescent="0.3">
      <c r="A602" s="335" t="s">
        <v>1106</v>
      </c>
      <c r="B602" s="335" t="s">
        <v>26</v>
      </c>
      <c r="C602" s="335" t="s">
        <v>27</v>
      </c>
      <c r="D602" s="335" t="s">
        <v>37</v>
      </c>
      <c r="E602" s="336" t="s">
        <v>38</v>
      </c>
      <c r="F602" s="336" t="s">
        <v>35</v>
      </c>
      <c r="G602" s="337">
        <v>5.0000000000000001E-3</v>
      </c>
      <c r="H602" s="338">
        <v>0.05</v>
      </c>
      <c r="I602" s="339">
        <v>6678.36</v>
      </c>
      <c r="J602" s="340">
        <v>35.061390000000003</v>
      </c>
      <c r="K602" s="335" t="s">
        <v>1114</v>
      </c>
      <c r="L602" s="335">
        <v>3</v>
      </c>
      <c r="M602" s="335" t="s">
        <v>1117</v>
      </c>
      <c r="N602" s="339">
        <v>20</v>
      </c>
      <c r="O602" s="341">
        <v>5.0000000000000001E-3</v>
      </c>
      <c r="P602" s="341" t="s">
        <v>25</v>
      </c>
      <c r="Q602" s="341">
        <v>0</v>
      </c>
      <c r="R602" s="342" t="s">
        <v>25</v>
      </c>
      <c r="S602" s="342" t="s">
        <v>25</v>
      </c>
    </row>
    <row r="603" spans="1:19" ht="15" customHeight="1" x14ac:dyDescent="0.3">
      <c r="A603" s="335" t="s">
        <v>1106</v>
      </c>
      <c r="B603" s="335" t="s">
        <v>26</v>
      </c>
      <c r="C603" s="335" t="s">
        <v>27</v>
      </c>
      <c r="D603" s="335" t="s">
        <v>1118</v>
      </c>
      <c r="E603" s="336" t="s">
        <v>1119</v>
      </c>
      <c r="F603" s="336" t="s">
        <v>35</v>
      </c>
      <c r="G603" s="337">
        <v>0.01</v>
      </c>
      <c r="H603" s="338">
        <v>0.1</v>
      </c>
      <c r="I603" s="339">
        <v>12575.2066115703</v>
      </c>
      <c r="J603" s="340">
        <v>138.327272727273</v>
      </c>
      <c r="K603" s="335" t="s">
        <v>1114</v>
      </c>
      <c r="L603" s="335">
        <v>4</v>
      </c>
      <c r="M603" s="335" t="s">
        <v>1120</v>
      </c>
      <c r="N603" s="339">
        <v>20</v>
      </c>
      <c r="O603" s="341">
        <v>0.01</v>
      </c>
      <c r="P603" s="341" t="s">
        <v>25</v>
      </c>
      <c r="Q603" s="341">
        <v>0</v>
      </c>
      <c r="R603" s="342" t="s">
        <v>25</v>
      </c>
      <c r="S603" s="342" t="s">
        <v>25</v>
      </c>
    </row>
    <row r="604" spans="1:19" ht="15" customHeight="1" x14ac:dyDescent="0.3">
      <c r="A604" s="335" t="s">
        <v>1106</v>
      </c>
      <c r="B604" s="335" t="s">
        <v>26</v>
      </c>
      <c r="C604" s="335" t="s">
        <v>27</v>
      </c>
      <c r="D604" s="335" t="s">
        <v>1121</v>
      </c>
      <c r="E604" s="336" t="s">
        <v>1122</v>
      </c>
      <c r="F604" s="336" t="s">
        <v>35</v>
      </c>
      <c r="G604" s="337">
        <v>7.4099999999999999E-2</v>
      </c>
      <c r="H604" s="338">
        <v>0.1</v>
      </c>
      <c r="I604" s="339">
        <v>57033.884297520701</v>
      </c>
      <c r="J604" s="340">
        <v>4648.8319090909099</v>
      </c>
      <c r="K604" s="335" t="s">
        <v>1114</v>
      </c>
      <c r="L604" s="335">
        <v>5</v>
      </c>
      <c r="M604" s="335" t="s">
        <v>1123</v>
      </c>
      <c r="N604" s="339">
        <v>20</v>
      </c>
      <c r="O604" s="341">
        <v>7.4099999999999999E-2</v>
      </c>
      <c r="P604" s="341" t="s">
        <v>25</v>
      </c>
      <c r="Q604" s="341">
        <v>0</v>
      </c>
      <c r="R604" s="342" t="s">
        <v>25</v>
      </c>
      <c r="S604" s="342" t="s">
        <v>25</v>
      </c>
    </row>
    <row r="605" spans="1:19" ht="15" customHeight="1" x14ac:dyDescent="0.3">
      <c r="A605" s="335" t="s">
        <v>1106</v>
      </c>
      <c r="B605" s="335" t="s">
        <v>26</v>
      </c>
      <c r="C605" s="335" t="s">
        <v>27</v>
      </c>
      <c r="D605" s="335" t="s">
        <v>1124</v>
      </c>
      <c r="E605" s="336" t="s">
        <v>1125</v>
      </c>
      <c r="F605" s="336" t="s">
        <v>35</v>
      </c>
      <c r="G605" s="337">
        <v>1.11E-2</v>
      </c>
      <c r="H605" s="338">
        <v>0.1</v>
      </c>
      <c r="I605" s="339">
        <v>93388.429752066106</v>
      </c>
      <c r="J605" s="340">
        <v>1140.27272727273</v>
      </c>
      <c r="K605" s="335" t="s">
        <v>1114</v>
      </c>
      <c r="L605" s="335">
        <v>6</v>
      </c>
      <c r="M605" s="335" t="s">
        <v>1126</v>
      </c>
      <c r="N605" s="339">
        <v>20</v>
      </c>
      <c r="O605" s="341">
        <v>1.11E-2</v>
      </c>
      <c r="P605" s="341" t="s">
        <v>25</v>
      </c>
      <c r="Q605" s="341">
        <v>0</v>
      </c>
      <c r="R605" s="342" t="s">
        <v>25</v>
      </c>
      <c r="S605" s="342" t="s">
        <v>25</v>
      </c>
    </row>
    <row r="606" spans="1:19" ht="15" customHeight="1" x14ac:dyDescent="0.3">
      <c r="A606" s="335" t="s">
        <v>1106</v>
      </c>
      <c r="B606" s="335" t="s">
        <v>56</v>
      </c>
      <c r="C606" s="335" t="s">
        <v>57</v>
      </c>
      <c r="D606" s="343" t="s">
        <v>58</v>
      </c>
      <c r="E606" s="336" t="s">
        <v>59</v>
      </c>
      <c r="F606" s="336" t="s">
        <v>60</v>
      </c>
      <c r="G606" s="337">
        <v>0.5</v>
      </c>
      <c r="H606" s="338">
        <v>0</v>
      </c>
      <c r="I606" s="339">
        <v>60860.580776572002</v>
      </c>
      <c r="J606" s="340">
        <v>30430.290388286001</v>
      </c>
      <c r="K606" s="335" t="s">
        <v>1127</v>
      </c>
      <c r="L606" s="335">
        <v>1</v>
      </c>
      <c r="M606" s="335" t="s">
        <v>1128</v>
      </c>
      <c r="N606" s="339">
        <v>20</v>
      </c>
      <c r="O606" s="341">
        <v>2.5000000000000001E-2</v>
      </c>
      <c r="P606" s="341" t="s">
        <v>25</v>
      </c>
      <c r="Q606" s="341">
        <v>0</v>
      </c>
      <c r="R606" s="342" t="s">
        <v>25</v>
      </c>
      <c r="S606" s="342" t="s">
        <v>25</v>
      </c>
    </row>
    <row r="607" spans="1:19" ht="15" customHeight="1" x14ac:dyDescent="0.3">
      <c r="A607" s="335" t="s">
        <v>1106</v>
      </c>
      <c r="B607" s="335" t="s">
        <v>56</v>
      </c>
      <c r="C607" s="335" t="s">
        <v>57</v>
      </c>
      <c r="D607" s="343" t="s">
        <v>413</v>
      </c>
      <c r="E607" s="336" t="s">
        <v>414</v>
      </c>
      <c r="F607" s="336" t="s">
        <v>60</v>
      </c>
      <c r="G607" s="337">
        <v>1</v>
      </c>
      <c r="H607" s="338">
        <v>0</v>
      </c>
      <c r="I607" s="339">
        <v>65493.071636572</v>
      </c>
      <c r="J607" s="340">
        <v>65493.071636572</v>
      </c>
      <c r="K607" s="335" t="s">
        <v>1127</v>
      </c>
      <c r="L607" s="335">
        <v>2</v>
      </c>
      <c r="M607" s="335" t="s">
        <v>1129</v>
      </c>
      <c r="N607" s="339">
        <v>20</v>
      </c>
      <c r="O607" s="341">
        <v>0.05</v>
      </c>
      <c r="P607" s="341" t="s">
        <v>25</v>
      </c>
      <c r="Q607" s="341">
        <v>0</v>
      </c>
      <c r="R607" s="342" t="s">
        <v>25</v>
      </c>
      <c r="S607" s="342" t="s">
        <v>25</v>
      </c>
    </row>
    <row r="608" spans="1:19" ht="15" customHeight="1" x14ac:dyDescent="0.3">
      <c r="A608" s="335" t="s">
        <v>1106</v>
      </c>
      <c r="B608" s="335" t="s">
        <v>56</v>
      </c>
      <c r="C608" s="335" t="s">
        <v>57</v>
      </c>
      <c r="D608" s="343" t="s">
        <v>63</v>
      </c>
      <c r="E608" s="336" t="s">
        <v>64</v>
      </c>
      <c r="F608" s="336" t="s">
        <v>60</v>
      </c>
      <c r="G608" s="337">
        <v>1.5</v>
      </c>
      <c r="H608" s="338">
        <v>0</v>
      </c>
      <c r="I608" s="339">
        <v>85927.097156571996</v>
      </c>
      <c r="J608" s="340">
        <v>128890.645734858</v>
      </c>
      <c r="K608" s="335" t="s">
        <v>1127</v>
      </c>
      <c r="L608" s="335">
        <v>3</v>
      </c>
      <c r="M608" s="335" t="s">
        <v>1130</v>
      </c>
      <c r="N608" s="339">
        <v>20</v>
      </c>
      <c r="O608" s="341">
        <v>7.4999999999999997E-2</v>
      </c>
      <c r="P608" s="341" t="s">
        <v>25</v>
      </c>
      <c r="Q608" s="341">
        <v>0</v>
      </c>
      <c r="R608" s="342" t="s">
        <v>25</v>
      </c>
      <c r="S608" s="342" t="s">
        <v>25</v>
      </c>
    </row>
    <row r="609" spans="1:19" ht="15" customHeight="1" x14ac:dyDescent="0.3">
      <c r="A609" s="335" t="s">
        <v>1131</v>
      </c>
      <c r="B609" s="335" t="s">
        <v>20</v>
      </c>
      <c r="C609" s="335"/>
      <c r="D609" s="335" t="s">
        <v>372</v>
      </c>
      <c r="E609" s="336" t="s">
        <v>373</v>
      </c>
      <c r="F609" s="336"/>
      <c r="G609" s="337">
        <v>2</v>
      </c>
      <c r="H609" s="338">
        <v>0</v>
      </c>
      <c r="I609" s="339">
        <v>1723.6259595547101</v>
      </c>
      <c r="J609" s="340">
        <v>3447.2519191094202</v>
      </c>
      <c r="K609" s="335" t="s">
        <v>1132</v>
      </c>
      <c r="L609" s="335">
        <v>1</v>
      </c>
      <c r="M609" s="335" t="s">
        <v>1133</v>
      </c>
      <c r="N609" s="339">
        <v>11</v>
      </c>
      <c r="O609" s="341">
        <v>2</v>
      </c>
      <c r="P609" s="341" t="s">
        <v>25</v>
      </c>
      <c r="Q609" s="341">
        <v>0</v>
      </c>
      <c r="R609" s="342" t="s">
        <v>25</v>
      </c>
      <c r="S609" s="342" t="s">
        <v>25</v>
      </c>
    </row>
    <row r="610" spans="1:19" ht="15" customHeight="1" x14ac:dyDescent="0.3">
      <c r="A610" s="335" t="s">
        <v>1131</v>
      </c>
      <c r="B610" s="335" t="s">
        <v>20</v>
      </c>
      <c r="C610" s="335"/>
      <c r="D610" s="335" t="s">
        <v>376</v>
      </c>
      <c r="E610" s="336" t="s">
        <v>377</v>
      </c>
      <c r="F610" s="336"/>
      <c r="G610" s="337">
        <v>1</v>
      </c>
      <c r="H610" s="338">
        <v>0</v>
      </c>
      <c r="I610" s="339">
        <v>200.25307946474501</v>
      </c>
      <c r="J610" s="340">
        <v>200.25307946474501</v>
      </c>
      <c r="K610" s="335" t="s">
        <v>1132</v>
      </c>
      <c r="L610" s="335">
        <v>2</v>
      </c>
      <c r="M610" s="335" t="s">
        <v>1134</v>
      </c>
      <c r="N610" s="339">
        <v>11</v>
      </c>
      <c r="O610" s="341">
        <v>1</v>
      </c>
      <c r="P610" s="341" t="s">
        <v>25</v>
      </c>
      <c r="Q610" s="341">
        <v>0</v>
      </c>
      <c r="R610" s="342" t="s">
        <v>25</v>
      </c>
      <c r="S610" s="342" t="s">
        <v>25</v>
      </c>
    </row>
    <row r="611" spans="1:19" ht="15" customHeight="1" x14ac:dyDescent="0.3">
      <c r="A611" s="335" t="s">
        <v>1131</v>
      </c>
      <c r="B611" s="335" t="s">
        <v>26</v>
      </c>
      <c r="C611" s="335" t="s">
        <v>27</v>
      </c>
      <c r="D611" s="335" t="s">
        <v>379</v>
      </c>
      <c r="E611" s="336" t="s">
        <v>380</v>
      </c>
      <c r="F611" s="336" t="s">
        <v>30</v>
      </c>
      <c r="G611" s="337">
        <v>4.0000000000000001E-3</v>
      </c>
      <c r="H611" s="338">
        <v>0.05</v>
      </c>
      <c r="I611" s="339">
        <v>30467.49</v>
      </c>
      <c r="J611" s="340">
        <v>127.963458</v>
      </c>
      <c r="K611" s="335" t="s">
        <v>1135</v>
      </c>
      <c r="L611" s="335">
        <v>1</v>
      </c>
      <c r="M611" s="335" t="s">
        <v>1136</v>
      </c>
      <c r="N611" s="339">
        <v>11</v>
      </c>
      <c r="O611" s="341">
        <v>4.0000000000000001E-3</v>
      </c>
      <c r="P611" s="341" t="s">
        <v>25</v>
      </c>
      <c r="Q611" s="341">
        <v>0</v>
      </c>
      <c r="R611" s="342" t="s">
        <v>25</v>
      </c>
      <c r="S611" s="342" t="s">
        <v>25</v>
      </c>
    </row>
    <row r="612" spans="1:19" ht="15" customHeight="1" x14ac:dyDescent="0.3">
      <c r="A612" s="335" t="s">
        <v>1131</v>
      </c>
      <c r="B612" s="335" t="s">
        <v>26</v>
      </c>
      <c r="C612" s="335" t="s">
        <v>27</v>
      </c>
      <c r="D612" s="335" t="s">
        <v>383</v>
      </c>
      <c r="E612" s="336" t="s">
        <v>384</v>
      </c>
      <c r="F612" s="336" t="s">
        <v>35</v>
      </c>
      <c r="G612" s="337">
        <v>0.05</v>
      </c>
      <c r="H612" s="338">
        <v>0.05</v>
      </c>
      <c r="I612" s="339">
        <v>5661.4</v>
      </c>
      <c r="J612" s="340">
        <v>297.2235</v>
      </c>
      <c r="K612" s="335" t="s">
        <v>1135</v>
      </c>
      <c r="L612" s="335">
        <v>2</v>
      </c>
      <c r="M612" s="335" t="s">
        <v>1137</v>
      </c>
      <c r="N612" s="339">
        <v>11</v>
      </c>
      <c r="O612" s="341">
        <v>0.05</v>
      </c>
      <c r="P612" s="341" t="s">
        <v>25</v>
      </c>
      <c r="Q612" s="341">
        <v>0</v>
      </c>
      <c r="R612" s="342" t="s">
        <v>25</v>
      </c>
      <c r="S612" s="342" t="s">
        <v>25</v>
      </c>
    </row>
    <row r="613" spans="1:19" ht="15" customHeight="1" x14ac:dyDescent="0.3">
      <c r="A613" s="335" t="s">
        <v>1131</v>
      </c>
      <c r="B613" s="335" t="s">
        <v>26</v>
      </c>
      <c r="C613" s="335" t="s">
        <v>27</v>
      </c>
      <c r="D613" s="335" t="s">
        <v>386</v>
      </c>
      <c r="E613" s="336" t="s">
        <v>387</v>
      </c>
      <c r="F613" s="336" t="s">
        <v>35</v>
      </c>
      <c r="G613" s="337">
        <v>0.05</v>
      </c>
      <c r="H613" s="338">
        <v>0.1</v>
      </c>
      <c r="I613" s="339">
        <v>3293.01</v>
      </c>
      <c r="J613" s="340">
        <v>181.11555000000001</v>
      </c>
      <c r="K613" s="335" t="s">
        <v>1135</v>
      </c>
      <c r="L613" s="335">
        <v>3</v>
      </c>
      <c r="M613" s="335" t="s">
        <v>1138</v>
      </c>
      <c r="N613" s="339">
        <v>11</v>
      </c>
      <c r="O613" s="341">
        <v>0.05</v>
      </c>
      <c r="P613" s="341" t="s">
        <v>25</v>
      </c>
      <c r="Q613" s="341">
        <v>0</v>
      </c>
      <c r="R613" s="342" t="s">
        <v>25</v>
      </c>
      <c r="S613" s="342" t="s">
        <v>25</v>
      </c>
    </row>
    <row r="614" spans="1:19" ht="15" customHeight="1" x14ac:dyDescent="0.3">
      <c r="A614" s="335" t="s">
        <v>1131</v>
      </c>
      <c r="B614" s="335" t="s">
        <v>26</v>
      </c>
      <c r="C614" s="335" t="s">
        <v>27</v>
      </c>
      <c r="D614" s="335" t="s">
        <v>33</v>
      </c>
      <c r="E614" s="336" t="s">
        <v>34</v>
      </c>
      <c r="F614" s="336" t="s">
        <v>35</v>
      </c>
      <c r="G614" s="337">
        <v>0.03</v>
      </c>
      <c r="H614" s="338">
        <v>0.05</v>
      </c>
      <c r="I614" s="339">
        <v>735.06</v>
      </c>
      <c r="J614" s="340">
        <v>23.154389999999999</v>
      </c>
      <c r="K614" s="335" t="s">
        <v>1135</v>
      </c>
      <c r="L614" s="335">
        <v>4</v>
      </c>
      <c r="M614" s="335" t="s">
        <v>1139</v>
      </c>
      <c r="N614" s="339">
        <v>11</v>
      </c>
      <c r="O614" s="341">
        <v>0.03</v>
      </c>
      <c r="P614" s="341" t="s">
        <v>25</v>
      </c>
      <c r="Q614" s="341">
        <v>0</v>
      </c>
      <c r="R614" s="342" t="s">
        <v>25</v>
      </c>
      <c r="S614" s="342" t="s">
        <v>25</v>
      </c>
    </row>
    <row r="615" spans="1:19" ht="15" customHeight="1" x14ac:dyDescent="0.3">
      <c r="A615" s="335" t="s">
        <v>1131</v>
      </c>
      <c r="B615" s="335" t="s">
        <v>26</v>
      </c>
      <c r="C615" s="335" t="s">
        <v>27</v>
      </c>
      <c r="D615" s="335" t="s">
        <v>1023</v>
      </c>
      <c r="E615" s="336" t="s">
        <v>1024</v>
      </c>
      <c r="F615" s="336" t="s">
        <v>35</v>
      </c>
      <c r="G615" s="337">
        <v>5.0000000000000001E-3</v>
      </c>
      <c r="H615" s="338">
        <v>0.05</v>
      </c>
      <c r="I615" s="339">
        <v>6678.36</v>
      </c>
      <c r="J615" s="340">
        <v>35.061390000000003</v>
      </c>
      <c r="K615" s="335" t="s">
        <v>1135</v>
      </c>
      <c r="L615" s="335">
        <v>5</v>
      </c>
      <c r="M615" s="335" t="s">
        <v>1140</v>
      </c>
      <c r="N615" s="339">
        <v>11</v>
      </c>
      <c r="O615" s="341">
        <v>5.0000000000000001E-3</v>
      </c>
      <c r="P615" s="341" t="s">
        <v>25</v>
      </c>
      <c r="Q615" s="341">
        <v>0</v>
      </c>
      <c r="R615" s="342" t="s">
        <v>25</v>
      </c>
      <c r="S615" s="342" t="s">
        <v>25</v>
      </c>
    </row>
    <row r="616" spans="1:19" ht="15" customHeight="1" x14ac:dyDescent="0.3">
      <c r="A616" s="335" t="s">
        <v>1131</v>
      </c>
      <c r="B616" s="335" t="s">
        <v>26</v>
      </c>
      <c r="C616" s="335" t="s">
        <v>27</v>
      </c>
      <c r="D616" s="335" t="s">
        <v>40</v>
      </c>
      <c r="E616" s="336" t="s">
        <v>41</v>
      </c>
      <c r="F616" s="336" t="s">
        <v>35</v>
      </c>
      <c r="G616" s="337">
        <v>5.0000000000000001E-3</v>
      </c>
      <c r="H616" s="338">
        <v>0.05</v>
      </c>
      <c r="I616" s="339">
        <v>5282.24</v>
      </c>
      <c r="J616" s="340">
        <v>27.731760000000001</v>
      </c>
      <c r="K616" s="335" t="s">
        <v>1135</v>
      </c>
      <c r="L616" s="335">
        <v>6</v>
      </c>
      <c r="M616" s="335" t="s">
        <v>1141</v>
      </c>
      <c r="N616" s="339">
        <v>11</v>
      </c>
      <c r="O616" s="341">
        <v>5.0000000000000001E-3</v>
      </c>
      <c r="P616" s="341" t="s">
        <v>25</v>
      </c>
      <c r="Q616" s="341">
        <v>0</v>
      </c>
      <c r="R616" s="342" t="s">
        <v>25</v>
      </c>
      <c r="S616" s="342" t="s">
        <v>25</v>
      </c>
    </row>
    <row r="617" spans="1:19" ht="15" customHeight="1" x14ac:dyDescent="0.3">
      <c r="A617" s="335" t="s">
        <v>1131</v>
      </c>
      <c r="B617" s="335" t="s">
        <v>26</v>
      </c>
      <c r="C617" s="335" t="s">
        <v>27</v>
      </c>
      <c r="D617" s="335" t="s">
        <v>392</v>
      </c>
      <c r="E617" s="336" t="s">
        <v>393</v>
      </c>
      <c r="F617" s="336" t="s">
        <v>35</v>
      </c>
      <c r="G617" s="337">
        <v>0.01</v>
      </c>
      <c r="H617" s="338">
        <v>0.05</v>
      </c>
      <c r="I617" s="339">
        <v>7427.6</v>
      </c>
      <c r="J617" s="340">
        <v>77.989800000000002</v>
      </c>
      <c r="K617" s="335" t="s">
        <v>1135</v>
      </c>
      <c r="L617" s="335">
        <v>7</v>
      </c>
      <c r="M617" s="335" t="s">
        <v>1142</v>
      </c>
      <c r="N617" s="339">
        <v>11</v>
      </c>
      <c r="O617" s="341">
        <v>0.01</v>
      </c>
      <c r="P617" s="341" t="s">
        <v>25</v>
      </c>
      <c r="Q617" s="341">
        <v>0</v>
      </c>
      <c r="R617" s="342" t="s">
        <v>25</v>
      </c>
      <c r="S617" s="342" t="s">
        <v>25</v>
      </c>
    </row>
    <row r="618" spans="1:19" ht="15" customHeight="1" x14ac:dyDescent="0.3">
      <c r="A618" s="335" t="s">
        <v>1131</v>
      </c>
      <c r="B618" s="335" t="s">
        <v>26</v>
      </c>
      <c r="C618" s="335" t="s">
        <v>27</v>
      </c>
      <c r="D618" s="335" t="s">
        <v>395</v>
      </c>
      <c r="E618" s="336" t="s">
        <v>396</v>
      </c>
      <c r="F618" s="336" t="s">
        <v>397</v>
      </c>
      <c r="G618" s="337">
        <v>1.2500000000000001E-2</v>
      </c>
      <c r="H618" s="338">
        <v>0.1</v>
      </c>
      <c r="I618" s="339">
        <v>120622.23</v>
      </c>
      <c r="J618" s="340">
        <v>1658.5556624999999</v>
      </c>
      <c r="K618" s="335" t="s">
        <v>1135</v>
      </c>
      <c r="L618" s="335">
        <v>8</v>
      </c>
      <c r="M618" s="335" t="s">
        <v>1143</v>
      </c>
      <c r="N618" s="339">
        <v>11</v>
      </c>
      <c r="O618" s="341">
        <v>1.2500000000000001E-2</v>
      </c>
      <c r="P618" s="341" t="s">
        <v>25</v>
      </c>
      <c r="Q618" s="341">
        <v>0</v>
      </c>
      <c r="R618" s="342" t="s">
        <v>25</v>
      </c>
      <c r="S618" s="342" t="s">
        <v>25</v>
      </c>
    </row>
    <row r="619" spans="1:19" ht="15" customHeight="1" x14ac:dyDescent="0.3">
      <c r="A619" s="335" t="s">
        <v>1131</v>
      </c>
      <c r="B619" s="335" t="s">
        <v>26</v>
      </c>
      <c r="C619" s="335" t="s">
        <v>27</v>
      </c>
      <c r="D619" s="335" t="s">
        <v>1029</v>
      </c>
      <c r="E619" s="336" t="s">
        <v>1030</v>
      </c>
      <c r="F619" s="336" t="s">
        <v>397</v>
      </c>
      <c r="G619" s="337">
        <v>0.05</v>
      </c>
      <c r="H619" s="338">
        <v>0.1</v>
      </c>
      <c r="I619" s="339">
        <v>18735.77</v>
      </c>
      <c r="J619" s="340">
        <v>1030.4673499999999</v>
      </c>
      <c r="K619" s="335" t="s">
        <v>1135</v>
      </c>
      <c r="L619" s="335">
        <v>9</v>
      </c>
      <c r="M619" s="335" t="s">
        <v>1144</v>
      </c>
      <c r="N619" s="339">
        <v>11</v>
      </c>
      <c r="O619" s="341">
        <v>0.05</v>
      </c>
      <c r="P619" s="341" t="s">
        <v>25</v>
      </c>
      <c r="Q619" s="341">
        <v>0</v>
      </c>
      <c r="R619" s="342" t="s">
        <v>25</v>
      </c>
      <c r="S619" s="342" t="s">
        <v>25</v>
      </c>
    </row>
    <row r="620" spans="1:19" ht="15" customHeight="1" x14ac:dyDescent="0.3">
      <c r="A620" s="335" t="s">
        <v>1131</v>
      </c>
      <c r="B620" s="335" t="s">
        <v>26</v>
      </c>
      <c r="C620" s="335" t="s">
        <v>27</v>
      </c>
      <c r="D620" s="335" t="s">
        <v>1032</v>
      </c>
      <c r="E620" s="336" t="s">
        <v>1033</v>
      </c>
      <c r="F620" s="336" t="s">
        <v>30</v>
      </c>
      <c r="G620" s="337">
        <v>2.5000000000000001E-3</v>
      </c>
      <c r="H620" s="338">
        <v>0.05</v>
      </c>
      <c r="I620" s="339">
        <v>9639</v>
      </c>
      <c r="J620" s="340">
        <v>25.302375000000001</v>
      </c>
      <c r="K620" s="335" t="s">
        <v>1135</v>
      </c>
      <c r="L620" s="335">
        <v>10</v>
      </c>
      <c r="M620" s="335" t="s">
        <v>1145</v>
      </c>
      <c r="N620" s="339">
        <v>11</v>
      </c>
      <c r="O620" s="341">
        <v>2.5000000000000001E-3</v>
      </c>
      <c r="P620" s="341" t="s">
        <v>25</v>
      </c>
      <c r="Q620" s="341">
        <v>0</v>
      </c>
      <c r="R620" s="342" t="s">
        <v>25</v>
      </c>
      <c r="S620" s="342" t="s">
        <v>25</v>
      </c>
    </row>
    <row r="621" spans="1:19" ht="15" customHeight="1" x14ac:dyDescent="0.3">
      <c r="A621" s="335" t="s">
        <v>1131</v>
      </c>
      <c r="B621" s="335" t="s">
        <v>56</v>
      </c>
      <c r="C621" s="335" t="s">
        <v>57</v>
      </c>
      <c r="D621" s="343" t="s">
        <v>413</v>
      </c>
      <c r="E621" s="336" t="s">
        <v>414</v>
      </c>
      <c r="F621" s="336" t="s">
        <v>60</v>
      </c>
      <c r="G621" s="337">
        <v>1</v>
      </c>
      <c r="H621" s="338">
        <v>0</v>
      </c>
      <c r="I621" s="339">
        <v>65493.071636572</v>
      </c>
      <c r="J621" s="340">
        <v>65493.071636572</v>
      </c>
      <c r="K621" s="335" t="s">
        <v>1146</v>
      </c>
      <c r="L621" s="335">
        <v>1</v>
      </c>
      <c r="M621" s="335" t="s">
        <v>1147</v>
      </c>
      <c r="N621" s="339">
        <v>11</v>
      </c>
      <c r="O621" s="341">
        <v>9.0909090909090898E-2</v>
      </c>
      <c r="P621" s="341" t="s">
        <v>25</v>
      </c>
      <c r="Q621" s="341">
        <v>0</v>
      </c>
      <c r="R621" s="342" t="s">
        <v>25</v>
      </c>
      <c r="S621" s="342" t="s">
        <v>25</v>
      </c>
    </row>
    <row r="622" spans="1:19" ht="15" customHeight="1" x14ac:dyDescent="0.3">
      <c r="A622" s="335" t="s">
        <v>1131</v>
      </c>
      <c r="B622" s="335" t="s">
        <v>56</v>
      </c>
      <c r="C622" s="335" t="s">
        <v>57</v>
      </c>
      <c r="D622" s="343" t="s">
        <v>63</v>
      </c>
      <c r="E622" s="336" t="s">
        <v>64</v>
      </c>
      <c r="F622" s="336" t="s">
        <v>60</v>
      </c>
      <c r="G622" s="337">
        <v>1</v>
      </c>
      <c r="H622" s="338">
        <v>0</v>
      </c>
      <c r="I622" s="339">
        <v>85927.097156571996</v>
      </c>
      <c r="J622" s="340">
        <v>85927.097156571996</v>
      </c>
      <c r="K622" s="335" t="s">
        <v>1146</v>
      </c>
      <c r="L622" s="335">
        <v>2</v>
      </c>
      <c r="M622" s="335" t="s">
        <v>1148</v>
      </c>
      <c r="N622" s="339">
        <v>11</v>
      </c>
      <c r="O622" s="341">
        <v>9.0909090909090898E-2</v>
      </c>
      <c r="P622" s="341" t="s">
        <v>25</v>
      </c>
      <c r="Q622" s="341">
        <v>0</v>
      </c>
      <c r="R622" s="342" t="s">
        <v>25</v>
      </c>
      <c r="S622" s="342" t="s">
        <v>25</v>
      </c>
    </row>
    <row r="623" spans="1:19" ht="15" customHeight="1" x14ac:dyDescent="0.3">
      <c r="A623" s="335" t="s">
        <v>1149</v>
      </c>
      <c r="B623" s="335" t="s">
        <v>20</v>
      </c>
      <c r="C623" s="335"/>
      <c r="D623" s="335" t="s">
        <v>372</v>
      </c>
      <c r="E623" s="336" t="s">
        <v>373</v>
      </c>
      <c r="F623" s="336"/>
      <c r="G623" s="337">
        <v>1</v>
      </c>
      <c r="H623" s="338">
        <v>0</v>
      </c>
      <c r="I623" s="339">
        <v>1723.6259595547101</v>
      </c>
      <c r="J623" s="340">
        <v>1723.6259595547101</v>
      </c>
      <c r="K623" s="335" t="s">
        <v>1150</v>
      </c>
      <c r="L623" s="335">
        <v>1</v>
      </c>
      <c r="M623" s="335" t="s">
        <v>1151</v>
      </c>
      <c r="N623" s="339">
        <v>20</v>
      </c>
      <c r="O623" s="341">
        <v>1</v>
      </c>
      <c r="P623" s="341" t="s">
        <v>25</v>
      </c>
      <c r="Q623" s="341">
        <v>0</v>
      </c>
      <c r="R623" s="342" t="s">
        <v>25</v>
      </c>
      <c r="S623" s="342" t="s">
        <v>25</v>
      </c>
    </row>
    <row r="624" spans="1:19" ht="15" customHeight="1" x14ac:dyDescent="0.3">
      <c r="A624" s="335" t="s">
        <v>1149</v>
      </c>
      <c r="B624" s="335" t="s">
        <v>20</v>
      </c>
      <c r="C624" s="335"/>
      <c r="D624" s="335" t="s">
        <v>376</v>
      </c>
      <c r="E624" s="336" t="s">
        <v>377</v>
      </c>
      <c r="F624" s="336"/>
      <c r="G624" s="337">
        <v>1</v>
      </c>
      <c r="H624" s="338">
        <v>0</v>
      </c>
      <c r="I624" s="339">
        <v>200.25307946474501</v>
      </c>
      <c r="J624" s="340">
        <v>200.25307946474501</v>
      </c>
      <c r="K624" s="335" t="s">
        <v>1150</v>
      </c>
      <c r="L624" s="335">
        <v>2</v>
      </c>
      <c r="M624" s="335" t="s">
        <v>1152</v>
      </c>
      <c r="N624" s="339">
        <v>20</v>
      </c>
      <c r="O624" s="341">
        <v>1</v>
      </c>
      <c r="P624" s="341" t="s">
        <v>25</v>
      </c>
      <c r="Q624" s="341">
        <v>0</v>
      </c>
      <c r="R624" s="342" t="s">
        <v>25</v>
      </c>
      <c r="S624" s="342" t="s">
        <v>25</v>
      </c>
    </row>
    <row r="625" spans="1:19" ht="15" customHeight="1" x14ac:dyDescent="0.3">
      <c r="A625" s="335" t="s">
        <v>1149</v>
      </c>
      <c r="B625" s="335" t="s">
        <v>26</v>
      </c>
      <c r="C625" s="335" t="s">
        <v>27</v>
      </c>
      <c r="D625" s="335" t="s">
        <v>28</v>
      </c>
      <c r="E625" s="336" t="s">
        <v>29</v>
      </c>
      <c r="F625" s="336" t="s">
        <v>30</v>
      </c>
      <c r="G625" s="337">
        <v>0.01</v>
      </c>
      <c r="H625" s="338">
        <v>0.1</v>
      </c>
      <c r="I625" s="339">
        <v>26907.33</v>
      </c>
      <c r="J625" s="340">
        <v>295.98063000000002</v>
      </c>
      <c r="K625" s="335" t="s">
        <v>1153</v>
      </c>
      <c r="L625" s="335">
        <v>1</v>
      </c>
      <c r="M625" s="335" t="s">
        <v>1154</v>
      </c>
      <c r="N625" s="339">
        <v>20</v>
      </c>
      <c r="O625" s="341">
        <v>0.01</v>
      </c>
      <c r="P625" s="341" t="s">
        <v>25</v>
      </c>
      <c r="Q625" s="341">
        <v>0</v>
      </c>
      <c r="R625" s="342" t="s">
        <v>25</v>
      </c>
      <c r="S625" s="342" t="s">
        <v>25</v>
      </c>
    </row>
    <row r="626" spans="1:19" ht="15" customHeight="1" x14ac:dyDescent="0.3">
      <c r="A626" s="335" t="s">
        <v>1149</v>
      </c>
      <c r="B626" s="335" t="s">
        <v>26</v>
      </c>
      <c r="C626" s="335" t="s">
        <v>27</v>
      </c>
      <c r="D626" s="335" t="s">
        <v>383</v>
      </c>
      <c r="E626" s="336" t="s">
        <v>384</v>
      </c>
      <c r="F626" s="336" t="s">
        <v>35</v>
      </c>
      <c r="G626" s="337">
        <v>0.02</v>
      </c>
      <c r="H626" s="338">
        <v>0.05</v>
      </c>
      <c r="I626" s="339">
        <v>5661.4</v>
      </c>
      <c r="J626" s="340">
        <v>118.88939999999999</v>
      </c>
      <c r="K626" s="335" t="s">
        <v>1153</v>
      </c>
      <c r="L626" s="335">
        <v>2</v>
      </c>
      <c r="M626" s="335" t="s">
        <v>1155</v>
      </c>
      <c r="N626" s="339">
        <v>20</v>
      </c>
      <c r="O626" s="341">
        <v>0.02</v>
      </c>
      <c r="P626" s="341" t="s">
        <v>25</v>
      </c>
      <c r="Q626" s="341">
        <v>0</v>
      </c>
      <c r="R626" s="342" t="s">
        <v>25</v>
      </c>
      <c r="S626" s="342" t="s">
        <v>25</v>
      </c>
    </row>
    <row r="627" spans="1:19" ht="15" customHeight="1" x14ac:dyDescent="0.3">
      <c r="A627" s="335" t="s">
        <v>1149</v>
      </c>
      <c r="B627" s="335" t="s">
        <v>26</v>
      </c>
      <c r="C627" s="335" t="s">
        <v>27</v>
      </c>
      <c r="D627" s="335" t="s">
        <v>386</v>
      </c>
      <c r="E627" s="336" t="s">
        <v>387</v>
      </c>
      <c r="F627" s="336" t="s">
        <v>35</v>
      </c>
      <c r="G627" s="337">
        <v>0.05</v>
      </c>
      <c r="H627" s="338">
        <v>0.1</v>
      </c>
      <c r="I627" s="339">
        <v>3293.01</v>
      </c>
      <c r="J627" s="340">
        <v>181.11555000000001</v>
      </c>
      <c r="K627" s="335" t="s">
        <v>1153</v>
      </c>
      <c r="L627" s="335">
        <v>3</v>
      </c>
      <c r="M627" s="335" t="s">
        <v>1156</v>
      </c>
      <c r="N627" s="339">
        <v>20</v>
      </c>
      <c r="O627" s="341">
        <v>0.05</v>
      </c>
      <c r="P627" s="341" t="s">
        <v>25</v>
      </c>
      <c r="Q627" s="341">
        <v>0</v>
      </c>
      <c r="R627" s="342" t="s">
        <v>25</v>
      </c>
      <c r="S627" s="342" t="s">
        <v>25</v>
      </c>
    </row>
    <row r="628" spans="1:19" ht="15" customHeight="1" x14ac:dyDescent="0.3">
      <c r="A628" s="335" t="s">
        <v>1149</v>
      </c>
      <c r="B628" s="335" t="s">
        <v>26</v>
      </c>
      <c r="C628" s="335" t="s">
        <v>27</v>
      </c>
      <c r="D628" s="335" t="s">
        <v>33</v>
      </c>
      <c r="E628" s="336" t="s">
        <v>34</v>
      </c>
      <c r="F628" s="336" t="s">
        <v>35</v>
      </c>
      <c r="G628" s="337">
        <v>0.03</v>
      </c>
      <c r="H628" s="338">
        <v>0.05</v>
      </c>
      <c r="I628" s="339">
        <v>735.06</v>
      </c>
      <c r="J628" s="340">
        <v>23.154389999999999</v>
      </c>
      <c r="K628" s="335" t="s">
        <v>1153</v>
      </c>
      <c r="L628" s="335">
        <v>4</v>
      </c>
      <c r="M628" s="335" t="s">
        <v>1157</v>
      </c>
      <c r="N628" s="339">
        <v>20</v>
      </c>
      <c r="O628" s="341">
        <v>0.03</v>
      </c>
      <c r="P628" s="341" t="s">
        <v>25</v>
      </c>
      <c r="Q628" s="341">
        <v>0</v>
      </c>
      <c r="R628" s="342" t="s">
        <v>25</v>
      </c>
      <c r="S628" s="342" t="s">
        <v>25</v>
      </c>
    </row>
    <row r="629" spans="1:19" ht="15" customHeight="1" x14ac:dyDescent="0.3">
      <c r="A629" s="335" t="s">
        <v>1149</v>
      </c>
      <c r="B629" s="335" t="s">
        <v>26</v>
      </c>
      <c r="C629" s="335" t="s">
        <v>27</v>
      </c>
      <c r="D629" s="335" t="s">
        <v>37</v>
      </c>
      <c r="E629" s="336" t="s">
        <v>38</v>
      </c>
      <c r="F629" s="336" t="s">
        <v>35</v>
      </c>
      <c r="G629" s="337">
        <v>0.01</v>
      </c>
      <c r="H629" s="338">
        <v>0.05</v>
      </c>
      <c r="I629" s="339">
        <v>6678.36</v>
      </c>
      <c r="J629" s="340">
        <v>70.122780000000006</v>
      </c>
      <c r="K629" s="335" t="s">
        <v>1153</v>
      </c>
      <c r="L629" s="335">
        <v>5</v>
      </c>
      <c r="M629" s="335" t="s">
        <v>1158</v>
      </c>
      <c r="N629" s="339">
        <v>20</v>
      </c>
      <c r="O629" s="341">
        <v>0.01</v>
      </c>
      <c r="P629" s="341" t="s">
        <v>25</v>
      </c>
      <c r="Q629" s="341">
        <v>0</v>
      </c>
      <c r="R629" s="342" t="s">
        <v>25</v>
      </c>
      <c r="S629" s="342" t="s">
        <v>25</v>
      </c>
    </row>
    <row r="630" spans="1:19" ht="15" customHeight="1" x14ac:dyDescent="0.3">
      <c r="A630" s="335" t="s">
        <v>1149</v>
      </c>
      <c r="B630" s="335" t="s">
        <v>26</v>
      </c>
      <c r="C630" s="335" t="s">
        <v>27</v>
      </c>
      <c r="D630" s="335" t="s">
        <v>40</v>
      </c>
      <c r="E630" s="336" t="s">
        <v>41</v>
      </c>
      <c r="F630" s="336" t="s">
        <v>35</v>
      </c>
      <c r="G630" s="337">
        <v>0.01</v>
      </c>
      <c r="H630" s="338">
        <v>0.05</v>
      </c>
      <c r="I630" s="339">
        <v>5282.24</v>
      </c>
      <c r="J630" s="340">
        <v>55.463520000000003</v>
      </c>
      <c r="K630" s="335" t="s">
        <v>1153</v>
      </c>
      <c r="L630" s="335">
        <v>6</v>
      </c>
      <c r="M630" s="335" t="s">
        <v>1159</v>
      </c>
      <c r="N630" s="339">
        <v>20</v>
      </c>
      <c r="O630" s="341">
        <v>0.01</v>
      </c>
      <c r="P630" s="341" t="s">
        <v>25</v>
      </c>
      <c r="Q630" s="341">
        <v>0</v>
      </c>
      <c r="R630" s="342" t="s">
        <v>25</v>
      </c>
      <c r="S630" s="342" t="s">
        <v>25</v>
      </c>
    </row>
    <row r="631" spans="1:19" ht="15" customHeight="1" x14ac:dyDescent="0.3">
      <c r="A631" s="335" t="s">
        <v>1149</v>
      </c>
      <c r="B631" s="335" t="s">
        <v>26</v>
      </c>
      <c r="C631" s="335" t="s">
        <v>27</v>
      </c>
      <c r="D631" s="335" t="s">
        <v>392</v>
      </c>
      <c r="E631" s="336" t="s">
        <v>393</v>
      </c>
      <c r="F631" s="336" t="s">
        <v>35</v>
      </c>
      <c r="G631" s="337">
        <v>0.02</v>
      </c>
      <c r="H631" s="338">
        <v>0.05</v>
      </c>
      <c r="I631" s="339">
        <v>7427.6</v>
      </c>
      <c r="J631" s="340">
        <v>155.9796</v>
      </c>
      <c r="K631" s="335" t="s">
        <v>1153</v>
      </c>
      <c r="L631" s="335">
        <v>7</v>
      </c>
      <c r="M631" s="335" t="s">
        <v>1160</v>
      </c>
      <c r="N631" s="339">
        <v>20</v>
      </c>
      <c r="O631" s="341">
        <v>0.02</v>
      </c>
      <c r="P631" s="341" t="s">
        <v>25</v>
      </c>
      <c r="Q631" s="341">
        <v>0</v>
      </c>
      <c r="R631" s="342" t="s">
        <v>25</v>
      </c>
      <c r="S631" s="342" t="s">
        <v>25</v>
      </c>
    </row>
    <row r="632" spans="1:19" ht="15" customHeight="1" x14ac:dyDescent="0.3">
      <c r="A632" s="335" t="s">
        <v>1149</v>
      </c>
      <c r="B632" s="335" t="s">
        <v>26</v>
      </c>
      <c r="C632" s="335" t="s">
        <v>27</v>
      </c>
      <c r="D632" s="335" t="s">
        <v>1101</v>
      </c>
      <c r="E632" s="336" t="s">
        <v>1102</v>
      </c>
      <c r="F632" s="336" t="s">
        <v>30</v>
      </c>
      <c r="G632" s="337">
        <v>6.25E-2</v>
      </c>
      <c r="H632" s="338">
        <v>0.1</v>
      </c>
      <c r="I632" s="339">
        <v>28011.57</v>
      </c>
      <c r="J632" s="340">
        <v>1925.7954374999999</v>
      </c>
      <c r="K632" s="335" t="s">
        <v>1153</v>
      </c>
      <c r="L632" s="335">
        <v>8</v>
      </c>
      <c r="M632" s="335" t="s">
        <v>1161</v>
      </c>
      <c r="N632" s="339">
        <v>20</v>
      </c>
      <c r="O632" s="341">
        <v>6.25E-2</v>
      </c>
      <c r="P632" s="341" t="s">
        <v>25</v>
      </c>
      <c r="Q632" s="341">
        <v>0</v>
      </c>
      <c r="R632" s="342" t="s">
        <v>25</v>
      </c>
      <c r="S632" s="342" t="s">
        <v>25</v>
      </c>
    </row>
    <row r="633" spans="1:19" ht="15" customHeight="1" x14ac:dyDescent="0.3">
      <c r="A633" s="335" t="s">
        <v>1149</v>
      </c>
      <c r="B633" s="335" t="s">
        <v>26</v>
      </c>
      <c r="C633" s="335" t="s">
        <v>27</v>
      </c>
      <c r="D633" s="335" t="s">
        <v>1029</v>
      </c>
      <c r="E633" s="336" t="s">
        <v>1030</v>
      </c>
      <c r="F633" s="336" t="s">
        <v>397</v>
      </c>
      <c r="G633" s="337">
        <v>2E-3</v>
      </c>
      <c r="H633" s="338">
        <v>0.1</v>
      </c>
      <c r="I633" s="339">
        <v>18735.77</v>
      </c>
      <c r="J633" s="340">
        <v>41.218693999999999</v>
      </c>
      <c r="K633" s="335" t="s">
        <v>1153</v>
      </c>
      <c r="L633" s="335">
        <v>9</v>
      </c>
      <c r="M633" s="335" t="s">
        <v>1162</v>
      </c>
      <c r="N633" s="339">
        <v>20</v>
      </c>
      <c r="O633" s="341">
        <v>2E-3</v>
      </c>
      <c r="P633" s="341" t="s">
        <v>25</v>
      </c>
      <c r="Q633" s="341">
        <v>0</v>
      </c>
      <c r="R633" s="342" t="s">
        <v>25</v>
      </c>
      <c r="S633" s="342" t="s">
        <v>25</v>
      </c>
    </row>
    <row r="634" spans="1:19" ht="15" customHeight="1" x14ac:dyDescent="0.3">
      <c r="A634" s="335" t="s">
        <v>1149</v>
      </c>
      <c r="B634" s="335" t="s">
        <v>56</v>
      </c>
      <c r="C634" s="335" t="s">
        <v>57</v>
      </c>
      <c r="D634" s="343" t="s">
        <v>413</v>
      </c>
      <c r="E634" s="336" t="s">
        <v>414</v>
      </c>
      <c r="F634" s="336" t="s">
        <v>60</v>
      </c>
      <c r="G634" s="337">
        <v>1</v>
      </c>
      <c r="H634" s="338">
        <v>0</v>
      </c>
      <c r="I634" s="339">
        <v>65493.071636572</v>
      </c>
      <c r="J634" s="340">
        <v>65493.071636572</v>
      </c>
      <c r="K634" s="335" t="s">
        <v>1163</v>
      </c>
      <c r="L634" s="335">
        <v>1</v>
      </c>
      <c r="M634" s="335" t="s">
        <v>1164</v>
      </c>
      <c r="N634" s="339">
        <v>20</v>
      </c>
      <c r="O634" s="341">
        <v>0.05</v>
      </c>
      <c r="P634" s="341" t="s">
        <v>25</v>
      </c>
      <c r="Q634" s="341">
        <v>0</v>
      </c>
      <c r="R634" s="342" t="s">
        <v>25</v>
      </c>
      <c r="S634" s="342" t="s">
        <v>25</v>
      </c>
    </row>
    <row r="635" spans="1:19" ht="15" customHeight="1" x14ac:dyDescent="0.3">
      <c r="A635" s="335" t="s">
        <v>1149</v>
      </c>
      <c r="B635" s="335" t="s">
        <v>56</v>
      </c>
      <c r="C635" s="335" t="s">
        <v>57</v>
      </c>
      <c r="D635" s="343" t="s">
        <v>63</v>
      </c>
      <c r="E635" s="336" t="s">
        <v>64</v>
      </c>
      <c r="F635" s="336" t="s">
        <v>60</v>
      </c>
      <c r="G635" s="337">
        <v>1</v>
      </c>
      <c r="H635" s="338">
        <v>0</v>
      </c>
      <c r="I635" s="339">
        <v>85927.097156571996</v>
      </c>
      <c r="J635" s="340">
        <v>85927.097156571996</v>
      </c>
      <c r="K635" s="335" t="s">
        <v>1163</v>
      </c>
      <c r="L635" s="335">
        <v>2</v>
      </c>
      <c r="M635" s="335" t="s">
        <v>1165</v>
      </c>
      <c r="N635" s="339">
        <v>20</v>
      </c>
      <c r="O635" s="341">
        <v>0.05</v>
      </c>
      <c r="P635" s="341" t="s">
        <v>25</v>
      </c>
      <c r="Q635" s="341">
        <v>0</v>
      </c>
      <c r="R635" s="342" t="s">
        <v>25</v>
      </c>
      <c r="S635" s="342" t="s">
        <v>25</v>
      </c>
    </row>
    <row r="636" spans="1:19" ht="15" customHeight="1" x14ac:dyDescent="0.3">
      <c r="A636" s="335" t="s">
        <v>1166</v>
      </c>
      <c r="B636" s="335" t="s">
        <v>20</v>
      </c>
      <c r="C636" s="335"/>
      <c r="D636" s="335" t="s">
        <v>372</v>
      </c>
      <c r="E636" s="336" t="s">
        <v>373</v>
      </c>
      <c r="F636" s="336"/>
      <c r="G636" s="337">
        <v>1</v>
      </c>
      <c r="H636" s="338">
        <v>0</v>
      </c>
      <c r="I636" s="339">
        <v>1723.6259595547101</v>
      </c>
      <c r="J636" s="340">
        <v>1723.6259595547101</v>
      </c>
      <c r="K636" s="335" t="s">
        <v>1167</v>
      </c>
      <c r="L636" s="335">
        <v>1</v>
      </c>
      <c r="M636" s="335" t="s">
        <v>1168</v>
      </c>
      <c r="N636" s="339">
        <v>50</v>
      </c>
      <c r="O636" s="341">
        <v>1</v>
      </c>
      <c r="P636" s="341" t="s">
        <v>25</v>
      </c>
      <c r="Q636" s="341">
        <v>0</v>
      </c>
      <c r="R636" s="342" t="s">
        <v>25</v>
      </c>
      <c r="S636" s="342" t="s">
        <v>25</v>
      </c>
    </row>
    <row r="637" spans="1:19" ht="15" customHeight="1" x14ac:dyDescent="0.3">
      <c r="A637" s="335" t="s">
        <v>1166</v>
      </c>
      <c r="B637" s="335" t="s">
        <v>20</v>
      </c>
      <c r="C637" s="335"/>
      <c r="D637" s="335" t="s">
        <v>578</v>
      </c>
      <c r="E637" s="336" t="s">
        <v>579</v>
      </c>
      <c r="F637" s="336"/>
      <c r="G637" s="337">
        <v>1</v>
      </c>
      <c r="H637" s="338">
        <v>0</v>
      </c>
      <c r="I637" s="339">
        <v>140.198092594309</v>
      </c>
      <c r="J637" s="340">
        <v>140.198092594309</v>
      </c>
      <c r="K637" s="335" t="s">
        <v>1167</v>
      </c>
      <c r="L637" s="335">
        <v>2</v>
      </c>
      <c r="M637" s="335" t="s">
        <v>1169</v>
      </c>
      <c r="N637" s="339">
        <v>50</v>
      </c>
      <c r="O637" s="341">
        <v>1</v>
      </c>
      <c r="P637" s="341" t="s">
        <v>25</v>
      </c>
      <c r="Q637" s="341">
        <v>0</v>
      </c>
      <c r="R637" s="342" t="s">
        <v>25</v>
      </c>
      <c r="S637" s="342" t="s">
        <v>25</v>
      </c>
    </row>
    <row r="638" spans="1:19" ht="15" customHeight="1" x14ac:dyDescent="0.3">
      <c r="A638" s="335" t="s">
        <v>1166</v>
      </c>
      <c r="B638" s="335" t="s">
        <v>26</v>
      </c>
      <c r="C638" s="335" t="s">
        <v>27</v>
      </c>
      <c r="D638" s="335" t="s">
        <v>1170</v>
      </c>
      <c r="E638" s="336" t="s">
        <v>1171</v>
      </c>
      <c r="F638" s="336" t="s">
        <v>35</v>
      </c>
      <c r="G638" s="337">
        <v>0.04</v>
      </c>
      <c r="H638" s="338">
        <v>0.1</v>
      </c>
      <c r="I638" s="339">
        <v>66115.702479338797</v>
      </c>
      <c r="J638" s="340">
        <v>2909.0909090909099</v>
      </c>
      <c r="K638" s="335" t="s">
        <v>1172</v>
      </c>
      <c r="L638" s="335">
        <v>1</v>
      </c>
      <c r="M638" s="335" t="s">
        <v>1173</v>
      </c>
      <c r="N638" s="339">
        <v>50</v>
      </c>
      <c r="O638" s="341">
        <v>0.04</v>
      </c>
      <c r="P638" s="341" t="s">
        <v>25</v>
      </c>
      <c r="Q638" s="341">
        <v>0</v>
      </c>
      <c r="R638" s="342" t="s">
        <v>25</v>
      </c>
      <c r="S638" s="342" t="s">
        <v>25</v>
      </c>
    </row>
    <row r="639" spans="1:19" ht="15" customHeight="1" x14ac:dyDescent="0.3">
      <c r="A639" s="335" t="s">
        <v>1166</v>
      </c>
      <c r="B639" s="335" t="s">
        <v>26</v>
      </c>
      <c r="C639" s="335" t="s">
        <v>27</v>
      </c>
      <c r="D639" s="335" t="s">
        <v>1174</v>
      </c>
      <c r="E639" s="336" t="s">
        <v>1175</v>
      </c>
      <c r="F639" s="336" t="s">
        <v>35</v>
      </c>
      <c r="G639" s="337">
        <v>3.5000000000000003E-2</v>
      </c>
      <c r="H639" s="338">
        <v>0.1</v>
      </c>
      <c r="I639" s="339">
        <v>124188.429752066</v>
      </c>
      <c r="J639" s="340">
        <v>4781.2545454545398</v>
      </c>
      <c r="K639" s="335" t="s">
        <v>1172</v>
      </c>
      <c r="L639" s="335">
        <v>2</v>
      </c>
      <c r="M639" s="335" t="s">
        <v>1176</v>
      </c>
      <c r="N639" s="339">
        <v>50</v>
      </c>
      <c r="O639" s="341">
        <v>3.5000000000000003E-2</v>
      </c>
      <c r="P639" s="341" t="s">
        <v>25</v>
      </c>
      <c r="Q639" s="341">
        <v>0</v>
      </c>
      <c r="R639" s="342" t="s">
        <v>25</v>
      </c>
      <c r="S639" s="342" t="s">
        <v>25</v>
      </c>
    </row>
    <row r="640" spans="1:19" ht="15" customHeight="1" x14ac:dyDescent="0.3">
      <c r="A640" s="335" t="s">
        <v>1166</v>
      </c>
      <c r="B640" s="335" t="s">
        <v>26</v>
      </c>
      <c r="C640" s="335" t="s">
        <v>27</v>
      </c>
      <c r="D640" s="335" t="s">
        <v>33</v>
      </c>
      <c r="E640" s="336" t="s">
        <v>34</v>
      </c>
      <c r="F640" s="336" t="s">
        <v>35</v>
      </c>
      <c r="G640" s="337">
        <v>0.01</v>
      </c>
      <c r="H640" s="338">
        <v>0.05</v>
      </c>
      <c r="I640" s="339">
        <v>735.06</v>
      </c>
      <c r="J640" s="340">
        <v>7.7181300000000004</v>
      </c>
      <c r="K640" s="335" t="s">
        <v>1172</v>
      </c>
      <c r="L640" s="335">
        <v>3</v>
      </c>
      <c r="M640" s="335" t="s">
        <v>1177</v>
      </c>
      <c r="N640" s="339">
        <v>50</v>
      </c>
      <c r="O640" s="341">
        <v>0.01</v>
      </c>
      <c r="P640" s="341" t="s">
        <v>25</v>
      </c>
      <c r="Q640" s="341">
        <v>0</v>
      </c>
      <c r="R640" s="342" t="s">
        <v>25</v>
      </c>
      <c r="S640" s="342" t="s">
        <v>25</v>
      </c>
    </row>
    <row r="641" spans="1:19" ht="15" customHeight="1" x14ac:dyDescent="0.3">
      <c r="A641" s="335" t="s">
        <v>1166</v>
      </c>
      <c r="B641" s="335" t="s">
        <v>26</v>
      </c>
      <c r="C641" s="335" t="s">
        <v>27</v>
      </c>
      <c r="D641" s="335" t="s">
        <v>37</v>
      </c>
      <c r="E641" s="336" t="s">
        <v>38</v>
      </c>
      <c r="F641" s="336" t="s">
        <v>35</v>
      </c>
      <c r="G641" s="337">
        <v>0.01</v>
      </c>
      <c r="H641" s="338">
        <v>0.05</v>
      </c>
      <c r="I641" s="339">
        <v>6678.36</v>
      </c>
      <c r="J641" s="340">
        <v>70.122780000000006</v>
      </c>
      <c r="K641" s="335" t="s">
        <v>1172</v>
      </c>
      <c r="L641" s="335">
        <v>4</v>
      </c>
      <c r="M641" s="335" t="s">
        <v>1178</v>
      </c>
      <c r="N641" s="339">
        <v>50</v>
      </c>
      <c r="O641" s="341">
        <v>0.01</v>
      </c>
      <c r="P641" s="341" t="s">
        <v>25</v>
      </c>
      <c r="Q641" s="341">
        <v>0</v>
      </c>
      <c r="R641" s="342" t="s">
        <v>25</v>
      </c>
      <c r="S641" s="342" t="s">
        <v>25</v>
      </c>
    </row>
    <row r="642" spans="1:19" ht="15" customHeight="1" x14ac:dyDescent="0.3">
      <c r="A642" s="335" t="s">
        <v>1166</v>
      </c>
      <c r="B642" s="335" t="s">
        <v>26</v>
      </c>
      <c r="C642" s="335" t="s">
        <v>27</v>
      </c>
      <c r="D642" s="335" t="s">
        <v>40</v>
      </c>
      <c r="E642" s="336" t="s">
        <v>41</v>
      </c>
      <c r="F642" s="336" t="s">
        <v>35</v>
      </c>
      <c r="G642" s="337">
        <v>0.01</v>
      </c>
      <c r="H642" s="338">
        <v>0.05</v>
      </c>
      <c r="I642" s="339">
        <v>5282.24</v>
      </c>
      <c r="J642" s="340">
        <v>55.463520000000003</v>
      </c>
      <c r="K642" s="335" t="s">
        <v>1172</v>
      </c>
      <c r="L642" s="335">
        <v>5</v>
      </c>
      <c r="M642" s="335" t="s">
        <v>1179</v>
      </c>
      <c r="N642" s="339">
        <v>50</v>
      </c>
      <c r="O642" s="341">
        <v>0.01</v>
      </c>
      <c r="P642" s="341" t="s">
        <v>25</v>
      </c>
      <c r="Q642" s="341">
        <v>0</v>
      </c>
      <c r="R642" s="342" t="s">
        <v>25</v>
      </c>
      <c r="S642" s="342" t="s">
        <v>25</v>
      </c>
    </row>
    <row r="643" spans="1:19" ht="15" customHeight="1" x14ac:dyDescent="0.3">
      <c r="A643" s="335" t="s">
        <v>1166</v>
      </c>
      <c r="B643" s="335" t="s">
        <v>56</v>
      </c>
      <c r="C643" s="335" t="s">
        <v>57</v>
      </c>
      <c r="D643" s="343" t="s">
        <v>58</v>
      </c>
      <c r="E643" s="336" t="s">
        <v>59</v>
      </c>
      <c r="F643" s="336" t="s">
        <v>60</v>
      </c>
      <c r="G643" s="337">
        <v>1</v>
      </c>
      <c r="H643" s="338">
        <v>0</v>
      </c>
      <c r="I643" s="339">
        <v>60860.580776572002</v>
      </c>
      <c r="J643" s="340">
        <v>60860.580776572002</v>
      </c>
      <c r="K643" s="335" t="s">
        <v>1180</v>
      </c>
      <c r="L643" s="335">
        <v>1</v>
      </c>
      <c r="M643" s="335" t="s">
        <v>1181</v>
      </c>
      <c r="N643" s="339">
        <v>50</v>
      </c>
      <c r="O643" s="341">
        <v>0.02</v>
      </c>
      <c r="P643" s="341" t="s">
        <v>25</v>
      </c>
      <c r="Q643" s="341">
        <v>0</v>
      </c>
      <c r="R643" s="342" t="s">
        <v>25</v>
      </c>
      <c r="S643" s="342" t="s">
        <v>25</v>
      </c>
    </row>
    <row r="644" spans="1:19" ht="15" customHeight="1" x14ac:dyDescent="0.3">
      <c r="A644" s="335" t="s">
        <v>1166</v>
      </c>
      <c r="B644" s="335" t="s">
        <v>56</v>
      </c>
      <c r="C644" s="335" t="s">
        <v>57</v>
      </c>
      <c r="D644" s="343" t="s">
        <v>497</v>
      </c>
      <c r="E644" s="336" t="s">
        <v>498</v>
      </c>
      <c r="F644" s="336" t="s">
        <v>60</v>
      </c>
      <c r="G644" s="337">
        <v>1</v>
      </c>
      <c r="H644" s="338">
        <v>0</v>
      </c>
      <c r="I644" s="339">
        <v>76955.079706571996</v>
      </c>
      <c r="J644" s="340">
        <v>76955.079706571996</v>
      </c>
      <c r="K644" s="335" t="s">
        <v>1180</v>
      </c>
      <c r="L644" s="335">
        <v>2</v>
      </c>
      <c r="M644" s="335" t="s">
        <v>1182</v>
      </c>
      <c r="N644" s="339">
        <v>50</v>
      </c>
      <c r="O644" s="341">
        <v>0.02</v>
      </c>
      <c r="P644" s="341" t="s">
        <v>25</v>
      </c>
      <c r="Q644" s="341">
        <v>0</v>
      </c>
      <c r="R644" s="342" t="s">
        <v>25</v>
      </c>
      <c r="S644" s="342" t="s">
        <v>25</v>
      </c>
    </row>
    <row r="645" spans="1:19" ht="15" customHeight="1" x14ac:dyDescent="0.3">
      <c r="A645" s="335" t="s">
        <v>1183</v>
      </c>
      <c r="B645" s="335" t="s">
        <v>20</v>
      </c>
      <c r="C645" s="335"/>
      <c r="D645" s="335" t="s">
        <v>372</v>
      </c>
      <c r="E645" s="336" t="s">
        <v>373</v>
      </c>
      <c r="F645" s="336"/>
      <c r="G645" s="337">
        <v>1</v>
      </c>
      <c r="H645" s="338">
        <v>0</v>
      </c>
      <c r="I645" s="339">
        <v>1723.6259595547101</v>
      </c>
      <c r="J645" s="340">
        <v>1723.6259595547101</v>
      </c>
      <c r="K645" s="335" t="s">
        <v>1184</v>
      </c>
      <c r="L645" s="335">
        <v>1</v>
      </c>
      <c r="M645" s="335" t="s">
        <v>1185</v>
      </c>
      <c r="N645" s="339">
        <v>20</v>
      </c>
      <c r="O645" s="341">
        <v>1</v>
      </c>
      <c r="P645" s="341" t="s">
        <v>25</v>
      </c>
      <c r="Q645" s="341">
        <v>0</v>
      </c>
      <c r="R645" s="342" t="s">
        <v>25</v>
      </c>
      <c r="S645" s="342" t="s">
        <v>25</v>
      </c>
    </row>
    <row r="646" spans="1:19" ht="15" customHeight="1" x14ac:dyDescent="0.3">
      <c r="A646" s="335" t="s">
        <v>1183</v>
      </c>
      <c r="B646" s="335" t="s">
        <v>20</v>
      </c>
      <c r="C646" s="335"/>
      <c r="D646" s="335" t="s">
        <v>376</v>
      </c>
      <c r="E646" s="336" t="s">
        <v>377</v>
      </c>
      <c r="F646" s="336"/>
      <c r="G646" s="337">
        <v>1</v>
      </c>
      <c r="H646" s="338">
        <v>0</v>
      </c>
      <c r="I646" s="339">
        <v>200.25307946474501</v>
      </c>
      <c r="J646" s="340">
        <v>200.25307946474501</v>
      </c>
      <c r="K646" s="335" t="s">
        <v>1184</v>
      </c>
      <c r="L646" s="335">
        <v>2</v>
      </c>
      <c r="M646" s="335" t="s">
        <v>1186</v>
      </c>
      <c r="N646" s="339">
        <v>20</v>
      </c>
      <c r="O646" s="341">
        <v>1</v>
      </c>
      <c r="P646" s="341" t="s">
        <v>25</v>
      </c>
      <c r="Q646" s="341">
        <v>0</v>
      </c>
      <c r="R646" s="342" t="s">
        <v>25</v>
      </c>
      <c r="S646" s="342" t="s">
        <v>25</v>
      </c>
    </row>
    <row r="647" spans="1:19" ht="15" customHeight="1" x14ac:dyDescent="0.3">
      <c r="A647" s="335" t="s">
        <v>1183</v>
      </c>
      <c r="B647" s="335" t="s">
        <v>26</v>
      </c>
      <c r="C647" s="335" t="s">
        <v>27</v>
      </c>
      <c r="D647" s="335" t="s">
        <v>383</v>
      </c>
      <c r="E647" s="336" t="s">
        <v>384</v>
      </c>
      <c r="F647" s="336" t="s">
        <v>35</v>
      </c>
      <c r="G647" s="337">
        <v>0.01</v>
      </c>
      <c r="H647" s="338">
        <v>0.05</v>
      </c>
      <c r="I647" s="339">
        <v>5661.4</v>
      </c>
      <c r="J647" s="340">
        <v>59.444699999999997</v>
      </c>
      <c r="K647" s="335" t="s">
        <v>1187</v>
      </c>
      <c r="L647" s="335">
        <v>1</v>
      </c>
      <c r="M647" s="335" t="s">
        <v>1188</v>
      </c>
      <c r="N647" s="339">
        <v>20</v>
      </c>
      <c r="O647" s="341">
        <v>0.01</v>
      </c>
      <c r="P647" s="341" t="s">
        <v>25</v>
      </c>
      <c r="Q647" s="341">
        <v>0</v>
      </c>
      <c r="R647" s="342" t="s">
        <v>25</v>
      </c>
      <c r="S647" s="342" t="s">
        <v>25</v>
      </c>
    </row>
    <row r="648" spans="1:19" ht="15" customHeight="1" x14ac:dyDescent="0.3">
      <c r="A648" s="335" t="s">
        <v>1183</v>
      </c>
      <c r="B648" s="335" t="s">
        <v>26</v>
      </c>
      <c r="C648" s="335" t="s">
        <v>27</v>
      </c>
      <c r="D648" s="335" t="s">
        <v>386</v>
      </c>
      <c r="E648" s="336" t="s">
        <v>387</v>
      </c>
      <c r="F648" s="336" t="s">
        <v>35</v>
      </c>
      <c r="G648" s="337">
        <v>0.05</v>
      </c>
      <c r="H648" s="338">
        <v>0.1</v>
      </c>
      <c r="I648" s="339">
        <v>3293.01</v>
      </c>
      <c r="J648" s="340">
        <v>181.11555000000001</v>
      </c>
      <c r="K648" s="335" t="s">
        <v>1187</v>
      </c>
      <c r="L648" s="335">
        <v>2</v>
      </c>
      <c r="M648" s="335" t="s">
        <v>1189</v>
      </c>
      <c r="N648" s="339">
        <v>20</v>
      </c>
      <c r="O648" s="341">
        <v>0.05</v>
      </c>
      <c r="P648" s="341" t="s">
        <v>25</v>
      </c>
      <c r="Q648" s="341">
        <v>0</v>
      </c>
      <c r="R648" s="342" t="s">
        <v>25</v>
      </c>
      <c r="S648" s="342" t="s">
        <v>25</v>
      </c>
    </row>
    <row r="649" spans="1:19" ht="15" customHeight="1" x14ac:dyDescent="0.3">
      <c r="A649" s="335" t="s">
        <v>1183</v>
      </c>
      <c r="B649" s="335" t="s">
        <v>26</v>
      </c>
      <c r="C649" s="335" t="s">
        <v>27</v>
      </c>
      <c r="D649" s="335" t="s">
        <v>33</v>
      </c>
      <c r="E649" s="336" t="s">
        <v>34</v>
      </c>
      <c r="F649" s="336" t="s">
        <v>35</v>
      </c>
      <c r="G649" s="337">
        <v>0.03</v>
      </c>
      <c r="H649" s="338">
        <v>0.05</v>
      </c>
      <c r="I649" s="339">
        <v>735.06</v>
      </c>
      <c r="J649" s="340">
        <v>23.154389999999999</v>
      </c>
      <c r="K649" s="335" t="s">
        <v>1187</v>
      </c>
      <c r="L649" s="335">
        <v>3</v>
      </c>
      <c r="M649" s="335" t="s">
        <v>1190</v>
      </c>
      <c r="N649" s="339">
        <v>20</v>
      </c>
      <c r="O649" s="341">
        <v>0.03</v>
      </c>
      <c r="P649" s="341" t="s">
        <v>25</v>
      </c>
      <c r="Q649" s="341">
        <v>0</v>
      </c>
      <c r="R649" s="342" t="s">
        <v>25</v>
      </c>
      <c r="S649" s="342" t="s">
        <v>25</v>
      </c>
    </row>
    <row r="650" spans="1:19" ht="15" customHeight="1" x14ac:dyDescent="0.3">
      <c r="A650" s="335" t="s">
        <v>1183</v>
      </c>
      <c r="B650" s="335" t="s">
        <v>26</v>
      </c>
      <c r="C650" s="335" t="s">
        <v>27</v>
      </c>
      <c r="D650" s="335" t="s">
        <v>1023</v>
      </c>
      <c r="E650" s="336" t="s">
        <v>1024</v>
      </c>
      <c r="F650" s="336" t="s">
        <v>35</v>
      </c>
      <c r="G650" s="337">
        <v>5.0000000000000001E-3</v>
      </c>
      <c r="H650" s="338">
        <v>0.05</v>
      </c>
      <c r="I650" s="339">
        <v>6678.36</v>
      </c>
      <c r="J650" s="340">
        <v>35.061390000000003</v>
      </c>
      <c r="K650" s="335" t="s">
        <v>1187</v>
      </c>
      <c r="L650" s="335">
        <v>4</v>
      </c>
      <c r="M650" s="335" t="s">
        <v>1191</v>
      </c>
      <c r="N650" s="339">
        <v>20</v>
      </c>
      <c r="O650" s="341">
        <v>5.0000000000000001E-3</v>
      </c>
      <c r="P650" s="341" t="s">
        <v>25</v>
      </c>
      <c r="Q650" s="341">
        <v>0</v>
      </c>
      <c r="R650" s="342" t="s">
        <v>25</v>
      </c>
      <c r="S650" s="342" t="s">
        <v>25</v>
      </c>
    </row>
    <row r="651" spans="1:19" ht="15" customHeight="1" x14ac:dyDescent="0.3">
      <c r="A651" s="335" t="s">
        <v>1183</v>
      </c>
      <c r="B651" s="335" t="s">
        <v>26</v>
      </c>
      <c r="C651" s="335" t="s">
        <v>27</v>
      </c>
      <c r="D651" s="335" t="s">
        <v>40</v>
      </c>
      <c r="E651" s="336" t="s">
        <v>41</v>
      </c>
      <c r="F651" s="336" t="s">
        <v>35</v>
      </c>
      <c r="G651" s="337">
        <v>5.0000000000000001E-3</v>
      </c>
      <c r="H651" s="338">
        <v>0.05</v>
      </c>
      <c r="I651" s="339">
        <v>5282.24</v>
      </c>
      <c r="J651" s="340">
        <v>27.731760000000001</v>
      </c>
      <c r="K651" s="335" t="s">
        <v>1187</v>
      </c>
      <c r="L651" s="335">
        <v>5</v>
      </c>
      <c r="M651" s="335" t="s">
        <v>1192</v>
      </c>
      <c r="N651" s="339">
        <v>20</v>
      </c>
      <c r="O651" s="341">
        <v>5.0000000000000001E-3</v>
      </c>
      <c r="P651" s="341" t="s">
        <v>25</v>
      </c>
      <c r="Q651" s="341">
        <v>0</v>
      </c>
      <c r="R651" s="342" t="s">
        <v>25</v>
      </c>
      <c r="S651" s="342" t="s">
        <v>25</v>
      </c>
    </row>
    <row r="652" spans="1:19" ht="15" customHeight="1" x14ac:dyDescent="0.3">
      <c r="A652" s="335" t="s">
        <v>1183</v>
      </c>
      <c r="B652" s="335" t="s">
        <v>26</v>
      </c>
      <c r="C652" s="335" t="s">
        <v>27</v>
      </c>
      <c r="D652" s="335" t="s">
        <v>392</v>
      </c>
      <c r="E652" s="336" t="s">
        <v>393</v>
      </c>
      <c r="F652" s="336" t="s">
        <v>35</v>
      </c>
      <c r="G652" s="337">
        <v>0.01</v>
      </c>
      <c r="H652" s="338">
        <v>0.05</v>
      </c>
      <c r="I652" s="339">
        <v>7427.6</v>
      </c>
      <c r="J652" s="340">
        <v>77.989800000000002</v>
      </c>
      <c r="K652" s="335" t="s">
        <v>1187</v>
      </c>
      <c r="L652" s="335">
        <v>6</v>
      </c>
      <c r="M652" s="335" t="s">
        <v>1193</v>
      </c>
      <c r="N652" s="339">
        <v>20</v>
      </c>
      <c r="O652" s="341">
        <v>0.01</v>
      </c>
      <c r="P652" s="341" t="s">
        <v>25</v>
      </c>
      <c r="Q652" s="341">
        <v>0</v>
      </c>
      <c r="R652" s="342" t="s">
        <v>25</v>
      </c>
      <c r="S652" s="342" t="s">
        <v>25</v>
      </c>
    </row>
    <row r="653" spans="1:19" ht="15" customHeight="1" x14ac:dyDescent="0.3">
      <c r="A653" s="335" t="s">
        <v>1183</v>
      </c>
      <c r="B653" s="335" t="s">
        <v>26</v>
      </c>
      <c r="C653" s="335" t="s">
        <v>27</v>
      </c>
      <c r="D653" s="335" t="s">
        <v>395</v>
      </c>
      <c r="E653" s="336" t="s">
        <v>396</v>
      </c>
      <c r="F653" s="336" t="s">
        <v>397</v>
      </c>
      <c r="G653" s="337">
        <v>1.2500000000000001E-2</v>
      </c>
      <c r="H653" s="338">
        <v>0.1</v>
      </c>
      <c r="I653" s="339">
        <v>120622.23</v>
      </c>
      <c r="J653" s="340">
        <v>1658.5556624999999</v>
      </c>
      <c r="K653" s="335" t="s">
        <v>1187</v>
      </c>
      <c r="L653" s="335">
        <v>7</v>
      </c>
      <c r="M653" s="335" t="s">
        <v>1194</v>
      </c>
      <c r="N653" s="339">
        <v>20</v>
      </c>
      <c r="O653" s="341">
        <v>1.2500000000000001E-2</v>
      </c>
      <c r="P653" s="341" t="s">
        <v>25</v>
      </c>
      <c r="Q653" s="341">
        <v>0</v>
      </c>
      <c r="R653" s="342" t="s">
        <v>25</v>
      </c>
      <c r="S653" s="342" t="s">
        <v>25</v>
      </c>
    </row>
    <row r="654" spans="1:19" ht="15" customHeight="1" x14ac:dyDescent="0.3">
      <c r="A654" s="335" t="s">
        <v>1183</v>
      </c>
      <c r="B654" s="335" t="s">
        <v>56</v>
      </c>
      <c r="C654" s="335" t="s">
        <v>57</v>
      </c>
      <c r="D654" s="343" t="s">
        <v>63</v>
      </c>
      <c r="E654" s="336" t="s">
        <v>64</v>
      </c>
      <c r="F654" s="336" t="s">
        <v>60</v>
      </c>
      <c r="G654" s="337">
        <v>1</v>
      </c>
      <c r="H654" s="338">
        <v>0</v>
      </c>
      <c r="I654" s="339">
        <v>85927.097156571996</v>
      </c>
      <c r="J654" s="340">
        <v>85927.097156571996</v>
      </c>
      <c r="K654" s="335" t="s">
        <v>1195</v>
      </c>
      <c r="L654" s="335">
        <v>1</v>
      </c>
      <c r="M654" s="335" t="s">
        <v>1196</v>
      </c>
      <c r="N654" s="339">
        <v>20</v>
      </c>
      <c r="O654" s="341">
        <v>0.05</v>
      </c>
      <c r="P654" s="341" t="s">
        <v>25</v>
      </c>
      <c r="Q654" s="341">
        <v>0</v>
      </c>
      <c r="R654" s="342" t="s">
        <v>25</v>
      </c>
      <c r="S654" s="342" t="s">
        <v>25</v>
      </c>
    </row>
    <row r="655" spans="1:19" ht="15" customHeight="1" x14ac:dyDescent="0.3">
      <c r="A655" s="335" t="s">
        <v>1197</v>
      </c>
      <c r="B655" s="335" t="s">
        <v>20</v>
      </c>
      <c r="C655" s="335"/>
      <c r="D655" s="335" t="s">
        <v>21</v>
      </c>
      <c r="E655" s="336" t="s">
        <v>22</v>
      </c>
      <c r="F655" s="336"/>
      <c r="G655" s="337">
        <v>1</v>
      </c>
      <c r="H655" s="338">
        <v>0</v>
      </c>
      <c r="I655" s="339">
        <v>804.50568716119994</v>
      </c>
      <c r="J655" s="340">
        <v>804.50568716119994</v>
      </c>
      <c r="K655" s="335" t="s">
        <v>1198</v>
      </c>
      <c r="L655" s="335">
        <v>1</v>
      </c>
      <c r="M655" s="335" t="s">
        <v>1199</v>
      </c>
      <c r="N655" s="339">
        <v>80</v>
      </c>
      <c r="O655" s="341">
        <v>1</v>
      </c>
      <c r="P655" s="341">
        <v>186</v>
      </c>
      <c r="Q655" s="341">
        <v>186</v>
      </c>
      <c r="R655" s="342">
        <v>5.05</v>
      </c>
      <c r="S655" s="342" t="s">
        <v>106</v>
      </c>
    </row>
    <row r="656" spans="1:19" ht="15" customHeight="1" x14ac:dyDescent="0.3">
      <c r="A656" s="335" t="s">
        <v>1197</v>
      </c>
      <c r="B656" s="335" t="s">
        <v>26</v>
      </c>
      <c r="C656" s="335" t="s">
        <v>27</v>
      </c>
      <c r="D656" s="335" t="s">
        <v>28</v>
      </c>
      <c r="E656" s="336" t="s">
        <v>29</v>
      </c>
      <c r="F656" s="336" t="s">
        <v>30</v>
      </c>
      <c r="G656" s="337">
        <v>2E-3</v>
      </c>
      <c r="H656" s="338">
        <v>0.05</v>
      </c>
      <c r="I656" s="339">
        <v>26907.33</v>
      </c>
      <c r="J656" s="340">
        <v>56.505392999999998</v>
      </c>
      <c r="K656" s="335" t="s">
        <v>1200</v>
      </c>
      <c r="L656" s="335">
        <v>1</v>
      </c>
      <c r="M656" s="335" t="s">
        <v>1201</v>
      </c>
      <c r="N656" s="339">
        <v>80</v>
      </c>
      <c r="O656" s="341">
        <v>2E-3</v>
      </c>
      <c r="P656" s="341">
        <v>186</v>
      </c>
      <c r="Q656" s="341">
        <v>0.372</v>
      </c>
      <c r="R656" s="342">
        <v>5.05</v>
      </c>
      <c r="S656" s="342" t="s">
        <v>106</v>
      </c>
    </row>
    <row r="657" spans="1:19" ht="15" customHeight="1" x14ac:dyDescent="0.3">
      <c r="A657" s="335" t="s">
        <v>1197</v>
      </c>
      <c r="B657" s="335" t="s">
        <v>26</v>
      </c>
      <c r="C657" s="335" t="s">
        <v>27</v>
      </c>
      <c r="D657" s="335" t="s">
        <v>33</v>
      </c>
      <c r="E657" s="336" t="s">
        <v>34</v>
      </c>
      <c r="F657" s="336" t="s">
        <v>35</v>
      </c>
      <c r="G657" s="337">
        <v>0.02</v>
      </c>
      <c r="H657" s="338">
        <v>0.05</v>
      </c>
      <c r="I657" s="339">
        <v>735.06</v>
      </c>
      <c r="J657" s="340">
        <v>15.436260000000001</v>
      </c>
      <c r="K657" s="335" t="s">
        <v>1200</v>
      </c>
      <c r="L657" s="335">
        <v>2</v>
      </c>
      <c r="M657" s="335" t="s">
        <v>1202</v>
      </c>
      <c r="N657" s="339">
        <v>80</v>
      </c>
      <c r="O657" s="341">
        <v>0.02</v>
      </c>
      <c r="P657" s="341">
        <v>186</v>
      </c>
      <c r="Q657" s="341">
        <v>3.72</v>
      </c>
      <c r="R657" s="342">
        <v>5.05</v>
      </c>
      <c r="S657" s="342" t="s">
        <v>106</v>
      </c>
    </row>
    <row r="658" spans="1:19" ht="15" customHeight="1" x14ac:dyDescent="0.3">
      <c r="A658" s="335" t="s">
        <v>1197</v>
      </c>
      <c r="B658" s="335" t="s">
        <v>26</v>
      </c>
      <c r="C658" s="335" t="s">
        <v>27</v>
      </c>
      <c r="D658" s="335" t="s">
        <v>37</v>
      </c>
      <c r="E658" s="336" t="s">
        <v>38</v>
      </c>
      <c r="F658" s="336" t="s">
        <v>35</v>
      </c>
      <c r="G658" s="337">
        <v>0.01</v>
      </c>
      <c r="H658" s="338">
        <v>0.05</v>
      </c>
      <c r="I658" s="339">
        <v>6678.36</v>
      </c>
      <c r="J658" s="340">
        <v>70.122780000000006</v>
      </c>
      <c r="K658" s="335" t="s">
        <v>1200</v>
      </c>
      <c r="L658" s="335">
        <v>3</v>
      </c>
      <c r="M658" s="335" t="s">
        <v>1203</v>
      </c>
      <c r="N658" s="339">
        <v>80</v>
      </c>
      <c r="O658" s="341">
        <v>0.01</v>
      </c>
      <c r="P658" s="341">
        <v>186</v>
      </c>
      <c r="Q658" s="341">
        <v>1.86</v>
      </c>
      <c r="R658" s="342">
        <v>5.05</v>
      </c>
      <c r="S658" s="342" t="s">
        <v>106</v>
      </c>
    </row>
    <row r="659" spans="1:19" ht="15" customHeight="1" x14ac:dyDescent="0.3">
      <c r="A659" s="335" t="s">
        <v>1197</v>
      </c>
      <c r="B659" s="335" t="s">
        <v>26</v>
      </c>
      <c r="C659" s="335" t="s">
        <v>27</v>
      </c>
      <c r="D659" s="335" t="s">
        <v>40</v>
      </c>
      <c r="E659" s="336" t="s">
        <v>41</v>
      </c>
      <c r="F659" s="336" t="s">
        <v>35</v>
      </c>
      <c r="G659" s="337">
        <v>0.02</v>
      </c>
      <c r="H659" s="338">
        <v>0.05</v>
      </c>
      <c r="I659" s="339">
        <v>5282.24</v>
      </c>
      <c r="J659" s="340">
        <v>110.92704000000001</v>
      </c>
      <c r="K659" s="335" t="s">
        <v>1200</v>
      </c>
      <c r="L659" s="335">
        <v>4</v>
      </c>
      <c r="M659" s="335" t="s">
        <v>1204</v>
      </c>
      <c r="N659" s="339">
        <v>80</v>
      </c>
      <c r="O659" s="341">
        <v>0.02</v>
      </c>
      <c r="P659" s="341">
        <v>186</v>
      </c>
      <c r="Q659" s="341">
        <v>3.72</v>
      </c>
      <c r="R659" s="342">
        <v>5.05</v>
      </c>
      <c r="S659" s="342" t="s">
        <v>106</v>
      </c>
    </row>
    <row r="660" spans="1:19" ht="15" customHeight="1" x14ac:dyDescent="0.3">
      <c r="A660" s="335" t="s">
        <v>1197</v>
      </c>
      <c r="B660" s="335" t="s">
        <v>26</v>
      </c>
      <c r="C660" s="335" t="s">
        <v>27</v>
      </c>
      <c r="D660" s="335" t="s">
        <v>50</v>
      </c>
      <c r="E660" s="336" t="s">
        <v>51</v>
      </c>
      <c r="F660" s="336" t="s">
        <v>30</v>
      </c>
      <c r="G660" s="337">
        <v>2.7777777777777801E-2</v>
      </c>
      <c r="H660" s="338">
        <v>0.1</v>
      </c>
      <c r="I660" s="339">
        <v>32845.78</v>
      </c>
      <c r="J660" s="340">
        <v>1003.62105555556</v>
      </c>
      <c r="K660" s="335" t="s">
        <v>1200</v>
      </c>
      <c r="L660" s="335">
        <v>5</v>
      </c>
      <c r="M660" s="335" t="s">
        <v>1205</v>
      </c>
      <c r="N660" s="339">
        <v>80</v>
      </c>
      <c r="O660" s="341">
        <v>2.7777777777777801E-2</v>
      </c>
      <c r="P660" s="341">
        <v>186</v>
      </c>
      <c r="Q660" s="341">
        <v>5.1666666666666696</v>
      </c>
      <c r="R660" s="342">
        <v>5.05</v>
      </c>
      <c r="S660" s="342" t="s">
        <v>106</v>
      </c>
    </row>
    <row r="661" spans="1:19" ht="15" customHeight="1" x14ac:dyDescent="0.3">
      <c r="A661" s="335" t="s">
        <v>1197</v>
      </c>
      <c r="B661" s="335" t="s">
        <v>56</v>
      </c>
      <c r="C661" s="335" t="s">
        <v>57</v>
      </c>
      <c r="D661" s="343" t="s">
        <v>58</v>
      </c>
      <c r="E661" s="336" t="s">
        <v>59</v>
      </c>
      <c r="F661" s="336" t="s">
        <v>60</v>
      </c>
      <c r="G661" s="337">
        <v>1</v>
      </c>
      <c r="H661" s="338">
        <v>0</v>
      </c>
      <c r="I661" s="339">
        <v>60860.580776572002</v>
      </c>
      <c r="J661" s="340">
        <v>60860.580776572002</v>
      </c>
      <c r="K661" s="335" t="s">
        <v>1206</v>
      </c>
      <c r="L661" s="335">
        <v>1</v>
      </c>
      <c r="M661" s="335" t="s">
        <v>1207</v>
      </c>
      <c r="N661" s="339">
        <v>80</v>
      </c>
      <c r="O661" s="341">
        <v>1.2500000000000001E-2</v>
      </c>
      <c r="P661" s="341">
        <v>186</v>
      </c>
      <c r="Q661" s="341">
        <v>2.3250000000000002</v>
      </c>
      <c r="R661" s="342">
        <v>5.05</v>
      </c>
      <c r="S661" s="342" t="s">
        <v>106</v>
      </c>
    </row>
    <row r="662" spans="1:19" ht="15" customHeight="1" x14ac:dyDescent="0.3">
      <c r="A662" s="335" t="s">
        <v>1197</v>
      </c>
      <c r="B662" s="335" t="s">
        <v>56</v>
      </c>
      <c r="C662" s="335" t="s">
        <v>57</v>
      </c>
      <c r="D662" s="343" t="s">
        <v>497</v>
      </c>
      <c r="E662" s="336" t="s">
        <v>498</v>
      </c>
      <c r="F662" s="336" t="s">
        <v>60</v>
      </c>
      <c r="G662" s="337">
        <v>1</v>
      </c>
      <c r="H662" s="338">
        <v>0</v>
      </c>
      <c r="I662" s="339">
        <v>76955.079706571996</v>
      </c>
      <c r="J662" s="340">
        <v>76955.079706571996</v>
      </c>
      <c r="K662" s="335" t="s">
        <v>1206</v>
      </c>
      <c r="L662" s="335">
        <v>2</v>
      </c>
      <c r="M662" s="335" t="s">
        <v>1208</v>
      </c>
      <c r="N662" s="339">
        <v>80</v>
      </c>
      <c r="O662" s="341">
        <v>1.2500000000000001E-2</v>
      </c>
      <c r="P662" s="341">
        <v>186</v>
      </c>
      <c r="Q662" s="341">
        <v>2.3250000000000002</v>
      </c>
      <c r="R662" s="342">
        <v>5.05</v>
      </c>
      <c r="S662" s="342" t="s">
        <v>106</v>
      </c>
    </row>
    <row r="663" spans="1:19" ht="15" customHeight="1" x14ac:dyDescent="0.3">
      <c r="A663" s="335" t="s">
        <v>1209</v>
      </c>
      <c r="B663" s="335" t="s">
        <v>20</v>
      </c>
      <c r="C663" s="335"/>
      <c r="D663" s="335" t="s">
        <v>372</v>
      </c>
      <c r="E663" s="336" t="s">
        <v>373</v>
      </c>
      <c r="F663" s="336"/>
      <c r="G663" s="337">
        <v>1</v>
      </c>
      <c r="H663" s="338">
        <v>0</v>
      </c>
      <c r="I663" s="339">
        <v>1723.6259595547101</v>
      </c>
      <c r="J663" s="340">
        <v>1723.6259595547101</v>
      </c>
      <c r="K663" s="335" t="s">
        <v>1210</v>
      </c>
      <c r="L663" s="335">
        <v>1</v>
      </c>
      <c r="M663" s="335" t="s">
        <v>1211</v>
      </c>
      <c r="N663" s="339">
        <v>20</v>
      </c>
      <c r="O663" s="341">
        <v>1</v>
      </c>
      <c r="P663" s="341">
        <v>1439</v>
      </c>
      <c r="Q663" s="341">
        <v>1439</v>
      </c>
      <c r="R663" s="342">
        <v>15.02</v>
      </c>
      <c r="S663" s="342" t="s">
        <v>25</v>
      </c>
    </row>
    <row r="664" spans="1:19" ht="15" customHeight="1" x14ac:dyDescent="0.3">
      <c r="A664" s="335" t="s">
        <v>1209</v>
      </c>
      <c r="B664" s="335" t="s">
        <v>20</v>
      </c>
      <c r="C664" s="335"/>
      <c r="D664" s="335" t="s">
        <v>376</v>
      </c>
      <c r="E664" s="336" t="s">
        <v>377</v>
      </c>
      <c r="F664" s="336"/>
      <c r="G664" s="337">
        <v>1</v>
      </c>
      <c r="H664" s="338">
        <v>0</v>
      </c>
      <c r="I664" s="339">
        <v>200.25307946474501</v>
      </c>
      <c r="J664" s="340">
        <v>200.25307946474501</v>
      </c>
      <c r="K664" s="335" t="s">
        <v>1210</v>
      </c>
      <c r="L664" s="335">
        <v>2</v>
      </c>
      <c r="M664" s="335" t="s">
        <v>1212</v>
      </c>
      <c r="N664" s="339">
        <v>20</v>
      </c>
      <c r="O664" s="341">
        <v>1</v>
      </c>
      <c r="P664" s="341">
        <v>1439</v>
      </c>
      <c r="Q664" s="341">
        <v>1439</v>
      </c>
      <c r="R664" s="342">
        <v>15.02</v>
      </c>
      <c r="S664" s="342" t="s">
        <v>25</v>
      </c>
    </row>
    <row r="665" spans="1:19" ht="15" customHeight="1" x14ac:dyDescent="0.3">
      <c r="A665" s="335" t="s">
        <v>1209</v>
      </c>
      <c r="B665" s="335" t="s">
        <v>26</v>
      </c>
      <c r="C665" s="335" t="s">
        <v>27</v>
      </c>
      <c r="D665" s="335" t="s">
        <v>379</v>
      </c>
      <c r="E665" s="336" t="s">
        <v>380</v>
      </c>
      <c r="F665" s="336" t="s">
        <v>30</v>
      </c>
      <c r="G665" s="337">
        <v>4.0000000000000001E-3</v>
      </c>
      <c r="H665" s="338">
        <v>0.05</v>
      </c>
      <c r="I665" s="339">
        <v>30467.49</v>
      </c>
      <c r="J665" s="340">
        <v>127.963458</v>
      </c>
      <c r="K665" s="335" t="s">
        <v>1213</v>
      </c>
      <c r="L665" s="335">
        <v>1</v>
      </c>
      <c r="M665" s="335" t="s">
        <v>1214</v>
      </c>
      <c r="N665" s="339">
        <v>20</v>
      </c>
      <c r="O665" s="341">
        <v>4.0000000000000001E-3</v>
      </c>
      <c r="P665" s="341">
        <v>1439</v>
      </c>
      <c r="Q665" s="341">
        <v>5.7560000000000002</v>
      </c>
      <c r="R665" s="342">
        <v>15.02</v>
      </c>
      <c r="S665" s="342" t="s">
        <v>25</v>
      </c>
    </row>
    <row r="666" spans="1:19" ht="15" customHeight="1" x14ac:dyDescent="0.3">
      <c r="A666" s="335" t="s">
        <v>1209</v>
      </c>
      <c r="B666" s="335" t="s">
        <v>26</v>
      </c>
      <c r="C666" s="335" t="s">
        <v>27</v>
      </c>
      <c r="D666" s="335" t="s">
        <v>383</v>
      </c>
      <c r="E666" s="336" t="s">
        <v>384</v>
      </c>
      <c r="F666" s="336" t="s">
        <v>35</v>
      </c>
      <c r="G666" s="337">
        <v>1.4999999999999999E-2</v>
      </c>
      <c r="H666" s="338">
        <v>0.05</v>
      </c>
      <c r="I666" s="339">
        <v>5661.4</v>
      </c>
      <c r="J666" s="340">
        <v>89.167050000000003</v>
      </c>
      <c r="K666" s="335" t="s">
        <v>1213</v>
      </c>
      <c r="L666" s="335">
        <v>2</v>
      </c>
      <c r="M666" s="335" t="s">
        <v>1215</v>
      </c>
      <c r="N666" s="339">
        <v>20</v>
      </c>
      <c r="O666" s="341">
        <v>1.4999999999999999E-2</v>
      </c>
      <c r="P666" s="341">
        <v>1439</v>
      </c>
      <c r="Q666" s="341">
        <v>21.585000000000001</v>
      </c>
      <c r="R666" s="342">
        <v>15.02</v>
      </c>
      <c r="S666" s="342" t="s">
        <v>25</v>
      </c>
    </row>
    <row r="667" spans="1:19" ht="15" customHeight="1" x14ac:dyDescent="0.3">
      <c r="A667" s="335" t="s">
        <v>1209</v>
      </c>
      <c r="B667" s="335" t="s">
        <v>26</v>
      </c>
      <c r="C667" s="335" t="s">
        <v>27</v>
      </c>
      <c r="D667" s="335" t="s">
        <v>386</v>
      </c>
      <c r="E667" s="336" t="s">
        <v>387</v>
      </c>
      <c r="F667" s="336" t="s">
        <v>35</v>
      </c>
      <c r="G667" s="337">
        <v>0.05</v>
      </c>
      <c r="H667" s="338">
        <v>0.1</v>
      </c>
      <c r="I667" s="339">
        <v>3293.01</v>
      </c>
      <c r="J667" s="340">
        <v>181.11555000000001</v>
      </c>
      <c r="K667" s="335" t="s">
        <v>1213</v>
      </c>
      <c r="L667" s="335">
        <v>3</v>
      </c>
      <c r="M667" s="335" t="s">
        <v>1216</v>
      </c>
      <c r="N667" s="339">
        <v>20</v>
      </c>
      <c r="O667" s="341">
        <v>0.05</v>
      </c>
      <c r="P667" s="341">
        <v>1439</v>
      </c>
      <c r="Q667" s="341">
        <v>71.95</v>
      </c>
      <c r="R667" s="342">
        <v>15.02</v>
      </c>
      <c r="S667" s="342" t="s">
        <v>25</v>
      </c>
    </row>
    <row r="668" spans="1:19" ht="15" customHeight="1" x14ac:dyDescent="0.3">
      <c r="A668" s="335" t="s">
        <v>1209</v>
      </c>
      <c r="B668" s="335" t="s">
        <v>26</v>
      </c>
      <c r="C668" s="335" t="s">
        <v>27</v>
      </c>
      <c r="D668" s="335" t="s">
        <v>33</v>
      </c>
      <c r="E668" s="336" t="s">
        <v>34</v>
      </c>
      <c r="F668" s="336" t="s">
        <v>35</v>
      </c>
      <c r="G668" s="337">
        <v>0.03</v>
      </c>
      <c r="H668" s="338">
        <v>0.05</v>
      </c>
      <c r="I668" s="339">
        <v>735.06</v>
      </c>
      <c r="J668" s="340">
        <v>23.154389999999999</v>
      </c>
      <c r="K668" s="335" t="s">
        <v>1213</v>
      </c>
      <c r="L668" s="335">
        <v>4</v>
      </c>
      <c r="M668" s="335" t="s">
        <v>1217</v>
      </c>
      <c r="N668" s="339">
        <v>20</v>
      </c>
      <c r="O668" s="341">
        <v>0.03</v>
      </c>
      <c r="P668" s="341">
        <v>1439</v>
      </c>
      <c r="Q668" s="341">
        <v>43.17</v>
      </c>
      <c r="R668" s="342">
        <v>15.02</v>
      </c>
      <c r="S668" s="342" t="s">
        <v>25</v>
      </c>
    </row>
    <row r="669" spans="1:19" ht="15" customHeight="1" x14ac:dyDescent="0.3">
      <c r="A669" s="335" t="s">
        <v>1209</v>
      </c>
      <c r="B669" s="335" t="s">
        <v>26</v>
      </c>
      <c r="C669" s="335" t="s">
        <v>27</v>
      </c>
      <c r="D669" s="335" t="s">
        <v>1023</v>
      </c>
      <c r="E669" s="336" t="s">
        <v>1024</v>
      </c>
      <c r="F669" s="336" t="s">
        <v>35</v>
      </c>
      <c r="G669" s="337">
        <v>5.0000000000000001E-3</v>
      </c>
      <c r="H669" s="338">
        <v>0.05</v>
      </c>
      <c r="I669" s="339">
        <v>6678.36</v>
      </c>
      <c r="J669" s="340">
        <v>35.061390000000003</v>
      </c>
      <c r="K669" s="335" t="s">
        <v>1213</v>
      </c>
      <c r="L669" s="335">
        <v>5</v>
      </c>
      <c r="M669" s="335" t="s">
        <v>1218</v>
      </c>
      <c r="N669" s="339">
        <v>20</v>
      </c>
      <c r="O669" s="341">
        <v>5.0000000000000001E-3</v>
      </c>
      <c r="P669" s="341">
        <v>1439</v>
      </c>
      <c r="Q669" s="341">
        <v>7.1950000000000003</v>
      </c>
      <c r="R669" s="342">
        <v>15.02</v>
      </c>
      <c r="S669" s="342" t="s">
        <v>25</v>
      </c>
    </row>
    <row r="670" spans="1:19" ht="15" customHeight="1" x14ac:dyDescent="0.3">
      <c r="A670" s="335" t="s">
        <v>1209</v>
      </c>
      <c r="B670" s="335" t="s">
        <v>26</v>
      </c>
      <c r="C670" s="335" t="s">
        <v>27</v>
      </c>
      <c r="D670" s="335" t="s">
        <v>40</v>
      </c>
      <c r="E670" s="336" t="s">
        <v>41</v>
      </c>
      <c r="F670" s="336" t="s">
        <v>35</v>
      </c>
      <c r="G670" s="337">
        <v>5.0000000000000001E-3</v>
      </c>
      <c r="H670" s="338">
        <v>0.05</v>
      </c>
      <c r="I670" s="339">
        <v>5282.24</v>
      </c>
      <c r="J670" s="340">
        <v>27.731760000000001</v>
      </c>
      <c r="K670" s="335" t="s">
        <v>1213</v>
      </c>
      <c r="L670" s="335">
        <v>6</v>
      </c>
      <c r="M670" s="335" t="s">
        <v>1219</v>
      </c>
      <c r="N670" s="339">
        <v>20</v>
      </c>
      <c r="O670" s="341">
        <v>5.0000000000000001E-3</v>
      </c>
      <c r="P670" s="341">
        <v>1439</v>
      </c>
      <c r="Q670" s="341">
        <v>7.1950000000000003</v>
      </c>
      <c r="R670" s="342">
        <v>15.02</v>
      </c>
      <c r="S670" s="342" t="s">
        <v>25</v>
      </c>
    </row>
    <row r="671" spans="1:19" ht="15" customHeight="1" x14ac:dyDescent="0.3">
      <c r="A671" s="335" t="s">
        <v>1209</v>
      </c>
      <c r="B671" s="335" t="s">
        <v>26</v>
      </c>
      <c r="C671" s="335" t="s">
        <v>27</v>
      </c>
      <c r="D671" s="335" t="s">
        <v>392</v>
      </c>
      <c r="E671" s="336" t="s">
        <v>393</v>
      </c>
      <c r="F671" s="336" t="s">
        <v>35</v>
      </c>
      <c r="G671" s="337">
        <v>0.01</v>
      </c>
      <c r="H671" s="338">
        <v>0.05</v>
      </c>
      <c r="I671" s="339">
        <v>7427.6</v>
      </c>
      <c r="J671" s="340">
        <v>77.989800000000002</v>
      </c>
      <c r="K671" s="335" t="s">
        <v>1213</v>
      </c>
      <c r="L671" s="335">
        <v>7</v>
      </c>
      <c r="M671" s="335" t="s">
        <v>1220</v>
      </c>
      <c r="N671" s="339">
        <v>20</v>
      </c>
      <c r="O671" s="341">
        <v>0.01</v>
      </c>
      <c r="P671" s="341">
        <v>1439</v>
      </c>
      <c r="Q671" s="341">
        <v>14.39</v>
      </c>
      <c r="R671" s="342">
        <v>15.02</v>
      </c>
      <c r="S671" s="342" t="s">
        <v>25</v>
      </c>
    </row>
    <row r="672" spans="1:19" ht="15" customHeight="1" x14ac:dyDescent="0.3">
      <c r="A672" s="335" t="s">
        <v>1209</v>
      </c>
      <c r="B672" s="335" t="s">
        <v>26</v>
      </c>
      <c r="C672" s="335" t="s">
        <v>27</v>
      </c>
      <c r="D672" s="335" t="s">
        <v>395</v>
      </c>
      <c r="E672" s="336" t="s">
        <v>396</v>
      </c>
      <c r="F672" s="336" t="s">
        <v>397</v>
      </c>
      <c r="G672" s="337">
        <v>1.2500000000000001E-2</v>
      </c>
      <c r="H672" s="338">
        <v>0.1</v>
      </c>
      <c r="I672" s="339">
        <v>120622.23</v>
      </c>
      <c r="J672" s="340">
        <v>1658.5556624999999</v>
      </c>
      <c r="K672" s="335" t="s">
        <v>1213</v>
      </c>
      <c r="L672" s="335">
        <v>8</v>
      </c>
      <c r="M672" s="335" t="s">
        <v>1221</v>
      </c>
      <c r="N672" s="339">
        <v>20</v>
      </c>
      <c r="O672" s="341">
        <v>1.2500000000000001E-2</v>
      </c>
      <c r="P672" s="341">
        <v>1439</v>
      </c>
      <c r="Q672" s="341">
        <v>17.987500000000001</v>
      </c>
      <c r="R672" s="342">
        <v>15.02</v>
      </c>
      <c r="S672" s="342" t="s">
        <v>25</v>
      </c>
    </row>
    <row r="673" spans="1:19" ht="15" customHeight="1" x14ac:dyDescent="0.3">
      <c r="A673" s="335" t="s">
        <v>1209</v>
      </c>
      <c r="B673" s="335" t="s">
        <v>26</v>
      </c>
      <c r="C673" s="335" t="s">
        <v>27</v>
      </c>
      <c r="D673" s="335" t="s">
        <v>1029</v>
      </c>
      <c r="E673" s="336" t="s">
        <v>1030</v>
      </c>
      <c r="F673" s="336" t="s">
        <v>397</v>
      </c>
      <c r="G673" s="337">
        <v>2E-3</v>
      </c>
      <c r="H673" s="338">
        <v>0.1</v>
      </c>
      <c r="I673" s="339">
        <v>18735.77</v>
      </c>
      <c r="J673" s="340">
        <v>41.218693999999999</v>
      </c>
      <c r="K673" s="335" t="s">
        <v>1213</v>
      </c>
      <c r="L673" s="335">
        <v>9</v>
      </c>
      <c r="M673" s="335" t="s">
        <v>1222</v>
      </c>
      <c r="N673" s="339">
        <v>20</v>
      </c>
      <c r="O673" s="341">
        <v>2E-3</v>
      </c>
      <c r="P673" s="341">
        <v>1439</v>
      </c>
      <c r="Q673" s="341">
        <v>2.8780000000000001</v>
      </c>
      <c r="R673" s="342">
        <v>15.02</v>
      </c>
      <c r="S673" s="342" t="s">
        <v>25</v>
      </c>
    </row>
    <row r="674" spans="1:19" ht="15" customHeight="1" x14ac:dyDescent="0.3">
      <c r="A674" s="335" t="s">
        <v>1209</v>
      </c>
      <c r="B674" s="335" t="s">
        <v>26</v>
      </c>
      <c r="C674" s="335" t="s">
        <v>27</v>
      </c>
      <c r="D674" s="335" t="s">
        <v>1032</v>
      </c>
      <c r="E674" s="336" t="s">
        <v>1033</v>
      </c>
      <c r="F674" s="336" t="s">
        <v>30</v>
      </c>
      <c r="G674" s="337">
        <v>1E-3</v>
      </c>
      <c r="H674" s="338">
        <v>0.05</v>
      </c>
      <c r="I674" s="339">
        <v>9639</v>
      </c>
      <c r="J674" s="340">
        <v>10.120950000000001</v>
      </c>
      <c r="K674" s="335" t="s">
        <v>1213</v>
      </c>
      <c r="L674" s="335">
        <v>10</v>
      </c>
      <c r="M674" s="335" t="s">
        <v>1223</v>
      </c>
      <c r="N674" s="339">
        <v>20</v>
      </c>
      <c r="O674" s="341">
        <v>1E-3</v>
      </c>
      <c r="P674" s="341">
        <v>1439</v>
      </c>
      <c r="Q674" s="341">
        <v>1.4390000000000001</v>
      </c>
      <c r="R674" s="342">
        <v>15.02</v>
      </c>
      <c r="S674" s="342" t="s">
        <v>25</v>
      </c>
    </row>
    <row r="675" spans="1:19" ht="15" customHeight="1" x14ac:dyDescent="0.3">
      <c r="A675" s="335" t="s">
        <v>1209</v>
      </c>
      <c r="B675" s="335" t="s">
        <v>56</v>
      </c>
      <c r="C675" s="335" t="s">
        <v>57</v>
      </c>
      <c r="D675" s="343" t="s">
        <v>63</v>
      </c>
      <c r="E675" s="336" t="s">
        <v>64</v>
      </c>
      <c r="F675" s="336" t="s">
        <v>60</v>
      </c>
      <c r="G675" s="337">
        <v>1</v>
      </c>
      <c r="H675" s="338">
        <v>0</v>
      </c>
      <c r="I675" s="339">
        <v>85927.097156571996</v>
      </c>
      <c r="J675" s="340">
        <v>85927.097156571996</v>
      </c>
      <c r="K675" s="335" t="s">
        <v>1224</v>
      </c>
      <c r="L675" s="335">
        <v>1</v>
      </c>
      <c r="M675" s="335" t="s">
        <v>1225</v>
      </c>
      <c r="N675" s="339">
        <v>20</v>
      </c>
      <c r="O675" s="341">
        <v>0.05</v>
      </c>
      <c r="P675" s="341">
        <v>1439</v>
      </c>
      <c r="Q675" s="341">
        <v>71.95</v>
      </c>
      <c r="R675" s="342">
        <v>15.02</v>
      </c>
      <c r="S675" s="342" t="s">
        <v>25</v>
      </c>
    </row>
    <row r="676" spans="1:19" ht="15" customHeight="1" x14ac:dyDescent="0.3">
      <c r="A676" s="335" t="s">
        <v>1226</v>
      </c>
      <c r="B676" s="335" t="s">
        <v>20</v>
      </c>
      <c r="C676" s="335"/>
      <c r="D676" s="335" t="s">
        <v>372</v>
      </c>
      <c r="E676" s="336" t="s">
        <v>373</v>
      </c>
      <c r="F676" s="336"/>
      <c r="G676" s="337">
        <v>1</v>
      </c>
      <c r="H676" s="338">
        <v>0</v>
      </c>
      <c r="I676" s="339">
        <v>1723.6259595547101</v>
      </c>
      <c r="J676" s="340">
        <v>1723.6259595547101</v>
      </c>
      <c r="K676" s="335" t="s">
        <v>1227</v>
      </c>
      <c r="L676" s="335">
        <v>1</v>
      </c>
      <c r="M676" s="335" t="s">
        <v>1228</v>
      </c>
      <c r="N676" s="339">
        <v>25</v>
      </c>
      <c r="O676" s="341">
        <v>1</v>
      </c>
      <c r="P676" s="341" t="s">
        <v>25</v>
      </c>
      <c r="Q676" s="341">
        <v>0</v>
      </c>
      <c r="R676" s="342" t="s">
        <v>25</v>
      </c>
      <c r="S676" s="342" t="s">
        <v>25</v>
      </c>
    </row>
    <row r="677" spans="1:19" ht="15" customHeight="1" x14ac:dyDescent="0.3">
      <c r="A677" s="335" t="s">
        <v>1226</v>
      </c>
      <c r="B677" s="335" t="s">
        <v>20</v>
      </c>
      <c r="C677" s="335"/>
      <c r="D677" s="335" t="s">
        <v>376</v>
      </c>
      <c r="E677" s="336" t="s">
        <v>377</v>
      </c>
      <c r="F677" s="336"/>
      <c r="G677" s="337">
        <v>1</v>
      </c>
      <c r="H677" s="338">
        <v>0</v>
      </c>
      <c r="I677" s="339">
        <v>200.25307946474501</v>
      </c>
      <c r="J677" s="340">
        <v>200.25307946474501</v>
      </c>
      <c r="K677" s="335" t="s">
        <v>1227</v>
      </c>
      <c r="L677" s="335">
        <v>2</v>
      </c>
      <c r="M677" s="335" t="s">
        <v>1229</v>
      </c>
      <c r="N677" s="339">
        <v>25</v>
      </c>
      <c r="O677" s="341">
        <v>1</v>
      </c>
      <c r="P677" s="341" t="s">
        <v>25</v>
      </c>
      <c r="Q677" s="341">
        <v>0</v>
      </c>
      <c r="R677" s="342" t="s">
        <v>25</v>
      </c>
      <c r="S677" s="342" t="s">
        <v>25</v>
      </c>
    </row>
    <row r="678" spans="1:19" ht="15" customHeight="1" x14ac:dyDescent="0.3">
      <c r="A678" s="335" t="s">
        <v>1226</v>
      </c>
      <c r="B678" s="335" t="s">
        <v>26</v>
      </c>
      <c r="C678" s="335" t="s">
        <v>27</v>
      </c>
      <c r="D678" s="335" t="s">
        <v>379</v>
      </c>
      <c r="E678" s="336" t="s">
        <v>380</v>
      </c>
      <c r="F678" s="336" t="s">
        <v>30</v>
      </c>
      <c r="G678" s="337">
        <v>4.0000000000000001E-3</v>
      </c>
      <c r="H678" s="338">
        <v>0.05</v>
      </c>
      <c r="I678" s="339">
        <v>30467.49</v>
      </c>
      <c r="J678" s="340">
        <v>127.963458</v>
      </c>
      <c r="K678" s="335" t="s">
        <v>1230</v>
      </c>
      <c r="L678" s="335">
        <v>1</v>
      </c>
      <c r="M678" s="335" t="s">
        <v>1231</v>
      </c>
      <c r="N678" s="339">
        <v>25</v>
      </c>
      <c r="O678" s="341">
        <v>4.0000000000000001E-3</v>
      </c>
      <c r="P678" s="341" t="s">
        <v>25</v>
      </c>
      <c r="Q678" s="341">
        <v>0</v>
      </c>
      <c r="R678" s="342" t="s">
        <v>25</v>
      </c>
      <c r="S678" s="342" t="s">
        <v>25</v>
      </c>
    </row>
    <row r="679" spans="1:19" ht="15" customHeight="1" x14ac:dyDescent="0.3">
      <c r="A679" s="335" t="s">
        <v>1226</v>
      </c>
      <c r="B679" s="335" t="s">
        <v>26</v>
      </c>
      <c r="C679" s="335" t="s">
        <v>27</v>
      </c>
      <c r="D679" s="335" t="s">
        <v>386</v>
      </c>
      <c r="E679" s="336" t="s">
        <v>387</v>
      </c>
      <c r="F679" s="336" t="s">
        <v>35</v>
      </c>
      <c r="G679" s="337">
        <v>0.05</v>
      </c>
      <c r="H679" s="338">
        <v>0.1</v>
      </c>
      <c r="I679" s="339">
        <v>3293.01</v>
      </c>
      <c r="J679" s="340">
        <v>181.11555000000001</v>
      </c>
      <c r="K679" s="335" t="s">
        <v>1230</v>
      </c>
      <c r="L679" s="335">
        <v>2</v>
      </c>
      <c r="M679" s="335" t="s">
        <v>1232</v>
      </c>
      <c r="N679" s="339">
        <v>25</v>
      </c>
      <c r="O679" s="341">
        <v>0.05</v>
      </c>
      <c r="P679" s="341" t="s">
        <v>25</v>
      </c>
      <c r="Q679" s="341">
        <v>0</v>
      </c>
      <c r="R679" s="342" t="s">
        <v>25</v>
      </c>
      <c r="S679" s="342" t="s">
        <v>25</v>
      </c>
    </row>
    <row r="680" spans="1:19" ht="15" customHeight="1" x14ac:dyDescent="0.3">
      <c r="A680" s="335" t="s">
        <v>1226</v>
      </c>
      <c r="B680" s="335" t="s">
        <v>26</v>
      </c>
      <c r="C680" s="335" t="s">
        <v>27</v>
      </c>
      <c r="D680" s="335" t="s">
        <v>33</v>
      </c>
      <c r="E680" s="336" t="s">
        <v>34</v>
      </c>
      <c r="F680" s="336" t="s">
        <v>35</v>
      </c>
      <c r="G680" s="337">
        <v>0.03</v>
      </c>
      <c r="H680" s="338">
        <v>0.05</v>
      </c>
      <c r="I680" s="339">
        <v>735.06</v>
      </c>
      <c r="J680" s="340">
        <v>23.154389999999999</v>
      </c>
      <c r="K680" s="335" t="s">
        <v>1230</v>
      </c>
      <c r="L680" s="335">
        <v>3</v>
      </c>
      <c r="M680" s="335" t="s">
        <v>1233</v>
      </c>
      <c r="N680" s="339">
        <v>25</v>
      </c>
      <c r="O680" s="341">
        <v>0.03</v>
      </c>
      <c r="P680" s="341" t="s">
        <v>25</v>
      </c>
      <c r="Q680" s="341">
        <v>0</v>
      </c>
      <c r="R680" s="342" t="s">
        <v>25</v>
      </c>
      <c r="S680" s="342" t="s">
        <v>25</v>
      </c>
    </row>
    <row r="681" spans="1:19" ht="15" customHeight="1" x14ac:dyDescent="0.3">
      <c r="A681" s="335" t="s">
        <v>1226</v>
      </c>
      <c r="B681" s="335" t="s">
        <v>26</v>
      </c>
      <c r="C681" s="335" t="s">
        <v>27</v>
      </c>
      <c r="D681" s="335" t="s">
        <v>1023</v>
      </c>
      <c r="E681" s="336" t="s">
        <v>1024</v>
      </c>
      <c r="F681" s="336" t="s">
        <v>35</v>
      </c>
      <c r="G681" s="337">
        <v>5.0000000000000001E-3</v>
      </c>
      <c r="H681" s="338">
        <v>0.05</v>
      </c>
      <c r="I681" s="339">
        <v>6678.36</v>
      </c>
      <c r="J681" s="340">
        <v>35.061390000000003</v>
      </c>
      <c r="K681" s="335" t="s">
        <v>1230</v>
      </c>
      <c r="L681" s="335">
        <v>4</v>
      </c>
      <c r="M681" s="335" t="s">
        <v>1234</v>
      </c>
      <c r="N681" s="339">
        <v>25</v>
      </c>
      <c r="O681" s="341">
        <v>5.0000000000000001E-3</v>
      </c>
      <c r="P681" s="341" t="s">
        <v>25</v>
      </c>
      <c r="Q681" s="341">
        <v>0</v>
      </c>
      <c r="R681" s="342" t="s">
        <v>25</v>
      </c>
      <c r="S681" s="342" t="s">
        <v>25</v>
      </c>
    </row>
    <row r="682" spans="1:19" ht="15" customHeight="1" x14ac:dyDescent="0.3">
      <c r="A682" s="335" t="s">
        <v>1226</v>
      </c>
      <c r="B682" s="335" t="s">
        <v>26</v>
      </c>
      <c r="C682" s="335" t="s">
        <v>27</v>
      </c>
      <c r="D682" s="335" t="s">
        <v>40</v>
      </c>
      <c r="E682" s="336" t="s">
        <v>41</v>
      </c>
      <c r="F682" s="336" t="s">
        <v>35</v>
      </c>
      <c r="G682" s="337">
        <v>5.0000000000000001E-3</v>
      </c>
      <c r="H682" s="338">
        <v>0.05</v>
      </c>
      <c r="I682" s="339">
        <v>5282.24</v>
      </c>
      <c r="J682" s="340">
        <v>27.731760000000001</v>
      </c>
      <c r="K682" s="335" t="s">
        <v>1230</v>
      </c>
      <c r="L682" s="335">
        <v>5</v>
      </c>
      <c r="M682" s="335" t="s">
        <v>1235</v>
      </c>
      <c r="N682" s="339">
        <v>25</v>
      </c>
      <c r="O682" s="341">
        <v>5.0000000000000001E-3</v>
      </c>
      <c r="P682" s="341" t="s">
        <v>25</v>
      </c>
      <c r="Q682" s="341">
        <v>0</v>
      </c>
      <c r="R682" s="342" t="s">
        <v>25</v>
      </c>
      <c r="S682" s="342" t="s">
        <v>25</v>
      </c>
    </row>
    <row r="683" spans="1:19" ht="15" customHeight="1" x14ac:dyDescent="0.3">
      <c r="A683" s="335" t="s">
        <v>1226</v>
      </c>
      <c r="B683" s="335" t="s">
        <v>26</v>
      </c>
      <c r="C683" s="335" t="s">
        <v>27</v>
      </c>
      <c r="D683" s="335" t="s">
        <v>392</v>
      </c>
      <c r="E683" s="336" t="s">
        <v>393</v>
      </c>
      <c r="F683" s="336" t="s">
        <v>35</v>
      </c>
      <c r="G683" s="337">
        <v>0.01</v>
      </c>
      <c r="H683" s="338">
        <v>0.05</v>
      </c>
      <c r="I683" s="339">
        <v>7427.6</v>
      </c>
      <c r="J683" s="340">
        <v>77.989800000000002</v>
      </c>
      <c r="K683" s="335" t="s">
        <v>1230</v>
      </c>
      <c r="L683" s="335">
        <v>6</v>
      </c>
      <c r="M683" s="335" t="s">
        <v>1236</v>
      </c>
      <c r="N683" s="339">
        <v>25</v>
      </c>
      <c r="O683" s="341">
        <v>0.01</v>
      </c>
      <c r="P683" s="341" t="s">
        <v>25</v>
      </c>
      <c r="Q683" s="341">
        <v>0</v>
      </c>
      <c r="R683" s="342" t="s">
        <v>25</v>
      </c>
      <c r="S683" s="342" t="s">
        <v>25</v>
      </c>
    </row>
    <row r="684" spans="1:19" ht="15" customHeight="1" x14ac:dyDescent="0.3">
      <c r="A684" s="335" t="s">
        <v>1226</v>
      </c>
      <c r="B684" s="335" t="s">
        <v>26</v>
      </c>
      <c r="C684" s="335" t="s">
        <v>27</v>
      </c>
      <c r="D684" s="335" t="s">
        <v>395</v>
      </c>
      <c r="E684" s="336" t="s">
        <v>396</v>
      </c>
      <c r="F684" s="336" t="s">
        <v>397</v>
      </c>
      <c r="G684" s="337">
        <v>1.2500000000000001E-2</v>
      </c>
      <c r="H684" s="338">
        <v>0.1</v>
      </c>
      <c r="I684" s="339">
        <v>120622.23</v>
      </c>
      <c r="J684" s="340">
        <v>1658.5556624999999</v>
      </c>
      <c r="K684" s="335" t="s">
        <v>1230</v>
      </c>
      <c r="L684" s="335">
        <v>7</v>
      </c>
      <c r="M684" s="335" t="s">
        <v>1237</v>
      </c>
      <c r="N684" s="339">
        <v>25</v>
      </c>
      <c r="O684" s="341">
        <v>1.2500000000000001E-2</v>
      </c>
      <c r="P684" s="341" t="s">
        <v>25</v>
      </c>
      <c r="Q684" s="341">
        <v>0</v>
      </c>
      <c r="R684" s="342" t="s">
        <v>25</v>
      </c>
      <c r="S684" s="342" t="s">
        <v>25</v>
      </c>
    </row>
    <row r="685" spans="1:19" ht="15" customHeight="1" x14ac:dyDescent="0.3">
      <c r="A685" s="335" t="s">
        <v>1226</v>
      </c>
      <c r="B685" s="335" t="s">
        <v>26</v>
      </c>
      <c r="C685" s="335" t="s">
        <v>27</v>
      </c>
      <c r="D685" s="335" t="s">
        <v>1032</v>
      </c>
      <c r="E685" s="336" t="s">
        <v>1033</v>
      </c>
      <c r="F685" s="336" t="s">
        <v>30</v>
      </c>
      <c r="G685" s="337">
        <v>1E-3</v>
      </c>
      <c r="H685" s="338">
        <v>0.05</v>
      </c>
      <c r="I685" s="339">
        <v>9639</v>
      </c>
      <c r="J685" s="340">
        <v>10.120950000000001</v>
      </c>
      <c r="K685" s="335" t="s">
        <v>1230</v>
      </c>
      <c r="L685" s="335">
        <v>8</v>
      </c>
      <c r="M685" s="335" t="s">
        <v>1238</v>
      </c>
      <c r="N685" s="339">
        <v>25</v>
      </c>
      <c r="O685" s="341">
        <v>1E-3</v>
      </c>
      <c r="P685" s="341" t="s">
        <v>25</v>
      </c>
      <c r="Q685" s="341">
        <v>0</v>
      </c>
      <c r="R685" s="342" t="s">
        <v>25</v>
      </c>
      <c r="S685" s="342" t="s">
        <v>25</v>
      </c>
    </row>
    <row r="686" spans="1:19" ht="15" customHeight="1" x14ac:dyDescent="0.3">
      <c r="A686" s="335" t="s">
        <v>1226</v>
      </c>
      <c r="B686" s="335" t="s">
        <v>56</v>
      </c>
      <c r="C686" s="335" t="s">
        <v>57</v>
      </c>
      <c r="D686" s="343" t="s">
        <v>63</v>
      </c>
      <c r="E686" s="336" t="s">
        <v>64</v>
      </c>
      <c r="F686" s="336" t="s">
        <v>60</v>
      </c>
      <c r="G686" s="337">
        <v>1</v>
      </c>
      <c r="H686" s="338">
        <v>0</v>
      </c>
      <c r="I686" s="339">
        <v>85927.097156571996</v>
      </c>
      <c r="J686" s="340">
        <v>85927.097156571996</v>
      </c>
      <c r="K686" s="335" t="s">
        <v>1239</v>
      </c>
      <c r="L686" s="335">
        <v>1</v>
      </c>
      <c r="M686" s="335" t="s">
        <v>1240</v>
      </c>
      <c r="N686" s="339">
        <v>25</v>
      </c>
      <c r="O686" s="341">
        <v>0.04</v>
      </c>
      <c r="P686" s="341" t="s">
        <v>25</v>
      </c>
      <c r="Q686" s="341">
        <v>0</v>
      </c>
      <c r="R686" s="342" t="s">
        <v>25</v>
      </c>
      <c r="S686" s="342" t="s">
        <v>25</v>
      </c>
    </row>
    <row r="687" spans="1:19" ht="15" customHeight="1" x14ac:dyDescent="0.3">
      <c r="A687" s="335" t="s">
        <v>1241</v>
      </c>
      <c r="B687" s="335" t="s">
        <v>20</v>
      </c>
      <c r="C687" s="335"/>
      <c r="D687" s="335" t="s">
        <v>1111</v>
      </c>
      <c r="E687" s="336" t="s">
        <v>1112</v>
      </c>
      <c r="F687" s="336"/>
      <c r="G687" s="337">
        <v>0.75</v>
      </c>
      <c r="H687" s="338"/>
      <c r="I687" s="339">
        <v>1899.1826421923399</v>
      </c>
      <c r="J687" s="340">
        <v>1424.38698164425</v>
      </c>
      <c r="K687" s="335" t="s">
        <v>1242</v>
      </c>
      <c r="L687" s="335">
        <v>1</v>
      </c>
      <c r="M687" s="335" t="s">
        <v>1243</v>
      </c>
      <c r="N687" s="339">
        <v>15.5</v>
      </c>
      <c r="O687" s="341">
        <v>0.75</v>
      </c>
      <c r="P687" s="341">
        <v>739</v>
      </c>
      <c r="Q687" s="341">
        <v>554.25</v>
      </c>
      <c r="R687" s="342">
        <v>15.01</v>
      </c>
      <c r="S687" s="342" t="s">
        <v>25</v>
      </c>
    </row>
    <row r="688" spans="1:19" ht="15" customHeight="1" x14ac:dyDescent="0.3">
      <c r="A688" s="335" t="s">
        <v>1241</v>
      </c>
      <c r="B688" s="335" t="s">
        <v>20</v>
      </c>
      <c r="C688" s="335"/>
      <c r="D688" s="335" t="s">
        <v>372</v>
      </c>
      <c r="E688" s="336" t="s">
        <v>373</v>
      </c>
      <c r="F688" s="336"/>
      <c r="G688" s="337">
        <v>1</v>
      </c>
      <c r="H688" s="338">
        <v>0</v>
      </c>
      <c r="I688" s="339">
        <v>1723.6259595547101</v>
      </c>
      <c r="J688" s="340">
        <v>1723.6259595547101</v>
      </c>
      <c r="K688" s="335" t="s">
        <v>1242</v>
      </c>
      <c r="L688" s="335">
        <v>2</v>
      </c>
      <c r="M688" s="335" t="s">
        <v>1244</v>
      </c>
      <c r="N688" s="339">
        <v>15.5</v>
      </c>
      <c r="O688" s="341">
        <v>1</v>
      </c>
      <c r="P688" s="341">
        <v>739</v>
      </c>
      <c r="Q688" s="341">
        <v>739</v>
      </c>
      <c r="R688" s="342">
        <v>15.01</v>
      </c>
      <c r="S688" s="342" t="s">
        <v>25</v>
      </c>
    </row>
    <row r="689" spans="1:19" ht="15" customHeight="1" x14ac:dyDescent="0.3">
      <c r="A689" s="335" t="s">
        <v>1241</v>
      </c>
      <c r="B689" s="335" t="s">
        <v>20</v>
      </c>
      <c r="C689" s="335"/>
      <c r="D689" s="335" t="s">
        <v>376</v>
      </c>
      <c r="E689" s="336" t="s">
        <v>377</v>
      </c>
      <c r="F689" s="336"/>
      <c r="G689" s="337">
        <v>1</v>
      </c>
      <c r="H689" s="338">
        <v>0</v>
      </c>
      <c r="I689" s="339">
        <v>200.25307946474501</v>
      </c>
      <c r="J689" s="340">
        <v>200.25307946474501</v>
      </c>
      <c r="K689" s="335" t="s">
        <v>1242</v>
      </c>
      <c r="L689" s="335">
        <v>3</v>
      </c>
      <c r="M689" s="335" t="s">
        <v>1245</v>
      </c>
      <c r="N689" s="339">
        <v>15.5</v>
      </c>
      <c r="O689" s="341">
        <v>1</v>
      </c>
      <c r="P689" s="341">
        <v>739</v>
      </c>
      <c r="Q689" s="341">
        <v>739</v>
      </c>
      <c r="R689" s="342">
        <v>15.01</v>
      </c>
      <c r="S689" s="342" t="s">
        <v>25</v>
      </c>
    </row>
    <row r="690" spans="1:19" ht="15" customHeight="1" x14ac:dyDescent="0.3">
      <c r="A690" s="335" t="s">
        <v>1241</v>
      </c>
      <c r="B690" s="335" t="s">
        <v>20</v>
      </c>
      <c r="C690" s="335"/>
      <c r="D690" s="335" t="s">
        <v>67</v>
      </c>
      <c r="E690" s="336" t="s">
        <v>68</v>
      </c>
      <c r="F690" s="336"/>
      <c r="G690" s="337">
        <v>0.5</v>
      </c>
      <c r="H690" s="338"/>
      <c r="I690" s="339">
        <v>571.17949098076099</v>
      </c>
      <c r="J690" s="340">
        <v>285.58974549038101</v>
      </c>
      <c r="K690" s="335" t="s">
        <v>1242</v>
      </c>
      <c r="L690" s="335">
        <v>4</v>
      </c>
      <c r="M690" s="335" t="s">
        <v>1246</v>
      </c>
      <c r="N690" s="339">
        <v>15.5</v>
      </c>
      <c r="O690" s="341">
        <v>0.5</v>
      </c>
      <c r="P690" s="341">
        <v>739</v>
      </c>
      <c r="Q690" s="341">
        <v>369.5</v>
      </c>
      <c r="R690" s="342">
        <v>15.01</v>
      </c>
      <c r="S690" s="342" t="s">
        <v>25</v>
      </c>
    </row>
    <row r="691" spans="1:19" ht="15" customHeight="1" x14ac:dyDescent="0.3">
      <c r="A691" s="335" t="s">
        <v>1241</v>
      </c>
      <c r="B691" s="335" t="s">
        <v>26</v>
      </c>
      <c r="C691" s="335" t="s">
        <v>27</v>
      </c>
      <c r="D691" s="335" t="s">
        <v>379</v>
      </c>
      <c r="E691" s="336" t="s">
        <v>380</v>
      </c>
      <c r="F691" s="336" t="s">
        <v>30</v>
      </c>
      <c r="G691" s="337">
        <v>4.0000000000000001E-3</v>
      </c>
      <c r="H691" s="338">
        <v>0.05</v>
      </c>
      <c r="I691" s="339">
        <v>30467.49</v>
      </c>
      <c r="J691" s="340">
        <v>127.963458</v>
      </c>
      <c r="K691" s="335" t="s">
        <v>1247</v>
      </c>
      <c r="L691" s="335">
        <v>1</v>
      </c>
      <c r="M691" s="335" t="s">
        <v>1248</v>
      </c>
      <c r="N691" s="339">
        <v>15.5</v>
      </c>
      <c r="O691" s="341">
        <v>4.0000000000000001E-3</v>
      </c>
      <c r="P691" s="341">
        <v>739</v>
      </c>
      <c r="Q691" s="341">
        <v>2.956</v>
      </c>
      <c r="R691" s="342">
        <v>15.01</v>
      </c>
      <c r="S691" s="342" t="s">
        <v>25</v>
      </c>
    </row>
    <row r="692" spans="1:19" ht="15" customHeight="1" x14ac:dyDescent="0.3">
      <c r="A692" s="335" t="s">
        <v>1241</v>
      </c>
      <c r="B692" s="335" t="s">
        <v>26</v>
      </c>
      <c r="C692" s="335" t="s">
        <v>27</v>
      </c>
      <c r="D692" s="335" t="s">
        <v>383</v>
      </c>
      <c r="E692" s="336" t="s">
        <v>384</v>
      </c>
      <c r="F692" s="336" t="s">
        <v>35</v>
      </c>
      <c r="G692" s="337">
        <v>0.01</v>
      </c>
      <c r="H692" s="338">
        <v>0.05</v>
      </c>
      <c r="I692" s="339">
        <v>5661.4</v>
      </c>
      <c r="J692" s="340">
        <v>59.444699999999997</v>
      </c>
      <c r="K692" s="335" t="s">
        <v>1247</v>
      </c>
      <c r="L692" s="335">
        <v>2</v>
      </c>
      <c r="M692" s="335" t="s">
        <v>1249</v>
      </c>
      <c r="N692" s="339">
        <v>15.5</v>
      </c>
      <c r="O692" s="341">
        <v>0.01</v>
      </c>
      <c r="P692" s="341">
        <v>739</v>
      </c>
      <c r="Q692" s="341">
        <v>7.39</v>
      </c>
      <c r="R692" s="342">
        <v>15.01</v>
      </c>
      <c r="S692" s="342" t="s">
        <v>25</v>
      </c>
    </row>
    <row r="693" spans="1:19" ht="15" customHeight="1" x14ac:dyDescent="0.3">
      <c r="A693" s="335" t="s">
        <v>1241</v>
      </c>
      <c r="B693" s="335" t="s">
        <v>26</v>
      </c>
      <c r="C693" s="335" t="s">
        <v>27</v>
      </c>
      <c r="D693" s="335" t="s">
        <v>386</v>
      </c>
      <c r="E693" s="336" t="s">
        <v>387</v>
      </c>
      <c r="F693" s="336" t="s">
        <v>35</v>
      </c>
      <c r="G693" s="337">
        <v>0.01</v>
      </c>
      <c r="H693" s="338">
        <v>0.1</v>
      </c>
      <c r="I693" s="339">
        <v>3293.01</v>
      </c>
      <c r="J693" s="340">
        <v>36.223109999999998</v>
      </c>
      <c r="K693" s="335" t="s">
        <v>1247</v>
      </c>
      <c r="L693" s="335">
        <v>3</v>
      </c>
      <c r="M693" s="335" t="s">
        <v>1250</v>
      </c>
      <c r="N693" s="339">
        <v>15.5</v>
      </c>
      <c r="O693" s="341">
        <v>0.01</v>
      </c>
      <c r="P693" s="341">
        <v>739</v>
      </c>
      <c r="Q693" s="341">
        <v>7.39</v>
      </c>
      <c r="R693" s="342">
        <v>15.01</v>
      </c>
      <c r="S693" s="342" t="s">
        <v>25</v>
      </c>
    </row>
    <row r="694" spans="1:19" ht="15" customHeight="1" x14ac:dyDescent="0.3">
      <c r="A694" s="335" t="s">
        <v>1241</v>
      </c>
      <c r="B694" s="335" t="s">
        <v>26</v>
      </c>
      <c r="C694" s="335" t="s">
        <v>27</v>
      </c>
      <c r="D694" s="335" t="s">
        <v>33</v>
      </c>
      <c r="E694" s="336" t="s">
        <v>34</v>
      </c>
      <c r="F694" s="336" t="s">
        <v>35</v>
      </c>
      <c r="G694" s="337">
        <v>0.01</v>
      </c>
      <c r="H694" s="338">
        <v>0.05</v>
      </c>
      <c r="I694" s="339">
        <v>735.06</v>
      </c>
      <c r="J694" s="340">
        <v>7.7181300000000004</v>
      </c>
      <c r="K694" s="335" t="s">
        <v>1247</v>
      </c>
      <c r="L694" s="335">
        <v>4</v>
      </c>
      <c r="M694" s="335" t="s">
        <v>1251</v>
      </c>
      <c r="N694" s="339">
        <v>15.5</v>
      </c>
      <c r="O694" s="341">
        <v>0.01</v>
      </c>
      <c r="P694" s="341">
        <v>739</v>
      </c>
      <c r="Q694" s="341">
        <v>7.39</v>
      </c>
      <c r="R694" s="342">
        <v>15.01</v>
      </c>
      <c r="S694" s="342" t="s">
        <v>25</v>
      </c>
    </row>
    <row r="695" spans="1:19" ht="15" customHeight="1" x14ac:dyDescent="0.3">
      <c r="A695" s="335" t="s">
        <v>1241</v>
      </c>
      <c r="B695" s="335" t="s">
        <v>26</v>
      </c>
      <c r="C695" s="335" t="s">
        <v>27</v>
      </c>
      <c r="D695" s="335" t="s">
        <v>37</v>
      </c>
      <c r="E695" s="336" t="s">
        <v>38</v>
      </c>
      <c r="F695" s="336" t="s">
        <v>35</v>
      </c>
      <c r="G695" s="337">
        <v>5.0000000000000001E-3</v>
      </c>
      <c r="H695" s="338">
        <v>0.05</v>
      </c>
      <c r="I695" s="339">
        <v>6678.36</v>
      </c>
      <c r="J695" s="340">
        <v>35.061390000000003</v>
      </c>
      <c r="K695" s="335" t="s">
        <v>1247</v>
      </c>
      <c r="L695" s="335">
        <v>5</v>
      </c>
      <c r="M695" s="335" t="s">
        <v>1252</v>
      </c>
      <c r="N695" s="339">
        <v>15.5</v>
      </c>
      <c r="O695" s="341">
        <v>5.0000000000000001E-3</v>
      </c>
      <c r="P695" s="341">
        <v>739</v>
      </c>
      <c r="Q695" s="341">
        <v>3.6949999999999998</v>
      </c>
      <c r="R695" s="342">
        <v>15.01</v>
      </c>
      <c r="S695" s="342" t="s">
        <v>25</v>
      </c>
    </row>
    <row r="696" spans="1:19" ht="15" customHeight="1" x14ac:dyDescent="0.3">
      <c r="A696" s="335" t="s">
        <v>1241</v>
      </c>
      <c r="B696" s="335" t="s">
        <v>26</v>
      </c>
      <c r="C696" s="335" t="s">
        <v>27</v>
      </c>
      <c r="D696" s="335" t="s">
        <v>40</v>
      </c>
      <c r="E696" s="336" t="s">
        <v>41</v>
      </c>
      <c r="F696" s="336" t="s">
        <v>35</v>
      </c>
      <c r="G696" s="337">
        <v>5.0000000000000001E-3</v>
      </c>
      <c r="H696" s="338">
        <v>0.05</v>
      </c>
      <c r="I696" s="339">
        <v>5282.24</v>
      </c>
      <c r="J696" s="340">
        <v>27.731760000000001</v>
      </c>
      <c r="K696" s="335" t="s">
        <v>1247</v>
      </c>
      <c r="L696" s="335">
        <v>6</v>
      </c>
      <c r="M696" s="335" t="s">
        <v>1253</v>
      </c>
      <c r="N696" s="339">
        <v>15.5</v>
      </c>
      <c r="O696" s="341">
        <v>5.0000000000000001E-3</v>
      </c>
      <c r="P696" s="341">
        <v>739</v>
      </c>
      <c r="Q696" s="341">
        <v>3.6949999999999998</v>
      </c>
      <c r="R696" s="342">
        <v>15.01</v>
      </c>
      <c r="S696" s="342" t="s">
        <v>25</v>
      </c>
    </row>
    <row r="697" spans="1:19" ht="15" customHeight="1" x14ac:dyDescent="0.3">
      <c r="A697" s="335" t="s">
        <v>1241</v>
      </c>
      <c r="B697" s="335" t="s">
        <v>26</v>
      </c>
      <c r="C697" s="335" t="s">
        <v>27</v>
      </c>
      <c r="D697" s="335" t="s">
        <v>392</v>
      </c>
      <c r="E697" s="336" t="s">
        <v>393</v>
      </c>
      <c r="F697" s="336" t="s">
        <v>35</v>
      </c>
      <c r="G697" s="337">
        <v>0.01</v>
      </c>
      <c r="H697" s="338">
        <v>0.05</v>
      </c>
      <c r="I697" s="339">
        <v>7427.6</v>
      </c>
      <c r="J697" s="340">
        <v>77.989800000000002</v>
      </c>
      <c r="K697" s="335" t="s">
        <v>1247</v>
      </c>
      <c r="L697" s="335">
        <v>7</v>
      </c>
      <c r="M697" s="335" t="s">
        <v>1254</v>
      </c>
      <c r="N697" s="339">
        <v>15.5</v>
      </c>
      <c r="O697" s="341">
        <v>0.01</v>
      </c>
      <c r="P697" s="341">
        <v>739</v>
      </c>
      <c r="Q697" s="341">
        <v>7.39</v>
      </c>
      <c r="R697" s="342">
        <v>15.01</v>
      </c>
      <c r="S697" s="342" t="s">
        <v>25</v>
      </c>
    </row>
    <row r="698" spans="1:19" ht="15" customHeight="1" x14ac:dyDescent="0.3">
      <c r="A698" s="335" t="s">
        <v>1241</v>
      </c>
      <c r="B698" s="335" t="s">
        <v>26</v>
      </c>
      <c r="C698" s="335" t="s">
        <v>27</v>
      </c>
      <c r="D698" s="335" t="s">
        <v>1255</v>
      </c>
      <c r="E698" s="336" t="s">
        <v>1256</v>
      </c>
      <c r="F698" s="336" t="s">
        <v>35</v>
      </c>
      <c r="G698" s="337">
        <v>1.2500000000000001E-2</v>
      </c>
      <c r="H698" s="338">
        <v>0.1</v>
      </c>
      <c r="I698" s="339">
        <v>105657.74</v>
      </c>
      <c r="J698" s="340">
        <v>1452.7939249999999</v>
      </c>
      <c r="K698" s="335" t="s">
        <v>1247</v>
      </c>
      <c r="L698" s="335">
        <v>8</v>
      </c>
      <c r="M698" s="335" t="s">
        <v>1257</v>
      </c>
      <c r="N698" s="339">
        <v>15.5</v>
      </c>
      <c r="O698" s="341">
        <v>1.2500000000000001E-2</v>
      </c>
      <c r="P698" s="341">
        <v>739</v>
      </c>
      <c r="Q698" s="341">
        <v>9.2375000000000007</v>
      </c>
      <c r="R698" s="342">
        <v>15.01</v>
      </c>
      <c r="S698" s="342" t="s">
        <v>25</v>
      </c>
    </row>
    <row r="699" spans="1:19" ht="15" customHeight="1" x14ac:dyDescent="0.3">
      <c r="A699" s="335" t="s">
        <v>1241</v>
      </c>
      <c r="B699" s="335" t="s">
        <v>56</v>
      </c>
      <c r="C699" s="335" t="s">
        <v>57</v>
      </c>
      <c r="D699" s="335" t="s">
        <v>58</v>
      </c>
      <c r="E699" s="336" t="s">
        <v>59</v>
      </c>
      <c r="F699" s="336" t="s">
        <v>60</v>
      </c>
      <c r="G699" s="337">
        <v>0.5</v>
      </c>
      <c r="H699" s="338">
        <v>0</v>
      </c>
      <c r="I699" s="339">
        <v>60860.580776572002</v>
      </c>
      <c r="J699" s="340">
        <v>30430.290388286001</v>
      </c>
      <c r="K699" s="335" t="s">
        <v>1258</v>
      </c>
      <c r="L699" s="335">
        <v>1</v>
      </c>
      <c r="M699" s="335" t="s">
        <v>1259</v>
      </c>
      <c r="N699" s="339">
        <v>15.5</v>
      </c>
      <c r="O699" s="341">
        <v>3.2258064516128997E-2</v>
      </c>
      <c r="P699" s="341">
        <v>739</v>
      </c>
      <c r="Q699" s="341">
        <v>23.838709677419399</v>
      </c>
      <c r="R699" s="342">
        <v>15.01</v>
      </c>
      <c r="S699" s="342" t="s">
        <v>25</v>
      </c>
    </row>
    <row r="700" spans="1:19" ht="15" customHeight="1" x14ac:dyDescent="0.3">
      <c r="A700" s="335" t="s">
        <v>1241</v>
      </c>
      <c r="B700" s="335" t="s">
        <v>56</v>
      </c>
      <c r="C700" s="335" t="s">
        <v>57</v>
      </c>
      <c r="D700" s="343" t="s">
        <v>413</v>
      </c>
      <c r="E700" s="336" t="s">
        <v>414</v>
      </c>
      <c r="F700" s="336" t="s">
        <v>60</v>
      </c>
      <c r="G700" s="337">
        <v>1</v>
      </c>
      <c r="H700" s="338">
        <v>0</v>
      </c>
      <c r="I700" s="339">
        <v>65493.071636572</v>
      </c>
      <c r="J700" s="340">
        <v>65493.071636572</v>
      </c>
      <c r="K700" s="335" t="s">
        <v>1258</v>
      </c>
      <c r="L700" s="335">
        <v>2</v>
      </c>
      <c r="M700" s="335" t="s">
        <v>1260</v>
      </c>
      <c r="N700" s="339">
        <v>15.5</v>
      </c>
      <c r="O700" s="341">
        <v>6.4516129032258104E-2</v>
      </c>
      <c r="P700" s="341">
        <v>739</v>
      </c>
      <c r="Q700" s="341">
        <v>47.677419354838698</v>
      </c>
      <c r="R700" s="342">
        <v>15.01</v>
      </c>
      <c r="S700" s="342" t="s">
        <v>25</v>
      </c>
    </row>
    <row r="701" spans="1:19" ht="15" customHeight="1" x14ac:dyDescent="0.3">
      <c r="A701" s="335" t="s">
        <v>1241</v>
      </c>
      <c r="B701" s="335" t="s">
        <v>56</v>
      </c>
      <c r="C701" s="335" t="s">
        <v>57</v>
      </c>
      <c r="D701" s="343" t="s">
        <v>63</v>
      </c>
      <c r="E701" s="336" t="s">
        <v>64</v>
      </c>
      <c r="F701" s="336" t="s">
        <v>60</v>
      </c>
      <c r="G701" s="337">
        <v>1.5</v>
      </c>
      <c r="H701" s="338">
        <v>0</v>
      </c>
      <c r="I701" s="339">
        <v>85927.097156571996</v>
      </c>
      <c r="J701" s="340">
        <v>128890.645734858</v>
      </c>
      <c r="K701" s="335" t="s">
        <v>1258</v>
      </c>
      <c r="L701" s="335">
        <v>3</v>
      </c>
      <c r="M701" s="335" t="s">
        <v>1261</v>
      </c>
      <c r="N701" s="339">
        <v>15.5</v>
      </c>
      <c r="O701" s="341">
        <v>9.6774193548387094E-2</v>
      </c>
      <c r="P701" s="341">
        <v>739</v>
      </c>
      <c r="Q701" s="341">
        <v>71.516129032258107</v>
      </c>
      <c r="R701" s="342">
        <v>15.01</v>
      </c>
      <c r="S701" s="342" t="s">
        <v>25</v>
      </c>
    </row>
    <row r="702" spans="1:19" ht="15" customHeight="1" x14ac:dyDescent="0.3">
      <c r="A702" s="335" t="s">
        <v>1262</v>
      </c>
      <c r="B702" s="335" t="s">
        <v>20</v>
      </c>
      <c r="C702" s="335"/>
      <c r="D702" s="335" t="s">
        <v>1263</v>
      </c>
      <c r="E702" s="336" t="s">
        <v>1264</v>
      </c>
      <c r="F702" s="336"/>
      <c r="G702" s="337">
        <v>0.25</v>
      </c>
      <c r="H702" s="338">
        <v>0</v>
      </c>
      <c r="I702" s="339">
        <v>568150</v>
      </c>
      <c r="J702" s="340">
        <v>142037.5</v>
      </c>
      <c r="K702" s="335" t="s">
        <v>1265</v>
      </c>
      <c r="L702" s="335">
        <v>1</v>
      </c>
      <c r="M702" s="335" t="s">
        <v>1266</v>
      </c>
      <c r="N702" s="339">
        <v>25</v>
      </c>
      <c r="O702" s="341">
        <v>0.25</v>
      </c>
      <c r="P702" s="341" t="s">
        <v>25</v>
      </c>
      <c r="Q702" s="341">
        <v>0</v>
      </c>
      <c r="R702" s="342" t="s">
        <v>25</v>
      </c>
      <c r="S702" s="342" t="s">
        <v>25</v>
      </c>
    </row>
    <row r="703" spans="1:19" ht="15" customHeight="1" x14ac:dyDescent="0.3">
      <c r="A703" s="335" t="s">
        <v>1262</v>
      </c>
      <c r="B703" s="335" t="s">
        <v>20</v>
      </c>
      <c r="C703" s="335"/>
      <c r="D703" s="335" t="s">
        <v>1267</v>
      </c>
      <c r="E703" s="336" t="s">
        <v>1268</v>
      </c>
      <c r="F703" s="336"/>
      <c r="G703" s="337">
        <v>1</v>
      </c>
      <c r="H703" s="338">
        <v>0</v>
      </c>
      <c r="I703" s="339">
        <v>464850</v>
      </c>
      <c r="J703" s="340">
        <v>464850</v>
      </c>
      <c r="K703" s="335" t="s">
        <v>1265</v>
      </c>
      <c r="L703" s="335">
        <v>2</v>
      </c>
      <c r="M703" s="335" t="s">
        <v>1269</v>
      </c>
      <c r="N703" s="339">
        <v>25</v>
      </c>
      <c r="O703" s="341">
        <v>1</v>
      </c>
      <c r="P703" s="341" t="s">
        <v>25</v>
      </c>
      <c r="Q703" s="341">
        <v>0</v>
      </c>
      <c r="R703" s="342" t="s">
        <v>25</v>
      </c>
      <c r="S703" s="342" t="s">
        <v>25</v>
      </c>
    </row>
    <row r="704" spans="1:19" ht="15" customHeight="1" x14ac:dyDescent="0.3">
      <c r="A704" s="335" t="s">
        <v>1262</v>
      </c>
      <c r="B704" s="335" t="s">
        <v>20</v>
      </c>
      <c r="C704" s="335"/>
      <c r="D704" s="335" t="s">
        <v>1270</v>
      </c>
      <c r="E704" s="336" t="s">
        <v>1271</v>
      </c>
      <c r="F704" s="336"/>
      <c r="G704" s="337">
        <v>1</v>
      </c>
      <c r="H704" s="338">
        <v>0</v>
      </c>
      <c r="I704" s="339">
        <v>258250</v>
      </c>
      <c r="J704" s="340">
        <v>258250</v>
      </c>
      <c r="K704" s="335" t="s">
        <v>1265</v>
      </c>
      <c r="L704" s="335">
        <v>3</v>
      </c>
      <c r="M704" s="335" t="s">
        <v>1272</v>
      </c>
      <c r="N704" s="339">
        <v>25</v>
      </c>
      <c r="O704" s="341">
        <v>1</v>
      </c>
      <c r="P704" s="341" t="s">
        <v>25</v>
      </c>
      <c r="Q704" s="341">
        <v>0</v>
      </c>
      <c r="R704" s="342" t="s">
        <v>25</v>
      </c>
      <c r="S704" s="342" t="s">
        <v>25</v>
      </c>
    </row>
    <row r="705" spans="1:19" ht="15" customHeight="1" x14ac:dyDescent="0.3">
      <c r="A705" s="335" t="s">
        <v>1262</v>
      </c>
      <c r="B705" s="335" t="s">
        <v>26</v>
      </c>
      <c r="C705" s="335" t="s">
        <v>27</v>
      </c>
      <c r="D705" s="335" t="s">
        <v>1273</v>
      </c>
      <c r="E705" s="336" t="s">
        <v>1274</v>
      </c>
      <c r="F705" s="336" t="s">
        <v>83</v>
      </c>
      <c r="G705" s="337">
        <v>1</v>
      </c>
      <c r="H705" s="338">
        <v>0.3</v>
      </c>
      <c r="I705" s="339">
        <v>9811.2871797810803</v>
      </c>
      <c r="J705" s="340">
        <v>12754.6733337154</v>
      </c>
      <c r="K705" s="335" t="s">
        <v>1275</v>
      </c>
      <c r="L705" s="335">
        <v>1</v>
      </c>
      <c r="M705" s="335" t="s">
        <v>1276</v>
      </c>
      <c r="N705" s="339">
        <v>25</v>
      </c>
      <c r="O705" s="341">
        <v>1</v>
      </c>
      <c r="P705" s="341" t="s">
        <v>25</v>
      </c>
      <c r="Q705" s="341">
        <v>0</v>
      </c>
      <c r="R705" s="342" t="s">
        <v>25</v>
      </c>
      <c r="S705" s="342" t="s">
        <v>25</v>
      </c>
    </row>
    <row r="706" spans="1:19" ht="15" customHeight="1" x14ac:dyDescent="0.3">
      <c r="A706" s="335" t="s">
        <v>1262</v>
      </c>
      <c r="B706" s="335" t="s">
        <v>56</v>
      </c>
      <c r="C706" s="335" t="s">
        <v>57</v>
      </c>
      <c r="D706" s="343" t="s">
        <v>413</v>
      </c>
      <c r="E706" s="336" t="s">
        <v>414</v>
      </c>
      <c r="F706" s="336" t="s">
        <v>60</v>
      </c>
      <c r="G706" s="337">
        <v>1</v>
      </c>
      <c r="H706" s="338">
        <v>0</v>
      </c>
      <c r="I706" s="339">
        <v>65493.071636572</v>
      </c>
      <c r="J706" s="340">
        <v>65493.071636572</v>
      </c>
      <c r="K706" s="335" t="s">
        <v>1277</v>
      </c>
      <c r="L706" s="335">
        <v>1</v>
      </c>
      <c r="M706" s="335" t="s">
        <v>1278</v>
      </c>
      <c r="N706" s="339">
        <v>25</v>
      </c>
      <c r="O706" s="341">
        <v>0.04</v>
      </c>
      <c r="P706" s="341" t="s">
        <v>25</v>
      </c>
      <c r="Q706" s="341">
        <v>0</v>
      </c>
      <c r="R706" s="342" t="s">
        <v>25</v>
      </c>
      <c r="S706" s="342" t="s">
        <v>25</v>
      </c>
    </row>
    <row r="707" spans="1:19" ht="15" customHeight="1" x14ac:dyDescent="0.3">
      <c r="A707" s="335" t="s">
        <v>1262</v>
      </c>
      <c r="B707" s="335" t="s">
        <v>56</v>
      </c>
      <c r="C707" s="335" t="s">
        <v>57</v>
      </c>
      <c r="D707" s="343" t="s">
        <v>63</v>
      </c>
      <c r="E707" s="336" t="s">
        <v>64</v>
      </c>
      <c r="F707" s="336" t="s">
        <v>60</v>
      </c>
      <c r="G707" s="337">
        <v>1</v>
      </c>
      <c r="H707" s="338">
        <v>0</v>
      </c>
      <c r="I707" s="339">
        <v>85927.097156571996</v>
      </c>
      <c r="J707" s="340">
        <v>85927.097156571996</v>
      </c>
      <c r="K707" s="335" t="s">
        <v>1277</v>
      </c>
      <c r="L707" s="335">
        <v>2</v>
      </c>
      <c r="M707" s="335" t="s">
        <v>1279</v>
      </c>
      <c r="N707" s="339">
        <v>25</v>
      </c>
      <c r="O707" s="341">
        <v>0.04</v>
      </c>
      <c r="P707" s="341" t="s">
        <v>25</v>
      </c>
      <c r="Q707" s="341">
        <v>0</v>
      </c>
      <c r="R707" s="342" t="s">
        <v>25</v>
      </c>
      <c r="S707" s="342" t="s">
        <v>25</v>
      </c>
    </row>
    <row r="708" spans="1:19" ht="15" customHeight="1" x14ac:dyDescent="0.3">
      <c r="A708" s="335" t="s">
        <v>1280</v>
      </c>
      <c r="B708" s="335" t="s">
        <v>20</v>
      </c>
      <c r="C708" s="335"/>
      <c r="D708" s="335" t="s">
        <v>1281</v>
      </c>
      <c r="E708" s="336" t="s">
        <v>1282</v>
      </c>
      <c r="F708" s="336"/>
      <c r="G708" s="337">
        <v>1</v>
      </c>
      <c r="H708" s="338">
        <v>0</v>
      </c>
      <c r="I708" s="339">
        <v>4268.9613811940299</v>
      </c>
      <c r="J708" s="340">
        <v>4268.9613811940299</v>
      </c>
      <c r="K708" s="335" t="s">
        <v>1283</v>
      </c>
      <c r="L708" s="335">
        <v>1</v>
      </c>
      <c r="M708" s="335" t="s">
        <v>1284</v>
      </c>
      <c r="N708" s="339">
        <v>1</v>
      </c>
      <c r="O708" s="341">
        <v>1</v>
      </c>
      <c r="P708" s="341">
        <v>3</v>
      </c>
      <c r="Q708" s="341">
        <v>3</v>
      </c>
      <c r="R708" s="342">
        <v>1.02</v>
      </c>
      <c r="S708" s="342" t="s">
        <v>1285</v>
      </c>
    </row>
    <row r="709" spans="1:19" ht="15" customHeight="1" x14ac:dyDescent="0.3">
      <c r="A709" s="335" t="s">
        <v>1280</v>
      </c>
      <c r="B709" s="335" t="s">
        <v>26</v>
      </c>
      <c r="C709" s="335" t="s">
        <v>480</v>
      </c>
      <c r="D709" s="335" t="s">
        <v>1286</v>
      </c>
      <c r="E709" s="336" t="s">
        <v>1287</v>
      </c>
      <c r="F709" s="336" t="s">
        <v>98</v>
      </c>
      <c r="G709" s="337">
        <v>1</v>
      </c>
      <c r="H709" s="338">
        <v>0</v>
      </c>
      <c r="I709" s="339">
        <v>25000</v>
      </c>
      <c r="J709" s="340">
        <v>25000</v>
      </c>
      <c r="K709" s="335" t="s">
        <v>1288</v>
      </c>
      <c r="L709" s="335">
        <v>1</v>
      </c>
      <c r="M709" s="335" t="s">
        <v>1289</v>
      </c>
      <c r="N709" s="339">
        <v>1</v>
      </c>
      <c r="O709" s="341">
        <v>1</v>
      </c>
      <c r="P709" s="341">
        <v>3</v>
      </c>
      <c r="Q709" s="341">
        <v>3</v>
      </c>
      <c r="R709" s="342">
        <v>1.02</v>
      </c>
      <c r="S709" s="342" t="s">
        <v>1285</v>
      </c>
    </row>
    <row r="710" spans="1:19" ht="15" customHeight="1" x14ac:dyDescent="0.3">
      <c r="A710" s="335" t="s">
        <v>1280</v>
      </c>
      <c r="B710" s="335" t="s">
        <v>56</v>
      </c>
      <c r="C710" s="335" t="s">
        <v>57</v>
      </c>
      <c r="D710" s="335" t="s">
        <v>58</v>
      </c>
      <c r="E710" s="336" t="s">
        <v>59</v>
      </c>
      <c r="F710" s="336" t="s">
        <v>60</v>
      </c>
      <c r="G710" s="337">
        <v>1</v>
      </c>
      <c r="H710" s="338">
        <v>0</v>
      </c>
      <c r="I710" s="339">
        <v>60860.580776572002</v>
      </c>
      <c r="J710" s="340">
        <v>60860.580776572002</v>
      </c>
      <c r="K710" s="335" t="s">
        <v>1290</v>
      </c>
      <c r="L710" s="335">
        <v>1</v>
      </c>
      <c r="M710" s="335" t="s">
        <v>1291</v>
      </c>
      <c r="N710" s="339">
        <v>1</v>
      </c>
      <c r="O710" s="341">
        <v>1</v>
      </c>
      <c r="P710" s="341">
        <v>3</v>
      </c>
      <c r="Q710" s="341">
        <v>3</v>
      </c>
      <c r="R710" s="342">
        <v>1.02</v>
      </c>
      <c r="S710" s="342" t="s">
        <v>1285</v>
      </c>
    </row>
    <row r="711" spans="1:19" ht="15" customHeight="1" x14ac:dyDescent="0.3">
      <c r="A711" s="335" t="s">
        <v>1280</v>
      </c>
      <c r="B711" s="335" t="s">
        <v>56</v>
      </c>
      <c r="C711" s="335" t="s">
        <v>27</v>
      </c>
      <c r="D711" s="335" t="s">
        <v>1292</v>
      </c>
      <c r="E711" s="336" t="s">
        <v>1293</v>
      </c>
      <c r="F711" s="336" t="s">
        <v>60</v>
      </c>
      <c r="G711" s="337">
        <v>1</v>
      </c>
      <c r="H711" s="338">
        <v>0</v>
      </c>
      <c r="I711" s="339">
        <v>198736.844636364</v>
      </c>
      <c r="J711" s="340">
        <v>198736.844636364</v>
      </c>
      <c r="K711" s="335" t="s">
        <v>1290</v>
      </c>
      <c r="L711" s="335">
        <v>2</v>
      </c>
      <c r="M711" s="335" t="s">
        <v>1294</v>
      </c>
      <c r="N711" s="339">
        <v>1</v>
      </c>
      <c r="O711" s="341">
        <v>1</v>
      </c>
      <c r="P711" s="341">
        <v>3</v>
      </c>
      <c r="Q711" s="341">
        <v>3</v>
      </c>
      <c r="R711" s="342">
        <v>1.02</v>
      </c>
      <c r="S711" s="342" t="s">
        <v>1285</v>
      </c>
    </row>
    <row r="712" spans="1:19" ht="15" customHeight="1" x14ac:dyDescent="0.3">
      <c r="A712" s="335" t="s">
        <v>1295</v>
      </c>
      <c r="B712" s="335" t="s">
        <v>20</v>
      </c>
      <c r="C712" s="335"/>
      <c r="D712" s="335" t="s">
        <v>1296</v>
      </c>
      <c r="E712" s="336" t="s">
        <v>1297</v>
      </c>
      <c r="F712" s="336"/>
      <c r="G712" s="337">
        <v>1</v>
      </c>
      <c r="H712" s="338">
        <v>0</v>
      </c>
      <c r="I712" s="339">
        <v>2849.7760330466299</v>
      </c>
      <c r="J712" s="340">
        <v>2849.7760330466299</v>
      </c>
      <c r="K712" s="335" t="s">
        <v>1298</v>
      </c>
      <c r="L712" s="335">
        <v>1</v>
      </c>
      <c r="M712" s="335" t="s">
        <v>1299</v>
      </c>
      <c r="N712" s="339">
        <v>1</v>
      </c>
      <c r="O712" s="341">
        <v>1</v>
      </c>
      <c r="P712" s="341">
        <v>10</v>
      </c>
      <c r="Q712" s="341">
        <v>10</v>
      </c>
      <c r="R712" s="342">
        <v>1.04</v>
      </c>
      <c r="S712" s="342" t="s">
        <v>1285</v>
      </c>
    </row>
    <row r="713" spans="1:19" ht="15" customHeight="1" x14ac:dyDescent="0.3">
      <c r="A713" s="335" t="s">
        <v>1295</v>
      </c>
      <c r="B713" s="335" t="s">
        <v>26</v>
      </c>
      <c r="C713" s="335" t="s">
        <v>27</v>
      </c>
      <c r="D713" s="335" t="s">
        <v>96</v>
      </c>
      <c r="E713" s="336" t="s">
        <v>97</v>
      </c>
      <c r="F713" s="336" t="s">
        <v>98</v>
      </c>
      <c r="G713" s="337">
        <v>14721.783801650001</v>
      </c>
      <c r="H713" s="338">
        <v>0</v>
      </c>
      <c r="I713" s="339">
        <v>1</v>
      </c>
      <c r="J713" s="340">
        <v>14721.783801650001</v>
      </c>
      <c r="K713" s="335" t="s">
        <v>1300</v>
      </c>
      <c r="L713" s="335">
        <v>1</v>
      </c>
      <c r="M713" s="335" t="s">
        <v>1301</v>
      </c>
      <c r="N713" s="339">
        <v>1</v>
      </c>
      <c r="O713" s="341">
        <v>14721.783801650001</v>
      </c>
      <c r="P713" s="341">
        <v>10</v>
      </c>
      <c r="Q713" s="341">
        <v>147217.8380165</v>
      </c>
      <c r="R713" s="342">
        <v>1.04</v>
      </c>
      <c r="S713" s="342" t="s">
        <v>1285</v>
      </c>
    </row>
    <row r="714" spans="1:19" ht="15" customHeight="1" x14ac:dyDescent="0.3">
      <c r="A714" s="335" t="s">
        <v>1295</v>
      </c>
      <c r="B714" s="335" t="s">
        <v>26</v>
      </c>
      <c r="C714" s="335" t="s">
        <v>27</v>
      </c>
      <c r="D714" s="335" t="s">
        <v>1302</v>
      </c>
      <c r="E714" s="336" t="s">
        <v>1303</v>
      </c>
      <c r="F714" s="336" t="s">
        <v>988</v>
      </c>
      <c r="G714" s="337">
        <v>2.5</v>
      </c>
      <c r="H714" s="338">
        <v>0</v>
      </c>
      <c r="I714" s="339">
        <v>10167.5702479339</v>
      </c>
      <c r="J714" s="340">
        <v>25418.925619834801</v>
      </c>
      <c r="K714" s="335" t="s">
        <v>1300</v>
      </c>
      <c r="L714" s="335">
        <v>2</v>
      </c>
      <c r="M714" s="335" t="s">
        <v>1304</v>
      </c>
      <c r="N714" s="339">
        <v>1</v>
      </c>
      <c r="O714" s="341">
        <v>2.5</v>
      </c>
      <c r="P714" s="341">
        <v>10</v>
      </c>
      <c r="Q714" s="341">
        <v>25</v>
      </c>
      <c r="R714" s="342">
        <v>1.04</v>
      </c>
      <c r="S714" s="342" t="s">
        <v>1285</v>
      </c>
    </row>
    <row r="715" spans="1:19" ht="15" customHeight="1" x14ac:dyDescent="0.3">
      <c r="A715" s="335" t="s">
        <v>1295</v>
      </c>
      <c r="B715" s="335" t="s">
        <v>26</v>
      </c>
      <c r="C715" s="335" t="s">
        <v>27</v>
      </c>
      <c r="D715" s="335" t="s">
        <v>1305</v>
      </c>
      <c r="E715" s="336" t="s">
        <v>1306</v>
      </c>
      <c r="F715" s="336" t="s">
        <v>748</v>
      </c>
      <c r="G715" s="337">
        <v>0.1</v>
      </c>
      <c r="H715" s="338">
        <v>0</v>
      </c>
      <c r="I715" s="339">
        <v>235448.016528926</v>
      </c>
      <c r="J715" s="340">
        <v>23544.801652892598</v>
      </c>
      <c r="K715" s="335" t="s">
        <v>1300</v>
      </c>
      <c r="L715" s="335">
        <v>3</v>
      </c>
      <c r="M715" s="335" t="s">
        <v>1307</v>
      </c>
      <c r="N715" s="339">
        <v>1</v>
      </c>
      <c r="O715" s="341">
        <v>0.1</v>
      </c>
      <c r="P715" s="341">
        <v>10</v>
      </c>
      <c r="Q715" s="341">
        <v>1</v>
      </c>
      <c r="R715" s="342">
        <v>1.04</v>
      </c>
      <c r="S715" s="342" t="s">
        <v>1285</v>
      </c>
    </row>
    <row r="716" spans="1:19" ht="15" customHeight="1" x14ac:dyDescent="0.3">
      <c r="A716" s="335" t="s">
        <v>1295</v>
      </c>
      <c r="B716" s="335" t="s">
        <v>26</v>
      </c>
      <c r="C716" s="335" t="s">
        <v>27</v>
      </c>
      <c r="D716" s="335" t="s">
        <v>1308</v>
      </c>
      <c r="E716" s="336" t="s">
        <v>1309</v>
      </c>
      <c r="F716" s="336" t="s">
        <v>35</v>
      </c>
      <c r="G716" s="337">
        <v>0.2</v>
      </c>
      <c r="H716" s="338">
        <v>0</v>
      </c>
      <c r="I716" s="339">
        <v>22267.107438016501</v>
      </c>
      <c r="J716" s="340">
        <v>4453.4214876033002</v>
      </c>
      <c r="K716" s="335" t="s">
        <v>1300</v>
      </c>
      <c r="L716" s="335">
        <v>4</v>
      </c>
      <c r="M716" s="335" t="s">
        <v>1310</v>
      </c>
      <c r="N716" s="339">
        <v>1</v>
      </c>
      <c r="O716" s="341">
        <v>0.2</v>
      </c>
      <c r="P716" s="341">
        <v>10</v>
      </c>
      <c r="Q716" s="341">
        <v>2</v>
      </c>
      <c r="R716" s="342">
        <v>1.04</v>
      </c>
      <c r="S716" s="342" t="s">
        <v>1285</v>
      </c>
    </row>
    <row r="717" spans="1:19" ht="15" customHeight="1" x14ac:dyDescent="0.3">
      <c r="A717" s="335" t="s">
        <v>1295</v>
      </c>
      <c r="B717" s="335" t="s">
        <v>26</v>
      </c>
      <c r="C717" s="335" t="s">
        <v>27</v>
      </c>
      <c r="D717" s="335" t="s">
        <v>1311</v>
      </c>
      <c r="E717" s="336" t="s">
        <v>1312</v>
      </c>
      <c r="F717" s="336" t="s">
        <v>35</v>
      </c>
      <c r="G717" s="337">
        <v>0.1</v>
      </c>
      <c r="H717" s="338">
        <v>0</v>
      </c>
      <c r="I717" s="339">
        <v>81509.950413223094</v>
      </c>
      <c r="J717" s="340">
        <v>8150.9950413223096</v>
      </c>
      <c r="K717" s="335" t="s">
        <v>1300</v>
      </c>
      <c r="L717" s="335">
        <v>5</v>
      </c>
      <c r="M717" s="335" t="s">
        <v>1313</v>
      </c>
      <c r="N717" s="339">
        <v>1</v>
      </c>
      <c r="O717" s="341">
        <v>0.1</v>
      </c>
      <c r="P717" s="341">
        <v>10</v>
      </c>
      <c r="Q717" s="341">
        <v>1</v>
      </c>
      <c r="R717" s="342">
        <v>1.04</v>
      </c>
      <c r="S717" s="342" t="s">
        <v>1285</v>
      </c>
    </row>
    <row r="718" spans="1:19" ht="15" customHeight="1" x14ac:dyDescent="0.3">
      <c r="A718" s="335" t="s">
        <v>1295</v>
      </c>
      <c r="B718" s="335" t="s">
        <v>26</v>
      </c>
      <c r="C718" s="335" t="s">
        <v>27</v>
      </c>
      <c r="D718" s="335" t="s">
        <v>1314</v>
      </c>
      <c r="E718" s="336" t="s">
        <v>1315</v>
      </c>
      <c r="F718" s="336" t="s">
        <v>35</v>
      </c>
      <c r="G718" s="337">
        <v>0.2</v>
      </c>
      <c r="H718" s="338">
        <v>0</v>
      </c>
      <c r="I718" s="339">
        <v>12131.5619834711</v>
      </c>
      <c r="J718" s="340">
        <v>2426.3123966942198</v>
      </c>
      <c r="K718" s="335" t="s">
        <v>1300</v>
      </c>
      <c r="L718" s="335">
        <v>6</v>
      </c>
      <c r="M718" s="335" t="s">
        <v>1316</v>
      </c>
      <c r="N718" s="339">
        <v>1</v>
      </c>
      <c r="O718" s="341">
        <v>0.2</v>
      </c>
      <c r="P718" s="341">
        <v>10</v>
      </c>
      <c r="Q718" s="341">
        <v>2</v>
      </c>
      <c r="R718" s="342">
        <v>1.04</v>
      </c>
      <c r="S718" s="342" t="s">
        <v>1285</v>
      </c>
    </row>
    <row r="719" spans="1:19" ht="15" customHeight="1" x14ac:dyDescent="0.3">
      <c r="A719" s="335" t="s">
        <v>1295</v>
      </c>
      <c r="B719" s="335" t="s">
        <v>26</v>
      </c>
      <c r="C719" s="335" t="s">
        <v>27</v>
      </c>
      <c r="D719" s="335" t="s">
        <v>1317</v>
      </c>
      <c r="E719" s="336" t="s">
        <v>1318</v>
      </c>
      <c r="F719" s="336" t="s">
        <v>35</v>
      </c>
      <c r="G719" s="337">
        <v>11.25</v>
      </c>
      <c r="H719" s="338">
        <v>0</v>
      </c>
      <c r="I719" s="339">
        <v>120</v>
      </c>
      <c r="J719" s="340">
        <v>1350</v>
      </c>
      <c r="K719" s="335" t="s">
        <v>1300</v>
      </c>
      <c r="L719" s="335">
        <v>7</v>
      </c>
      <c r="M719" s="335" t="s">
        <v>1319</v>
      </c>
      <c r="N719" s="339">
        <v>1</v>
      </c>
      <c r="O719" s="341">
        <v>11.25</v>
      </c>
      <c r="P719" s="341">
        <v>10</v>
      </c>
      <c r="Q719" s="341">
        <v>112.5</v>
      </c>
      <c r="R719" s="342">
        <v>1.04</v>
      </c>
      <c r="S719" s="342" t="s">
        <v>1285</v>
      </c>
    </row>
    <row r="720" spans="1:19" ht="15" customHeight="1" x14ac:dyDescent="0.3">
      <c r="A720" s="335" t="s">
        <v>1295</v>
      </c>
      <c r="B720" s="335" t="s">
        <v>26</v>
      </c>
      <c r="C720" s="335" t="s">
        <v>27</v>
      </c>
      <c r="D720" s="335" t="s">
        <v>1320</v>
      </c>
      <c r="E720" s="336" t="s">
        <v>1321</v>
      </c>
      <c r="F720" s="336" t="s">
        <v>1322</v>
      </c>
      <c r="G720" s="337">
        <v>0.2</v>
      </c>
      <c r="H720" s="338">
        <v>0</v>
      </c>
      <c r="I720" s="339">
        <v>41322.314049586799</v>
      </c>
      <c r="J720" s="340">
        <v>8264.4628099173606</v>
      </c>
      <c r="K720" s="335" t="s">
        <v>1300</v>
      </c>
      <c r="L720" s="335">
        <v>8</v>
      </c>
      <c r="M720" s="335" t="s">
        <v>1323</v>
      </c>
      <c r="N720" s="339">
        <v>1</v>
      </c>
      <c r="O720" s="341">
        <v>0.2</v>
      </c>
      <c r="P720" s="341">
        <v>10</v>
      </c>
      <c r="Q720" s="341">
        <v>2</v>
      </c>
      <c r="R720" s="342">
        <v>1.04</v>
      </c>
      <c r="S720" s="342" t="s">
        <v>1285</v>
      </c>
    </row>
    <row r="721" spans="1:19" ht="15" customHeight="1" x14ac:dyDescent="0.3">
      <c r="A721" s="335" t="s">
        <v>1295</v>
      </c>
      <c r="B721" s="335" t="s">
        <v>56</v>
      </c>
      <c r="C721" s="335" t="s">
        <v>57</v>
      </c>
      <c r="D721" s="335" t="s">
        <v>58</v>
      </c>
      <c r="E721" s="336" t="s">
        <v>59</v>
      </c>
      <c r="F721" s="336" t="s">
        <v>60</v>
      </c>
      <c r="G721" s="337">
        <v>0.5</v>
      </c>
      <c r="H721" s="338">
        <v>0</v>
      </c>
      <c r="I721" s="339">
        <v>60860.580776572002</v>
      </c>
      <c r="J721" s="340">
        <v>30430.290388286001</v>
      </c>
      <c r="K721" s="335" t="s">
        <v>1324</v>
      </c>
      <c r="L721" s="335">
        <v>1</v>
      </c>
      <c r="M721" s="335" t="s">
        <v>1325</v>
      </c>
      <c r="N721" s="339">
        <v>1</v>
      </c>
      <c r="O721" s="341">
        <v>0.5</v>
      </c>
      <c r="P721" s="341">
        <v>10</v>
      </c>
      <c r="Q721" s="341">
        <v>5</v>
      </c>
      <c r="R721" s="342">
        <v>1.04</v>
      </c>
      <c r="S721" s="342" t="s">
        <v>1285</v>
      </c>
    </row>
    <row r="722" spans="1:19" ht="15" customHeight="1" x14ac:dyDescent="0.3">
      <c r="A722" s="335" t="s">
        <v>1295</v>
      </c>
      <c r="B722" s="335" t="s">
        <v>56</v>
      </c>
      <c r="C722" s="335" t="s">
        <v>57</v>
      </c>
      <c r="D722" s="343" t="s">
        <v>413</v>
      </c>
      <c r="E722" s="336" t="s">
        <v>414</v>
      </c>
      <c r="F722" s="336" t="s">
        <v>60</v>
      </c>
      <c r="G722" s="337">
        <v>0.5</v>
      </c>
      <c r="H722" s="338">
        <v>0</v>
      </c>
      <c r="I722" s="339">
        <v>65493.071636572</v>
      </c>
      <c r="J722" s="340">
        <v>32746.535818286</v>
      </c>
      <c r="K722" s="335" t="s">
        <v>1324</v>
      </c>
      <c r="L722" s="335">
        <v>2</v>
      </c>
      <c r="M722" s="335" t="s">
        <v>1326</v>
      </c>
      <c r="N722" s="339">
        <v>1</v>
      </c>
      <c r="O722" s="341">
        <v>0.5</v>
      </c>
      <c r="P722" s="341">
        <v>10</v>
      </c>
      <c r="Q722" s="341">
        <v>5</v>
      </c>
      <c r="R722" s="342">
        <v>1.04</v>
      </c>
      <c r="S722" s="342" t="s">
        <v>1285</v>
      </c>
    </row>
    <row r="723" spans="1:19" ht="15" customHeight="1" x14ac:dyDescent="0.3">
      <c r="A723" s="335" t="s">
        <v>1295</v>
      </c>
      <c r="B723" s="335" t="s">
        <v>56</v>
      </c>
      <c r="C723" s="335" t="s">
        <v>57</v>
      </c>
      <c r="D723" s="343" t="s">
        <v>497</v>
      </c>
      <c r="E723" s="336" t="s">
        <v>498</v>
      </c>
      <c r="F723" s="336" t="s">
        <v>60</v>
      </c>
      <c r="G723" s="337">
        <v>0.5</v>
      </c>
      <c r="H723" s="338">
        <v>0</v>
      </c>
      <c r="I723" s="339">
        <v>76955.079706571996</v>
      </c>
      <c r="J723" s="340">
        <v>38477.539853285998</v>
      </c>
      <c r="K723" s="335" t="s">
        <v>1324</v>
      </c>
      <c r="L723" s="335">
        <v>3</v>
      </c>
      <c r="M723" s="335" t="s">
        <v>1327</v>
      </c>
      <c r="N723" s="339">
        <v>1</v>
      </c>
      <c r="O723" s="341">
        <v>0.5</v>
      </c>
      <c r="P723" s="341">
        <v>10</v>
      </c>
      <c r="Q723" s="341">
        <v>5</v>
      </c>
      <c r="R723" s="342">
        <v>1.04</v>
      </c>
      <c r="S723" s="342" t="s">
        <v>1285</v>
      </c>
    </row>
    <row r="724" spans="1:19" ht="15" customHeight="1" x14ac:dyDescent="0.3">
      <c r="A724" s="335" t="s">
        <v>1328</v>
      </c>
      <c r="B724" s="335" t="s">
        <v>20</v>
      </c>
      <c r="C724" s="335"/>
      <c r="D724" s="335" t="s">
        <v>1329</v>
      </c>
      <c r="E724" s="336" t="s">
        <v>1330</v>
      </c>
      <c r="F724" s="336"/>
      <c r="G724" s="337">
        <v>1</v>
      </c>
      <c r="H724" s="338">
        <v>0</v>
      </c>
      <c r="I724" s="339">
        <v>108806.813322348</v>
      </c>
      <c r="J724" s="340">
        <v>108806.813322348</v>
      </c>
      <c r="K724" s="335" t="s">
        <v>1331</v>
      </c>
      <c r="L724" s="335">
        <v>1</v>
      </c>
      <c r="M724" s="335" t="s">
        <v>1332</v>
      </c>
      <c r="N724" s="339">
        <v>1</v>
      </c>
      <c r="O724" s="341">
        <v>1</v>
      </c>
      <c r="P724" s="341">
        <v>1</v>
      </c>
      <c r="Q724" s="341">
        <v>1</v>
      </c>
      <c r="R724" s="342">
        <v>1.05</v>
      </c>
      <c r="S724" s="342" t="s">
        <v>1285</v>
      </c>
    </row>
    <row r="725" spans="1:19" ht="15" customHeight="1" x14ac:dyDescent="0.3">
      <c r="A725" s="335" t="s">
        <v>1328</v>
      </c>
      <c r="B725" s="335" t="s">
        <v>26</v>
      </c>
      <c r="C725" s="335" t="s">
        <v>480</v>
      </c>
      <c r="D725" s="335" t="s">
        <v>1333</v>
      </c>
      <c r="E725" s="336" t="s">
        <v>1334</v>
      </c>
      <c r="F725" s="336" t="s">
        <v>98</v>
      </c>
      <c r="G725" s="337">
        <v>200000</v>
      </c>
      <c r="H725" s="338">
        <v>0</v>
      </c>
      <c r="I725" s="339">
        <v>1</v>
      </c>
      <c r="J725" s="340">
        <v>200000</v>
      </c>
      <c r="K725" s="335" t="s">
        <v>1335</v>
      </c>
      <c r="L725" s="335">
        <v>1</v>
      </c>
      <c r="M725" s="335" t="s">
        <v>1336</v>
      </c>
      <c r="N725" s="339">
        <v>1</v>
      </c>
      <c r="O725" s="341">
        <v>200000</v>
      </c>
      <c r="P725" s="341">
        <v>1</v>
      </c>
      <c r="Q725" s="341">
        <v>200000</v>
      </c>
      <c r="R725" s="342">
        <v>1.05</v>
      </c>
      <c r="S725" s="342" t="s">
        <v>1285</v>
      </c>
    </row>
    <row r="726" spans="1:19" ht="15" customHeight="1" x14ac:dyDescent="0.3">
      <c r="A726" s="335" t="s">
        <v>1328</v>
      </c>
      <c r="B726" s="335" t="s">
        <v>26</v>
      </c>
      <c r="C726" s="335" t="s">
        <v>27</v>
      </c>
      <c r="D726" s="335" t="s">
        <v>1337</v>
      </c>
      <c r="E726" s="336" t="s">
        <v>1338</v>
      </c>
      <c r="F726" s="336" t="s">
        <v>988</v>
      </c>
      <c r="G726" s="337">
        <v>35</v>
      </c>
      <c r="H726" s="338">
        <v>0</v>
      </c>
      <c r="I726" s="339">
        <v>3389.1900826446299</v>
      </c>
      <c r="J726" s="340">
        <v>118621.65289256199</v>
      </c>
      <c r="K726" s="335" t="s">
        <v>1335</v>
      </c>
      <c r="L726" s="335">
        <v>2</v>
      </c>
      <c r="M726" s="335" t="s">
        <v>1339</v>
      </c>
      <c r="N726" s="339">
        <v>1</v>
      </c>
      <c r="O726" s="341">
        <v>35</v>
      </c>
      <c r="P726" s="341">
        <v>1</v>
      </c>
      <c r="Q726" s="341">
        <v>35</v>
      </c>
      <c r="R726" s="342">
        <v>1.05</v>
      </c>
      <c r="S726" s="342" t="s">
        <v>1285</v>
      </c>
    </row>
    <row r="727" spans="1:19" ht="15" customHeight="1" x14ac:dyDescent="0.3">
      <c r="A727" s="335" t="s">
        <v>1328</v>
      </c>
      <c r="B727" s="335" t="s">
        <v>26</v>
      </c>
      <c r="C727" s="335" t="s">
        <v>27</v>
      </c>
      <c r="D727" s="335" t="s">
        <v>1340</v>
      </c>
      <c r="E727" s="336" t="s">
        <v>1341</v>
      </c>
      <c r="F727" s="336" t="s">
        <v>35</v>
      </c>
      <c r="G727" s="337">
        <v>33</v>
      </c>
      <c r="H727" s="338">
        <v>0</v>
      </c>
      <c r="I727" s="339">
        <v>8774.2266666666692</v>
      </c>
      <c r="J727" s="340">
        <v>289549.48</v>
      </c>
      <c r="K727" s="335" t="s">
        <v>1335</v>
      </c>
      <c r="L727" s="335">
        <v>3</v>
      </c>
      <c r="M727" s="335" t="s">
        <v>1342</v>
      </c>
      <c r="N727" s="339">
        <v>1</v>
      </c>
      <c r="O727" s="341">
        <v>33</v>
      </c>
      <c r="P727" s="341">
        <v>1</v>
      </c>
      <c r="Q727" s="341">
        <v>33</v>
      </c>
      <c r="R727" s="342">
        <v>1.05</v>
      </c>
      <c r="S727" s="342" t="s">
        <v>1285</v>
      </c>
    </row>
    <row r="728" spans="1:19" ht="15" customHeight="1" x14ac:dyDescent="0.3">
      <c r="A728" s="335" t="s">
        <v>1328</v>
      </c>
      <c r="B728" s="335" t="s">
        <v>26</v>
      </c>
      <c r="C728" s="335" t="s">
        <v>27</v>
      </c>
      <c r="D728" s="335" t="s">
        <v>1343</v>
      </c>
      <c r="E728" s="336" t="s">
        <v>1344</v>
      </c>
      <c r="F728" s="336" t="s">
        <v>35</v>
      </c>
      <c r="G728" s="337">
        <v>80</v>
      </c>
      <c r="H728" s="338">
        <v>0</v>
      </c>
      <c r="I728" s="339">
        <v>647.31600000000003</v>
      </c>
      <c r="J728" s="340">
        <v>51785.279999999999</v>
      </c>
      <c r="K728" s="335" t="s">
        <v>1335</v>
      </c>
      <c r="L728" s="335">
        <v>4</v>
      </c>
      <c r="M728" s="335" t="s">
        <v>1345</v>
      </c>
      <c r="N728" s="339">
        <v>1</v>
      </c>
      <c r="O728" s="341">
        <v>80</v>
      </c>
      <c r="P728" s="341">
        <v>1</v>
      </c>
      <c r="Q728" s="341">
        <v>80</v>
      </c>
      <c r="R728" s="342">
        <v>1.05</v>
      </c>
      <c r="S728" s="342" t="s">
        <v>1285</v>
      </c>
    </row>
    <row r="729" spans="1:19" ht="15" customHeight="1" x14ac:dyDescent="0.3">
      <c r="A729" s="335" t="s">
        <v>1328</v>
      </c>
      <c r="B729" s="335" t="s">
        <v>26</v>
      </c>
      <c r="C729" s="335" t="s">
        <v>27</v>
      </c>
      <c r="D729" s="335" t="s">
        <v>1346</v>
      </c>
      <c r="E729" s="336" t="s">
        <v>1347</v>
      </c>
      <c r="F729" s="336" t="s">
        <v>35</v>
      </c>
      <c r="G729" s="337">
        <v>40</v>
      </c>
      <c r="H729" s="338">
        <v>0</v>
      </c>
      <c r="I729" s="339">
        <v>1456.4760000000001</v>
      </c>
      <c r="J729" s="340">
        <v>58259.040000000001</v>
      </c>
      <c r="K729" s="335" t="s">
        <v>1335</v>
      </c>
      <c r="L729" s="335">
        <v>5</v>
      </c>
      <c r="M729" s="335" t="s">
        <v>1348</v>
      </c>
      <c r="N729" s="339">
        <v>1</v>
      </c>
      <c r="O729" s="341">
        <v>40</v>
      </c>
      <c r="P729" s="341">
        <v>1</v>
      </c>
      <c r="Q729" s="341">
        <v>40</v>
      </c>
      <c r="R729" s="342">
        <v>1.05</v>
      </c>
      <c r="S729" s="342" t="s">
        <v>1285</v>
      </c>
    </row>
    <row r="730" spans="1:19" ht="15" customHeight="1" x14ac:dyDescent="0.3">
      <c r="A730" s="335" t="s">
        <v>1328</v>
      </c>
      <c r="B730" s="335" t="s">
        <v>26</v>
      </c>
      <c r="C730" s="335" t="s">
        <v>27</v>
      </c>
      <c r="D730" s="335" t="s">
        <v>1349</v>
      </c>
      <c r="E730" s="336" t="s">
        <v>1350</v>
      </c>
      <c r="F730" s="336" t="s">
        <v>35</v>
      </c>
      <c r="G730" s="337">
        <v>20</v>
      </c>
      <c r="H730" s="338">
        <v>0</v>
      </c>
      <c r="I730" s="339">
        <v>2912.9520000000002</v>
      </c>
      <c r="J730" s="340">
        <v>58259.040000000001</v>
      </c>
      <c r="K730" s="335" t="s">
        <v>1335</v>
      </c>
      <c r="L730" s="335">
        <v>6</v>
      </c>
      <c r="M730" s="335" t="s">
        <v>1351</v>
      </c>
      <c r="N730" s="339">
        <v>1</v>
      </c>
      <c r="O730" s="341">
        <v>20</v>
      </c>
      <c r="P730" s="341">
        <v>1</v>
      </c>
      <c r="Q730" s="341">
        <v>20</v>
      </c>
      <c r="R730" s="342">
        <v>1.05</v>
      </c>
      <c r="S730" s="342" t="s">
        <v>1285</v>
      </c>
    </row>
    <row r="731" spans="1:19" ht="15" customHeight="1" x14ac:dyDescent="0.3">
      <c r="A731" s="335" t="s">
        <v>1328</v>
      </c>
      <c r="B731" s="335" t="s">
        <v>26</v>
      </c>
      <c r="C731" s="335" t="s">
        <v>27</v>
      </c>
      <c r="D731" s="335" t="s">
        <v>1352</v>
      </c>
      <c r="E731" s="336" t="s">
        <v>1353</v>
      </c>
      <c r="F731" s="336" t="s">
        <v>98</v>
      </c>
      <c r="G731" s="337">
        <v>0</v>
      </c>
      <c r="H731" s="338">
        <v>0</v>
      </c>
      <c r="I731" s="339">
        <v>168303.35999999999</v>
      </c>
      <c r="J731" s="340">
        <v>0</v>
      </c>
      <c r="K731" s="335" t="s">
        <v>1335</v>
      </c>
      <c r="L731" s="335">
        <v>7</v>
      </c>
      <c r="M731" s="335" t="s">
        <v>1354</v>
      </c>
      <c r="N731" s="339">
        <v>1</v>
      </c>
      <c r="O731" s="341">
        <v>0</v>
      </c>
      <c r="P731" s="341">
        <v>1</v>
      </c>
      <c r="Q731" s="341">
        <v>0</v>
      </c>
      <c r="R731" s="342">
        <v>1.05</v>
      </c>
      <c r="S731" s="342" t="s">
        <v>1285</v>
      </c>
    </row>
    <row r="732" spans="1:19" ht="15" customHeight="1" x14ac:dyDescent="0.3">
      <c r="A732" s="335" t="s">
        <v>1328</v>
      </c>
      <c r="B732" s="335" t="s">
        <v>26</v>
      </c>
      <c r="C732" s="335" t="s">
        <v>27</v>
      </c>
      <c r="D732" s="335" t="s">
        <v>1355</v>
      </c>
      <c r="E732" s="336" t="s">
        <v>1356</v>
      </c>
      <c r="F732" s="336" t="s">
        <v>1357</v>
      </c>
      <c r="G732" s="337">
        <v>1</v>
      </c>
      <c r="H732" s="338">
        <v>0</v>
      </c>
      <c r="I732" s="339">
        <v>214876.03305785099</v>
      </c>
      <c r="J732" s="340">
        <v>214876.03305785099</v>
      </c>
      <c r="K732" s="335" t="s">
        <v>1335</v>
      </c>
      <c r="L732" s="335">
        <v>8</v>
      </c>
      <c r="M732" s="335" t="s">
        <v>1358</v>
      </c>
      <c r="N732" s="339">
        <v>1</v>
      </c>
      <c r="O732" s="341">
        <v>1</v>
      </c>
      <c r="P732" s="341">
        <v>1</v>
      </c>
      <c r="Q732" s="341">
        <v>1</v>
      </c>
      <c r="R732" s="342">
        <v>1.05</v>
      </c>
      <c r="S732" s="342" t="s">
        <v>1285</v>
      </c>
    </row>
    <row r="733" spans="1:19" ht="15" customHeight="1" x14ac:dyDescent="0.3">
      <c r="A733" s="335" t="s">
        <v>1328</v>
      </c>
      <c r="B733" s="335" t="s">
        <v>26</v>
      </c>
      <c r="C733" s="335" t="s">
        <v>27</v>
      </c>
      <c r="D733" s="335" t="s">
        <v>1359</v>
      </c>
      <c r="E733" s="336" t="s">
        <v>1360</v>
      </c>
      <c r="F733" s="336" t="s">
        <v>35</v>
      </c>
      <c r="G733" s="337">
        <v>10</v>
      </c>
      <c r="H733" s="338">
        <v>0</v>
      </c>
      <c r="I733" s="339">
        <v>369.83471074380202</v>
      </c>
      <c r="J733" s="340">
        <v>3698.34710743802</v>
      </c>
      <c r="K733" s="335" t="s">
        <v>1335</v>
      </c>
      <c r="L733" s="335">
        <v>9</v>
      </c>
      <c r="M733" s="335" t="s">
        <v>1361</v>
      </c>
      <c r="N733" s="339">
        <v>1</v>
      </c>
      <c r="O733" s="341">
        <v>10</v>
      </c>
      <c r="P733" s="341">
        <v>1</v>
      </c>
      <c r="Q733" s="341">
        <v>10</v>
      </c>
      <c r="R733" s="342">
        <v>1.05</v>
      </c>
      <c r="S733" s="342" t="s">
        <v>1285</v>
      </c>
    </row>
    <row r="734" spans="1:19" ht="15" customHeight="1" x14ac:dyDescent="0.3">
      <c r="A734" s="335" t="s">
        <v>1328</v>
      </c>
      <c r="B734" s="335" t="s">
        <v>26</v>
      </c>
      <c r="C734" s="335" t="s">
        <v>27</v>
      </c>
      <c r="D734" s="335" t="s">
        <v>1362</v>
      </c>
      <c r="E734" s="336" t="s">
        <v>1363</v>
      </c>
      <c r="F734" s="336" t="s">
        <v>35</v>
      </c>
      <c r="G734" s="337">
        <v>10</v>
      </c>
      <c r="H734" s="338">
        <v>0</v>
      </c>
      <c r="I734" s="339">
        <v>2363.6363636363599</v>
      </c>
      <c r="J734" s="340">
        <v>23636.3636363636</v>
      </c>
      <c r="K734" s="335" t="s">
        <v>1335</v>
      </c>
      <c r="L734" s="335">
        <v>10</v>
      </c>
      <c r="M734" s="335" t="s">
        <v>1364</v>
      </c>
      <c r="N734" s="339">
        <v>1</v>
      </c>
      <c r="O734" s="341">
        <v>10</v>
      </c>
      <c r="P734" s="341">
        <v>1</v>
      </c>
      <c r="Q734" s="341">
        <v>10</v>
      </c>
      <c r="R734" s="342">
        <v>1.05</v>
      </c>
      <c r="S734" s="342" t="s">
        <v>1285</v>
      </c>
    </row>
    <row r="735" spans="1:19" ht="15" customHeight="1" x14ac:dyDescent="0.3">
      <c r="A735" s="335" t="s">
        <v>1328</v>
      </c>
      <c r="B735" s="335" t="s">
        <v>26</v>
      </c>
      <c r="C735" s="335" t="s">
        <v>27</v>
      </c>
      <c r="D735" s="335" t="s">
        <v>1365</v>
      </c>
      <c r="E735" s="336" t="s">
        <v>1366</v>
      </c>
      <c r="F735" s="336" t="s">
        <v>98</v>
      </c>
      <c r="G735" s="337">
        <v>0.25</v>
      </c>
      <c r="H735" s="338">
        <v>0</v>
      </c>
      <c r="I735" s="339">
        <v>242210.74380165301</v>
      </c>
      <c r="J735" s="340">
        <v>60552.685950413303</v>
      </c>
      <c r="K735" s="335" t="s">
        <v>1335</v>
      </c>
      <c r="L735" s="335">
        <v>11</v>
      </c>
      <c r="M735" s="335" t="s">
        <v>1367</v>
      </c>
      <c r="N735" s="339">
        <v>1</v>
      </c>
      <c r="O735" s="341">
        <v>0.25</v>
      </c>
      <c r="P735" s="341">
        <v>1</v>
      </c>
      <c r="Q735" s="341">
        <v>0.25</v>
      </c>
      <c r="R735" s="342">
        <v>1.05</v>
      </c>
      <c r="S735" s="342" t="s">
        <v>1285</v>
      </c>
    </row>
    <row r="736" spans="1:19" ht="15" customHeight="1" x14ac:dyDescent="0.3">
      <c r="A736" s="335" t="s">
        <v>1328</v>
      </c>
      <c r="B736" s="335" t="s">
        <v>26</v>
      </c>
      <c r="C736" s="335" t="s">
        <v>27</v>
      </c>
      <c r="D736" s="335" t="s">
        <v>1368</v>
      </c>
      <c r="E736" s="336" t="s">
        <v>1369</v>
      </c>
      <c r="F736" s="336" t="s">
        <v>98</v>
      </c>
      <c r="G736" s="337">
        <v>1</v>
      </c>
      <c r="H736" s="338">
        <v>0</v>
      </c>
      <c r="I736" s="339">
        <v>500000</v>
      </c>
      <c r="J736" s="340">
        <v>500000</v>
      </c>
      <c r="K736" s="335" t="s">
        <v>1335</v>
      </c>
      <c r="L736" s="335">
        <v>12</v>
      </c>
      <c r="M736" s="335" t="s">
        <v>1370</v>
      </c>
      <c r="N736" s="339">
        <v>1</v>
      </c>
      <c r="O736" s="341">
        <v>1</v>
      </c>
      <c r="P736" s="341">
        <v>1</v>
      </c>
      <c r="Q736" s="341">
        <v>1</v>
      </c>
      <c r="R736" s="342">
        <v>1.05</v>
      </c>
      <c r="S736" s="342" t="s">
        <v>1285</v>
      </c>
    </row>
    <row r="737" spans="1:19" ht="15" customHeight="1" x14ac:dyDescent="0.3">
      <c r="A737" s="335" t="s">
        <v>1328</v>
      </c>
      <c r="B737" s="335" t="s">
        <v>26</v>
      </c>
      <c r="C737" s="335" t="s">
        <v>27</v>
      </c>
      <c r="D737" s="335" t="s">
        <v>1371</v>
      </c>
      <c r="E737" s="336" t="s">
        <v>1372</v>
      </c>
      <c r="F737" s="336" t="s">
        <v>35</v>
      </c>
      <c r="G737" s="337">
        <v>2</v>
      </c>
      <c r="H737" s="338">
        <v>0</v>
      </c>
      <c r="I737" s="339">
        <v>100000</v>
      </c>
      <c r="J737" s="340">
        <v>200000</v>
      </c>
      <c r="K737" s="335" t="s">
        <v>1335</v>
      </c>
      <c r="L737" s="335">
        <v>13</v>
      </c>
      <c r="M737" s="335" t="s">
        <v>1373</v>
      </c>
      <c r="N737" s="339">
        <v>1</v>
      </c>
      <c r="O737" s="341">
        <v>2</v>
      </c>
      <c r="P737" s="341">
        <v>1</v>
      </c>
      <c r="Q737" s="341">
        <v>2</v>
      </c>
      <c r="R737" s="342">
        <v>1.05</v>
      </c>
      <c r="S737" s="342" t="s">
        <v>1285</v>
      </c>
    </row>
    <row r="738" spans="1:19" ht="15" customHeight="1" x14ac:dyDescent="0.3">
      <c r="A738" s="335" t="s">
        <v>1328</v>
      </c>
      <c r="B738" s="335" t="s">
        <v>26</v>
      </c>
      <c r="C738" s="335" t="s">
        <v>27</v>
      </c>
      <c r="D738" s="335" t="s">
        <v>1374</v>
      </c>
      <c r="E738" s="336" t="s">
        <v>1375</v>
      </c>
      <c r="F738" s="336" t="s">
        <v>35</v>
      </c>
      <c r="G738" s="337">
        <v>2</v>
      </c>
      <c r="H738" s="338">
        <v>0</v>
      </c>
      <c r="I738" s="339">
        <v>25000</v>
      </c>
      <c r="J738" s="340">
        <v>50000</v>
      </c>
      <c r="K738" s="335" t="s">
        <v>1335</v>
      </c>
      <c r="L738" s="335">
        <v>14</v>
      </c>
      <c r="M738" s="335" t="s">
        <v>1376</v>
      </c>
      <c r="N738" s="339">
        <v>1</v>
      </c>
      <c r="O738" s="341">
        <v>2</v>
      </c>
      <c r="P738" s="341">
        <v>1</v>
      </c>
      <c r="Q738" s="341">
        <v>2</v>
      </c>
      <c r="R738" s="342">
        <v>1.05</v>
      </c>
      <c r="S738" s="342" t="s">
        <v>1285</v>
      </c>
    </row>
    <row r="739" spans="1:19" ht="15" customHeight="1" x14ac:dyDescent="0.3">
      <c r="A739" s="335" t="s">
        <v>1328</v>
      </c>
      <c r="B739" s="335" t="s">
        <v>26</v>
      </c>
      <c r="C739" s="335" t="s">
        <v>27</v>
      </c>
      <c r="D739" s="335" t="s">
        <v>1377</v>
      </c>
      <c r="E739" s="336" t="s">
        <v>1378</v>
      </c>
      <c r="F739" s="336" t="s">
        <v>35</v>
      </c>
      <c r="G739" s="337">
        <v>2</v>
      </c>
      <c r="H739" s="338">
        <v>0</v>
      </c>
      <c r="I739" s="339">
        <v>24793.3884297521</v>
      </c>
      <c r="J739" s="340">
        <v>49586.7768595042</v>
      </c>
      <c r="K739" s="335" t="s">
        <v>1335</v>
      </c>
      <c r="L739" s="335">
        <v>15</v>
      </c>
      <c r="M739" s="335" t="s">
        <v>1379</v>
      </c>
      <c r="N739" s="339">
        <v>1</v>
      </c>
      <c r="O739" s="341">
        <v>2</v>
      </c>
      <c r="P739" s="341">
        <v>1</v>
      </c>
      <c r="Q739" s="341">
        <v>2</v>
      </c>
      <c r="R739" s="342">
        <v>1.05</v>
      </c>
      <c r="S739" s="342" t="s">
        <v>1285</v>
      </c>
    </row>
    <row r="740" spans="1:19" ht="15" customHeight="1" x14ac:dyDescent="0.3">
      <c r="A740" s="335" t="s">
        <v>1328</v>
      </c>
      <c r="B740" s="335" t="s">
        <v>26</v>
      </c>
      <c r="C740" s="335" t="s">
        <v>27</v>
      </c>
      <c r="D740" s="335" t="s">
        <v>1380</v>
      </c>
      <c r="E740" s="336" t="s">
        <v>1381</v>
      </c>
      <c r="F740" s="336" t="s">
        <v>35</v>
      </c>
      <c r="G740" s="337">
        <v>1</v>
      </c>
      <c r="H740" s="338">
        <v>0</v>
      </c>
      <c r="I740" s="339">
        <v>200000</v>
      </c>
      <c r="J740" s="340">
        <v>200000</v>
      </c>
      <c r="K740" s="335" t="s">
        <v>1335</v>
      </c>
      <c r="L740" s="335">
        <v>16</v>
      </c>
      <c r="M740" s="335" t="s">
        <v>1382</v>
      </c>
      <c r="N740" s="339">
        <v>1</v>
      </c>
      <c r="O740" s="341">
        <v>1</v>
      </c>
      <c r="P740" s="341">
        <v>1</v>
      </c>
      <c r="Q740" s="341">
        <v>1</v>
      </c>
      <c r="R740" s="342">
        <v>1.05</v>
      </c>
      <c r="S740" s="342" t="s">
        <v>1285</v>
      </c>
    </row>
    <row r="741" spans="1:19" ht="15" customHeight="1" x14ac:dyDescent="0.3">
      <c r="A741" s="335" t="s">
        <v>1328</v>
      </c>
      <c r="B741" s="335" t="s">
        <v>56</v>
      </c>
      <c r="C741" s="335" t="s">
        <v>57</v>
      </c>
      <c r="D741" s="335" t="s">
        <v>58</v>
      </c>
      <c r="E741" s="336" t="s">
        <v>59</v>
      </c>
      <c r="F741" s="336" t="s">
        <v>60</v>
      </c>
      <c r="G741" s="337">
        <v>24.5</v>
      </c>
      <c r="H741" s="338">
        <v>0</v>
      </c>
      <c r="I741" s="339">
        <v>60860.580776572002</v>
      </c>
      <c r="J741" s="340">
        <v>1491084.22902601</v>
      </c>
      <c r="K741" s="335" t="s">
        <v>1383</v>
      </c>
      <c r="L741" s="335">
        <v>1</v>
      </c>
      <c r="M741" s="335" t="s">
        <v>1384</v>
      </c>
      <c r="N741" s="339">
        <v>1</v>
      </c>
      <c r="O741" s="341">
        <v>24.5</v>
      </c>
      <c r="P741" s="341">
        <v>1</v>
      </c>
      <c r="Q741" s="341">
        <v>24.5</v>
      </c>
      <c r="R741" s="342">
        <v>1.05</v>
      </c>
      <c r="S741" s="342" t="s">
        <v>1285</v>
      </c>
    </row>
    <row r="742" spans="1:19" ht="15" customHeight="1" x14ac:dyDescent="0.3">
      <c r="A742" s="335" t="s">
        <v>1328</v>
      </c>
      <c r="B742" s="335" t="s">
        <v>56</v>
      </c>
      <c r="C742" s="335" t="s">
        <v>57</v>
      </c>
      <c r="D742" s="343" t="s">
        <v>63</v>
      </c>
      <c r="E742" s="336" t="s">
        <v>64</v>
      </c>
      <c r="F742" s="336" t="s">
        <v>60</v>
      </c>
      <c r="G742" s="337">
        <v>7</v>
      </c>
      <c r="H742" s="338">
        <v>0</v>
      </c>
      <c r="I742" s="339">
        <v>85927.097156571996</v>
      </c>
      <c r="J742" s="340">
        <v>601489.68009600404</v>
      </c>
      <c r="K742" s="335" t="s">
        <v>1383</v>
      </c>
      <c r="L742" s="335">
        <v>2</v>
      </c>
      <c r="M742" s="335" t="s">
        <v>1385</v>
      </c>
      <c r="N742" s="339">
        <v>1</v>
      </c>
      <c r="O742" s="341">
        <v>7</v>
      </c>
      <c r="P742" s="341">
        <v>1</v>
      </c>
      <c r="Q742" s="341">
        <v>7</v>
      </c>
      <c r="R742" s="342">
        <v>1.05</v>
      </c>
      <c r="S742" s="342" t="s">
        <v>1285</v>
      </c>
    </row>
    <row r="743" spans="1:19" ht="15" customHeight="1" x14ac:dyDescent="0.3">
      <c r="A743" s="335" t="s">
        <v>1328</v>
      </c>
      <c r="B743" s="335" t="s">
        <v>56</v>
      </c>
      <c r="C743" s="335" t="s">
        <v>57</v>
      </c>
      <c r="D743" s="343" t="s">
        <v>413</v>
      </c>
      <c r="E743" s="336" t="s">
        <v>414</v>
      </c>
      <c r="F743" s="336" t="s">
        <v>60</v>
      </c>
      <c r="G743" s="337">
        <v>8</v>
      </c>
      <c r="H743" s="338">
        <v>0</v>
      </c>
      <c r="I743" s="339">
        <v>65493.071636572</v>
      </c>
      <c r="J743" s="340">
        <v>523944.573092576</v>
      </c>
      <c r="K743" s="335" t="s">
        <v>1383</v>
      </c>
      <c r="L743" s="335">
        <v>3</v>
      </c>
      <c r="M743" s="335" t="s">
        <v>1386</v>
      </c>
      <c r="N743" s="339">
        <v>1</v>
      </c>
      <c r="O743" s="341">
        <v>8</v>
      </c>
      <c r="P743" s="341">
        <v>1</v>
      </c>
      <c r="Q743" s="341">
        <v>8</v>
      </c>
      <c r="R743" s="342">
        <v>1.05</v>
      </c>
      <c r="S743" s="342" t="s">
        <v>1285</v>
      </c>
    </row>
    <row r="744" spans="1:19" ht="15" customHeight="1" x14ac:dyDescent="0.3">
      <c r="A744" s="335" t="s">
        <v>1328</v>
      </c>
      <c r="B744" s="335" t="s">
        <v>56</v>
      </c>
      <c r="C744" s="335" t="s">
        <v>57</v>
      </c>
      <c r="D744" s="343" t="s">
        <v>497</v>
      </c>
      <c r="E744" s="336" t="s">
        <v>498</v>
      </c>
      <c r="F744" s="336" t="s">
        <v>60</v>
      </c>
      <c r="G744" s="337">
        <v>23.5</v>
      </c>
      <c r="H744" s="338">
        <v>0</v>
      </c>
      <c r="I744" s="339">
        <v>76955.079706571996</v>
      </c>
      <c r="J744" s="340">
        <v>1808444.37310444</v>
      </c>
      <c r="K744" s="335" t="s">
        <v>1383</v>
      </c>
      <c r="L744" s="335">
        <v>4</v>
      </c>
      <c r="M744" s="335" t="s">
        <v>1387</v>
      </c>
      <c r="N744" s="339">
        <v>1</v>
      </c>
      <c r="O744" s="341">
        <v>23.5</v>
      </c>
      <c r="P744" s="341">
        <v>1</v>
      </c>
      <c r="Q744" s="341">
        <v>23.5</v>
      </c>
      <c r="R744" s="342">
        <v>1.05</v>
      </c>
      <c r="S744" s="342" t="s">
        <v>1285</v>
      </c>
    </row>
    <row r="745" spans="1:19" ht="15" customHeight="1" x14ac:dyDescent="0.3">
      <c r="A745" s="335" t="s">
        <v>1328</v>
      </c>
      <c r="B745" s="335" t="s">
        <v>56</v>
      </c>
      <c r="C745" s="335" t="s">
        <v>27</v>
      </c>
      <c r="D745" s="335" t="s">
        <v>1388</v>
      </c>
      <c r="E745" s="336" t="s">
        <v>1389</v>
      </c>
      <c r="F745" s="336" t="s">
        <v>60</v>
      </c>
      <c r="G745" s="337">
        <v>2</v>
      </c>
      <c r="H745" s="338">
        <v>0</v>
      </c>
      <c r="I745" s="339">
        <v>250000</v>
      </c>
      <c r="J745" s="340">
        <v>500000</v>
      </c>
      <c r="K745" s="335" t="s">
        <v>1383</v>
      </c>
      <c r="L745" s="335">
        <v>5</v>
      </c>
      <c r="M745" s="335" t="s">
        <v>1390</v>
      </c>
      <c r="N745" s="339">
        <v>1</v>
      </c>
      <c r="O745" s="341">
        <v>2</v>
      </c>
      <c r="P745" s="341">
        <v>1</v>
      </c>
      <c r="Q745" s="341">
        <v>2</v>
      </c>
      <c r="R745" s="342">
        <v>1.05</v>
      </c>
      <c r="S745" s="342" t="s">
        <v>1285</v>
      </c>
    </row>
    <row r="746" spans="1:19" ht="15" customHeight="1" x14ac:dyDescent="0.3">
      <c r="A746" s="335" t="s">
        <v>1328</v>
      </c>
      <c r="B746" s="335" t="s">
        <v>56</v>
      </c>
      <c r="C746" s="335" t="s">
        <v>27</v>
      </c>
      <c r="D746" s="335" t="s">
        <v>1391</v>
      </c>
      <c r="E746" s="336" t="s">
        <v>1392</v>
      </c>
      <c r="F746" s="336" t="s">
        <v>60</v>
      </c>
      <c r="G746" s="337">
        <v>1</v>
      </c>
      <c r="H746" s="338">
        <v>0</v>
      </c>
      <c r="I746" s="339">
        <v>250000</v>
      </c>
      <c r="J746" s="340">
        <v>250000</v>
      </c>
      <c r="K746" s="335" t="s">
        <v>1383</v>
      </c>
      <c r="L746" s="335">
        <v>6</v>
      </c>
      <c r="M746" s="335" t="s">
        <v>1393</v>
      </c>
      <c r="N746" s="339">
        <v>1</v>
      </c>
      <c r="O746" s="341">
        <v>1</v>
      </c>
      <c r="P746" s="341">
        <v>1</v>
      </c>
      <c r="Q746" s="341">
        <v>1</v>
      </c>
      <c r="R746" s="342">
        <v>1.05</v>
      </c>
      <c r="S746" s="342" t="s">
        <v>1285</v>
      </c>
    </row>
    <row r="747" spans="1:19" ht="15" customHeight="1" x14ac:dyDescent="0.3">
      <c r="A747" s="335" t="s">
        <v>1394</v>
      </c>
      <c r="B747" s="335" t="s">
        <v>56</v>
      </c>
      <c r="C747" s="335" t="s">
        <v>27</v>
      </c>
      <c r="D747" s="335" t="s">
        <v>1395</v>
      </c>
      <c r="E747" s="336" t="s">
        <v>1396</v>
      </c>
      <c r="F747" s="336" t="s">
        <v>60</v>
      </c>
      <c r="G747" s="337">
        <v>4</v>
      </c>
      <c r="H747" s="338">
        <v>0</v>
      </c>
      <c r="I747" s="339">
        <v>79748.530293941207</v>
      </c>
      <c r="J747" s="340">
        <v>318994.121175765</v>
      </c>
      <c r="K747" s="335" t="s">
        <v>1397</v>
      </c>
      <c r="L747" s="335">
        <v>1</v>
      </c>
      <c r="M747" s="335" t="s">
        <v>1398</v>
      </c>
      <c r="N747" s="339">
        <v>1</v>
      </c>
      <c r="O747" s="341">
        <v>4</v>
      </c>
      <c r="P747" s="341">
        <v>4</v>
      </c>
      <c r="Q747" s="341">
        <v>16</v>
      </c>
      <c r="R747" s="342">
        <v>1.06</v>
      </c>
      <c r="S747" s="342" t="s">
        <v>1285</v>
      </c>
    </row>
    <row r="748" spans="1:19" ht="15" customHeight="1" x14ac:dyDescent="0.3">
      <c r="A748" s="335" t="s">
        <v>1394</v>
      </c>
      <c r="B748" s="335" t="s">
        <v>56</v>
      </c>
      <c r="C748" s="335" t="s">
        <v>27</v>
      </c>
      <c r="D748" s="335" t="s">
        <v>1399</v>
      </c>
      <c r="E748" s="336" t="s">
        <v>1400</v>
      </c>
      <c r="F748" s="336" t="s">
        <v>60</v>
      </c>
      <c r="G748" s="337">
        <v>1</v>
      </c>
      <c r="H748" s="338">
        <v>0</v>
      </c>
      <c r="I748" s="339">
        <v>13291.421715656899</v>
      </c>
      <c r="J748" s="340">
        <v>13291.421715656899</v>
      </c>
      <c r="K748" s="335" t="s">
        <v>1397</v>
      </c>
      <c r="L748" s="335">
        <v>2</v>
      </c>
      <c r="M748" s="335" t="s">
        <v>1401</v>
      </c>
      <c r="N748" s="339">
        <v>1</v>
      </c>
      <c r="O748" s="341">
        <v>1</v>
      </c>
      <c r="P748" s="341">
        <v>4</v>
      </c>
      <c r="Q748" s="341">
        <v>4</v>
      </c>
      <c r="R748" s="342">
        <v>1.06</v>
      </c>
      <c r="S748" s="342" t="s">
        <v>1285</v>
      </c>
    </row>
    <row r="749" spans="1:19" ht="15" customHeight="1" x14ac:dyDescent="0.3">
      <c r="A749" s="335" t="s">
        <v>1402</v>
      </c>
      <c r="B749" s="335" t="s">
        <v>20</v>
      </c>
      <c r="C749" s="335"/>
      <c r="D749" s="335" t="s">
        <v>1403</v>
      </c>
      <c r="E749" s="336" t="s">
        <v>1404</v>
      </c>
      <c r="F749" s="336"/>
      <c r="G749" s="337">
        <v>1</v>
      </c>
      <c r="H749" s="338">
        <v>0</v>
      </c>
      <c r="I749" s="339">
        <v>25370.9351203886</v>
      </c>
      <c r="J749" s="340">
        <v>25370.9351203886</v>
      </c>
      <c r="K749" s="335" t="s">
        <v>1405</v>
      </c>
      <c r="L749" s="335">
        <v>1</v>
      </c>
      <c r="M749" s="335" t="s">
        <v>1406</v>
      </c>
      <c r="N749" s="339">
        <v>1</v>
      </c>
      <c r="O749" s="341">
        <v>1</v>
      </c>
      <c r="P749" s="341">
        <v>1</v>
      </c>
      <c r="Q749" s="341">
        <v>1</v>
      </c>
      <c r="R749" s="342">
        <v>1.07</v>
      </c>
      <c r="S749" s="342" t="s">
        <v>1285</v>
      </c>
    </row>
    <row r="750" spans="1:19" ht="15" customHeight="1" x14ac:dyDescent="0.3">
      <c r="A750" s="335" t="s">
        <v>1402</v>
      </c>
      <c r="B750" s="335" t="s">
        <v>26</v>
      </c>
      <c r="C750" s="335" t="s">
        <v>480</v>
      </c>
      <c r="D750" s="335" t="s">
        <v>1407</v>
      </c>
      <c r="E750" s="336" t="s">
        <v>1408</v>
      </c>
      <c r="F750" s="336" t="s">
        <v>1409</v>
      </c>
      <c r="G750" s="337">
        <v>2</v>
      </c>
      <c r="H750" s="338">
        <v>0</v>
      </c>
      <c r="I750" s="339">
        <v>25000</v>
      </c>
      <c r="J750" s="340">
        <v>50000</v>
      </c>
      <c r="K750" s="335" t="s">
        <v>1410</v>
      </c>
      <c r="L750" s="335">
        <v>1</v>
      </c>
      <c r="M750" s="335" t="s">
        <v>1411</v>
      </c>
      <c r="N750" s="339">
        <v>1</v>
      </c>
      <c r="O750" s="341">
        <v>2</v>
      </c>
      <c r="P750" s="341">
        <v>1</v>
      </c>
      <c r="Q750" s="341">
        <v>2</v>
      </c>
      <c r="R750" s="342">
        <v>1.07</v>
      </c>
      <c r="S750" s="342" t="s">
        <v>1285</v>
      </c>
    </row>
    <row r="751" spans="1:19" ht="15" customHeight="1" x14ac:dyDescent="0.3">
      <c r="A751" s="335" t="s">
        <v>1402</v>
      </c>
      <c r="B751" s="335" t="s">
        <v>26</v>
      </c>
      <c r="C751" s="335" t="s">
        <v>27</v>
      </c>
      <c r="D751" s="335" t="s">
        <v>1412</v>
      </c>
      <c r="E751" s="336" t="s">
        <v>1413</v>
      </c>
      <c r="F751" s="336" t="s">
        <v>98</v>
      </c>
      <c r="G751" s="337">
        <v>1</v>
      </c>
      <c r="H751" s="338">
        <v>0</v>
      </c>
      <c r="I751" s="339">
        <v>150000</v>
      </c>
      <c r="J751" s="340">
        <v>150000</v>
      </c>
      <c r="K751" s="335" t="s">
        <v>1410</v>
      </c>
      <c r="L751" s="335">
        <v>2</v>
      </c>
      <c r="M751" s="335" t="s">
        <v>1414</v>
      </c>
      <c r="N751" s="339">
        <v>1</v>
      </c>
      <c r="O751" s="341">
        <v>1</v>
      </c>
      <c r="P751" s="341">
        <v>1</v>
      </c>
      <c r="Q751" s="341">
        <v>1</v>
      </c>
      <c r="R751" s="342">
        <v>1.07</v>
      </c>
      <c r="S751" s="342" t="s">
        <v>1285</v>
      </c>
    </row>
    <row r="752" spans="1:19" ht="15" customHeight="1" x14ac:dyDescent="0.3">
      <c r="A752" s="335" t="s">
        <v>1402</v>
      </c>
      <c r="B752" s="335" t="s">
        <v>26</v>
      </c>
      <c r="C752" s="335" t="s">
        <v>27</v>
      </c>
      <c r="D752" s="335" t="s">
        <v>1415</v>
      </c>
      <c r="E752" s="336" t="s">
        <v>1416</v>
      </c>
      <c r="F752" s="336" t="s">
        <v>98</v>
      </c>
      <c r="G752" s="337">
        <v>1</v>
      </c>
      <c r="H752" s="338">
        <v>0</v>
      </c>
      <c r="I752" s="339">
        <v>15000</v>
      </c>
      <c r="J752" s="340">
        <v>15000</v>
      </c>
      <c r="K752" s="335" t="s">
        <v>1410</v>
      </c>
      <c r="L752" s="335">
        <v>3</v>
      </c>
      <c r="M752" s="335" t="s">
        <v>1417</v>
      </c>
      <c r="N752" s="339">
        <v>1</v>
      </c>
      <c r="O752" s="341">
        <v>1</v>
      </c>
      <c r="P752" s="341">
        <v>1</v>
      </c>
      <c r="Q752" s="341">
        <v>1</v>
      </c>
      <c r="R752" s="342">
        <v>1.07</v>
      </c>
      <c r="S752" s="342" t="s">
        <v>1285</v>
      </c>
    </row>
    <row r="753" spans="1:19" ht="15" customHeight="1" x14ac:dyDescent="0.3">
      <c r="A753" s="335" t="s">
        <v>1402</v>
      </c>
      <c r="B753" s="335" t="s">
        <v>26</v>
      </c>
      <c r="C753" s="335" t="s">
        <v>27</v>
      </c>
      <c r="D753" s="335" t="s">
        <v>1418</v>
      </c>
      <c r="E753" s="336" t="s">
        <v>1419</v>
      </c>
      <c r="F753" s="336" t="s">
        <v>1420</v>
      </c>
      <c r="G753" s="337">
        <v>50</v>
      </c>
      <c r="H753" s="338">
        <v>0</v>
      </c>
      <c r="I753" s="339">
        <v>11500</v>
      </c>
      <c r="J753" s="340">
        <v>575000</v>
      </c>
      <c r="K753" s="335" t="s">
        <v>1410</v>
      </c>
      <c r="L753" s="335">
        <v>4</v>
      </c>
      <c r="M753" s="335" t="s">
        <v>1421</v>
      </c>
      <c r="N753" s="339">
        <v>1</v>
      </c>
      <c r="O753" s="341">
        <v>50</v>
      </c>
      <c r="P753" s="341">
        <v>1</v>
      </c>
      <c r="Q753" s="341">
        <v>50</v>
      </c>
      <c r="R753" s="342">
        <v>1.07</v>
      </c>
      <c r="S753" s="342" t="s">
        <v>1285</v>
      </c>
    </row>
    <row r="754" spans="1:19" ht="15" customHeight="1" x14ac:dyDescent="0.3">
      <c r="A754" s="335" t="s">
        <v>1402</v>
      </c>
      <c r="B754" s="335" t="s">
        <v>26</v>
      </c>
      <c r="C754" s="335" t="s">
        <v>27</v>
      </c>
      <c r="D754" s="335" t="s">
        <v>1422</v>
      </c>
      <c r="E754" s="336" t="s">
        <v>1423</v>
      </c>
      <c r="F754" s="336" t="s">
        <v>98</v>
      </c>
      <c r="G754" s="337">
        <v>1</v>
      </c>
      <c r="H754" s="338">
        <v>0</v>
      </c>
      <c r="I754" s="339">
        <v>300000</v>
      </c>
      <c r="J754" s="340">
        <v>300000</v>
      </c>
      <c r="K754" s="335" t="s">
        <v>1410</v>
      </c>
      <c r="L754" s="335">
        <v>5</v>
      </c>
      <c r="M754" s="335" t="s">
        <v>1424</v>
      </c>
      <c r="N754" s="339">
        <v>1</v>
      </c>
      <c r="O754" s="341">
        <v>1</v>
      </c>
      <c r="P754" s="341">
        <v>1</v>
      </c>
      <c r="Q754" s="341">
        <v>1</v>
      </c>
      <c r="R754" s="342">
        <v>1.07</v>
      </c>
      <c r="S754" s="342" t="s">
        <v>1285</v>
      </c>
    </row>
    <row r="755" spans="1:19" ht="15" customHeight="1" x14ac:dyDescent="0.3">
      <c r="A755" s="335" t="s">
        <v>1402</v>
      </c>
      <c r="B755" s="335" t="s">
        <v>56</v>
      </c>
      <c r="C755" s="335" t="s">
        <v>57</v>
      </c>
      <c r="D755" s="335" t="s">
        <v>58</v>
      </c>
      <c r="E755" s="336" t="s">
        <v>59</v>
      </c>
      <c r="F755" s="336" t="s">
        <v>60</v>
      </c>
      <c r="G755" s="337">
        <v>2</v>
      </c>
      <c r="H755" s="338">
        <v>0</v>
      </c>
      <c r="I755" s="339">
        <v>60860.580776572002</v>
      </c>
      <c r="J755" s="340">
        <v>121721.161553144</v>
      </c>
      <c r="K755" s="335" t="s">
        <v>1425</v>
      </c>
      <c r="L755" s="335">
        <v>1</v>
      </c>
      <c r="M755" s="335" t="s">
        <v>1426</v>
      </c>
      <c r="N755" s="339">
        <v>1</v>
      </c>
      <c r="O755" s="341">
        <v>2</v>
      </c>
      <c r="P755" s="341">
        <v>1</v>
      </c>
      <c r="Q755" s="341">
        <v>2</v>
      </c>
      <c r="R755" s="342">
        <v>1.07</v>
      </c>
      <c r="S755" s="342" t="s">
        <v>1285</v>
      </c>
    </row>
    <row r="756" spans="1:19" ht="15" customHeight="1" x14ac:dyDescent="0.3">
      <c r="A756" s="335" t="s">
        <v>1402</v>
      </c>
      <c r="B756" s="335" t="s">
        <v>56</v>
      </c>
      <c r="C756" s="335" t="s">
        <v>57</v>
      </c>
      <c r="D756" s="343" t="s">
        <v>63</v>
      </c>
      <c r="E756" s="336" t="s">
        <v>64</v>
      </c>
      <c r="F756" s="336" t="s">
        <v>60</v>
      </c>
      <c r="G756" s="337">
        <v>2</v>
      </c>
      <c r="H756" s="338">
        <v>0</v>
      </c>
      <c r="I756" s="339">
        <v>85927.097156571996</v>
      </c>
      <c r="J756" s="340">
        <v>171854.19431314399</v>
      </c>
      <c r="K756" s="335" t="s">
        <v>1425</v>
      </c>
      <c r="L756" s="335">
        <v>2</v>
      </c>
      <c r="M756" s="335" t="s">
        <v>1427</v>
      </c>
      <c r="N756" s="339">
        <v>1</v>
      </c>
      <c r="O756" s="341">
        <v>2</v>
      </c>
      <c r="P756" s="341">
        <v>1</v>
      </c>
      <c r="Q756" s="341">
        <v>2</v>
      </c>
      <c r="R756" s="342">
        <v>1.07</v>
      </c>
      <c r="S756" s="342" t="s">
        <v>1285</v>
      </c>
    </row>
    <row r="757" spans="1:19" ht="15" customHeight="1" x14ac:dyDescent="0.3">
      <c r="A757" s="335" t="s">
        <v>1402</v>
      </c>
      <c r="B757" s="335" t="s">
        <v>56</v>
      </c>
      <c r="C757" s="335" t="s">
        <v>57</v>
      </c>
      <c r="D757" s="343" t="s">
        <v>497</v>
      </c>
      <c r="E757" s="336" t="s">
        <v>498</v>
      </c>
      <c r="F757" s="336" t="s">
        <v>60</v>
      </c>
      <c r="G757" s="337">
        <v>4</v>
      </c>
      <c r="H757" s="338">
        <v>0</v>
      </c>
      <c r="I757" s="339">
        <v>76955.079706571996</v>
      </c>
      <c r="J757" s="340">
        <v>307820.31882628798</v>
      </c>
      <c r="K757" s="335" t="s">
        <v>1425</v>
      </c>
      <c r="L757" s="335">
        <v>3</v>
      </c>
      <c r="M757" s="335" t="s">
        <v>1428</v>
      </c>
      <c r="N757" s="339">
        <v>1</v>
      </c>
      <c r="O757" s="341">
        <v>4</v>
      </c>
      <c r="P757" s="341">
        <v>1</v>
      </c>
      <c r="Q757" s="341">
        <v>4</v>
      </c>
      <c r="R757" s="342">
        <v>1.07</v>
      </c>
      <c r="S757" s="342" t="s">
        <v>1285</v>
      </c>
    </row>
    <row r="758" spans="1:19" ht="15" customHeight="1" x14ac:dyDescent="0.3">
      <c r="A758" s="335" t="s">
        <v>1429</v>
      </c>
      <c r="B758" s="335" t="s">
        <v>20</v>
      </c>
      <c r="C758" s="335"/>
      <c r="D758" s="335" t="s">
        <v>1430</v>
      </c>
      <c r="E758" s="336" t="s">
        <v>1431</v>
      </c>
      <c r="F758" s="336"/>
      <c r="G758" s="337">
        <v>1</v>
      </c>
      <c r="H758" s="338">
        <v>0</v>
      </c>
      <c r="I758" s="339">
        <v>20050.930611788601</v>
      </c>
      <c r="J758" s="340">
        <v>20050.930611788601</v>
      </c>
      <c r="K758" s="335" t="s">
        <v>1432</v>
      </c>
      <c r="L758" s="335">
        <v>1</v>
      </c>
      <c r="M758" s="335" t="s">
        <v>1433</v>
      </c>
      <c r="N758" s="339">
        <v>1</v>
      </c>
      <c r="O758" s="341">
        <v>1</v>
      </c>
      <c r="P758" s="341">
        <v>1</v>
      </c>
      <c r="Q758" s="341">
        <v>1</v>
      </c>
      <c r="R758" s="342">
        <v>1.08</v>
      </c>
      <c r="S758" s="342" t="s">
        <v>1285</v>
      </c>
    </row>
    <row r="759" spans="1:19" ht="15" customHeight="1" x14ac:dyDescent="0.3">
      <c r="A759" s="335" t="s">
        <v>1429</v>
      </c>
      <c r="B759" s="335" t="s">
        <v>26</v>
      </c>
      <c r="C759" s="335" t="s">
        <v>27</v>
      </c>
      <c r="D759" s="335" t="s">
        <v>1434</v>
      </c>
      <c r="E759" s="336" t="s">
        <v>1435</v>
      </c>
      <c r="F759" s="336" t="s">
        <v>35</v>
      </c>
      <c r="G759" s="337">
        <v>1</v>
      </c>
      <c r="H759" s="338">
        <v>0</v>
      </c>
      <c r="I759" s="339">
        <v>150000</v>
      </c>
      <c r="J759" s="340">
        <v>150000</v>
      </c>
      <c r="K759" s="335" t="s">
        <v>1436</v>
      </c>
      <c r="L759" s="335">
        <v>1</v>
      </c>
      <c r="M759" s="335" t="s">
        <v>1437</v>
      </c>
      <c r="N759" s="339">
        <v>1</v>
      </c>
      <c r="O759" s="341">
        <v>1</v>
      </c>
      <c r="P759" s="341">
        <v>1</v>
      </c>
      <c r="Q759" s="341">
        <v>1</v>
      </c>
      <c r="R759" s="342">
        <v>1.08</v>
      </c>
      <c r="S759" s="342" t="s">
        <v>1285</v>
      </c>
    </row>
    <row r="760" spans="1:19" ht="15" customHeight="1" x14ac:dyDescent="0.3">
      <c r="A760" s="335" t="s">
        <v>1429</v>
      </c>
      <c r="B760" s="335" t="s">
        <v>26</v>
      </c>
      <c r="C760" s="335" t="s">
        <v>27</v>
      </c>
      <c r="D760" s="335" t="s">
        <v>1438</v>
      </c>
      <c r="E760" s="336" t="s">
        <v>1439</v>
      </c>
      <c r="F760" s="336" t="s">
        <v>35</v>
      </c>
      <c r="G760" s="337">
        <v>1</v>
      </c>
      <c r="H760" s="338">
        <v>0</v>
      </c>
      <c r="I760" s="339">
        <v>200000</v>
      </c>
      <c r="J760" s="340">
        <v>200000</v>
      </c>
      <c r="K760" s="335" t="s">
        <v>1436</v>
      </c>
      <c r="L760" s="335">
        <v>2</v>
      </c>
      <c r="M760" s="335" t="s">
        <v>1440</v>
      </c>
      <c r="N760" s="339">
        <v>1</v>
      </c>
      <c r="O760" s="341">
        <v>1</v>
      </c>
      <c r="P760" s="341">
        <v>1</v>
      </c>
      <c r="Q760" s="341">
        <v>1</v>
      </c>
      <c r="R760" s="342">
        <v>1.08</v>
      </c>
      <c r="S760" s="342" t="s">
        <v>1285</v>
      </c>
    </row>
    <row r="761" spans="1:19" ht="15" customHeight="1" x14ac:dyDescent="0.3">
      <c r="A761" s="335" t="s">
        <v>1429</v>
      </c>
      <c r="B761" s="335" t="s">
        <v>26</v>
      </c>
      <c r="C761" s="335" t="s">
        <v>27</v>
      </c>
      <c r="D761" s="335" t="s">
        <v>1441</v>
      </c>
      <c r="E761" s="336" t="s">
        <v>1442</v>
      </c>
      <c r="F761" s="336" t="s">
        <v>35</v>
      </c>
      <c r="G761" s="337">
        <v>1</v>
      </c>
      <c r="H761" s="338">
        <v>0</v>
      </c>
      <c r="I761" s="339">
        <v>50000</v>
      </c>
      <c r="J761" s="340">
        <v>50000</v>
      </c>
      <c r="K761" s="335" t="s">
        <v>1436</v>
      </c>
      <c r="L761" s="335">
        <v>3</v>
      </c>
      <c r="M761" s="335" t="s">
        <v>1443</v>
      </c>
      <c r="N761" s="339">
        <v>1</v>
      </c>
      <c r="O761" s="341">
        <v>1</v>
      </c>
      <c r="P761" s="341">
        <v>1</v>
      </c>
      <c r="Q761" s="341">
        <v>1</v>
      </c>
      <c r="R761" s="342">
        <v>1.08</v>
      </c>
      <c r="S761" s="342" t="s">
        <v>1285</v>
      </c>
    </row>
    <row r="762" spans="1:19" ht="15" customHeight="1" x14ac:dyDescent="0.3">
      <c r="A762" s="335" t="s">
        <v>1429</v>
      </c>
      <c r="B762" s="335" t="s">
        <v>26</v>
      </c>
      <c r="C762" s="335" t="s">
        <v>27</v>
      </c>
      <c r="D762" s="335" t="s">
        <v>1444</v>
      </c>
      <c r="E762" s="336" t="s">
        <v>1445</v>
      </c>
      <c r="F762" s="336" t="s">
        <v>35</v>
      </c>
      <c r="G762" s="337">
        <v>1</v>
      </c>
      <c r="H762" s="338">
        <v>0</v>
      </c>
      <c r="I762" s="339">
        <v>10000</v>
      </c>
      <c r="J762" s="340">
        <v>10000</v>
      </c>
      <c r="K762" s="335" t="s">
        <v>1436</v>
      </c>
      <c r="L762" s="335">
        <v>4</v>
      </c>
      <c r="M762" s="335" t="s">
        <v>1446</v>
      </c>
      <c r="N762" s="339">
        <v>1</v>
      </c>
      <c r="O762" s="341">
        <v>1</v>
      </c>
      <c r="P762" s="341">
        <v>1</v>
      </c>
      <c r="Q762" s="341">
        <v>1</v>
      </c>
      <c r="R762" s="342">
        <v>1.08</v>
      </c>
      <c r="S762" s="342" t="s">
        <v>1285</v>
      </c>
    </row>
    <row r="763" spans="1:19" ht="15" customHeight="1" x14ac:dyDescent="0.3">
      <c r="A763" s="335" t="s">
        <v>1429</v>
      </c>
      <c r="B763" s="335" t="s">
        <v>26</v>
      </c>
      <c r="C763" s="335" t="s">
        <v>27</v>
      </c>
      <c r="D763" s="335" t="s">
        <v>1447</v>
      </c>
      <c r="E763" s="336" t="s">
        <v>1448</v>
      </c>
      <c r="F763" s="336" t="s">
        <v>35</v>
      </c>
      <c r="G763" s="337">
        <v>10</v>
      </c>
      <c r="H763" s="338">
        <v>0</v>
      </c>
      <c r="I763" s="339">
        <v>10000</v>
      </c>
      <c r="J763" s="340">
        <v>100000</v>
      </c>
      <c r="K763" s="335" t="s">
        <v>1436</v>
      </c>
      <c r="L763" s="335">
        <v>5</v>
      </c>
      <c r="M763" s="335" t="s">
        <v>1449</v>
      </c>
      <c r="N763" s="339">
        <v>1</v>
      </c>
      <c r="O763" s="341">
        <v>10</v>
      </c>
      <c r="P763" s="341">
        <v>1</v>
      </c>
      <c r="Q763" s="341">
        <v>10</v>
      </c>
      <c r="R763" s="342">
        <v>1.08</v>
      </c>
      <c r="S763" s="342" t="s">
        <v>1285</v>
      </c>
    </row>
    <row r="764" spans="1:19" ht="15" customHeight="1" x14ac:dyDescent="0.3">
      <c r="A764" s="335" t="s">
        <v>1429</v>
      </c>
      <c r="B764" s="335" t="s">
        <v>26</v>
      </c>
      <c r="C764" s="335" t="s">
        <v>27</v>
      </c>
      <c r="D764" s="335" t="s">
        <v>1450</v>
      </c>
      <c r="E764" s="336" t="s">
        <v>1451</v>
      </c>
      <c r="F764" s="336" t="s">
        <v>35</v>
      </c>
      <c r="G764" s="337">
        <v>3</v>
      </c>
      <c r="H764" s="338">
        <v>0</v>
      </c>
      <c r="I764" s="339">
        <v>15000</v>
      </c>
      <c r="J764" s="340">
        <v>45000</v>
      </c>
      <c r="K764" s="335" t="s">
        <v>1436</v>
      </c>
      <c r="L764" s="335">
        <v>6</v>
      </c>
      <c r="M764" s="335" t="s">
        <v>1452</v>
      </c>
      <c r="N764" s="339">
        <v>1</v>
      </c>
      <c r="O764" s="341">
        <v>3</v>
      </c>
      <c r="P764" s="341">
        <v>1</v>
      </c>
      <c r="Q764" s="341">
        <v>3</v>
      </c>
      <c r="R764" s="342">
        <v>1.08</v>
      </c>
      <c r="S764" s="342" t="s">
        <v>1285</v>
      </c>
    </row>
    <row r="765" spans="1:19" ht="15" customHeight="1" x14ac:dyDescent="0.3">
      <c r="A765" s="335" t="s">
        <v>1429</v>
      </c>
      <c r="B765" s="335" t="s">
        <v>26</v>
      </c>
      <c r="C765" s="335" t="s">
        <v>27</v>
      </c>
      <c r="D765" s="335" t="s">
        <v>1453</v>
      </c>
      <c r="E765" s="336" t="s">
        <v>1454</v>
      </c>
      <c r="F765" s="336" t="s">
        <v>35</v>
      </c>
      <c r="G765" s="337">
        <v>8</v>
      </c>
      <c r="H765" s="338">
        <v>0</v>
      </c>
      <c r="I765" s="339">
        <v>2000</v>
      </c>
      <c r="J765" s="340">
        <v>16000</v>
      </c>
      <c r="K765" s="335" t="s">
        <v>1436</v>
      </c>
      <c r="L765" s="335">
        <v>7</v>
      </c>
      <c r="M765" s="335" t="s">
        <v>1455</v>
      </c>
      <c r="N765" s="339">
        <v>1</v>
      </c>
      <c r="O765" s="341">
        <v>8</v>
      </c>
      <c r="P765" s="341">
        <v>1</v>
      </c>
      <c r="Q765" s="341">
        <v>8</v>
      </c>
      <c r="R765" s="342">
        <v>1.08</v>
      </c>
      <c r="S765" s="342" t="s">
        <v>1285</v>
      </c>
    </row>
    <row r="766" spans="1:19" ht="15" customHeight="1" x14ac:dyDescent="0.3">
      <c r="A766" s="335" t="s">
        <v>1429</v>
      </c>
      <c r="B766" s="335" t="s">
        <v>26</v>
      </c>
      <c r="C766" s="335" t="s">
        <v>27</v>
      </c>
      <c r="D766" s="335" t="s">
        <v>1456</v>
      </c>
      <c r="E766" s="336" t="s">
        <v>1457</v>
      </c>
      <c r="F766" s="336" t="s">
        <v>98</v>
      </c>
      <c r="G766" s="337">
        <v>0.2</v>
      </c>
      <c r="H766" s="338">
        <v>0</v>
      </c>
      <c r="I766" s="339">
        <v>571000</v>
      </c>
      <c r="J766" s="340">
        <v>114200</v>
      </c>
      <c r="K766" s="335" t="s">
        <v>1436</v>
      </c>
      <c r="L766" s="335">
        <v>8</v>
      </c>
      <c r="M766" s="335" t="s">
        <v>1458</v>
      </c>
      <c r="N766" s="339">
        <v>1</v>
      </c>
      <c r="O766" s="341">
        <v>0.2</v>
      </c>
      <c r="P766" s="341">
        <v>1</v>
      </c>
      <c r="Q766" s="341">
        <v>0.2</v>
      </c>
      <c r="R766" s="342">
        <v>1.08</v>
      </c>
      <c r="S766" s="342" t="s">
        <v>1285</v>
      </c>
    </row>
    <row r="767" spans="1:19" ht="15" customHeight="1" x14ac:dyDescent="0.3">
      <c r="A767" s="335" t="s">
        <v>1429</v>
      </c>
      <c r="B767" s="335" t="s">
        <v>56</v>
      </c>
      <c r="C767" s="335" t="s">
        <v>57</v>
      </c>
      <c r="D767" s="343" t="s">
        <v>63</v>
      </c>
      <c r="E767" s="336" t="s">
        <v>64</v>
      </c>
      <c r="F767" s="336" t="s">
        <v>60</v>
      </c>
      <c r="G767" s="337">
        <v>4</v>
      </c>
      <c r="H767" s="338">
        <v>0</v>
      </c>
      <c r="I767" s="339">
        <v>85927.097156571996</v>
      </c>
      <c r="J767" s="340">
        <v>343708.38862628798</v>
      </c>
      <c r="K767" s="335" t="s">
        <v>1459</v>
      </c>
      <c r="L767" s="335">
        <v>1</v>
      </c>
      <c r="M767" s="335" t="s">
        <v>1460</v>
      </c>
      <c r="N767" s="339">
        <v>1</v>
      </c>
      <c r="O767" s="341">
        <v>4</v>
      </c>
      <c r="P767" s="341">
        <v>1</v>
      </c>
      <c r="Q767" s="341">
        <v>4</v>
      </c>
      <c r="R767" s="342">
        <v>1.08</v>
      </c>
      <c r="S767" s="342" t="s">
        <v>1285</v>
      </c>
    </row>
    <row r="768" spans="1:19" ht="15" customHeight="1" x14ac:dyDescent="0.3">
      <c r="A768" s="335" t="s">
        <v>1429</v>
      </c>
      <c r="B768" s="335" t="s">
        <v>56</v>
      </c>
      <c r="C768" s="335" t="s">
        <v>57</v>
      </c>
      <c r="D768" s="343" t="s">
        <v>497</v>
      </c>
      <c r="E768" s="336" t="s">
        <v>498</v>
      </c>
      <c r="F768" s="336" t="s">
        <v>60</v>
      </c>
      <c r="G768" s="337">
        <v>4</v>
      </c>
      <c r="H768" s="338">
        <v>0</v>
      </c>
      <c r="I768" s="339">
        <v>76955.079706571996</v>
      </c>
      <c r="J768" s="340">
        <v>307820.31882628798</v>
      </c>
      <c r="K768" s="335" t="s">
        <v>1459</v>
      </c>
      <c r="L768" s="335">
        <v>2</v>
      </c>
      <c r="M768" s="335" t="s">
        <v>1461</v>
      </c>
      <c r="N768" s="339">
        <v>1</v>
      </c>
      <c r="O768" s="341">
        <v>4</v>
      </c>
      <c r="P768" s="341">
        <v>1</v>
      </c>
      <c r="Q768" s="341">
        <v>4</v>
      </c>
      <c r="R768" s="342">
        <v>1.08</v>
      </c>
      <c r="S768" s="342" t="s">
        <v>1285</v>
      </c>
    </row>
    <row r="769" spans="1:19" ht="15" customHeight="1" x14ac:dyDescent="0.3">
      <c r="A769" s="335" t="s">
        <v>1462</v>
      </c>
      <c r="B769" s="335" t="s">
        <v>56</v>
      </c>
      <c r="C769" s="335" t="s">
        <v>27</v>
      </c>
      <c r="D769" s="335" t="s">
        <v>1463</v>
      </c>
      <c r="E769" s="336" t="s">
        <v>1464</v>
      </c>
      <c r="F769" s="336" t="s">
        <v>60</v>
      </c>
      <c r="G769" s="337">
        <v>2</v>
      </c>
      <c r="H769" s="338">
        <v>0</v>
      </c>
      <c r="I769" s="339">
        <v>107023.598877166</v>
      </c>
      <c r="J769" s="340">
        <v>214047.19775433201</v>
      </c>
      <c r="K769" s="335" t="s">
        <v>1465</v>
      </c>
      <c r="L769" s="335">
        <v>1</v>
      </c>
      <c r="M769" s="335" t="s">
        <v>1466</v>
      </c>
      <c r="N769" s="339">
        <v>1</v>
      </c>
      <c r="O769" s="341">
        <v>2</v>
      </c>
      <c r="P769" s="341">
        <v>1</v>
      </c>
      <c r="Q769" s="341">
        <v>2</v>
      </c>
      <c r="R769" s="342">
        <v>1.0900000000000001</v>
      </c>
      <c r="S769" s="342" t="s">
        <v>25</v>
      </c>
    </row>
    <row r="770" spans="1:19" ht="15" customHeight="1" x14ac:dyDescent="0.3">
      <c r="A770" s="335" t="s">
        <v>1462</v>
      </c>
      <c r="B770" s="335" t="s">
        <v>56</v>
      </c>
      <c r="C770" s="335" t="s">
        <v>27</v>
      </c>
      <c r="D770" s="335" t="s">
        <v>1467</v>
      </c>
      <c r="E770" s="336" t="s">
        <v>1468</v>
      </c>
      <c r="F770" s="336" t="s">
        <v>60</v>
      </c>
      <c r="G770" s="337">
        <v>1</v>
      </c>
      <c r="H770" s="338">
        <v>0</v>
      </c>
      <c r="I770" s="339">
        <v>93645.649017520103</v>
      </c>
      <c r="J770" s="340">
        <v>93645.649017520103</v>
      </c>
      <c r="K770" s="335" t="s">
        <v>1465</v>
      </c>
      <c r="L770" s="335">
        <v>2</v>
      </c>
      <c r="M770" s="335" t="s">
        <v>1469</v>
      </c>
      <c r="N770" s="339">
        <v>1</v>
      </c>
      <c r="O770" s="341">
        <v>1</v>
      </c>
      <c r="P770" s="341">
        <v>1</v>
      </c>
      <c r="Q770" s="341">
        <v>1</v>
      </c>
      <c r="R770" s="342">
        <v>1.0900000000000001</v>
      </c>
      <c r="S770" s="342" t="s">
        <v>25</v>
      </c>
    </row>
    <row r="771" spans="1:19" ht="15" customHeight="1" x14ac:dyDescent="0.3">
      <c r="A771" s="335" t="s">
        <v>1462</v>
      </c>
      <c r="B771" s="335" t="s">
        <v>56</v>
      </c>
      <c r="C771" s="335" t="s">
        <v>27</v>
      </c>
      <c r="D771" s="335" t="s">
        <v>1470</v>
      </c>
      <c r="E771" s="336" t="s">
        <v>1471</v>
      </c>
      <c r="F771" s="336" t="s">
        <v>60</v>
      </c>
      <c r="G771" s="337">
        <v>1</v>
      </c>
      <c r="H771" s="338">
        <v>0</v>
      </c>
      <c r="I771" s="339">
        <v>148643.887329397</v>
      </c>
      <c r="J771" s="340">
        <v>148643.887329397</v>
      </c>
      <c r="K771" s="335" t="s">
        <v>1465</v>
      </c>
      <c r="L771" s="335">
        <v>3</v>
      </c>
      <c r="M771" s="335" t="s">
        <v>1472</v>
      </c>
      <c r="N771" s="339">
        <v>1</v>
      </c>
      <c r="O771" s="341">
        <v>1</v>
      </c>
      <c r="P771" s="341">
        <v>1</v>
      </c>
      <c r="Q771" s="341">
        <v>1</v>
      </c>
      <c r="R771" s="342">
        <v>1.0900000000000001</v>
      </c>
      <c r="S771" s="342" t="s">
        <v>25</v>
      </c>
    </row>
    <row r="772" spans="1:19" ht="15" customHeight="1" x14ac:dyDescent="0.3">
      <c r="A772" s="335" t="s">
        <v>1473</v>
      </c>
      <c r="B772" s="335" t="s">
        <v>20</v>
      </c>
      <c r="C772" s="335"/>
      <c r="D772" s="335" t="s">
        <v>1474</v>
      </c>
      <c r="E772" s="336" t="s">
        <v>1475</v>
      </c>
      <c r="F772" s="336"/>
      <c r="G772" s="337">
        <v>1</v>
      </c>
      <c r="H772" s="338">
        <v>0</v>
      </c>
      <c r="I772" s="339">
        <v>97.811647676633498</v>
      </c>
      <c r="J772" s="340">
        <v>97.811647676633498</v>
      </c>
      <c r="K772" s="335" t="s">
        <v>1476</v>
      </c>
      <c r="L772" s="335">
        <v>1</v>
      </c>
      <c r="M772" s="335" t="s">
        <v>1477</v>
      </c>
      <c r="N772" s="339">
        <v>1</v>
      </c>
      <c r="O772" s="341">
        <v>1</v>
      </c>
      <c r="P772" s="341">
        <v>308</v>
      </c>
      <c r="Q772" s="341">
        <v>308</v>
      </c>
      <c r="R772" s="342">
        <v>2.0099999999999998</v>
      </c>
      <c r="S772" s="342" t="s">
        <v>1478</v>
      </c>
    </row>
    <row r="773" spans="1:19" ht="15" customHeight="1" x14ac:dyDescent="0.3">
      <c r="A773" s="335" t="s">
        <v>1473</v>
      </c>
      <c r="B773" s="335" t="s">
        <v>56</v>
      </c>
      <c r="C773" s="335" t="s">
        <v>57</v>
      </c>
      <c r="D773" s="335" t="s">
        <v>58</v>
      </c>
      <c r="E773" s="336" t="s">
        <v>59</v>
      </c>
      <c r="F773" s="336" t="s">
        <v>60</v>
      </c>
      <c r="G773" s="337">
        <v>0.107142857142857</v>
      </c>
      <c r="H773" s="338">
        <v>0</v>
      </c>
      <c r="I773" s="339">
        <v>60860.580776572002</v>
      </c>
      <c r="J773" s="340">
        <v>6520.7765117755598</v>
      </c>
      <c r="K773" s="335" t="s">
        <v>1479</v>
      </c>
      <c r="L773" s="335">
        <v>1</v>
      </c>
      <c r="M773" s="335" t="s">
        <v>1480</v>
      </c>
      <c r="N773" s="339">
        <v>1</v>
      </c>
      <c r="O773" s="341">
        <v>0.107142857142857</v>
      </c>
      <c r="P773" s="341">
        <v>308</v>
      </c>
      <c r="Q773" s="341">
        <v>33</v>
      </c>
      <c r="R773" s="342">
        <v>2.0099999999999998</v>
      </c>
      <c r="S773" s="342" t="s">
        <v>1478</v>
      </c>
    </row>
    <row r="774" spans="1:19" ht="15" customHeight="1" x14ac:dyDescent="0.3">
      <c r="A774" s="335" t="s">
        <v>1473</v>
      </c>
      <c r="B774" s="335" t="s">
        <v>56</v>
      </c>
      <c r="C774" s="335" t="s">
        <v>27</v>
      </c>
      <c r="D774" s="335" t="s">
        <v>1481</v>
      </c>
      <c r="E774" s="336" t="s">
        <v>1482</v>
      </c>
      <c r="F774" s="336" t="s">
        <v>60</v>
      </c>
      <c r="G774" s="337">
        <v>1.5</v>
      </c>
      <c r="H774" s="338">
        <v>0</v>
      </c>
      <c r="I774" s="339">
        <v>22000</v>
      </c>
      <c r="J774" s="340">
        <v>33000</v>
      </c>
      <c r="K774" s="335" t="s">
        <v>1479</v>
      </c>
      <c r="L774" s="335">
        <v>2</v>
      </c>
      <c r="M774" s="335" t="s">
        <v>1483</v>
      </c>
      <c r="N774" s="339">
        <v>1</v>
      </c>
      <c r="O774" s="341">
        <v>1.5</v>
      </c>
      <c r="P774" s="341">
        <v>308</v>
      </c>
      <c r="Q774" s="341">
        <v>462</v>
      </c>
      <c r="R774" s="342">
        <v>2.0099999999999998</v>
      </c>
      <c r="S774" s="342" t="s">
        <v>1478</v>
      </c>
    </row>
    <row r="775" spans="1:19" ht="15" customHeight="1" x14ac:dyDescent="0.3">
      <c r="A775" s="335" t="s">
        <v>1484</v>
      </c>
      <c r="B775" s="335" t="s">
        <v>20</v>
      </c>
      <c r="C775" s="335"/>
      <c r="D775" s="335" t="s">
        <v>1485</v>
      </c>
      <c r="E775" s="336" t="s">
        <v>1486</v>
      </c>
      <c r="F775" s="336"/>
      <c r="G775" s="337">
        <v>1</v>
      </c>
      <c r="H775" s="338">
        <v>0</v>
      </c>
      <c r="I775" s="339">
        <v>128903.949937613</v>
      </c>
      <c r="J775" s="340">
        <v>128903.949937613</v>
      </c>
      <c r="K775" s="335" t="s">
        <v>1487</v>
      </c>
      <c r="L775" s="335">
        <v>1</v>
      </c>
      <c r="M775" s="335" t="s">
        <v>1488</v>
      </c>
      <c r="N775" s="339">
        <v>1</v>
      </c>
      <c r="O775" s="341">
        <v>1</v>
      </c>
      <c r="P775" s="341">
        <v>1</v>
      </c>
      <c r="Q775" s="341">
        <v>1</v>
      </c>
      <c r="R775" s="342">
        <v>2.02</v>
      </c>
      <c r="S775" s="342" t="s">
        <v>1285</v>
      </c>
    </row>
    <row r="776" spans="1:19" ht="15" customHeight="1" x14ac:dyDescent="0.3">
      <c r="A776" s="335" t="s">
        <v>1484</v>
      </c>
      <c r="B776" s="335" t="s">
        <v>26</v>
      </c>
      <c r="C776" s="335" t="s">
        <v>27</v>
      </c>
      <c r="D776" s="335" t="s">
        <v>1489</v>
      </c>
      <c r="E776" s="336" t="s">
        <v>1490</v>
      </c>
      <c r="F776" s="336" t="s">
        <v>1409</v>
      </c>
      <c r="G776" s="337">
        <v>7</v>
      </c>
      <c r="H776" s="338">
        <v>0</v>
      </c>
      <c r="I776" s="339">
        <v>15000</v>
      </c>
      <c r="J776" s="340">
        <v>105000</v>
      </c>
      <c r="K776" s="335" t="s">
        <v>1491</v>
      </c>
      <c r="L776" s="335">
        <v>1</v>
      </c>
      <c r="M776" s="335" t="s">
        <v>1492</v>
      </c>
      <c r="N776" s="339">
        <v>1</v>
      </c>
      <c r="O776" s="341">
        <v>7</v>
      </c>
      <c r="P776" s="341">
        <v>1</v>
      </c>
      <c r="Q776" s="341">
        <v>7</v>
      </c>
      <c r="R776" s="342">
        <v>2.02</v>
      </c>
      <c r="S776" s="342" t="s">
        <v>1285</v>
      </c>
    </row>
    <row r="777" spans="1:19" ht="15" customHeight="1" x14ac:dyDescent="0.3">
      <c r="A777" s="335" t="s">
        <v>1484</v>
      </c>
      <c r="B777" s="335" t="s">
        <v>56</v>
      </c>
      <c r="C777" s="335" t="s">
        <v>57</v>
      </c>
      <c r="D777" s="335" t="s">
        <v>58</v>
      </c>
      <c r="E777" s="336" t="s">
        <v>59</v>
      </c>
      <c r="F777" s="336" t="s">
        <v>60</v>
      </c>
      <c r="G777" s="337">
        <v>132</v>
      </c>
      <c r="H777" s="338">
        <v>0</v>
      </c>
      <c r="I777" s="339">
        <v>60860.580776572002</v>
      </c>
      <c r="J777" s="340">
        <v>8033596.6625074996</v>
      </c>
      <c r="K777" s="335" t="s">
        <v>1493</v>
      </c>
      <c r="L777" s="335">
        <v>1</v>
      </c>
      <c r="M777" s="335" t="s">
        <v>1494</v>
      </c>
      <c r="N777" s="339">
        <v>1</v>
      </c>
      <c r="O777" s="341">
        <v>132</v>
      </c>
      <c r="P777" s="341">
        <v>1</v>
      </c>
      <c r="Q777" s="341">
        <v>132</v>
      </c>
      <c r="R777" s="342">
        <v>2.02</v>
      </c>
      <c r="S777" s="342" t="s">
        <v>1285</v>
      </c>
    </row>
    <row r="778" spans="1:19" ht="15" customHeight="1" x14ac:dyDescent="0.3">
      <c r="A778" s="335" t="s">
        <v>1484</v>
      </c>
      <c r="B778" s="335" t="s">
        <v>56</v>
      </c>
      <c r="C778" s="335" t="s">
        <v>27</v>
      </c>
      <c r="D778" s="335" t="s">
        <v>1495</v>
      </c>
      <c r="E778" s="336" t="s">
        <v>1496</v>
      </c>
      <c r="F778" s="336" t="s">
        <v>60</v>
      </c>
      <c r="G778" s="337">
        <v>7</v>
      </c>
      <c r="H778" s="338">
        <v>0</v>
      </c>
      <c r="I778" s="339">
        <v>65000</v>
      </c>
      <c r="J778" s="340">
        <v>455000</v>
      </c>
      <c r="K778" s="335" t="s">
        <v>1493</v>
      </c>
      <c r="L778" s="335">
        <v>2</v>
      </c>
      <c r="M778" s="335" t="s">
        <v>1497</v>
      </c>
      <c r="N778" s="339">
        <v>1</v>
      </c>
      <c r="O778" s="341">
        <v>7</v>
      </c>
      <c r="P778" s="341">
        <v>1</v>
      </c>
      <c r="Q778" s="341">
        <v>7</v>
      </c>
      <c r="R778" s="342">
        <v>2.02</v>
      </c>
      <c r="S778" s="342" t="s">
        <v>1285</v>
      </c>
    </row>
    <row r="779" spans="1:19" ht="15" customHeight="1" x14ac:dyDescent="0.3">
      <c r="A779" s="335" t="s">
        <v>1498</v>
      </c>
      <c r="B779" s="335" t="s">
        <v>20</v>
      </c>
      <c r="C779" s="335"/>
      <c r="D779" s="335" t="s">
        <v>1499</v>
      </c>
      <c r="E779" s="336" t="s">
        <v>1500</v>
      </c>
      <c r="F779" s="336"/>
      <c r="G779" s="337">
        <v>1</v>
      </c>
      <c r="H779" s="338">
        <v>0</v>
      </c>
      <c r="I779" s="339">
        <v>1302.90871164858</v>
      </c>
      <c r="J779" s="340">
        <v>1302.90871164858</v>
      </c>
      <c r="K779" s="335" t="s">
        <v>1501</v>
      </c>
      <c r="L779" s="335">
        <v>1</v>
      </c>
      <c r="M779" s="335" t="s">
        <v>1502</v>
      </c>
      <c r="N779" s="339">
        <v>1</v>
      </c>
      <c r="O779" s="341">
        <v>1</v>
      </c>
      <c r="P779" s="341">
        <v>15</v>
      </c>
      <c r="Q779" s="341">
        <v>15</v>
      </c>
      <c r="R779" s="342">
        <v>2.0299999999999998</v>
      </c>
      <c r="S779" s="342" t="s">
        <v>1285</v>
      </c>
    </row>
    <row r="780" spans="1:19" ht="15" customHeight="1" x14ac:dyDescent="0.3">
      <c r="A780" s="335" t="s">
        <v>1498</v>
      </c>
      <c r="B780" s="335" t="s">
        <v>26</v>
      </c>
      <c r="C780" s="335" t="s">
        <v>27</v>
      </c>
      <c r="D780" s="335" t="s">
        <v>1503</v>
      </c>
      <c r="E780" s="336" t="s">
        <v>1504</v>
      </c>
      <c r="F780" s="336" t="s">
        <v>83</v>
      </c>
      <c r="G780" s="337">
        <v>1</v>
      </c>
      <c r="H780" s="338">
        <v>0</v>
      </c>
      <c r="I780" s="339">
        <v>26000</v>
      </c>
      <c r="J780" s="340">
        <v>26000</v>
      </c>
      <c r="K780" s="335" t="s">
        <v>1505</v>
      </c>
      <c r="L780" s="335">
        <v>1</v>
      </c>
      <c r="M780" s="335" t="s">
        <v>1506</v>
      </c>
      <c r="N780" s="339">
        <v>1</v>
      </c>
      <c r="O780" s="341">
        <v>1</v>
      </c>
      <c r="P780" s="341">
        <v>15</v>
      </c>
      <c r="Q780" s="341">
        <v>15</v>
      </c>
      <c r="R780" s="342">
        <v>2.0299999999999998</v>
      </c>
      <c r="S780" s="342" t="s">
        <v>1285</v>
      </c>
    </row>
    <row r="781" spans="1:19" ht="15" customHeight="1" x14ac:dyDescent="0.3">
      <c r="A781" s="335" t="s">
        <v>1498</v>
      </c>
      <c r="B781" s="335" t="s">
        <v>56</v>
      </c>
      <c r="C781" s="335" t="s">
        <v>57</v>
      </c>
      <c r="D781" s="335" t="s">
        <v>58</v>
      </c>
      <c r="E781" s="336" t="s">
        <v>59</v>
      </c>
      <c r="F781" s="336" t="s">
        <v>60</v>
      </c>
      <c r="G781" s="337">
        <v>1</v>
      </c>
      <c r="H781" s="338">
        <v>0</v>
      </c>
      <c r="I781" s="339">
        <v>60860.580776572002</v>
      </c>
      <c r="J781" s="340">
        <v>60860.580776572002</v>
      </c>
      <c r="K781" s="335" t="s">
        <v>1507</v>
      </c>
      <c r="L781" s="335">
        <v>1</v>
      </c>
      <c r="M781" s="335" t="s">
        <v>1508</v>
      </c>
      <c r="N781" s="339">
        <v>1</v>
      </c>
      <c r="O781" s="341">
        <v>1</v>
      </c>
      <c r="P781" s="341">
        <v>15</v>
      </c>
      <c r="Q781" s="341">
        <v>15</v>
      </c>
      <c r="R781" s="342">
        <v>2.0299999999999998</v>
      </c>
      <c r="S781" s="342" t="s">
        <v>1285</v>
      </c>
    </row>
    <row r="782" spans="1:19" ht="15" customHeight="1" x14ac:dyDescent="0.3">
      <c r="A782" s="335" t="s">
        <v>1509</v>
      </c>
      <c r="B782" s="335" t="s">
        <v>20</v>
      </c>
      <c r="C782" s="335"/>
      <c r="D782" s="335" t="s">
        <v>1510</v>
      </c>
      <c r="E782" s="336" t="s">
        <v>1511</v>
      </c>
      <c r="F782" s="336"/>
      <c r="G782" s="337">
        <v>1</v>
      </c>
      <c r="H782" s="338">
        <v>0</v>
      </c>
      <c r="I782" s="339">
        <v>3250.5537282478099</v>
      </c>
      <c r="J782" s="340">
        <v>3250.5537282478099</v>
      </c>
      <c r="K782" s="335" t="s">
        <v>1512</v>
      </c>
      <c r="L782" s="335">
        <v>1</v>
      </c>
      <c r="M782" s="335" t="s">
        <v>1513</v>
      </c>
      <c r="N782" s="339">
        <v>1</v>
      </c>
      <c r="O782" s="341">
        <v>1</v>
      </c>
      <c r="P782" s="341">
        <v>13</v>
      </c>
      <c r="Q782" s="341">
        <v>13</v>
      </c>
      <c r="R782" s="342">
        <v>3.01</v>
      </c>
      <c r="S782" s="342" t="s">
        <v>1478</v>
      </c>
    </row>
    <row r="783" spans="1:19" ht="15" customHeight="1" x14ac:dyDescent="0.3">
      <c r="A783" s="335" t="s">
        <v>1509</v>
      </c>
      <c r="B783" s="335" t="s">
        <v>26</v>
      </c>
      <c r="C783" s="335" t="s">
        <v>27</v>
      </c>
      <c r="D783" s="335" t="s">
        <v>1008</v>
      </c>
      <c r="E783" s="336" t="s">
        <v>1009</v>
      </c>
      <c r="F783" s="336" t="s">
        <v>83</v>
      </c>
      <c r="G783" s="337">
        <v>0</v>
      </c>
      <c r="H783" s="338">
        <v>0</v>
      </c>
      <c r="I783" s="339">
        <v>5330</v>
      </c>
      <c r="J783" s="340">
        <v>0</v>
      </c>
      <c r="K783" s="335" t="s">
        <v>1514</v>
      </c>
      <c r="L783" s="335">
        <v>1</v>
      </c>
      <c r="M783" s="335" t="s">
        <v>1515</v>
      </c>
      <c r="N783" s="339">
        <v>1</v>
      </c>
      <c r="O783" s="341">
        <v>0</v>
      </c>
      <c r="P783" s="341">
        <v>13</v>
      </c>
      <c r="Q783" s="341">
        <v>0</v>
      </c>
      <c r="R783" s="342">
        <v>3.01</v>
      </c>
      <c r="S783" s="342" t="s">
        <v>1478</v>
      </c>
    </row>
    <row r="784" spans="1:19" ht="15" customHeight="1" x14ac:dyDescent="0.3">
      <c r="A784" s="335" t="s">
        <v>1509</v>
      </c>
      <c r="B784" s="335" t="s">
        <v>26</v>
      </c>
      <c r="C784" s="335" t="s">
        <v>27</v>
      </c>
      <c r="D784" s="335" t="s">
        <v>1516</v>
      </c>
      <c r="E784" s="336" t="s">
        <v>1517</v>
      </c>
      <c r="F784" s="336" t="s">
        <v>83</v>
      </c>
      <c r="G784" s="337">
        <v>1</v>
      </c>
      <c r="H784" s="338">
        <v>0</v>
      </c>
      <c r="I784" s="339">
        <v>115100</v>
      </c>
      <c r="J784" s="340">
        <v>115100</v>
      </c>
      <c r="K784" s="335" t="s">
        <v>1514</v>
      </c>
      <c r="L784" s="335">
        <v>2</v>
      </c>
      <c r="M784" s="335" t="s">
        <v>1518</v>
      </c>
      <c r="N784" s="339">
        <v>1</v>
      </c>
      <c r="O784" s="341">
        <v>1</v>
      </c>
      <c r="P784" s="341">
        <v>13</v>
      </c>
      <c r="Q784" s="341">
        <v>13</v>
      </c>
      <c r="R784" s="342">
        <v>3.01</v>
      </c>
      <c r="S784" s="342" t="s">
        <v>1478</v>
      </c>
    </row>
    <row r="785" spans="1:19" ht="15" customHeight="1" x14ac:dyDescent="0.3">
      <c r="A785" s="335" t="s">
        <v>1509</v>
      </c>
      <c r="B785" s="335" t="s">
        <v>26</v>
      </c>
      <c r="C785" s="335" t="s">
        <v>27</v>
      </c>
      <c r="D785" s="335" t="s">
        <v>1519</v>
      </c>
      <c r="E785" s="336" t="s">
        <v>1520</v>
      </c>
      <c r="F785" s="336" t="s">
        <v>35</v>
      </c>
      <c r="G785" s="337">
        <v>0</v>
      </c>
      <c r="H785" s="338">
        <v>0</v>
      </c>
      <c r="I785" s="339">
        <v>533000</v>
      </c>
      <c r="J785" s="340">
        <v>0</v>
      </c>
      <c r="K785" s="335" t="s">
        <v>1514</v>
      </c>
      <c r="L785" s="335">
        <v>3</v>
      </c>
      <c r="M785" s="335" t="s">
        <v>1521</v>
      </c>
      <c r="N785" s="339">
        <v>1</v>
      </c>
      <c r="O785" s="341">
        <v>0</v>
      </c>
      <c r="P785" s="341">
        <v>13</v>
      </c>
      <c r="Q785" s="341">
        <v>0</v>
      </c>
      <c r="R785" s="342">
        <v>3.01</v>
      </c>
      <c r="S785" s="342" t="s">
        <v>1478</v>
      </c>
    </row>
    <row r="786" spans="1:19" ht="15" customHeight="1" x14ac:dyDescent="0.3">
      <c r="A786" s="335" t="s">
        <v>1509</v>
      </c>
      <c r="B786" s="335" t="s">
        <v>56</v>
      </c>
      <c r="C786" s="335" t="s">
        <v>57</v>
      </c>
      <c r="D786" s="335" t="s">
        <v>58</v>
      </c>
      <c r="E786" s="336" t="s">
        <v>59</v>
      </c>
      <c r="F786" s="336" t="s">
        <v>60</v>
      </c>
      <c r="G786" s="337">
        <v>0.76923076923076905</v>
      </c>
      <c r="H786" s="338">
        <v>0</v>
      </c>
      <c r="I786" s="339">
        <v>60860.580776572002</v>
      </c>
      <c r="J786" s="340">
        <v>46815.831366593797</v>
      </c>
      <c r="K786" s="335" t="s">
        <v>1522</v>
      </c>
      <c r="L786" s="335">
        <v>1</v>
      </c>
      <c r="M786" s="335" t="s">
        <v>1523</v>
      </c>
      <c r="N786" s="339">
        <v>1</v>
      </c>
      <c r="O786" s="341">
        <v>0.76923076923076905</v>
      </c>
      <c r="P786" s="341">
        <v>13</v>
      </c>
      <c r="Q786" s="341">
        <v>10</v>
      </c>
      <c r="R786" s="342">
        <v>3.01</v>
      </c>
      <c r="S786" s="342" t="s">
        <v>1478</v>
      </c>
    </row>
    <row r="787" spans="1:19" ht="15" customHeight="1" x14ac:dyDescent="0.3">
      <c r="A787" s="335" t="s">
        <v>1509</v>
      </c>
      <c r="B787" s="335" t="s">
        <v>56</v>
      </c>
      <c r="C787" s="335" t="s">
        <v>57</v>
      </c>
      <c r="D787" s="343" t="s">
        <v>413</v>
      </c>
      <c r="E787" s="336" t="s">
        <v>414</v>
      </c>
      <c r="F787" s="336" t="s">
        <v>60</v>
      </c>
      <c r="G787" s="337">
        <v>0.38461538461538503</v>
      </c>
      <c r="H787" s="338">
        <v>0</v>
      </c>
      <c r="I787" s="339">
        <v>65493.071636572</v>
      </c>
      <c r="J787" s="340">
        <v>25189.6429371431</v>
      </c>
      <c r="K787" s="335" t="s">
        <v>1522</v>
      </c>
      <c r="L787" s="335">
        <v>2</v>
      </c>
      <c r="M787" s="335" t="s">
        <v>1524</v>
      </c>
      <c r="N787" s="339">
        <v>1</v>
      </c>
      <c r="O787" s="341">
        <v>0.38461538461538503</v>
      </c>
      <c r="P787" s="341">
        <v>13</v>
      </c>
      <c r="Q787" s="341">
        <v>5.0000000000000098</v>
      </c>
      <c r="R787" s="342">
        <v>3.01</v>
      </c>
      <c r="S787" s="342" t="s">
        <v>1478</v>
      </c>
    </row>
    <row r="788" spans="1:19" ht="15" customHeight="1" x14ac:dyDescent="0.3">
      <c r="A788" s="335" t="s">
        <v>1509</v>
      </c>
      <c r="B788" s="335" t="s">
        <v>56</v>
      </c>
      <c r="C788" s="335" t="s">
        <v>57</v>
      </c>
      <c r="D788" s="343" t="s">
        <v>497</v>
      </c>
      <c r="E788" s="336" t="s">
        <v>498</v>
      </c>
      <c r="F788" s="336" t="s">
        <v>60</v>
      </c>
      <c r="G788" s="337">
        <v>0.38461538461538503</v>
      </c>
      <c r="H788" s="338">
        <v>0</v>
      </c>
      <c r="I788" s="339">
        <v>76955.079706571996</v>
      </c>
      <c r="J788" s="340">
        <v>29598.1075794508</v>
      </c>
      <c r="K788" s="335" t="s">
        <v>1522</v>
      </c>
      <c r="L788" s="335">
        <v>3</v>
      </c>
      <c r="M788" s="335" t="s">
        <v>1525</v>
      </c>
      <c r="N788" s="339">
        <v>1</v>
      </c>
      <c r="O788" s="341">
        <v>0.38461538461538503</v>
      </c>
      <c r="P788" s="341">
        <v>13</v>
      </c>
      <c r="Q788" s="341">
        <v>5.0000000000000098</v>
      </c>
      <c r="R788" s="342">
        <v>3.01</v>
      </c>
      <c r="S788" s="342" t="s">
        <v>1478</v>
      </c>
    </row>
    <row r="789" spans="1:19" ht="15" customHeight="1" x14ac:dyDescent="0.3">
      <c r="A789" s="335" t="s">
        <v>1526</v>
      </c>
      <c r="B789" s="335" t="s">
        <v>20</v>
      </c>
      <c r="C789" s="335"/>
      <c r="D789" s="335" t="s">
        <v>1527</v>
      </c>
      <c r="E789" s="336" t="s">
        <v>1528</v>
      </c>
      <c r="F789" s="336"/>
      <c r="G789" s="337">
        <v>1</v>
      </c>
      <c r="H789" s="338">
        <v>0</v>
      </c>
      <c r="I789" s="339">
        <v>5108.5619451599996</v>
      </c>
      <c r="J789" s="340">
        <v>5108.5619451599996</v>
      </c>
      <c r="K789" s="335" t="s">
        <v>1529</v>
      </c>
      <c r="L789" s="335">
        <v>1</v>
      </c>
      <c r="M789" s="335" t="s">
        <v>1530</v>
      </c>
      <c r="N789" s="339">
        <v>1</v>
      </c>
      <c r="O789" s="341">
        <v>1</v>
      </c>
      <c r="P789" s="341">
        <v>18</v>
      </c>
      <c r="Q789" s="341">
        <v>18</v>
      </c>
      <c r="R789" s="342">
        <v>3.02</v>
      </c>
      <c r="S789" s="342" t="s">
        <v>25</v>
      </c>
    </row>
    <row r="790" spans="1:19" ht="15" customHeight="1" x14ac:dyDescent="0.3">
      <c r="A790" s="335" t="s">
        <v>1526</v>
      </c>
      <c r="B790" s="335" t="s">
        <v>26</v>
      </c>
      <c r="C790" s="335" t="s">
        <v>27</v>
      </c>
      <c r="D790" s="335" t="s">
        <v>96</v>
      </c>
      <c r="E790" s="336" t="s">
        <v>97</v>
      </c>
      <c r="F790" s="336" t="s">
        <v>98</v>
      </c>
      <c r="G790" s="337">
        <v>4312.8950640000003</v>
      </c>
      <c r="H790" s="338">
        <v>0</v>
      </c>
      <c r="I790" s="339">
        <v>1</v>
      </c>
      <c r="J790" s="340">
        <v>4312.8950640000003</v>
      </c>
      <c r="K790" s="335" t="s">
        <v>1531</v>
      </c>
      <c r="L790" s="335">
        <v>1</v>
      </c>
      <c r="M790" s="335" t="s">
        <v>1532</v>
      </c>
      <c r="N790" s="339">
        <v>1</v>
      </c>
      <c r="O790" s="341">
        <v>4312.8950640000003</v>
      </c>
      <c r="P790" s="341">
        <v>18</v>
      </c>
      <c r="Q790" s="341">
        <v>77632.111151999998</v>
      </c>
      <c r="R790" s="342">
        <v>3.02</v>
      </c>
      <c r="S790" s="342" t="s">
        <v>25</v>
      </c>
    </row>
    <row r="791" spans="1:19" ht="15" customHeight="1" x14ac:dyDescent="0.3">
      <c r="A791" s="335" t="s">
        <v>1526</v>
      </c>
      <c r="B791" s="335" t="s">
        <v>26</v>
      </c>
      <c r="C791" s="335" t="s">
        <v>27</v>
      </c>
      <c r="D791" s="335" t="s">
        <v>1533</v>
      </c>
      <c r="E791" s="336" t="s">
        <v>1534</v>
      </c>
      <c r="F791" s="336" t="s">
        <v>167</v>
      </c>
      <c r="G791" s="337">
        <v>22.608000000000001</v>
      </c>
      <c r="H791" s="338">
        <v>0</v>
      </c>
      <c r="I791" s="339">
        <v>1704.41</v>
      </c>
      <c r="J791" s="340">
        <v>38533.30128</v>
      </c>
      <c r="K791" s="335" t="s">
        <v>1531</v>
      </c>
      <c r="L791" s="335">
        <v>2</v>
      </c>
      <c r="M791" s="335" t="s">
        <v>1535</v>
      </c>
      <c r="N791" s="339">
        <v>1</v>
      </c>
      <c r="O791" s="341">
        <v>22.608000000000001</v>
      </c>
      <c r="P791" s="341">
        <v>18</v>
      </c>
      <c r="Q791" s="341">
        <v>406.94400000000002</v>
      </c>
      <c r="R791" s="342">
        <v>3.02</v>
      </c>
      <c r="S791" s="342" t="s">
        <v>25</v>
      </c>
    </row>
    <row r="792" spans="1:19" ht="15" customHeight="1" x14ac:dyDescent="0.3">
      <c r="A792" s="335" t="s">
        <v>1526</v>
      </c>
      <c r="B792" s="335" t="s">
        <v>26</v>
      </c>
      <c r="C792" s="335" t="s">
        <v>27</v>
      </c>
      <c r="D792" s="335" t="s">
        <v>1536</v>
      </c>
      <c r="E792" s="336" t="s">
        <v>1537</v>
      </c>
      <c r="F792" s="336" t="s">
        <v>91</v>
      </c>
      <c r="G792" s="337">
        <v>6.1111111111111098</v>
      </c>
      <c r="H792" s="338">
        <v>0</v>
      </c>
      <c r="I792" s="339">
        <v>7809.48</v>
      </c>
      <c r="J792" s="340">
        <v>47724.6</v>
      </c>
      <c r="K792" s="335" t="s">
        <v>1531</v>
      </c>
      <c r="L792" s="335">
        <v>3</v>
      </c>
      <c r="M792" s="335" t="s">
        <v>1538</v>
      </c>
      <c r="N792" s="339">
        <v>1</v>
      </c>
      <c r="O792" s="341">
        <v>6.1111111111111098</v>
      </c>
      <c r="P792" s="341">
        <v>18</v>
      </c>
      <c r="Q792" s="341">
        <v>110</v>
      </c>
      <c r="R792" s="342">
        <v>3.02</v>
      </c>
      <c r="S792" s="342" t="s">
        <v>25</v>
      </c>
    </row>
    <row r="793" spans="1:19" ht="15" customHeight="1" x14ac:dyDescent="0.3">
      <c r="A793" s="335" t="s">
        <v>1526</v>
      </c>
      <c r="B793" s="335" t="s">
        <v>56</v>
      </c>
      <c r="C793" s="335" t="s">
        <v>27</v>
      </c>
      <c r="D793" s="335" t="s">
        <v>1539</v>
      </c>
      <c r="E793" s="336" t="s">
        <v>1540</v>
      </c>
      <c r="F793" s="336" t="s">
        <v>60</v>
      </c>
      <c r="G793" s="337">
        <v>5.5555555555555601E-2</v>
      </c>
      <c r="H793" s="338">
        <v>0</v>
      </c>
      <c r="I793" s="339">
        <v>4500000</v>
      </c>
      <c r="J793" s="340">
        <v>250000</v>
      </c>
      <c r="K793" s="335" t="s">
        <v>1541</v>
      </c>
      <c r="L793" s="335">
        <v>1</v>
      </c>
      <c r="M793" s="335" t="s">
        <v>1542</v>
      </c>
      <c r="N793" s="339">
        <v>1</v>
      </c>
      <c r="O793" s="341">
        <v>5.5555555555555601E-2</v>
      </c>
      <c r="P793" s="341">
        <v>18</v>
      </c>
      <c r="Q793" s="341">
        <v>1</v>
      </c>
      <c r="R793" s="342">
        <v>3.02</v>
      </c>
      <c r="S793" s="342" t="s">
        <v>25</v>
      </c>
    </row>
    <row r="794" spans="1:19" ht="15" customHeight="1" x14ac:dyDescent="0.3">
      <c r="A794" s="335" t="s">
        <v>1543</v>
      </c>
      <c r="B794" s="335" t="s">
        <v>20</v>
      </c>
      <c r="C794" s="335"/>
      <c r="D794" s="335" t="s">
        <v>1544</v>
      </c>
      <c r="E794" s="336" t="s">
        <v>1545</v>
      </c>
      <c r="F794" s="336"/>
      <c r="G794" s="337">
        <v>1</v>
      </c>
      <c r="H794" s="338">
        <v>0</v>
      </c>
      <c r="I794" s="339">
        <v>11395.701623995201</v>
      </c>
      <c r="J794" s="340">
        <v>11395.701623995201</v>
      </c>
      <c r="K794" s="335" t="s">
        <v>1546</v>
      </c>
      <c r="L794" s="335">
        <v>1</v>
      </c>
      <c r="M794" s="335" t="s">
        <v>1547</v>
      </c>
      <c r="N794" s="339">
        <v>1</v>
      </c>
      <c r="O794" s="341">
        <v>1</v>
      </c>
      <c r="P794" s="341">
        <v>12</v>
      </c>
      <c r="Q794" s="341">
        <v>12</v>
      </c>
      <c r="R794" s="342">
        <v>3.03</v>
      </c>
      <c r="S794" s="342" t="s">
        <v>25</v>
      </c>
    </row>
    <row r="795" spans="1:19" ht="15" customHeight="1" x14ac:dyDescent="0.3">
      <c r="A795" s="335" t="s">
        <v>1543</v>
      </c>
      <c r="B795" s="335" t="s">
        <v>26</v>
      </c>
      <c r="C795" s="335" t="s">
        <v>480</v>
      </c>
      <c r="D795" s="335" t="s">
        <v>1548</v>
      </c>
      <c r="E795" s="336" t="s">
        <v>1549</v>
      </c>
      <c r="F795" s="336" t="s">
        <v>83</v>
      </c>
      <c r="G795" s="337">
        <v>1</v>
      </c>
      <c r="H795" s="338">
        <v>0</v>
      </c>
      <c r="I795" s="339">
        <v>402072.54172518197</v>
      </c>
      <c r="J795" s="340">
        <v>402072.54172518197</v>
      </c>
      <c r="K795" s="335" t="s">
        <v>1550</v>
      </c>
      <c r="L795" s="335">
        <v>1</v>
      </c>
      <c r="M795" s="335" t="s">
        <v>1551</v>
      </c>
      <c r="N795" s="339">
        <v>1</v>
      </c>
      <c r="O795" s="341">
        <v>1</v>
      </c>
      <c r="P795" s="341">
        <v>12</v>
      </c>
      <c r="Q795" s="341">
        <v>12</v>
      </c>
      <c r="R795" s="342">
        <v>3.03</v>
      </c>
      <c r="S795" s="342" t="s">
        <v>25</v>
      </c>
    </row>
    <row r="796" spans="1:19" ht="15" customHeight="1" x14ac:dyDescent="0.3">
      <c r="A796" s="335" t="s">
        <v>1543</v>
      </c>
      <c r="B796" s="335" t="s">
        <v>56</v>
      </c>
      <c r="C796" s="335" t="s">
        <v>27</v>
      </c>
      <c r="D796" s="335" t="s">
        <v>1552</v>
      </c>
      <c r="E796" s="336" t="s">
        <v>1553</v>
      </c>
      <c r="F796" s="336" t="s">
        <v>60</v>
      </c>
      <c r="G796" s="337">
        <v>1</v>
      </c>
      <c r="H796" s="338">
        <v>0</v>
      </c>
      <c r="I796" s="339">
        <v>357640.8998745</v>
      </c>
      <c r="J796" s="340">
        <v>357640.8998745</v>
      </c>
      <c r="K796" s="335" t="s">
        <v>1554</v>
      </c>
      <c r="L796" s="335">
        <v>1</v>
      </c>
      <c r="M796" s="335" t="s">
        <v>1555</v>
      </c>
      <c r="N796" s="339">
        <v>1</v>
      </c>
      <c r="O796" s="341">
        <v>1</v>
      </c>
      <c r="P796" s="341">
        <v>12</v>
      </c>
      <c r="Q796" s="341">
        <v>12</v>
      </c>
      <c r="R796" s="342">
        <v>3.03</v>
      </c>
      <c r="S796" s="342" t="s">
        <v>25</v>
      </c>
    </row>
    <row r="797" spans="1:19" ht="15" customHeight="1" x14ac:dyDescent="0.3">
      <c r="A797" s="335" t="s">
        <v>1556</v>
      </c>
      <c r="B797" s="335" t="s">
        <v>20</v>
      </c>
      <c r="C797" s="335"/>
      <c r="D797" s="335" t="s">
        <v>1557</v>
      </c>
      <c r="E797" s="336" t="s">
        <v>1558</v>
      </c>
      <c r="F797" s="336"/>
      <c r="G797" s="337">
        <v>1</v>
      </c>
      <c r="H797" s="338">
        <v>0</v>
      </c>
      <c r="I797" s="339">
        <v>10647.458136473801</v>
      </c>
      <c r="J797" s="340">
        <v>10647.458136473801</v>
      </c>
      <c r="K797" s="335" t="s">
        <v>1559</v>
      </c>
      <c r="L797" s="335">
        <v>1</v>
      </c>
      <c r="M797" s="335" t="s">
        <v>1560</v>
      </c>
      <c r="N797" s="339">
        <v>1</v>
      </c>
      <c r="O797" s="341">
        <v>1</v>
      </c>
      <c r="P797" s="341">
        <v>7</v>
      </c>
      <c r="Q797" s="341">
        <v>7</v>
      </c>
      <c r="R797" s="342">
        <v>3.04</v>
      </c>
      <c r="S797" s="342" t="s">
        <v>25</v>
      </c>
    </row>
    <row r="798" spans="1:19" ht="15" customHeight="1" x14ac:dyDescent="0.3">
      <c r="A798" s="335" t="s">
        <v>1556</v>
      </c>
      <c r="B798" s="335" t="s">
        <v>26</v>
      </c>
      <c r="C798" s="335" t="s">
        <v>480</v>
      </c>
      <c r="D798" s="335" t="s">
        <v>1561</v>
      </c>
      <c r="E798" s="336" t="s">
        <v>1562</v>
      </c>
      <c r="F798" s="336" t="s">
        <v>83</v>
      </c>
      <c r="G798" s="337">
        <v>1</v>
      </c>
      <c r="H798" s="338">
        <v>0</v>
      </c>
      <c r="I798" s="339">
        <v>428196.58025620203</v>
      </c>
      <c r="J798" s="340">
        <v>428196.58025620203</v>
      </c>
      <c r="K798" s="335" t="s">
        <v>1563</v>
      </c>
      <c r="L798" s="335">
        <v>1</v>
      </c>
      <c r="M798" s="335" t="s">
        <v>1564</v>
      </c>
      <c r="N798" s="339">
        <v>1</v>
      </c>
      <c r="O798" s="341">
        <v>1</v>
      </c>
      <c r="P798" s="341">
        <v>7</v>
      </c>
      <c r="Q798" s="341">
        <v>7</v>
      </c>
      <c r="R798" s="342">
        <v>3.04</v>
      </c>
      <c r="S798" s="342" t="s">
        <v>25</v>
      </c>
    </row>
    <row r="799" spans="1:19" ht="15" customHeight="1" x14ac:dyDescent="0.3">
      <c r="A799" s="335" t="s">
        <v>1556</v>
      </c>
      <c r="B799" s="335" t="s">
        <v>56</v>
      </c>
      <c r="C799" s="335" t="s">
        <v>27</v>
      </c>
      <c r="D799" s="335" t="s">
        <v>1565</v>
      </c>
      <c r="E799" s="336" t="s">
        <v>1566</v>
      </c>
      <c r="F799" s="336" t="s">
        <v>60</v>
      </c>
      <c r="G799" s="337">
        <v>1</v>
      </c>
      <c r="H799" s="338">
        <v>0</v>
      </c>
      <c r="I799" s="339">
        <v>281633.96217538603</v>
      </c>
      <c r="J799" s="340">
        <v>281633.96217538603</v>
      </c>
      <c r="K799" s="335" t="s">
        <v>1567</v>
      </c>
      <c r="L799" s="335">
        <v>1</v>
      </c>
      <c r="M799" s="335" t="s">
        <v>1568</v>
      </c>
      <c r="N799" s="339">
        <v>1</v>
      </c>
      <c r="O799" s="341">
        <v>1</v>
      </c>
      <c r="P799" s="341">
        <v>7</v>
      </c>
      <c r="Q799" s="341">
        <v>7</v>
      </c>
      <c r="R799" s="342">
        <v>3.04</v>
      </c>
      <c r="S799" s="342" t="s">
        <v>25</v>
      </c>
    </row>
    <row r="800" spans="1:19" ht="15" customHeight="1" x14ac:dyDescent="0.3">
      <c r="A800" s="335" t="s">
        <v>1569</v>
      </c>
      <c r="B800" s="335" t="s">
        <v>20</v>
      </c>
      <c r="C800" s="335"/>
      <c r="D800" s="335" t="s">
        <v>1570</v>
      </c>
      <c r="E800" s="336" t="s">
        <v>1571</v>
      </c>
      <c r="F800" s="336"/>
      <c r="G800" s="337">
        <v>1</v>
      </c>
      <c r="H800" s="338">
        <v>0</v>
      </c>
      <c r="I800" s="339">
        <v>7920.4190953709203</v>
      </c>
      <c r="J800" s="340">
        <v>7920.4190953709203</v>
      </c>
      <c r="K800" s="335" t="s">
        <v>1572</v>
      </c>
      <c r="L800" s="335">
        <v>1</v>
      </c>
      <c r="M800" s="335" t="s">
        <v>1573</v>
      </c>
      <c r="N800" s="339">
        <v>1</v>
      </c>
      <c r="O800" s="341">
        <v>1</v>
      </c>
      <c r="P800" s="341">
        <v>38</v>
      </c>
      <c r="Q800" s="341">
        <v>38</v>
      </c>
      <c r="R800" s="342">
        <v>3.05</v>
      </c>
      <c r="S800" s="342" t="s">
        <v>25</v>
      </c>
    </row>
    <row r="801" spans="1:19" ht="15" customHeight="1" x14ac:dyDescent="0.3">
      <c r="A801" s="335" t="s">
        <v>1569</v>
      </c>
      <c r="B801" s="335" t="s">
        <v>26</v>
      </c>
      <c r="C801" s="335" t="s">
        <v>480</v>
      </c>
      <c r="D801" s="335" t="s">
        <v>1574</v>
      </c>
      <c r="E801" s="336" t="s">
        <v>1575</v>
      </c>
      <c r="F801" s="336" t="s">
        <v>83</v>
      </c>
      <c r="G801" s="337">
        <v>1</v>
      </c>
      <c r="H801" s="338">
        <v>0</v>
      </c>
      <c r="I801" s="339">
        <v>333700.50579037803</v>
      </c>
      <c r="J801" s="340">
        <v>333700.50579037803</v>
      </c>
      <c r="K801" s="335" t="s">
        <v>1576</v>
      </c>
      <c r="L801" s="335">
        <v>1</v>
      </c>
      <c r="M801" s="335" t="s">
        <v>1577</v>
      </c>
      <c r="N801" s="339">
        <v>1</v>
      </c>
      <c r="O801" s="341">
        <v>1</v>
      </c>
      <c r="P801" s="341">
        <v>38</v>
      </c>
      <c r="Q801" s="341">
        <v>38</v>
      </c>
      <c r="R801" s="342">
        <v>3.05</v>
      </c>
      <c r="S801" s="342" t="s">
        <v>25</v>
      </c>
    </row>
    <row r="802" spans="1:19" ht="15" customHeight="1" x14ac:dyDescent="0.3">
      <c r="A802" s="335" t="s">
        <v>1569</v>
      </c>
      <c r="B802" s="335" t="s">
        <v>56</v>
      </c>
      <c r="C802" s="335" t="s">
        <v>27</v>
      </c>
      <c r="D802" s="335" t="s">
        <v>1578</v>
      </c>
      <c r="E802" s="336" t="s">
        <v>1579</v>
      </c>
      <c r="F802" s="336" t="s">
        <v>60</v>
      </c>
      <c r="G802" s="337">
        <v>1</v>
      </c>
      <c r="H802" s="338">
        <v>0</v>
      </c>
      <c r="I802" s="339">
        <v>194327.43390101599</v>
      </c>
      <c r="J802" s="340">
        <v>194327.43390101599</v>
      </c>
      <c r="K802" s="335" t="s">
        <v>1580</v>
      </c>
      <c r="L802" s="335">
        <v>1</v>
      </c>
      <c r="M802" s="335" t="s">
        <v>1581</v>
      </c>
      <c r="N802" s="339">
        <v>1</v>
      </c>
      <c r="O802" s="341">
        <v>1</v>
      </c>
      <c r="P802" s="341">
        <v>38</v>
      </c>
      <c r="Q802" s="341">
        <v>38</v>
      </c>
      <c r="R802" s="342">
        <v>3.05</v>
      </c>
      <c r="S802" s="342" t="s">
        <v>25</v>
      </c>
    </row>
    <row r="803" spans="1:19" ht="15" customHeight="1" x14ac:dyDescent="0.3">
      <c r="A803" s="335" t="s">
        <v>1582</v>
      </c>
      <c r="B803" s="335" t="s">
        <v>20</v>
      </c>
      <c r="C803" s="335"/>
      <c r="D803" s="335" t="s">
        <v>1583</v>
      </c>
      <c r="E803" s="336" t="s">
        <v>1584</v>
      </c>
      <c r="F803" s="336"/>
      <c r="G803" s="337">
        <v>1</v>
      </c>
      <c r="H803" s="338">
        <v>0</v>
      </c>
      <c r="I803" s="339">
        <v>7040.5471828709196</v>
      </c>
      <c r="J803" s="340">
        <v>7040.5471828709196</v>
      </c>
      <c r="K803" s="335" t="s">
        <v>1585</v>
      </c>
      <c r="L803" s="335">
        <v>1</v>
      </c>
      <c r="M803" s="335" t="s">
        <v>1586</v>
      </c>
      <c r="N803" s="339">
        <v>1</v>
      </c>
      <c r="O803" s="341">
        <v>1</v>
      </c>
      <c r="P803" s="341">
        <v>51</v>
      </c>
      <c r="Q803" s="341">
        <v>51</v>
      </c>
      <c r="R803" s="342">
        <v>3.06</v>
      </c>
      <c r="S803" s="342" t="s">
        <v>25</v>
      </c>
    </row>
    <row r="804" spans="1:19" ht="15" customHeight="1" x14ac:dyDescent="0.3">
      <c r="A804" s="335" t="s">
        <v>1582</v>
      </c>
      <c r="B804" s="335" t="s">
        <v>26</v>
      </c>
      <c r="C804" s="335" t="s">
        <v>480</v>
      </c>
      <c r="D804" s="335" t="s">
        <v>1587</v>
      </c>
      <c r="E804" s="336" t="s">
        <v>1588</v>
      </c>
      <c r="F804" s="336" t="s">
        <v>83</v>
      </c>
      <c r="G804" s="337">
        <v>1</v>
      </c>
      <c r="H804" s="338">
        <v>0</v>
      </c>
      <c r="I804" s="339">
        <v>275042.37829037802</v>
      </c>
      <c r="J804" s="340">
        <v>275042.37829037802</v>
      </c>
      <c r="K804" s="335" t="s">
        <v>1589</v>
      </c>
      <c r="L804" s="335">
        <v>1</v>
      </c>
      <c r="M804" s="335" t="s">
        <v>1590</v>
      </c>
      <c r="N804" s="339">
        <v>1</v>
      </c>
      <c r="O804" s="341">
        <v>1</v>
      </c>
      <c r="P804" s="341">
        <v>51</v>
      </c>
      <c r="Q804" s="341">
        <v>51</v>
      </c>
      <c r="R804" s="342">
        <v>3.06</v>
      </c>
      <c r="S804" s="342" t="s">
        <v>25</v>
      </c>
    </row>
    <row r="805" spans="1:19" ht="15" customHeight="1" x14ac:dyDescent="0.3">
      <c r="A805" s="335" t="s">
        <v>1582</v>
      </c>
      <c r="B805" s="335" t="s">
        <v>56</v>
      </c>
      <c r="C805" s="335" t="s">
        <v>27</v>
      </c>
      <c r="D805" s="335" t="s">
        <v>1591</v>
      </c>
      <c r="E805" s="336" t="s">
        <v>1592</v>
      </c>
      <c r="F805" s="336" t="s">
        <v>60</v>
      </c>
      <c r="G805" s="337">
        <v>1</v>
      </c>
      <c r="H805" s="338">
        <v>0</v>
      </c>
      <c r="I805" s="339">
        <v>194327.43390101599</v>
      </c>
      <c r="J805" s="340">
        <v>194327.43390101599</v>
      </c>
      <c r="K805" s="335" t="s">
        <v>1593</v>
      </c>
      <c r="L805" s="335">
        <v>1</v>
      </c>
      <c r="M805" s="335" t="s">
        <v>1594</v>
      </c>
      <c r="N805" s="339">
        <v>1</v>
      </c>
      <c r="O805" s="341">
        <v>1</v>
      </c>
      <c r="P805" s="341">
        <v>51</v>
      </c>
      <c r="Q805" s="341">
        <v>51</v>
      </c>
      <c r="R805" s="342">
        <v>3.06</v>
      </c>
      <c r="S805" s="342" t="s">
        <v>25</v>
      </c>
    </row>
    <row r="806" spans="1:19" ht="15" customHeight="1" x14ac:dyDescent="0.3">
      <c r="A806" s="335" t="s">
        <v>1595</v>
      </c>
      <c r="B806" s="335" t="s">
        <v>20</v>
      </c>
      <c r="C806" s="335"/>
      <c r="D806" s="335" t="s">
        <v>1596</v>
      </c>
      <c r="E806" s="336" t="s">
        <v>1597</v>
      </c>
      <c r="F806" s="336"/>
      <c r="G806" s="337">
        <v>1</v>
      </c>
      <c r="H806" s="338">
        <v>0</v>
      </c>
      <c r="I806" s="339">
        <v>14296.601471079201</v>
      </c>
      <c r="J806" s="340">
        <v>14296.601471079201</v>
      </c>
      <c r="K806" s="335" t="s">
        <v>1598</v>
      </c>
      <c r="L806" s="335">
        <v>1</v>
      </c>
      <c r="M806" s="335" t="s">
        <v>1599</v>
      </c>
      <c r="N806" s="339">
        <v>1</v>
      </c>
      <c r="O806" s="341">
        <v>1</v>
      </c>
      <c r="P806" s="341">
        <v>16</v>
      </c>
      <c r="Q806" s="341">
        <v>16</v>
      </c>
      <c r="R806" s="342">
        <v>3.07</v>
      </c>
      <c r="S806" s="342" t="s">
        <v>25</v>
      </c>
    </row>
    <row r="807" spans="1:19" ht="15" customHeight="1" x14ac:dyDescent="0.3">
      <c r="A807" s="335" t="s">
        <v>1595</v>
      </c>
      <c r="B807" s="335" t="s">
        <v>26</v>
      </c>
      <c r="C807" s="335" t="s">
        <v>480</v>
      </c>
      <c r="D807" s="335" t="s">
        <v>1600</v>
      </c>
      <c r="E807" s="336" t="s">
        <v>1601</v>
      </c>
      <c r="F807" s="336" t="s">
        <v>83</v>
      </c>
      <c r="G807" s="337">
        <v>1</v>
      </c>
      <c r="H807" s="338">
        <v>0</v>
      </c>
      <c r="I807" s="339">
        <v>635192.71722613997</v>
      </c>
      <c r="J807" s="340">
        <v>635192.71722613997</v>
      </c>
      <c r="K807" s="335" t="s">
        <v>1602</v>
      </c>
      <c r="L807" s="335">
        <v>1</v>
      </c>
      <c r="M807" s="335" t="s">
        <v>1603</v>
      </c>
      <c r="N807" s="339">
        <v>1</v>
      </c>
      <c r="O807" s="341">
        <v>1</v>
      </c>
      <c r="P807" s="341">
        <v>16</v>
      </c>
      <c r="Q807" s="341">
        <v>16</v>
      </c>
      <c r="R807" s="342">
        <v>3.07</v>
      </c>
      <c r="S807" s="342" t="s">
        <v>25</v>
      </c>
    </row>
    <row r="808" spans="1:19" ht="15" customHeight="1" x14ac:dyDescent="0.3">
      <c r="A808" s="335" t="s">
        <v>1595</v>
      </c>
      <c r="B808" s="335" t="s">
        <v>56</v>
      </c>
      <c r="C808" s="335" t="s">
        <v>27</v>
      </c>
      <c r="D808" s="335" t="s">
        <v>1604</v>
      </c>
      <c r="E808" s="336" t="s">
        <v>1605</v>
      </c>
      <c r="F808" s="336" t="s">
        <v>60</v>
      </c>
      <c r="G808" s="337">
        <v>1</v>
      </c>
      <c r="H808" s="338">
        <v>0</v>
      </c>
      <c r="I808" s="339">
        <v>317914.04751247499</v>
      </c>
      <c r="J808" s="340">
        <v>317914.04751247499</v>
      </c>
      <c r="K808" s="335" t="s">
        <v>1606</v>
      </c>
      <c r="L808" s="335">
        <v>1</v>
      </c>
      <c r="M808" s="335" t="s">
        <v>1607</v>
      </c>
      <c r="N808" s="339">
        <v>1</v>
      </c>
      <c r="O808" s="341">
        <v>1</v>
      </c>
      <c r="P808" s="341">
        <v>16</v>
      </c>
      <c r="Q808" s="341">
        <v>16</v>
      </c>
      <c r="R808" s="342">
        <v>3.07</v>
      </c>
      <c r="S808" s="342" t="s">
        <v>25</v>
      </c>
    </row>
    <row r="809" spans="1:19" ht="15" customHeight="1" x14ac:dyDescent="0.3">
      <c r="A809" s="335" t="s">
        <v>1608</v>
      </c>
      <c r="B809" s="335" t="s">
        <v>20</v>
      </c>
      <c r="C809" s="335"/>
      <c r="D809" s="335" t="s">
        <v>1609</v>
      </c>
      <c r="E809" s="336" t="s">
        <v>1610</v>
      </c>
      <c r="F809" s="336"/>
      <c r="G809" s="337">
        <v>1</v>
      </c>
      <c r="H809" s="338">
        <v>0</v>
      </c>
      <c r="I809" s="339">
        <v>12155.8099864738</v>
      </c>
      <c r="J809" s="340">
        <v>12155.8099864738</v>
      </c>
      <c r="K809" s="335" t="s">
        <v>1611</v>
      </c>
      <c r="L809" s="335">
        <v>1</v>
      </c>
      <c r="M809" s="335" t="s">
        <v>1612</v>
      </c>
      <c r="N809" s="339">
        <v>1</v>
      </c>
      <c r="O809" s="341">
        <v>1</v>
      </c>
      <c r="P809" s="341">
        <v>7</v>
      </c>
      <c r="Q809" s="341">
        <v>7</v>
      </c>
      <c r="R809" s="342">
        <v>3.08</v>
      </c>
      <c r="S809" s="342" t="s">
        <v>25</v>
      </c>
    </row>
    <row r="810" spans="1:19" ht="15" customHeight="1" x14ac:dyDescent="0.3">
      <c r="A810" s="335" t="s">
        <v>1608</v>
      </c>
      <c r="B810" s="335" t="s">
        <v>26</v>
      </c>
      <c r="C810" s="335" t="s">
        <v>480</v>
      </c>
      <c r="D810" s="335" t="s">
        <v>1613</v>
      </c>
      <c r="E810" s="336" t="s">
        <v>1614</v>
      </c>
      <c r="F810" s="336" t="s">
        <v>83</v>
      </c>
      <c r="G810" s="337">
        <v>1</v>
      </c>
      <c r="H810" s="338">
        <v>0</v>
      </c>
      <c r="I810" s="339">
        <v>528753.37025620299</v>
      </c>
      <c r="J810" s="340">
        <v>528753.37025620299</v>
      </c>
      <c r="K810" s="335" t="s">
        <v>1615</v>
      </c>
      <c r="L810" s="335">
        <v>1</v>
      </c>
      <c r="M810" s="335" t="s">
        <v>1616</v>
      </c>
      <c r="N810" s="339">
        <v>1</v>
      </c>
      <c r="O810" s="341">
        <v>1</v>
      </c>
      <c r="P810" s="341">
        <v>7</v>
      </c>
      <c r="Q810" s="341">
        <v>7</v>
      </c>
      <c r="R810" s="342">
        <v>3.08</v>
      </c>
      <c r="S810" s="342" t="s">
        <v>25</v>
      </c>
    </row>
    <row r="811" spans="1:19" ht="15" customHeight="1" x14ac:dyDescent="0.3">
      <c r="A811" s="335" t="s">
        <v>1608</v>
      </c>
      <c r="B811" s="335" t="s">
        <v>56</v>
      </c>
      <c r="C811" s="335" t="s">
        <v>27</v>
      </c>
      <c r="D811" s="335" t="s">
        <v>1617</v>
      </c>
      <c r="E811" s="336" t="s">
        <v>1618</v>
      </c>
      <c r="F811" s="336" t="s">
        <v>60</v>
      </c>
      <c r="G811" s="337">
        <v>1</v>
      </c>
      <c r="H811" s="338">
        <v>0</v>
      </c>
      <c r="I811" s="339">
        <v>281633.96217538603</v>
      </c>
      <c r="J811" s="340">
        <v>281633.96217538603</v>
      </c>
      <c r="K811" s="335" t="s">
        <v>1619</v>
      </c>
      <c r="L811" s="335">
        <v>1</v>
      </c>
      <c r="M811" s="335" t="s">
        <v>1620</v>
      </c>
      <c r="N811" s="339">
        <v>1</v>
      </c>
      <c r="O811" s="341">
        <v>1</v>
      </c>
      <c r="P811" s="341">
        <v>7</v>
      </c>
      <c r="Q811" s="341">
        <v>7</v>
      </c>
      <c r="R811" s="342">
        <v>3.08</v>
      </c>
      <c r="S811" s="342" t="s">
        <v>25</v>
      </c>
    </row>
    <row r="812" spans="1:19" ht="15" customHeight="1" x14ac:dyDescent="0.3">
      <c r="A812" s="335" t="s">
        <v>1621</v>
      </c>
      <c r="B812" s="335" t="s">
        <v>20</v>
      </c>
      <c r="C812" s="335"/>
      <c r="D812" s="335" t="s">
        <v>1622</v>
      </c>
      <c r="E812" s="336" t="s">
        <v>1623</v>
      </c>
      <c r="F812" s="336"/>
      <c r="G812" s="337">
        <v>1</v>
      </c>
      <c r="H812" s="338">
        <v>0</v>
      </c>
      <c r="I812" s="339">
        <v>8915.6268732254393</v>
      </c>
      <c r="J812" s="340">
        <v>8915.6268732254393</v>
      </c>
      <c r="K812" s="335" t="s">
        <v>1624</v>
      </c>
      <c r="L812" s="335">
        <v>1</v>
      </c>
      <c r="M812" s="335" t="s">
        <v>1625</v>
      </c>
      <c r="N812" s="339">
        <v>1</v>
      </c>
      <c r="O812" s="341">
        <v>1</v>
      </c>
      <c r="P812" s="341">
        <v>90</v>
      </c>
      <c r="Q812" s="341">
        <v>90</v>
      </c>
      <c r="R812" s="342">
        <v>3.09</v>
      </c>
      <c r="S812" s="342" t="s">
        <v>25</v>
      </c>
    </row>
    <row r="813" spans="1:19" ht="15" customHeight="1" x14ac:dyDescent="0.3">
      <c r="A813" s="335" t="s">
        <v>1621</v>
      </c>
      <c r="B813" s="335" t="s">
        <v>26</v>
      </c>
      <c r="C813" s="335" t="s">
        <v>480</v>
      </c>
      <c r="D813" s="335" t="s">
        <v>1626</v>
      </c>
      <c r="E813" s="336" t="s">
        <v>1627</v>
      </c>
      <c r="F813" s="336" t="s">
        <v>83</v>
      </c>
      <c r="G813" s="337">
        <v>1</v>
      </c>
      <c r="H813" s="338">
        <v>0</v>
      </c>
      <c r="I813" s="339">
        <v>372584.32994905498</v>
      </c>
      <c r="J813" s="340">
        <v>372584.32994905498</v>
      </c>
      <c r="K813" s="335" t="s">
        <v>1628</v>
      </c>
      <c r="L813" s="335">
        <v>1</v>
      </c>
      <c r="M813" s="335" t="s">
        <v>1629</v>
      </c>
      <c r="N813" s="339">
        <v>1</v>
      </c>
      <c r="O813" s="341">
        <v>1</v>
      </c>
      <c r="P813" s="341">
        <v>90</v>
      </c>
      <c r="Q813" s="341">
        <v>90</v>
      </c>
      <c r="R813" s="342">
        <v>3.09</v>
      </c>
      <c r="S813" s="342" t="s">
        <v>25</v>
      </c>
    </row>
    <row r="814" spans="1:19" ht="15" customHeight="1" x14ac:dyDescent="0.3">
      <c r="A814" s="335" t="s">
        <v>1621</v>
      </c>
      <c r="B814" s="335" t="s">
        <v>56</v>
      </c>
      <c r="C814" s="335" t="s">
        <v>27</v>
      </c>
      <c r="D814" s="335" t="s">
        <v>1630</v>
      </c>
      <c r="E814" s="336" t="s">
        <v>1631</v>
      </c>
      <c r="F814" s="336" t="s">
        <v>60</v>
      </c>
      <c r="G814" s="337">
        <v>1</v>
      </c>
      <c r="H814" s="338">
        <v>0</v>
      </c>
      <c r="I814" s="339">
        <v>221790.794932641</v>
      </c>
      <c r="J814" s="340">
        <v>221790.794932641</v>
      </c>
      <c r="K814" s="335" t="s">
        <v>1632</v>
      </c>
      <c r="L814" s="335">
        <v>1</v>
      </c>
      <c r="M814" s="335" t="s">
        <v>1633</v>
      </c>
      <c r="N814" s="339">
        <v>1</v>
      </c>
      <c r="O814" s="341">
        <v>1</v>
      </c>
      <c r="P814" s="341">
        <v>90</v>
      </c>
      <c r="Q814" s="341">
        <v>90</v>
      </c>
      <c r="R814" s="342">
        <v>3.09</v>
      </c>
      <c r="S814" s="342" t="s">
        <v>25</v>
      </c>
    </row>
    <row r="815" spans="1:19" ht="15" customHeight="1" x14ac:dyDescent="0.3">
      <c r="A815" s="335" t="s">
        <v>1634</v>
      </c>
      <c r="B815" s="335" t="s">
        <v>20</v>
      </c>
      <c r="C815" s="335"/>
      <c r="D815" s="335" t="s">
        <v>1635</v>
      </c>
      <c r="E815" s="336" t="s">
        <v>1636</v>
      </c>
      <c r="F815" s="336"/>
      <c r="G815" s="337">
        <v>1</v>
      </c>
      <c r="H815" s="338">
        <v>0</v>
      </c>
      <c r="I815" s="339">
        <v>9854.9599131873692</v>
      </c>
      <c r="J815" s="340">
        <v>9854.9599131873692</v>
      </c>
      <c r="K815" s="335" t="s">
        <v>1637</v>
      </c>
      <c r="L815" s="335">
        <v>1</v>
      </c>
      <c r="M815" s="335" t="s">
        <v>1638</v>
      </c>
      <c r="N815" s="339">
        <v>1</v>
      </c>
      <c r="O815" s="341">
        <v>1</v>
      </c>
      <c r="P815" s="341">
        <v>32</v>
      </c>
      <c r="Q815" s="341">
        <v>32</v>
      </c>
      <c r="R815" s="342">
        <v>3.1</v>
      </c>
      <c r="S815" s="342" t="s">
        <v>1478</v>
      </c>
    </row>
    <row r="816" spans="1:19" ht="15" customHeight="1" x14ac:dyDescent="0.3">
      <c r="A816" s="335" t="s">
        <v>1634</v>
      </c>
      <c r="B816" s="335" t="s">
        <v>26</v>
      </c>
      <c r="C816" s="335" t="s">
        <v>480</v>
      </c>
      <c r="D816" s="335" t="s">
        <v>1639</v>
      </c>
      <c r="E816" s="336" t="s">
        <v>1640</v>
      </c>
      <c r="F816" s="336" t="s">
        <v>83</v>
      </c>
      <c r="G816" s="337">
        <v>1</v>
      </c>
      <c r="H816" s="338">
        <v>0</v>
      </c>
      <c r="I816" s="339">
        <v>379758.83388002298</v>
      </c>
      <c r="J816" s="340">
        <v>379758.83388002298</v>
      </c>
      <c r="K816" s="335" t="s">
        <v>1641</v>
      </c>
      <c r="L816" s="335">
        <v>1</v>
      </c>
      <c r="M816" s="335" t="s">
        <v>1642</v>
      </c>
      <c r="N816" s="339">
        <v>1</v>
      </c>
      <c r="O816" s="341">
        <v>1</v>
      </c>
      <c r="P816" s="341">
        <v>32</v>
      </c>
      <c r="Q816" s="341">
        <v>32</v>
      </c>
      <c r="R816" s="342">
        <v>3.1</v>
      </c>
      <c r="S816" s="342" t="s">
        <v>1478</v>
      </c>
    </row>
    <row r="817" spans="1:19" ht="15" customHeight="1" x14ac:dyDescent="0.3">
      <c r="A817" s="335" t="s">
        <v>1634</v>
      </c>
      <c r="B817" s="335" t="s">
        <v>56</v>
      </c>
      <c r="C817" s="335" t="s">
        <v>27</v>
      </c>
      <c r="D817" s="335" t="s">
        <v>1643</v>
      </c>
      <c r="E817" s="336" t="s">
        <v>1644</v>
      </c>
      <c r="F817" s="336" t="s">
        <v>60</v>
      </c>
      <c r="G817" s="337">
        <v>1</v>
      </c>
      <c r="H817" s="338">
        <v>0</v>
      </c>
      <c r="I817" s="339">
        <v>277238.49366580101</v>
      </c>
      <c r="J817" s="340">
        <v>277238.49366580101</v>
      </c>
      <c r="K817" s="335" t="s">
        <v>1645</v>
      </c>
      <c r="L817" s="335">
        <v>1</v>
      </c>
      <c r="M817" s="335" t="s">
        <v>1646</v>
      </c>
      <c r="N817" s="339">
        <v>1</v>
      </c>
      <c r="O817" s="341">
        <v>1</v>
      </c>
      <c r="P817" s="341">
        <v>32</v>
      </c>
      <c r="Q817" s="341">
        <v>32</v>
      </c>
      <c r="R817" s="342">
        <v>3.1</v>
      </c>
      <c r="S817" s="342" t="s">
        <v>1478</v>
      </c>
    </row>
    <row r="818" spans="1:19" ht="15" customHeight="1" x14ac:dyDescent="0.3">
      <c r="A818" s="335" t="s">
        <v>1647</v>
      </c>
      <c r="B818" s="335" t="s">
        <v>20</v>
      </c>
      <c r="C818" s="335"/>
      <c r="D818" s="335" t="s">
        <v>1648</v>
      </c>
      <c r="E818" s="336" t="s">
        <v>1649</v>
      </c>
      <c r="F818" s="336"/>
      <c r="G818" s="337">
        <v>1</v>
      </c>
      <c r="H818" s="338">
        <v>0</v>
      </c>
      <c r="I818" s="339">
        <v>16574.254700785801</v>
      </c>
      <c r="J818" s="340">
        <v>16574.254700785801</v>
      </c>
      <c r="K818" s="335" t="s">
        <v>1650</v>
      </c>
      <c r="L818" s="335">
        <v>1</v>
      </c>
      <c r="M818" s="335" t="s">
        <v>1651</v>
      </c>
      <c r="N818" s="339">
        <v>1</v>
      </c>
      <c r="O818" s="341">
        <v>1</v>
      </c>
      <c r="P818" s="341">
        <v>46</v>
      </c>
      <c r="Q818" s="341">
        <v>46</v>
      </c>
      <c r="R818" s="342">
        <v>3.11</v>
      </c>
      <c r="S818" s="342" t="s">
        <v>25</v>
      </c>
    </row>
    <row r="819" spans="1:19" ht="15" customHeight="1" x14ac:dyDescent="0.3">
      <c r="A819" s="335" t="s">
        <v>1647</v>
      </c>
      <c r="B819" s="335" t="s">
        <v>26</v>
      </c>
      <c r="C819" s="335" t="s">
        <v>480</v>
      </c>
      <c r="D819" s="335" t="s">
        <v>1652</v>
      </c>
      <c r="E819" s="336" t="s">
        <v>1653</v>
      </c>
      <c r="F819" s="336" t="s">
        <v>83</v>
      </c>
      <c r="G819" s="337">
        <v>1</v>
      </c>
      <c r="H819" s="338">
        <v>0</v>
      </c>
      <c r="I819" s="339">
        <v>567913.50664448505</v>
      </c>
      <c r="J819" s="340">
        <v>567913.50664448505</v>
      </c>
      <c r="K819" s="335" t="s">
        <v>1654</v>
      </c>
      <c r="L819" s="335">
        <v>1</v>
      </c>
      <c r="M819" s="335" t="s">
        <v>1655</v>
      </c>
      <c r="N819" s="339">
        <v>1</v>
      </c>
      <c r="O819" s="341">
        <v>1</v>
      </c>
      <c r="P819" s="341">
        <v>46</v>
      </c>
      <c r="Q819" s="341">
        <v>46</v>
      </c>
      <c r="R819" s="342">
        <v>3.11</v>
      </c>
      <c r="S819" s="342" t="s">
        <v>25</v>
      </c>
    </row>
    <row r="820" spans="1:19" ht="15" customHeight="1" x14ac:dyDescent="0.3">
      <c r="A820" s="335" t="s">
        <v>1647</v>
      </c>
      <c r="B820" s="335" t="s">
        <v>56</v>
      </c>
      <c r="C820" s="335" t="s">
        <v>27</v>
      </c>
      <c r="D820" s="335" t="s">
        <v>1656</v>
      </c>
      <c r="E820" s="336" t="s">
        <v>1657</v>
      </c>
      <c r="F820" s="336" t="s">
        <v>60</v>
      </c>
      <c r="G820" s="337">
        <v>1</v>
      </c>
      <c r="H820" s="338">
        <v>0</v>
      </c>
      <c r="I820" s="339">
        <v>537036.80674123298</v>
      </c>
      <c r="J820" s="340">
        <v>537036.80674123298</v>
      </c>
      <c r="K820" s="335" t="s">
        <v>1658</v>
      </c>
      <c r="L820" s="335">
        <v>1</v>
      </c>
      <c r="M820" s="335" t="s">
        <v>1659</v>
      </c>
      <c r="N820" s="339">
        <v>1</v>
      </c>
      <c r="O820" s="341">
        <v>1</v>
      </c>
      <c r="P820" s="341">
        <v>46</v>
      </c>
      <c r="Q820" s="341">
        <v>46</v>
      </c>
      <c r="R820" s="342">
        <v>3.11</v>
      </c>
      <c r="S820" s="342" t="s">
        <v>25</v>
      </c>
    </row>
    <row r="821" spans="1:19" ht="15" customHeight="1" x14ac:dyDescent="0.3">
      <c r="A821" s="335" t="s">
        <v>1660</v>
      </c>
      <c r="B821" s="335" t="s">
        <v>20</v>
      </c>
      <c r="C821" s="335"/>
      <c r="D821" s="335" t="s">
        <v>1661</v>
      </c>
      <c r="E821" s="336" t="s">
        <v>1662</v>
      </c>
      <c r="F821" s="336"/>
      <c r="G821" s="337">
        <v>1</v>
      </c>
      <c r="H821" s="338">
        <v>0</v>
      </c>
      <c r="I821" s="339">
        <v>18555.793102383701</v>
      </c>
      <c r="J821" s="340">
        <v>18555.793102383701</v>
      </c>
      <c r="K821" s="335" t="s">
        <v>1663</v>
      </c>
      <c r="L821" s="335">
        <v>1</v>
      </c>
      <c r="M821" s="335" t="s">
        <v>1664</v>
      </c>
      <c r="N821" s="339">
        <v>1</v>
      </c>
      <c r="O821" s="341">
        <v>1</v>
      </c>
      <c r="P821" s="341">
        <v>31</v>
      </c>
      <c r="Q821" s="341">
        <v>31</v>
      </c>
      <c r="R821" s="342">
        <v>3.12</v>
      </c>
      <c r="S821" s="342" t="s">
        <v>1478</v>
      </c>
    </row>
    <row r="822" spans="1:19" ht="15" customHeight="1" x14ac:dyDescent="0.3">
      <c r="A822" s="335" t="s">
        <v>1660</v>
      </c>
      <c r="B822" s="335" t="s">
        <v>26</v>
      </c>
      <c r="C822" s="335" t="s">
        <v>480</v>
      </c>
      <c r="D822" s="335" t="s">
        <v>1665</v>
      </c>
      <c r="E822" s="336" t="s">
        <v>1666</v>
      </c>
      <c r="F822" s="336" t="s">
        <v>83</v>
      </c>
      <c r="G822" s="337">
        <v>1</v>
      </c>
      <c r="H822" s="338">
        <v>0</v>
      </c>
      <c r="I822" s="339">
        <v>565756.86506570596</v>
      </c>
      <c r="J822" s="340">
        <v>565756.86506570596</v>
      </c>
      <c r="K822" s="335" t="s">
        <v>1667</v>
      </c>
      <c r="L822" s="335">
        <v>1</v>
      </c>
      <c r="M822" s="335" t="s">
        <v>1668</v>
      </c>
      <c r="N822" s="339">
        <v>1</v>
      </c>
      <c r="O822" s="341">
        <v>1</v>
      </c>
      <c r="P822" s="341">
        <v>31</v>
      </c>
      <c r="Q822" s="341">
        <v>31</v>
      </c>
      <c r="R822" s="342">
        <v>3.12</v>
      </c>
      <c r="S822" s="342" t="s">
        <v>1478</v>
      </c>
    </row>
    <row r="823" spans="1:19" ht="15" customHeight="1" x14ac:dyDescent="0.3">
      <c r="A823" s="335" t="s">
        <v>1660</v>
      </c>
      <c r="B823" s="335" t="s">
        <v>56</v>
      </c>
      <c r="C823" s="335" t="s">
        <v>27</v>
      </c>
      <c r="D823" s="335" t="s">
        <v>1669</v>
      </c>
      <c r="E823" s="336" t="s">
        <v>1670</v>
      </c>
      <c r="F823" s="336" t="s">
        <v>60</v>
      </c>
      <c r="G823" s="337">
        <v>1</v>
      </c>
      <c r="H823" s="338">
        <v>0</v>
      </c>
      <c r="I823" s="339">
        <v>671296.008426541</v>
      </c>
      <c r="J823" s="340">
        <v>671296.008426541</v>
      </c>
      <c r="K823" s="335" t="s">
        <v>1671</v>
      </c>
      <c r="L823" s="335">
        <v>1</v>
      </c>
      <c r="M823" s="335" t="s">
        <v>1672</v>
      </c>
      <c r="N823" s="339">
        <v>1</v>
      </c>
      <c r="O823" s="341">
        <v>1</v>
      </c>
      <c r="P823" s="341">
        <v>31</v>
      </c>
      <c r="Q823" s="341">
        <v>31</v>
      </c>
      <c r="R823" s="342">
        <v>3.12</v>
      </c>
      <c r="S823" s="342" t="s">
        <v>1478</v>
      </c>
    </row>
    <row r="824" spans="1:19" ht="15" customHeight="1" x14ac:dyDescent="0.3">
      <c r="A824" s="335" t="s">
        <v>1673</v>
      </c>
      <c r="B824" s="335" t="s">
        <v>20</v>
      </c>
      <c r="C824" s="335"/>
      <c r="D824" s="335" t="s">
        <v>1674</v>
      </c>
      <c r="E824" s="336" t="s">
        <v>1675</v>
      </c>
      <c r="F824" s="336"/>
      <c r="G824" s="337">
        <v>1</v>
      </c>
      <c r="H824" s="338">
        <v>0</v>
      </c>
      <c r="I824" s="339">
        <v>11521.3976114952</v>
      </c>
      <c r="J824" s="340">
        <v>11521.3976114952</v>
      </c>
      <c r="K824" s="335" t="s">
        <v>1676</v>
      </c>
      <c r="L824" s="335">
        <v>1</v>
      </c>
      <c r="M824" s="335" t="s">
        <v>1677</v>
      </c>
      <c r="N824" s="339">
        <v>1</v>
      </c>
      <c r="O824" s="341">
        <v>1</v>
      </c>
      <c r="P824" s="341">
        <v>24</v>
      </c>
      <c r="Q824" s="341">
        <v>24</v>
      </c>
      <c r="R824" s="342">
        <v>3.13</v>
      </c>
      <c r="S824" s="342" t="s">
        <v>25</v>
      </c>
    </row>
    <row r="825" spans="1:19" ht="15" customHeight="1" x14ac:dyDescent="0.3">
      <c r="A825" s="335" t="s">
        <v>1673</v>
      </c>
      <c r="B825" s="335" t="s">
        <v>26</v>
      </c>
      <c r="C825" s="335" t="s">
        <v>480</v>
      </c>
      <c r="D825" s="335" t="s">
        <v>1678</v>
      </c>
      <c r="E825" s="336" t="s">
        <v>1679</v>
      </c>
      <c r="F825" s="336" t="s">
        <v>83</v>
      </c>
      <c r="G825" s="337">
        <v>1</v>
      </c>
      <c r="H825" s="338">
        <v>0</v>
      </c>
      <c r="I825" s="339">
        <v>410452.27422518202</v>
      </c>
      <c r="J825" s="340">
        <v>410452.27422518202</v>
      </c>
      <c r="K825" s="335" t="s">
        <v>1680</v>
      </c>
      <c r="L825" s="335">
        <v>1</v>
      </c>
      <c r="M825" s="335" t="s">
        <v>1681</v>
      </c>
      <c r="N825" s="339">
        <v>1</v>
      </c>
      <c r="O825" s="341">
        <v>1</v>
      </c>
      <c r="P825" s="341">
        <v>24</v>
      </c>
      <c r="Q825" s="341">
        <v>24</v>
      </c>
      <c r="R825" s="342">
        <v>3.13</v>
      </c>
      <c r="S825" s="342" t="s">
        <v>25</v>
      </c>
    </row>
    <row r="826" spans="1:19" ht="15" customHeight="1" x14ac:dyDescent="0.3">
      <c r="A826" s="335" t="s">
        <v>1673</v>
      </c>
      <c r="B826" s="335" t="s">
        <v>56</v>
      </c>
      <c r="C826" s="335" t="s">
        <v>27</v>
      </c>
      <c r="D826" s="335" t="s">
        <v>1682</v>
      </c>
      <c r="E826" s="336" t="s">
        <v>1683</v>
      </c>
      <c r="F826" s="336" t="s">
        <v>60</v>
      </c>
      <c r="G826" s="337">
        <v>1</v>
      </c>
      <c r="H826" s="338">
        <v>0</v>
      </c>
      <c r="I826" s="339">
        <v>357640.8998745</v>
      </c>
      <c r="J826" s="340">
        <v>357640.8998745</v>
      </c>
      <c r="K826" s="335" t="s">
        <v>1684</v>
      </c>
      <c r="L826" s="335">
        <v>1</v>
      </c>
      <c r="M826" s="335" t="s">
        <v>1685</v>
      </c>
      <c r="N826" s="339">
        <v>1</v>
      </c>
      <c r="O826" s="341">
        <v>1</v>
      </c>
      <c r="P826" s="341">
        <v>24</v>
      </c>
      <c r="Q826" s="341">
        <v>24</v>
      </c>
      <c r="R826" s="342">
        <v>3.13</v>
      </c>
      <c r="S826" s="342" t="s">
        <v>25</v>
      </c>
    </row>
    <row r="827" spans="1:19" ht="15" customHeight="1" x14ac:dyDescent="0.3">
      <c r="A827" s="335" t="s">
        <v>1686</v>
      </c>
      <c r="B827" s="335" t="s">
        <v>20</v>
      </c>
      <c r="C827" s="335"/>
      <c r="D827" s="335" t="s">
        <v>1687</v>
      </c>
      <c r="E827" s="336" t="s">
        <v>1688</v>
      </c>
      <c r="F827" s="336"/>
      <c r="G827" s="337">
        <v>1</v>
      </c>
      <c r="H827" s="338">
        <v>0</v>
      </c>
      <c r="I827" s="339">
        <v>12788.2496210792</v>
      </c>
      <c r="J827" s="340">
        <v>12788.2496210792</v>
      </c>
      <c r="K827" s="335" t="s">
        <v>1689</v>
      </c>
      <c r="L827" s="335">
        <v>1</v>
      </c>
      <c r="M827" s="335" t="s">
        <v>1690</v>
      </c>
      <c r="N827" s="339">
        <v>1</v>
      </c>
      <c r="O827" s="341">
        <v>1</v>
      </c>
      <c r="P827" s="341">
        <v>39</v>
      </c>
      <c r="Q827" s="341">
        <v>39</v>
      </c>
      <c r="R827" s="342">
        <v>3.14</v>
      </c>
      <c r="S827" s="342" t="s">
        <v>25</v>
      </c>
    </row>
    <row r="828" spans="1:19" ht="15" customHeight="1" x14ac:dyDescent="0.3">
      <c r="A828" s="335" t="s">
        <v>1686</v>
      </c>
      <c r="B828" s="335" t="s">
        <v>26</v>
      </c>
      <c r="C828" s="335" t="s">
        <v>480</v>
      </c>
      <c r="D828" s="335" t="s">
        <v>1691</v>
      </c>
      <c r="E828" s="336" t="s">
        <v>1692</v>
      </c>
      <c r="F828" s="336" t="s">
        <v>83</v>
      </c>
      <c r="G828" s="337">
        <v>1</v>
      </c>
      <c r="H828" s="338">
        <v>0</v>
      </c>
      <c r="I828" s="339">
        <v>534635.92722614005</v>
      </c>
      <c r="J828" s="340">
        <v>534635.92722614005</v>
      </c>
      <c r="K828" s="335" t="s">
        <v>1693</v>
      </c>
      <c r="L828" s="335">
        <v>1</v>
      </c>
      <c r="M828" s="335" t="s">
        <v>1694</v>
      </c>
      <c r="N828" s="339">
        <v>1</v>
      </c>
      <c r="O828" s="341">
        <v>1</v>
      </c>
      <c r="P828" s="341">
        <v>39</v>
      </c>
      <c r="Q828" s="341">
        <v>39</v>
      </c>
      <c r="R828" s="342">
        <v>3.14</v>
      </c>
      <c r="S828" s="342" t="s">
        <v>25</v>
      </c>
    </row>
    <row r="829" spans="1:19" ht="15" customHeight="1" x14ac:dyDescent="0.3">
      <c r="A829" s="335" t="s">
        <v>1686</v>
      </c>
      <c r="B829" s="335" t="s">
        <v>56</v>
      </c>
      <c r="C829" s="335" t="s">
        <v>27</v>
      </c>
      <c r="D829" s="335" t="s">
        <v>1695</v>
      </c>
      <c r="E829" s="336" t="s">
        <v>1696</v>
      </c>
      <c r="F829" s="336" t="s">
        <v>60</v>
      </c>
      <c r="G829" s="337">
        <v>1</v>
      </c>
      <c r="H829" s="338">
        <v>0</v>
      </c>
      <c r="I829" s="339">
        <v>317914.04751247499</v>
      </c>
      <c r="J829" s="340">
        <v>317914.04751247499</v>
      </c>
      <c r="K829" s="335" t="s">
        <v>1697</v>
      </c>
      <c r="L829" s="335">
        <v>1</v>
      </c>
      <c r="M829" s="335" t="s">
        <v>1698</v>
      </c>
      <c r="N829" s="339">
        <v>1</v>
      </c>
      <c r="O829" s="341">
        <v>1</v>
      </c>
      <c r="P829" s="341">
        <v>39</v>
      </c>
      <c r="Q829" s="341">
        <v>39</v>
      </c>
      <c r="R829" s="342">
        <v>3.14</v>
      </c>
      <c r="S829" s="342" t="s">
        <v>25</v>
      </c>
    </row>
    <row r="830" spans="1:19" ht="15" customHeight="1" x14ac:dyDescent="0.3">
      <c r="A830" s="335" t="s">
        <v>1699</v>
      </c>
      <c r="B830" s="335" t="s">
        <v>26</v>
      </c>
      <c r="C830" s="335" t="s">
        <v>480</v>
      </c>
      <c r="D830" s="335" t="s">
        <v>1700</v>
      </c>
      <c r="E830" s="336" t="s">
        <v>1701</v>
      </c>
      <c r="F830" s="336" t="s">
        <v>83</v>
      </c>
      <c r="G830" s="337">
        <v>1</v>
      </c>
      <c r="H830" s="338">
        <v>0</v>
      </c>
      <c r="I830" s="339">
        <v>543657.96059143299</v>
      </c>
      <c r="J830" s="340">
        <v>543657.96059143299</v>
      </c>
      <c r="K830" s="335" t="s">
        <v>1702</v>
      </c>
      <c r="L830" s="335">
        <v>1</v>
      </c>
      <c r="M830" s="335" t="s">
        <v>1703</v>
      </c>
      <c r="N830" s="339">
        <v>1</v>
      </c>
      <c r="O830" s="341">
        <v>1</v>
      </c>
      <c r="P830" s="341">
        <v>4</v>
      </c>
      <c r="Q830" s="341">
        <v>4</v>
      </c>
      <c r="R830" s="342">
        <v>3.16</v>
      </c>
      <c r="S830" s="342" t="s">
        <v>1478</v>
      </c>
    </row>
    <row r="831" spans="1:19" ht="15" customHeight="1" x14ac:dyDescent="0.3">
      <c r="A831" s="335" t="s">
        <v>1699</v>
      </c>
      <c r="B831" s="335" t="s">
        <v>56</v>
      </c>
      <c r="C831" s="335" t="s">
        <v>27</v>
      </c>
      <c r="D831" s="335" t="s">
        <v>1704</v>
      </c>
      <c r="E831" s="336" t="s">
        <v>1705</v>
      </c>
      <c r="F831" s="336" t="s">
        <v>60</v>
      </c>
      <c r="G831" s="337">
        <v>1</v>
      </c>
      <c r="H831" s="338">
        <v>0</v>
      </c>
      <c r="I831" s="339">
        <v>397392.55939059303</v>
      </c>
      <c r="J831" s="340">
        <v>397392.55939059303</v>
      </c>
      <c r="K831" s="335" t="s">
        <v>1706</v>
      </c>
      <c r="L831" s="335">
        <v>1</v>
      </c>
      <c r="M831" s="335" t="s">
        <v>1707</v>
      </c>
      <c r="N831" s="339">
        <v>1</v>
      </c>
      <c r="O831" s="341">
        <v>1</v>
      </c>
      <c r="P831" s="341">
        <v>4</v>
      </c>
      <c r="Q831" s="341">
        <v>4</v>
      </c>
      <c r="R831" s="342">
        <v>3.16</v>
      </c>
      <c r="S831" s="342" t="s">
        <v>1478</v>
      </c>
    </row>
    <row r="832" spans="1:19" ht="15" customHeight="1" x14ac:dyDescent="0.3">
      <c r="A832" s="335" t="s">
        <v>1708</v>
      </c>
      <c r="B832" s="335" t="s">
        <v>20</v>
      </c>
      <c r="C832" s="335"/>
      <c r="D832" s="335" t="s">
        <v>1709</v>
      </c>
      <c r="E832" s="336" t="s">
        <v>1710</v>
      </c>
      <c r="F832" s="336"/>
      <c r="G832" s="337">
        <v>1</v>
      </c>
      <c r="H832" s="338">
        <v>0</v>
      </c>
      <c r="I832" s="339">
        <v>12325.562186123399</v>
      </c>
      <c r="J832" s="340">
        <v>12325.562186123399</v>
      </c>
      <c r="K832" s="335" t="s">
        <v>1711</v>
      </c>
      <c r="L832" s="335">
        <v>1</v>
      </c>
      <c r="M832" s="335" t="s">
        <v>1712</v>
      </c>
      <c r="N832" s="339">
        <v>1</v>
      </c>
      <c r="O832" s="341">
        <v>1</v>
      </c>
      <c r="P832" s="341">
        <v>10</v>
      </c>
      <c r="Q832" s="341">
        <v>10</v>
      </c>
      <c r="R832" s="342">
        <v>3.17</v>
      </c>
      <c r="S832" s="342" t="s">
        <v>1478</v>
      </c>
    </row>
    <row r="833" spans="1:19" ht="15" customHeight="1" x14ac:dyDescent="0.3">
      <c r="A833" s="335" t="s">
        <v>1708</v>
      </c>
      <c r="B833" s="335" t="s">
        <v>26</v>
      </c>
      <c r="C833" s="335" t="s">
        <v>480</v>
      </c>
      <c r="D833" s="335" t="s">
        <v>1713</v>
      </c>
      <c r="E833" s="336" t="s">
        <v>1714</v>
      </c>
      <c r="F833" s="336" t="s">
        <v>83</v>
      </c>
      <c r="G833" s="337">
        <v>1</v>
      </c>
      <c r="H833" s="338">
        <v>0</v>
      </c>
      <c r="I833" s="339">
        <v>416173.60204176803</v>
      </c>
      <c r="J833" s="340">
        <v>416173.60204176803</v>
      </c>
      <c r="K833" s="335" t="s">
        <v>1715</v>
      </c>
      <c r="L833" s="335">
        <v>1</v>
      </c>
      <c r="M833" s="335" t="s">
        <v>1716</v>
      </c>
      <c r="N833" s="339">
        <v>1</v>
      </c>
      <c r="O833" s="341">
        <v>1</v>
      </c>
      <c r="P833" s="341">
        <v>10</v>
      </c>
      <c r="Q833" s="341">
        <v>10</v>
      </c>
      <c r="R833" s="342">
        <v>3.17</v>
      </c>
      <c r="S833" s="342" t="s">
        <v>1478</v>
      </c>
    </row>
    <row r="834" spans="1:19" ht="15" customHeight="1" x14ac:dyDescent="0.3">
      <c r="A834" s="335" t="s">
        <v>1708</v>
      </c>
      <c r="B834" s="335" t="s">
        <v>56</v>
      </c>
      <c r="C834" s="335" t="s">
        <v>27</v>
      </c>
      <c r="D834" s="335" t="s">
        <v>1717</v>
      </c>
      <c r="E834" s="336" t="s">
        <v>1718</v>
      </c>
      <c r="F834" s="336" t="s">
        <v>60</v>
      </c>
      <c r="G834" s="337">
        <v>1</v>
      </c>
      <c r="H834" s="338">
        <v>0</v>
      </c>
      <c r="I834" s="339">
        <v>405530.54369979398</v>
      </c>
      <c r="J834" s="340">
        <v>405530.54369979398</v>
      </c>
      <c r="K834" s="335" t="s">
        <v>1719</v>
      </c>
      <c r="L834" s="335">
        <v>1</v>
      </c>
      <c r="M834" s="335" t="s">
        <v>1720</v>
      </c>
      <c r="N834" s="339">
        <v>1</v>
      </c>
      <c r="O834" s="341">
        <v>1</v>
      </c>
      <c r="P834" s="341">
        <v>10</v>
      </c>
      <c r="Q834" s="341">
        <v>10</v>
      </c>
      <c r="R834" s="342">
        <v>3.17</v>
      </c>
      <c r="S834" s="342" t="s">
        <v>1478</v>
      </c>
    </row>
    <row r="835" spans="1:19" ht="15" customHeight="1" x14ac:dyDescent="0.3">
      <c r="A835" s="335" t="s">
        <v>1721</v>
      </c>
      <c r="B835" s="335" t="s">
        <v>20</v>
      </c>
      <c r="C835" s="335"/>
      <c r="D835" s="335" t="s">
        <v>1722</v>
      </c>
      <c r="E835" s="336" t="s">
        <v>1723</v>
      </c>
      <c r="F835" s="336"/>
      <c r="G835" s="337">
        <v>1</v>
      </c>
      <c r="H835" s="338">
        <v>0</v>
      </c>
      <c r="I835" s="339">
        <v>11521.3976114952</v>
      </c>
      <c r="J835" s="340">
        <v>11521.3976114952</v>
      </c>
      <c r="K835" s="335" t="s">
        <v>1724</v>
      </c>
      <c r="L835" s="335">
        <v>1</v>
      </c>
      <c r="M835" s="335" t="s">
        <v>1725</v>
      </c>
      <c r="N835" s="339">
        <v>1</v>
      </c>
      <c r="O835" s="341">
        <v>1</v>
      </c>
      <c r="P835" s="341">
        <v>6</v>
      </c>
      <c r="Q835" s="341">
        <v>6</v>
      </c>
      <c r="R835" s="342">
        <v>3.18</v>
      </c>
      <c r="S835" s="342" t="s">
        <v>25</v>
      </c>
    </row>
    <row r="836" spans="1:19" ht="15" customHeight="1" x14ac:dyDescent="0.3">
      <c r="A836" s="335" t="s">
        <v>1721</v>
      </c>
      <c r="B836" s="335" t="s">
        <v>26</v>
      </c>
      <c r="C836" s="335" t="s">
        <v>480</v>
      </c>
      <c r="D836" s="335" t="s">
        <v>1726</v>
      </c>
      <c r="E836" s="336" t="s">
        <v>1727</v>
      </c>
      <c r="F836" s="336" t="s">
        <v>83</v>
      </c>
      <c r="G836" s="337">
        <v>1</v>
      </c>
      <c r="H836" s="338">
        <v>0</v>
      </c>
      <c r="I836" s="339">
        <v>410452.27422518202</v>
      </c>
      <c r="J836" s="340">
        <v>410452.27422518202</v>
      </c>
      <c r="K836" s="335" t="s">
        <v>1728</v>
      </c>
      <c r="L836" s="335">
        <v>1</v>
      </c>
      <c r="M836" s="335" t="s">
        <v>1729</v>
      </c>
      <c r="N836" s="339">
        <v>1</v>
      </c>
      <c r="O836" s="341">
        <v>1</v>
      </c>
      <c r="P836" s="341">
        <v>6</v>
      </c>
      <c r="Q836" s="341">
        <v>6</v>
      </c>
      <c r="R836" s="342">
        <v>3.18</v>
      </c>
      <c r="S836" s="342" t="s">
        <v>25</v>
      </c>
    </row>
    <row r="837" spans="1:19" ht="15" customHeight="1" x14ac:dyDescent="0.3">
      <c r="A837" s="335" t="s">
        <v>1721</v>
      </c>
      <c r="B837" s="335" t="s">
        <v>56</v>
      </c>
      <c r="C837" s="335" t="s">
        <v>27</v>
      </c>
      <c r="D837" s="335" t="s">
        <v>1730</v>
      </c>
      <c r="E837" s="336" t="s">
        <v>1731</v>
      </c>
      <c r="F837" s="336" t="s">
        <v>60</v>
      </c>
      <c r="G837" s="337">
        <v>1</v>
      </c>
      <c r="H837" s="338">
        <v>0</v>
      </c>
      <c r="I837" s="339">
        <v>357640.8998745</v>
      </c>
      <c r="J837" s="340">
        <v>357640.8998745</v>
      </c>
      <c r="K837" s="335" t="s">
        <v>1732</v>
      </c>
      <c r="L837" s="335">
        <v>1</v>
      </c>
      <c r="M837" s="335" t="s">
        <v>1733</v>
      </c>
      <c r="N837" s="339">
        <v>1</v>
      </c>
      <c r="O837" s="341">
        <v>1</v>
      </c>
      <c r="P837" s="341">
        <v>6</v>
      </c>
      <c r="Q837" s="341">
        <v>6</v>
      </c>
      <c r="R837" s="342">
        <v>3.18</v>
      </c>
      <c r="S837" s="342" t="s">
        <v>25</v>
      </c>
    </row>
    <row r="838" spans="1:19" ht="15" customHeight="1" x14ac:dyDescent="0.3">
      <c r="A838" s="335" t="s">
        <v>1734</v>
      </c>
      <c r="B838" s="335" t="s">
        <v>20</v>
      </c>
      <c r="C838" s="335"/>
      <c r="D838" s="335" t="s">
        <v>1735</v>
      </c>
      <c r="E838" s="336" t="s">
        <v>1736</v>
      </c>
      <c r="F838" s="336"/>
      <c r="G838" s="337">
        <v>1</v>
      </c>
      <c r="H838" s="338">
        <v>0</v>
      </c>
      <c r="I838" s="339">
        <v>8458556.625</v>
      </c>
      <c r="J838" s="340">
        <v>8458556.625</v>
      </c>
      <c r="K838" s="335" t="s">
        <v>1737</v>
      </c>
      <c r="L838" s="335">
        <v>1</v>
      </c>
      <c r="M838" s="335" t="s">
        <v>1738</v>
      </c>
      <c r="N838" s="339">
        <v>1</v>
      </c>
      <c r="O838" s="341">
        <v>1</v>
      </c>
      <c r="P838" s="341">
        <v>1</v>
      </c>
      <c r="Q838" s="341">
        <v>1</v>
      </c>
      <c r="R838" s="342">
        <v>3.19</v>
      </c>
      <c r="S838" s="342" t="s">
        <v>25</v>
      </c>
    </row>
    <row r="839" spans="1:19" ht="15" customHeight="1" x14ac:dyDescent="0.3">
      <c r="A839" s="335" t="s">
        <v>1739</v>
      </c>
      <c r="B839" s="335" t="s">
        <v>56</v>
      </c>
      <c r="C839" s="335" t="s">
        <v>27</v>
      </c>
      <c r="D839" s="335" t="s">
        <v>1740</v>
      </c>
      <c r="E839" s="336" t="s">
        <v>1741</v>
      </c>
      <c r="F839" s="336" t="s">
        <v>60</v>
      </c>
      <c r="G839" s="337">
        <v>1</v>
      </c>
      <c r="H839" s="338">
        <v>0</v>
      </c>
      <c r="I839" s="339">
        <v>228712</v>
      </c>
      <c r="J839" s="340">
        <v>228712</v>
      </c>
      <c r="K839" s="335" t="s">
        <v>1742</v>
      </c>
      <c r="L839" s="335">
        <v>1</v>
      </c>
      <c r="M839" s="335" t="s">
        <v>1743</v>
      </c>
      <c r="N839" s="339">
        <v>1</v>
      </c>
      <c r="O839" s="341">
        <v>1</v>
      </c>
      <c r="P839" s="341">
        <v>15</v>
      </c>
      <c r="Q839" s="341">
        <v>15</v>
      </c>
      <c r="R839" s="342">
        <v>3.2</v>
      </c>
      <c r="S839" s="342" t="s">
        <v>25</v>
      </c>
    </row>
    <row r="840" spans="1:19" ht="15" customHeight="1" x14ac:dyDescent="0.3">
      <c r="A840" s="335" t="s">
        <v>1744</v>
      </c>
      <c r="B840" s="335" t="s">
        <v>26</v>
      </c>
      <c r="C840" s="335" t="s">
        <v>27</v>
      </c>
      <c r="D840" s="335" t="s">
        <v>1745</v>
      </c>
      <c r="E840" s="336" t="s">
        <v>1746</v>
      </c>
      <c r="F840" s="336" t="s">
        <v>98</v>
      </c>
      <c r="G840" s="337">
        <v>1</v>
      </c>
      <c r="H840" s="338">
        <v>0</v>
      </c>
      <c r="I840" s="339">
        <v>51239.669421487597</v>
      </c>
      <c r="J840" s="340">
        <v>51239.669421487597</v>
      </c>
      <c r="K840" s="335" t="s">
        <v>1747</v>
      </c>
      <c r="L840" s="335">
        <v>1</v>
      </c>
      <c r="M840" s="335" t="s">
        <v>1748</v>
      </c>
      <c r="N840" s="339">
        <v>1</v>
      </c>
      <c r="O840" s="341">
        <v>1</v>
      </c>
      <c r="P840" s="341">
        <v>3</v>
      </c>
      <c r="Q840" s="341">
        <v>3</v>
      </c>
      <c r="R840" s="342">
        <v>3.21</v>
      </c>
      <c r="S840" s="342" t="s">
        <v>25</v>
      </c>
    </row>
    <row r="841" spans="1:19" ht="15" customHeight="1" x14ac:dyDescent="0.3">
      <c r="A841" s="335" t="s">
        <v>1749</v>
      </c>
      <c r="B841" s="335" t="s">
        <v>20</v>
      </c>
      <c r="C841" s="335"/>
      <c r="D841" s="335" t="s">
        <v>1750</v>
      </c>
      <c r="E841" s="336" t="s">
        <v>1751</v>
      </c>
      <c r="F841" s="336"/>
      <c r="G841" s="337">
        <v>1</v>
      </c>
      <c r="H841" s="338">
        <v>0</v>
      </c>
      <c r="I841" s="339">
        <v>373.21801708038703</v>
      </c>
      <c r="J841" s="340">
        <v>373.21801708038703</v>
      </c>
      <c r="K841" s="335" t="s">
        <v>1752</v>
      </c>
      <c r="L841" s="335">
        <v>1</v>
      </c>
      <c r="M841" s="335" t="s">
        <v>1753</v>
      </c>
      <c r="N841" s="339">
        <v>1</v>
      </c>
      <c r="O841" s="341">
        <v>1</v>
      </c>
      <c r="P841" s="341">
        <v>78</v>
      </c>
      <c r="Q841" s="341">
        <v>78</v>
      </c>
      <c r="R841" s="342">
        <v>3.22</v>
      </c>
      <c r="S841" s="342" t="s">
        <v>1478</v>
      </c>
    </row>
    <row r="842" spans="1:19" ht="15" customHeight="1" x14ac:dyDescent="0.3">
      <c r="A842" s="335" t="s">
        <v>1749</v>
      </c>
      <c r="B842" s="335" t="s">
        <v>26</v>
      </c>
      <c r="C842" s="335" t="s">
        <v>480</v>
      </c>
      <c r="D842" s="335" t="s">
        <v>96</v>
      </c>
      <c r="E842" s="336" t="s">
        <v>97</v>
      </c>
      <c r="F842" s="336" t="s">
        <v>98</v>
      </c>
      <c r="G842" s="337">
        <v>1923.0769230799999</v>
      </c>
      <c r="H842" s="338">
        <v>0</v>
      </c>
      <c r="I842" s="339">
        <v>1</v>
      </c>
      <c r="J842" s="340">
        <v>1923.0769230799999</v>
      </c>
      <c r="K842" s="335" t="s">
        <v>1754</v>
      </c>
      <c r="L842" s="335">
        <v>1</v>
      </c>
      <c r="M842" s="335" t="s">
        <v>1755</v>
      </c>
      <c r="N842" s="339">
        <v>1</v>
      </c>
      <c r="O842" s="341">
        <v>1923.0769230799999</v>
      </c>
      <c r="P842" s="341">
        <v>78</v>
      </c>
      <c r="Q842" s="341">
        <v>150000.00000023999</v>
      </c>
      <c r="R842" s="342">
        <v>3.22</v>
      </c>
      <c r="S842" s="342" t="s">
        <v>1478</v>
      </c>
    </row>
    <row r="843" spans="1:19" ht="15" customHeight="1" x14ac:dyDescent="0.3">
      <c r="A843" s="335" t="s">
        <v>1749</v>
      </c>
      <c r="B843" s="335" t="s">
        <v>26</v>
      </c>
      <c r="C843" s="335" t="s">
        <v>27</v>
      </c>
      <c r="D843" s="335" t="s">
        <v>1756</v>
      </c>
      <c r="E843" s="336" t="s">
        <v>1757</v>
      </c>
      <c r="F843" s="336" t="s">
        <v>35</v>
      </c>
      <c r="G843" s="337">
        <v>5.1282051282051301E-2</v>
      </c>
      <c r="H843" s="338">
        <v>0</v>
      </c>
      <c r="I843" s="339">
        <v>100000</v>
      </c>
      <c r="J843" s="340">
        <v>5128.2051282051298</v>
      </c>
      <c r="K843" s="335" t="s">
        <v>1754</v>
      </c>
      <c r="L843" s="335">
        <v>2</v>
      </c>
      <c r="M843" s="335" t="s">
        <v>1758</v>
      </c>
      <c r="N843" s="339">
        <v>1</v>
      </c>
      <c r="O843" s="341">
        <v>5.1282051282051301E-2</v>
      </c>
      <c r="P843" s="341">
        <v>78</v>
      </c>
      <c r="Q843" s="341">
        <v>4</v>
      </c>
      <c r="R843" s="342">
        <v>3.22</v>
      </c>
      <c r="S843" s="342" t="s">
        <v>1478</v>
      </c>
    </row>
    <row r="844" spans="1:19" ht="15" customHeight="1" x14ac:dyDescent="0.3">
      <c r="A844" s="335" t="s">
        <v>1749</v>
      </c>
      <c r="B844" s="335" t="s">
        <v>56</v>
      </c>
      <c r="C844" s="335" t="s">
        <v>57</v>
      </c>
      <c r="D844" s="335" t="s">
        <v>58</v>
      </c>
      <c r="E844" s="336" t="s">
        <v>59</v>
      </c>
      <c r="F844" s="336" t="s">
        <v>60</v>
      </c>
      <c r="G844" s="337">
        <v>0.17948717948717999</v>
      </c>
      <c r="H844" s="338">
        <v>0</v>
      </c>
      <c r="I844" s="339">
        <v>60860.580776572002</v>
      </c>
      <c r="J844" s="340">
        <v>10923.693985538601</v>
      </c>
      <c r="K844" s="335" t="s">
        <v>1759</v>
      </c>
      <c r="L844" s="335">
        <v>1</v>
      </c>
      <c r="M844" s="335" t="s">
        <v>1760</v>
      </c>
      <c r="N844" s="339">
        <v>1</v>
      </c>
      <c r="O844" s="341">
        <v>0.17948717948717999</v>
      </c>
      <c r="P844" s="341">
        <v>78</v>
      </c>
      <c r="Q844" s="341">
        <v>14</v>
      </c>
      <c r="R844" s="342">
        <v>3.22</v>
      </c>
      <c r="S844" s="342" t="s">
        <v>1478</v>
      </c>
    </row>
    <row r="845" spans="1:19" ht="14.25" customHeight="1" x14ac:dyDescent="0.3">
      <c r="A845" s="335" t="s">
        <v>1749</v>
      </c>
      <c r="B845" s="335" t="s">
        <v>56</v>
      </c>
      <c r="C845" s="335" t="s">
        <v>57</v>
      </c>
      <c r="D845" s="343" t="s">
        <v>497</v>
      </c>
      <c r="E845" s="336" t="s">
        <v>498</v>
      </c>
      <c r="F845" s="336" t="s">
        <v>60</v>
      </c>
      <c r="G845" s="337">
        <v>8.9743589743589702E-2</v>
      </c>
      <c r="H845" s="338">
        <v>0</v>
      </c>
      <c r="I845" s="339">
        <v>76955.079706571996</v>
      </c>
      <c r="J845" s="340">
        <v>6906.2251018718398</v>
      </c>
      <c r="K845" s="335" t="s">
        <v>1759</v>
      </c>
      <c r="L845" s="335">
        <v>2</v>
      </c>
      <c r="M845" s="335" t="s">
        <v>1761</v>
      </c>
      <c r="N845" s="339">
        <v>1</v>
      </c>
      <c r="O845" s="341">
        <v>8.9743589743589702E-2</v>
      </c>
      <c r="P845" s="341">
        <v>78</v>
      </c>
      <c r="Q845" s="341">
        <v>7</v>
      </c>
      <c r="R845" s="342">
        <v>3.22</v>
      </c>
      <c r="S845" s="342" t="s">
        <v>1478</v>
      </c>
    </row>
    <row r="846" spans="1:19" ht="14.25" customHeight="1" x14ac:dyDescent="0.3">
      <c r="A846" s="335" t="s">
        <v>1762</v>
      </c>
      <c r="B846" s="335" t="s">
        <v>20</v>
      </c>
      <c r="C846" s="335"/>
      <c r="D846" s="335" t="s">
        <v>67</v>
      </c>
      <c r="E846" s="336" t="s">
        <v>68</v>
      </c>
      <c r="F846" s="336"/>
      <c r="G846" s="337">
        <v>0.5</v>
      </c>
      <c r="H846" s="338">
        <v>0</v>
      </c>
      <c r="I846" s="339">
        <v>571.17949098076099</v>
      </c>
      <c r="J846" s="340">
        <v>285.58974549038101</v>
      </c>
      <c r="K846" s="335" t="s">
        <v>1763</v>
      </c>
      <c r="L846" s="335">
        <v>1</v>
      </c>
      <c r="M846" s="335" t="s">
        <v>1764</v>
      </c>
      <c r="N846" s="339">
        <v>15</v>
      </c>
      <c r="O846" s="341">
        <v>0.5</v>
      </c>
      <c r="P846" s="341" t="s">
        <v>25</v>
      </c>
      <c r="Q846" s="341">
        <v>0</v>
      </c>
      <c r="R846" s="342" t="s">
        <v>25</v>
      </c>
      <c r="S846" s="342" t="s">
        <v>25</v>
      </c>
    </row>
    <row r="847" spans="1:19" ht="14.25" customHeight="1" x14ac:dyDescent="0.3">
      <c r="A847" s="335" t="s">
        <v>1762</v>
      </c>
      <c r="B847" s="335" t="s">
        <v>20</v>
      </c>
      <c r="C847" s="335"/>
      <c r="D847" s="335" t="s">
        <v>71</v>
      </c>
      <c r="E847" s="336" t="s">
        <v>72</v>
      </c>
      <c r="F847" s="336"/>
      <c r="G847" s="337">
        <v>1</v>
      </c>
      <c r="H847" s="338">
        <v>0</v>
      </c>
      <c r="I847" s="339">
        <v>2287.1357450968098</v>
      </c>
      <c r="J847" s="340">
        <v>2287.1357450968098</v>
      </c>
      <c r="K847" s="335" t="s">
        <v>1763</v>
      </c>
      <c r="L847" s="335">
        <v>2</v>
      </c>
      <c r="M847" s="335" t="s">
        <v>1765</v>
      </c>
      <c r="N847" s="339">
        <v>15</v>
      </c>
      <c r="O847" s="341">
        <v>1</v>
      </c>
      <c r="P847" s="341" t="s">
        <v>25</v>
      </c>
      <c r="Q847" s="341">
        <v>0</v>
      </c>
      <c r="R847" s="342" t="s">
        <v>25</v>
      </c>
      <c r="S847" s="342" t="s">
        <v>25</v>
      </c>
    </row>
    <row r="848" spans="1:19" ht="14.25" customHeight="1" x14ac:dyDescent="0.3">
      <c r="A848" s="335" t="s">
        <v>1762</v>
      </c>
      <c r="B848" s="335" t="s">
        <v>20</v>
      </c>
      <c r="C848" s="335"/>
      <c r="D848" s="335" t="s">
        <v>74</v>
      </c>
      <c r="E848" s="336" t="s">
        <v>75</v>
      </c>
      <c r="F848" s="336"/>
      <c r="G848" s="337">
        <v>1</v>
      </c>
      <c r="H848" s="338">
        <v>0</v>
      </c>
      <c r="I848" s="339">
        <v>957.25319614994703</v>
      </c>
      <c r="J848" s="340">
        <v>957.25319614994703</v>
      </c>
      <c r="K848" s="335" t="s">
        <v>1763</v>
      </c>
      <c r="L848" s="335">
        <v>3</v>
      </c>
      <c r="M848" s="335" t="s">
        <v>1766</v>
      </c>
      <c r="N848" s="339">
        <v>15</v>
      </c>
      <c r="O848" s="341">
        <v>1</v>
      </c>
      <c r="P848" s="341" t="s">
        <v>25</v>
      </c>
      <c r="Q848" s="341">
        <v>0</v>
      </c>
      <c r="R848" s="342" t="s">
        <v>25</v>
      </c>
      <c r="S848" s="342" t="s">
        <v>25</v>
      </c>
    </row>
    <row r="849" spans="1:19" ht="14.25" customHeight="1" x14ac:dyDescent="0.3">
      <c r="A849" s="335" t="s">
        <v>1762</v>
      </c>
      <c r="B849" s="335" t="s">
        <v>26</v>
      </c>
      <c r="C849" s="335" t="s">
        <v>27</v>
      </c>
      <c r="D849" s="335" t="s">
        <v>77</v>
      </c>
      <c r="E849" s="336" t="s">
        <v>78</v>
      </c>
      <c r="F849" s="336" t="s">
        <v>35</v>
      </c>
      <c r="G849" s="337">
        <v>0.17</v>
      </c>
      <c r="H849" s="338">
        <v>0.1</v>
      </c>
      <c r="I849" s="339">
        <v>3424.53</v>
      </c>
      <c r="J849" s="340">
        <v>640.38711000000001</v>
      </c>
      <c r="K849" s="335" t="s">
        <v>1767</v>
      </c>
      <c r="L849" s="335">
        <v>1</v>
      </c>
      <c r="M849" s="335" t="s">
        <v>1768</v>
      </c>
      <c r="N849" s="339">
        <v>15</v>
      </c>
      <c r="O849" s="341">
        <v>0.17</v>
      </c>
      <c r="P849" s="341" t="s">
        <v>25</v>
      </c>
      <c r="Q849" s="341">
        <v>0</v>
      </c>
      <c r="R849" s="342" t="s">
        <v>25</v>
      </c>
      <c r="S849" s="342" t="s">
        <v>25</v>
      </c>
    </row>
    <row r="850" spans="1:19" ht="14.25" customHeight="1" x14ac:dyDescent="0.3">
      <c r="A850" s="335" t="s">
        <v>1762</v>
      </c>
      <c r="B850" s="335" t="s">
        <v>26</v>
      </c>
      <c r="C850" s="335" t="s">
        <v>27</v>
      </c>
      <c r="D850" s="335" t="s">
        <v>81</v>
      </c>
      <c r="E850" s="336" t="s">
        <v>82</v>
      </c>
      <c r="F850" s="336" t="s">
        <v>83</v>
      </c>
      <c r="G850" s="337">
        <v>1.2E-2</v>
      </c>
      <c r="H850" s="338">
        <v>0.1</v>
      </c>
      <c r="I850" s="339">
        <v>32399.77</v>
      </c>
      <c r="J850" s="340">
        <v>427.676964</v>
      </c>
      <c r="K850" s="335" t="s">
        <v>1767</v>
      </c>
      <c r="L850" s="335">
        <v>2</v>
      </c>
      <c r="M850" s="335" t="s">
        <v>1769</v>
      </c>
      <c r="N850" s="339">
        <v>15</v>
      </c>
      <c r="O850" s="341">
        <v>1.2E-2</v>
      </c>
      <c r="P850" s="341" t="s">
        <v>25</v>
      </c>
      <c r="Q850" s="341">
        <v>0</v>
      </c>
      <c r="R850" s="342" t="s">
        <v>25</v>
      </c>
      <c r="S850" s="342" t="s">
        <v>25</v>
      </c>
    </row>
    <row r="851" spans="1:19" ht="14.25" customHeight="1" x14ac:dyDescent="0.3">
      <c r="A851" s="335" t="s">
        <v>1762</v>
      </c>
      <c r="B851" s="335" t="s">
        <v>26</v>
      </c>
      <c r="C851" s="335" t="s">
        <v>27</v>
      </c>
      <c r="D851" s="335" t="s">
        <v>85</v>
      </c>
      <c r="E851" s="336" t="s">
        <v>86</v>
      </c>
      <c r="F851" s="336" t="s">
        <v>87</v>
      </c>
      <c r="G851" s="337">
        <v>0.05</v>
      </c>
      <c r="H851" s="338">
        <v>0.1</v>
      </c>
      <c r="I851" s="339">
        <v>7809.48</v>
      </c>
      <c r="J851" s="340">
        <v>429.52140000000003</v>
      </c>
      <c r="K851" s="335" t="s">
        <v>1767</v>
      </c>
      <c r="L851" s="335">
        <v>3</v>
      </c>
      <c r="M851" s="335" t="s">
        <v>1770</v>
      </c>
      <c r="N851" s="339">
        <v>15</v>
      </c>
      <c r="O851" s="341">
        <v>0.05</v>
      </c>
      <c r="P851" s="341" t="s">
        <v>25</v>
      </c>
      <c r="Q851" s="341">
        <v>0</v>
      </c>
      <c r="R851" s="342" t="s">
        <v>25</v>
      </c>
      <c r="S851" s="342" t="s">
        <v>25</v>
      </c>
    </row>
    <row r="852" spans="1:19" ht="14.25" customHeight="1" x14ac:dyDescent="0.3">
      <c r="A852" s="335" t="s">
        <v>1762</v>
      </c>
      <c r="B852" s="335" t="s">
        <v>26</v>
      </c>
      <c r="C852" s="335" t="s">
        <v>27</v>
      </c>
      <c r="D852" s="335" t="s">
        <v>89</v>
      </c>
      <c r="E852" s="336" t="s">
        <v>90</v>
      </c>
      <c r="F852" s="336" t="s">
        <v>91</v>
      </c>
      <c r="G852" s="337">
        <v>0.1</v>
      </c>
      <c r="H852" s="338">
        <v>0.1</v>
      </c>
      <c r="I852" s="339">
        <v>3837.96</v>
      </c>
      <c r="J852" s="340">
        <v>422.17559999999997</v>
      </c>
      <c r="K852" s="335" t="s">
        <v>1767</v>
      </c>
      <c r="L852" s="335">
        <v>4</v>
      </c>
      <c r="M852" s="335" t="s">
        <v>1771</v>
      </c>
      <c r="N852" s="339">
        <v>15</v>
      </c>
      <c r="O852" s="341">
        <v>0.1</v>
      </c>
      <c r="P852" s="341" t="s">
        <v>25</v>
      </c>
      <c r="Q852" s="341">
        <v>0</v>
      </c>
      <c r="R852" s="342" t="s">
        <v>25</v>
      </c>
      <c r="S852" s="342" t="s">
        <v>25</v>
      </c>
    </row>
    <row r="853" spans="1:19" ht="14.25" customHeight="1" x14ac:dyDescent="0.3">
      <c r="A853" s="335" t="s">
        <v>1762</v>
      </c>
      <c r="B853" s="335" t="s">
        <v>26</v>
      </c>
      <c r="C853" s="335" t="s">
        <v>27</v>
      </c>
      <c r="D853" s="335" t="s">
        <v>114</v>
      </c>
      <c r="E853" s="336" t="s">
        <v>115</v>
      </c>
      <c r="F853" s="336" t="s">
        <v>35</v>
      </c>
      <c r="G853" s="337">
        <v>15</v>
      </c>
      <c r="H853" s="338">
        <v>0.05</v>
      </c>
      <c r="I853" s="339">
        <v>292.32</v>
      </c>
      <c r="J853" s="340">
        <v>4604.04</v>
      </c>
      <c r="K853" s="335" t="s">
        <v>1767</v>
      </c>
      <c r="L853" s="335">
        <v>5</v>
      </c>
      <c r="M853" s="335" t="s">
        <v>1772</v>
      </c>
      <c r="N853" s="339">
        <v>15</v>
      </c>
      <c r="O853" s="341">
        <v>15</v>
      </c>
      <c r="P853" s="341" t="s">
        <v>25</v>
      </c>
      <c r="Q853" s="341">
        <v>0</v>
      </c>
      <c r="R853" s="342" t="s">
        <v>25</v>
      </c>
      <c r="S853" s="342" t="s">
        <v>25</v>
      </c>
    </row>
    <row r="854" spans="1:19" ht="14.25" customHeight="1" x14ac:dyDescent="0.3">
      <c r="A854" s="335" t="s">
        <v>1762</v>
      </c>
      <c r="B854" s="335" t="s">
        <v>56</v>
      </c>
      <c r="C854" s="335" t="s">
        <v>57</v>
      </c>
      <c r="D854" s="343" t="s">
        <v>58</v>
      </c>
      <c r="E854" s="336" t="s">
        <v>59</v>
      </c>
      <c r="F854" s="336" t="s">
        <v>60</v>
      </c>
      <c r="G854" s="337">
        <v>1</v>
      </c>
      <c r="H854" s="338">
        <v>0</v>
      </c>
      <c r="I854" s="339">
        <v>60860.580776572002</v>
      </c>
      <c r="J854" s="340">
        <v>60860.580776572002</v>
      </c>
      <c r="K854" s="335" t="s">
        <v>1773</v>
      </c>
      <c r="L854" s="335">
        <v>1</v>
      </c>
      <c r="M854" s="335" t="s">
        <v>1774</v>
      </c>
      <c r="N854" s="339">
        <v>15</v>
      </c>
      <c r="O854" s="341">
        <v>6.6666666666666693E-2</v>
      </c>
      <c r="P854" s="341" t="s">
        <v>25</v>
      </c>
      <c r="Q854" s="341">
        <v>0</v>
      </c>
      <c r="R854" s="342" t="s">
        <v>25</v>
      </c>
      <c r="S854" s="342" t="s">
        <v>25</v>
      </c>
    </row>
    <row r="855" spans="1:19" ht="14.25" customHeight="1" x14ac:dyDescent="0.3">
      <c r="A855" s="335" t="s">
        <v>1762</v>
      </c>
      <c r="B855" s="335" t="s">
        <v>56</v>
      </c>
      <c r="C855" s="335" t="s">
        <v>57</v>
      </c>
      <c r="D855" s="343" t="s">
        <v>63</v>
      </c>
      <c r="E855" s="336" t="s">
        <v>64</v>
      </c>
      <c r="F855" s="336" t="s">
        <v>60</v>
      </c>
      <c r="G855" s="337">
        <v>1</v>
      </c>
      <c r="H855" s="338">
        <v>0</v>
      </c>
      <c r="I855" s="339">
        <v>85927.097156571996</v>
      </c>
      <c r="J855" s="340">
        <v>85927.097156571996</v>
      </c>
      <c r="K855" s="335" t="s">
        <v>1773</v>
      </c>
      <c r="L855" s="335">
        <v>2</v>
      </c>
      <c r="M855" s="335" t="s">
        <v>1775</v>
      </c>
      <c r="N855" s="339">
        <v>15</v>
      </c>
      <c r="O855" s="341">
        <v>6.6666666666666693E-2</v>
      </c>
      <c r="P855" s="341" t="s">
        <v>25</v>
      </c>
      <c r="Q855" s="341">
        <v>0</v>
      </c>
      <c r="R855" s="342" t="s">
        <v>25</v>
      </c>
      <c r="S855" s="342" t="s">
        <v>25</v>
      </c>
    </row>
    <row r="856" spans="1:19" ht="14.25" customHeight="1" x14ac:dyDescent="0.3">
      <c r="A856" s="335" t="s">
        <v>1776</v>
      </c>
      <c r="B856" s="335" t="s">
        <v>20</v>
      </c>
      <c r="C856" s="335"/>
      <c r="D856" s="335" t="s">
        <v>67</v>
      </c>
      <c r="E856" s="336" t="s">
        <v>68</v>
      </c>
      <c r="F856" s="336"/>
      <c r="G856" s="337">
        <v>0.5</v>
      </c>
      <c r="H856" s="338">
        <v>0</v>
      </c>
      <c r="I856" s="339">
        <v>571.17949098076099</v>
      </c>
      <c r="J856" s="340">
        <v>285.58974549038101</v>
      </c>
      <c r="K856" s="335" t="s">
        <v>1777</v>
      </c>
      <c r="L856" s="335">
        <v>1</v>
      </c>
      <c r="M856" s="335" t="s">
        <v>1778</v>
      </c>
      <c r="N856" s="339">
        <v>15</v>
      </c>
      <c r="O856" s="341">
        <v>0.5</v>
      </c>
      <c r="P856" s="341" t="s">
        <v>25</v>
      </c>
      <c r="Q856" s="341">
        <v>0</v>
      </c>
      <c r="R856" s="342" t="s">
        <v>25</v>
      </c>
      <c r="S856" s="342" t="s">
        <v>25</v>
      </c>
    </row>
    <row r="857" spans="1:19" ht="14.25" customHeight="1" x14ac:dyDescent="0.3">
      <c r="A857" s="335" t="s">
        <v>1776</v>
      </c>
      <c r="B857" s="335" t="s">
        <v>20</v>
      </c>
      <c r="C857" s="335"/>
      <c r="D857" s="335" t="s">
        <v>71</v>
      </c>
      <c r="E857" s="336" t="s">
        <v>72</v>
      </c>
      <c r="F857" s="336"/>
      <c r="G857" s="337">
        <v>1</v>
      </c>
      <c r="H857" s="338">
        <v>0</v>
      </c>
      <c r="I857" s="339">
        <v>2287.1357450968098</v>
      </c>
      <c r="J857" s="340">
        <v>2287.1357450968098</v>
      </c>
      <c r="K857" s="335" t="s">
        <v>1777</v>
      </c>
      <c r="L857" s="335">
        <v>2</v>
      </c>
      <c r="M857" s="335" t="s">
        <v>1779</v>
      </c>
      <c r="N857" s="339">
        <v>15</v>
      </c>
      <c r="O857" s="341">
        <v>1</v>
      </c>
      <c r="P857" s="341" t="s">
        <v>25</v>
      </c>
      <c r="Q857" s="341">
        <v>0</v>
      </c>
      <c r="R857" s="342" t="s">
        <v>25</v>
      </c>
      <c r="S857" s="342" t="s">
        <v>25</v>
      </c>
    </row>
    <row r="858" spans="1:19" ht="14.25" customHeight="1" x14ac:dyDescent="0.3">
      <c r="A858" s="335" t="s">
        <v>1776</v>
      </c>
      <c r="B858" s="335" t="s">
        <v>20</v>
      </c>
      <c r="C858" s="335"/>
      <c r="D858" s="335" t="s">
        <v>74</v>
      </c>
      <c r="E858" s="336" t="s">
        <v>75</v>
      </c>
      <c r="F858" s="336"/>
      <c r="G858" s="337">
        <v>1</v>
      </c>
      <c r="H858" s="338">
        <v>0</v>
      </c>
      <c r="I858" s="339">
        <v>957.25319614994703</v>
      </c>
      <c r="J858" s="340">
        <v>957.25319614994703</v>
      </c>
      <c r="K858" s="335" t="s">
        <v>1777</v>
      </c>
      <c r="L858" s="335">
        <v>3</v>
      </c>
      <c r="M858" s="335" t="s">
        <v>1780</v>
      </c>
      <c r="N858" s="339">
        <v>15</v>
      </c>
      <c r="O858" s="341">
        <v>1</v>
      </c>
      <c r="P858" s="341" t="s">
        <v>25</v>
      </c>
      <c r="Q858" s="341">
        <v>0</v>
      </c>
      <c r="R858" s="342" t="s">
        <v>25</v>
      </c>
      <c r="S858" s="342" t="s">
        <v>25</v>
      </c>
    </row>
    <row r="859" spans="1:19" ht="14.25" customHeight="1" x14ac:dyDescent="0.3">
      <c r="A859" s="335" t="s">
        <v>1776</v>
      </c>
      <c r="B859" s="335" t="s">
        <v>26</v>
      </c>
      <c r="C859" s="335" t="s">
        <v>27</v>
      </c>
      <c r="D859" s="335" t="s">
        <v>77</v>
      </c>
      <c r="E859" s="336" t="s">
        <v>78</v>
      </c>
      <c r="F859" s="336" t="s">
        <v>35</v>
      </c>
      <c r="G859" s="337">
        <v>0.17</v>
      </c>
      <c r="H859" s="338">
        <v>0.1</v>
      </c>
      <c r="I859" s="339">
        <v>3424.53</v>
      </c>
      <c r="J859" s="340">
        <v>640.38711000000001</v>
      </c>
      <c r="K859" s="335" t="s">
        <v>1781</v>
      </c>
      <c r="L859" s="335">
        <v>1</v>
      </c>
      <c r="M859" s="335" t="s">
        <v>1782</v>
      </c>
      <c r="N859" s="339">
        <v>15</v>
      </c>
      <c r="O859" s="341">
        <v>0.17</v>
      </c>
      <c r="P859" s="341" t="s">
        <v>25</v>
      </c>
      <c r="Q859" s="341">
        <v>0</v>
      </c>
      <c r="R859" s="342" t="s">
        <v>25</v>
      </c>
      <c r="S859" s="342" t="s">
        <v>25</v>
      </c>
    </row>
    <row r="860" spans="1:19" ht="14.25" customHeight="1" x14ac:dyDescent="0.3">
      <c r="A860" s="335" t="s">
        <v>1776</v>
      </c>
      <c r="B860" s="335" t="s">
        <v>26</v>
      </c>
      <c r="C860" s="335" t="s">
        <v>27</v>
      </c>
      <c r="D860" s="335" t="s">
        <v>81</v>
      </c>
      <c r="E860" s="336" t="s">
        <v>82</v>
      </c>
      <c r="F860" s="336" t="s">
        <v>83</v>
      </c>
      <c r="G860" s="337">
        <v>1.7999999999999999E-2</v>
      </c>
      <c r="H860" s="338">
        <v>0.1</v>
      </c>
      <c r="I860" s="339">
        <v>32399.77</v>
      </c>
      <c r="J860" s="340">
        <v>641.515446</v>
      </c>
      <c r="K860" s="335" t="s">
        <v>1781</v>
      </c>
      <c r="L860" s="335">
        <v>2</v>
      </c>
      <c r="M860" s="335" t="s">
        <v>1783</v>
      </c>
      <c r="N860" s="339">
        <v>15</v>
      </c>
      <c r="O860" s="341">
        <v>1.7999999999999999E-2</v>
      </c>
      <c r="P860" s="341" t="s">
        <v>25</v>
      </c>
      <c r="Q860" s="341">
        <v>0</v>
      </c>
      <c r="R860" s="342" t="s">
        <v>25</v>
      </c>
      <c r="S860" s="342" t="s">
        <v>25</v>
      </c>
    </row>
    <row r="861" spans="1:19" ht="14.25" customHeight="1" x14ac:dyDescent="0.3">
      <c r="A861" s="335" t="s">
        <v>1776</v>
      </c>
      <c r="B861" s="335" t="s">
        <v>26</v>
      </c>
      <c r="C861" s="335" t="s">
        <v>27</v>
      </c>
      <c r="D861" s="335" t="s">
        <v>85</v>
      </c>
      <c r="E861" s="336" t="s">
        <v>86</v>
      </c>
      <c r="F861" s="336" t="s">
        <v>87</v>
      </c>
      <c r="G861" s="337">
        <v>7.4999999999999997E-2</v>
      </c>
      <c r="H861" s="338">
        <v>0.1</v>
      </c>
      <c r="I861" s="339">
        <v>7809.48</v>
      </c>
      <c r="J861" s="340">
        <v>644.28210000000001</v>
      </c>
      <c r="K861" s="335" t="s">
        <v>1781</v>
      </c>
      <c r="L861" s="335">
        <v>3</v>
      </c>
      <c r="M861" s="335" t="s">
        <v>1784</v>
      </c>
      <c r="N861" s="339">
        <v>15</v>
      </c>
      <c r="O861" s="341">
        <v>7.4999999999999997E-2</v>
      </c>
      <c r="P861" s="341" t="s">
        <v>25</v>
      </c>
      <c r="Q861" s="341">
        <v>0</v>
      </c>
      <c r="R861" s="342" t="s">
        <v>25</v>
      </c>
      <c r="S861" s="342" t="s">
        <v>25</v>
      </c>
    </row>
    <row r="862" spans="1:19" ht="14.25" customHeight="1" x14ac:dyDescent="0.3">
      <c r="A862" s="335" t="s">
        <v>1776</v>
      </c>
      <c r="B862" s="335" t="s">
        <v>26</v>
      </c>
      <c r="C862" s="335" t="s">
        <v>27</v>
      </c>
      <c r="D862" s="335" t="s">
        <v>89</v>
      </c>
      <c r="E862" s="336" t="s">
        <v>90</v>
      </c>
      <c r="F862" s="336" t="s">
        <v>91</v>
      </c>
      <c r="G862" s="337">
        <v>0.15</v>
      </c>
      <c r="H862" s="338">
        <v>0.1</v>
      </c>
      <c r="I862" s="339">
        <v>3837.96</v>
      </c>
      <c r="J862" s="340">
        <v>633.26340000000005</v>
      </c>
      <c r="K862" s="335" t="s">
        <v>1781</v>
      </c>
      <c r="L862" s="335">
        <v>4</v>
      </c>
      <c r="M862" s="335" t="s">
        <v>1785</v>
      </c>
      <c r="N862" s="339">
        <v>15</v>
      </c>
      <c r="O862" s="341">
        <v>0.15</v>
      </c>
      <c r="P862" s="341" t="s">
        <v>25</v>
      </c>
      <c r="Q862" s="341">
        <v>0</v>
      </c>
      <c r="R862" s="342" t="s">
        <v>25</v>
      </c>
      <c r="S862" s="342" t="s">
        <v>25</v>
      </c>
    </row>
    <row r="863" spans="1:19" ht="14.25" customHeight="1" x14ac:dyDescent="0.3">
      <c r="A863" s="335" t="s">
        <v>1776</v>
      </c>
      <c r="B863" s="335" t="s">
        <v>26</v>
      </c>
      <c r="C863" s="335" t="s">
        <v>27</v>
      </c>
      <c r="D863" s="335" t="s">
        <v>131</v>
      </c>
      <c r="E863" s="336" t="s">
        <v>132</v>
      </c>
      <c r="F863" s="336" t="s">
        <v>35</v>
      </c>
      <c r="G863" s="337">
        <v>15</v>
      </c>
      <c r="H863" s="338">
        <v>0.05</v>
      </c>
      <c r="I863" s="339">
        <v>365.4</v>
      </c>
      <c r="J863" s="340">
        <v>5755.05</v>
      </c>
      <c r="K863" s="335" t="s">
        <v>1781</v>
      </c>
      <c r="L863" s="335">
        <v>5</v>
      </c>
      <c r="M863" s="335" t="s">
        <v>1786</v>
      </c>
      <c r="N863" s="339">
        <v>15</v>
      </c>
      <c r="O863" s="341">
        <v>15</v>
      </c>
      <c r="P863" s="341" t="s">
        <v>25</v>
      </c>
      <c r="Q863" s="341">
        <v>0</v>
      </c>
      <c r="R863" s="342" t="s">
        <v>25</v>
      </c>
      <c r="S863" s="342" t="s">
        <v>25</v>
      </c>
    </row>
    <row r="864" spans="1:19" ht="14.25" customHeight="1" x14ac:dyDescent="0.3">
      <c r="A864" s="335" t="s">
        <v>1776</v>
      </c>
      <c r="B864" s="335" t="s">
        <v>56</v>
      </c>
      <c r="C864" s="335" t="s">
        <v>57</v>
      </c>
      <c r="D864" s="343" t="s">
        <v>58</v>
      </c>
      <c r="E864" s="336" t="s">
        <v>59</v>
      </c>
      <c r="F864" s="336" t="s">
        <v>60</v>
      </c>
      <c r="G864" s="337">
        <v>1</v>
      </c>
      <c r="H864" s="338">
        <v>0</v>
      </c>
      <c r="I864" s="339">
        <v>60860.580776572002</v>
      </c>
      <c r="J864" s="340">
        <v>60860.580776572002</v>
      </c>
      <c r="K864" s="335" t="s">
        <v>1787</v>
      </c>
      <c r="L864" s="335">
        <v>1</v>
      </c>
      <c r="M864" s="335" t="s">
        <v>1788</v>
      </c>
      <c r="N864" s="339">
        <v>15</v>
      </c>
      <c r="O864" s="341">
        <v>6.6666666666666693E-2</v>
      </c>
      <c r="P864" s="341" t="s">
        <v>25</v>
      </c>
      <c r="Q864" s="341">
        <v>0</v>
      </c>
      <c r="R864" s="342" t="s">
        <v>25</v>
      </c>
      <c r="S864" s="342" t="s">
        <v>25</v>
      </c>
    </row>
    <row r="865" spans="1:19" ht="14.25" customHeight="1" x14ac:dyDescent="0.3">
      <c r="A865" s="335" t="s">
        <v>1776</v>
      </c>
      <c r="B865" s="335" t="s">
        <v>56</v>
      </c>
      <c r="C865" s="335" t="s">
        <v>57</v>
      </c>
      <c r="D865" s="343" t="s">
        <v>63</v>
      </c>
      <c r="E865" s="336" t="s">
        <v>64</v>
      </c>
      <c r="F865" s="336" t="s">
        <v>60</v>
      </c>
      <c r="G865" s="337">
        <v>1</v>
      </c>
      <c r="H865" s="338">
        <v>0</v>
      </c>
      <c r="I865" s="339">
        <v>85927.097156571996</v>
      </c>
      <c r="J865" s="340">
        <v>85927.097156571996</v>
      </c>
      <c r="K865" s="335" t="s">
        <v>1787</v>
      </c>
      <c r="L865" s="335">
        <v>2</v>
      </c>
      <c r="M865" s="335" t="s">
        <v>1789</v>
      </c>
      <c r="N865" s="339">
        <v>15</v>
      </c>
      <c r="O865" s="341">
        <v>6.6666666666666693E-2</v>
      </c>
      <c r="P865" s="341" t="s">
        <v>25</v>
      </c>
      <c r="Q865" s="341">
        <v>0</v>
      </c>
      <c r="R865" s="342" t="s">
        <v>25</v>
      </c>
      <c r="S865" s="342" t="s">
        <v>25</v>
      </c>
    </row>
    <row r="866" spans="1:19" ht="14.25" customHeight="1" x14ac:dyDescent="0.3">
      <c r="A866" s="335" t="s">
        <v>1790</v>
      </c>
      <c r="B866" s="335" t="s">
        <v>20</v>
      </c>
      <c r="C866" s="335"/>
      <c r="D866" s="335" t="s">
        <v>67</v>
      </c>
      <c r="E866" s="336" t="s">
        <v>68</v>
      </c>
      <c r="F866" s="336"/>
      <c r="G866" s="337">
        <v>0.5</v>
      </c>
      <c r="H866" s="338">
        <v>0</v>
      </c>
      <c r="I866" s="339">
        <v>571.17949098076099</v>
      </c>
      <c r="J866" s="340">
        <v>285.58974549038101</v>
      </c>
      <c r="K866" s="335" t="s">
        <v>1791</v>
      </c>
      <c r="L866" s="335">
        <v>1</v>
      </c>
      <c r="M866" s="335" t="s">
        <v>1792</v>
      </c>
      <c r="N866" s="339">
        <v>7</v>
      </c>
      <c r="O866" s="341">
        <v>0.5</v>
      </c>
      <c r="P866" s="341">
        <v>56</v>
      </c>
      <c r="Q866" s="341">
        <v>28</v>
      </c>
      <c r="R866" s="342">
        <v>4.03</v>
      </c>
      <c r="S866" s="342" t="s">
        <v>106</v>
      </c>
    </row>
    <row r="867" spans="1:19" ht="14.25" customHeight="1" x14ac:dyDescent="0.3">
      <c r="A867" s="335" t="s">
        <v>1790</v>
      </c>
      <c r="B867" s="335" t="s">
        <v>20</v>
      </c>
      <c r="C867" s="335"/>
      <c r="D867" s="335" t="s">
        <v>71</v>
      </c>
      <c r="E867" s="336" t="s">
        <v>72</v>
      </c>
      <c r="F867" s="336"/>
      <c r="G867" s="337">
        <v>1</v>
      </c>
      <c r="H867" s="338">
        <v>0</v>
      </c>
      <c r="I867" s="339">
        <v>2287.1357450968098</v>
      </c>
      <c r="J867" s="340">
        <v>2287.1357450968098</v>
      </c>
      <c r="K867" s="335" t="s">
        <v>1791</v>
      </c>
      <c r="L867" s="335">
        <v>2</v>
      </c>
      <c r="M867" s="335" t="s">
        <v>1793</v>
      </c>
      <c r="N867" s="339">
        <v>7</v>
      </c>
      <c r="O867" s="341">
        <v>1</v>
      </c>
      <c r="P867" s="341">
        <v>56</v>
      </c>
      <c r="Q867" s="341">
        <v>56</v>
      </c>
      <c r="R867" s="342">
        <v>4.03</v>
      </c>
      <c r="S867" s="342" t="s">
        <v>106</v>
      </c>
    </row>
    <row r="868" spans="1:19" ht="14.25" customHeight="1" x14ac:dyDescent="0.3">
      <c r="A868" s="335" t="s">
        <v>1790</v>
      </c>
      <c r="B868" s="335" t="s">
        <v>20</v>
      </c>
      <c r="C868" s="335"/>
      <c r="D868" s="335" t="s">
        <v>74</v>
      </c>
      <c r="E868" s="336" t="s">
        <v>75</v>
      </c>
      <c r="F868" s="336"/>
      <c r="G868" s="337">
        <v>1</v>
      </c>
      <c r="H868" s="338">
        <v>0</v>
      </c>
      <c r="I868" s="339">
        <v>957.25319614994703</v>
      </c>
      <c r="J868" s="340">
        <v>957.25319614994703</v>
      </c>
      <c r="K868" s="335" t="s">
        <v>1791</v>
      </c>
      <c r="L868" s="335">
        <v>3</v>
      </c>
      <c r="M868" s="335" t="s">
        <v>1794</v>
      </c>
      <c r="N868" s="339">
        <v>7</v>
      </c>
      <c r="O868" s="341">
        <v>1</v>
      </c>
      <c r="P868" s="341">
        <v>56</v>
      </c>
      <c r="Q868" s="341">
        <v>56</v>
      </c>
      <c r="R868" s="342">
        <v>4.03</v>
      </c>
      <c r="S868" s="342" t="s">
        <v>106</v>
      </c>
    </row>
    <row r="869" spans="1:19" ht="14.25" customHeight="1" x14ac:dyDescent="0.3">
      <c r="A869" s="335" t="s">
        <v>1790</v>
      </c>
      <c r="B869" s="335" t="s">
        <v>26</v>
      </c>
      <c r="C869" s="335" t="s">
        <v>27</v>
      </c>
      <c r="D869" s="335" t="s">
        <v>77</v>
      </c>
      <c r="E869" s="336" t="s">
        <v>78</v>
      </c>
      <c r="F869" s="336" t="s">
        <v>35</v>
      </c>
      <c r="G869" s="337">
        <v>8.5000000000000006E-2</v>
      </c>
      <c r="H869" s="338">
        <v>0.1</v>
      </c>
      <c r="I869" s="339">
        <v>3424.53</v>
      </c>
      <c r="J869" s="340">
        <v>320.193555</v>
      </c>
      <c r="K869" s="335" t="s">
        <v>1795</v>
      </c>
      <c r="L869" s="335">
        <v>1</v>
      </c>
      <c r="M869" s="335" t="s">
        <v>1796</v>
      </c>
      <c r="N869" s="339">
        <v>7</v>
      </c>
      <c r="O869" s="341">
        <v>8.5000000000000006E-2</v>
      </c>
      <c r="P869" s="341">
        <v>56</v>
      </c>
      <c r="Q869" s="341">
        <v>4.76</v>
      </c>
      <c r="R869" s="342">
        <v>4.03</v>
      </c>
      <c r="S869" s="342" t="s">
        <v>106</v>
      </c>
    </row>
    <row r="870" spans="1:19" ht="14.25" customHeight="1" x14ac:dyDescent="0.3">
      <c r="A870" s="335" t="s">
        <v>1790</v>
      </c>
      <c r="B870" s="335" t="s">
        <v>26</v>
      </c>
      <c r="C870" s="335" t="s">
        <v>27</v>
      </c>
      <c r="D870" s="335" t="s">
        <v>81</v>
      </c>
      <c r="E870" s="336" t="s">
        <v>82</v>
      </c>
      <c r="F870" s="336" t="s">
        <v>83</v>
      </c>
      <c r="G870" s="337">
        <v>1.7500000000000002E-2</v>
      </c>
      <c r="H870" s="338">
        <v>0.1</v>
      </c>
      <c r="I870" s="339">
        <v>32399.77</v>
      </c>
      <c r="J870" s="340">
        <v>623.69557250000003</v>
      </c>
      <c r="K870" s="335" t="s">
        <v>1795</v>
      </c>
      <c r="L870" s="335">
        <v>2</v>
      </c>
      <c r="M870" s="335" t="s">
        <v>1797</v>
      </c>
      <c r="N870" s="339">
        <v>7</v>
      </c>
      <c r="O870" s="341">
        <v>1.7500000000000002E-2</v>
      </c>
      <c r="P870" s="341">
        <v>56</v>
      </c>
      <c r="Q870" s="341">
        <v>0.98</v>
      </c>
      <c r="R870" s="342">
        <v>4.03</v>
      </c>
      <c r="S870" s="342" t="s">
        <v>106</v>
      </c>
    </row>
    <row r="871" spans="1:19" ht="14.25" customHeight="1" x14ac:dyDescent="0.3">
      <c r="A871" s="335" t="s">
        <v>1790</v>
      </c>
      <c r="B871" s="335" t="s">
        <v>26</v>
      </c>
      <c r="C871" s="335" t="s">
        <v>27</v>
      </c>
      <c r="D871" s="335" t="s">
        <v>85</v>
      </c>
      <c r="E871" s="336" t="s">
        <v>86</v>
      </c>
      <c r="F871" s="336" t="s">
        <v>87</v>
      </c>
      <c r="G871" s="337">
        <v>7.4999999999999997E-2</v>
      </c>
      <c r="H871" s="338">
        <v>0.1</v>
      </c>
      <c r="I871" s="339">
        <v>7809.48</v>
      </c>
      <c r="J871" s="340">
        <v>644.28210000000001</v>
      </c>
      <c r="K871" s="335" t="s">
        <v>1795</v>
      </c>
      <c r="L871" s="335">
        <v>3</v>
      </c>
      <c r="M871" s="335" t="s">
        <v>1798</v>
      </c>
      <c r="N871" s="339">
        <v>7</v>
      </c>
      <c r="O871" s="341">
        <v>7.4999999999999997E-2</v>
      </c>
      <c r="P871" s="341">
        <v>56</v>
      </c>
      <c r="Q871" s="341">
        <v>4.2</v>
      </c>
      <c r="R871" s="342">
        <v>4.03</v>
      </c>
      <c r="S871" s="342" t="s">
        <v>106</v>
      </c>
    </row>
    <row r="872" spans="1:19" ht="14.25" customHeight="1" x14ac:dyDescent="0.3">
      <c r="A872" s="335" t="s">
        <v>1790</v>
      </c>
      <c r="B872" s="335" t="s">
        <v>26</v>
      </c>
      <c r="C872" s="335" t="s">
        <v>27</v>
      </c>
      <c r="D872" s="335" t="s">
        <v>89</v>
      </c>
      <c r="E872" s="336" t="s">
        <v>90</v>
      </c>
      <c r="F872" s="336" t="s">
        <v>91</v>
      </c>
      <c r="G872" s="337">
        <v>0.15</v>
      </c>
      <c r="H872" s="338">
        <v>0.1</v>
      </c>
      <c r="I872" s="339">
        <v>3837.96</v>
      </c>
      <c r="J872" s="340">
        <v>633.26340000000005</v>
      </c>
      <c r="K872" s="335" t="s">
        <v>1795</v>
      </c>
      <c r="L872" s="335">
        <v>4</v>
      </c>
      <c r="M872" s="335" t="s">
        <v>1799</v>
      </c>
      <c r="N872" s="339">
        <v>7</v>
      </c>
      <c r="O872" s="341">
        <v>0.15</v>
      </c>
      <c r="P872" s="341">
        <v>56</v>
      </c>
      <c r="Q872" s="341">
        <v>8.4</v>
      </c>
      <c r="R872" s="342">
        <v>4.03</v>
      </c>
      <c r="S872" s="342" t="s">
        <v>106</v>
      </c>
    </row>
    <row r="873" spans="1:19" ht="14.25" customHeight="1" x14ac:dyDescent="0.3">
      <c r="A873" s="335" t="s">
        <v>1790</v>
      </c>
      <c r="B873" s="335" t="s">
        <v>26</v>
      </c>
      <c r="C873" s="335" t="s">
        <v>27</v>
      </c>
      <c r="D873" s="335" t="s">
        <v>93</v>
      </c>
      <c r="E873" s="336" t="s">
        <v>94</v>
      </c>
      <c r="F873" s="336" t="s">
        <v>35</v>
      </c>
      <c r="G873" s="337">
        <v>30</v>
      </c>
      <c r="H873" s="338">
        <v>0.05</v>
      </c>
      <c r="I873" s="339">
        <v>132.30000000000001</v>
      </c>
      <c r="J873" s="340">
        <v>4167.45</v>
      </c>
      <c r="K873" s="335" t="s">
        <v>1795</v>
      </c>
      <c r="L873" s="335">
        <v>5</v>
      </c>
      <c r="M873" s="335" t="s">
        <v>1800</v>
      </c>
      <c r="N873" s="339">
        <v>7</v>
      </c>
      <c r="O873" s="341">
        <v>30</v>
      </c>
      <c r="P873" s="341">
        <v>56</v>
      </c>
      <c r="Q873" s="341">
        <v>1680</v>
      </c>
      <c r="R873" s="342">
        <v>4.03</v>
      </c>
      <c r="S873" s="342" t="s">
        <v>106</v>
      </c>
    </row>
    <row r="874" spans="1:19" ht="14.25" customHeight="1" x14ac:dyDescent="0.3">
      <c r="A874" s="335" t="s">
        <v>1790</v>
      </c>
      <c r="B874" s="335" t="s">
        <v>26</v>
      </c>
      <c r="C874" s="335" t="s">
        <v>27</v>
      </c>
      <c r="D874" s="335" t="s">
        <v>96</v>
      </c>
      <c r="E874" s="336" t="s">
        <v>97</v>
      </c>
      <c r="F874" s="336" t="s">
        <v>98</v>
      </c>
      <c r="G874" s="337">
        <v>65.805511663250002</v>
      </c>
      <c r="H874" s="338">
        <v>0</v>
      </c>
      <c r="I874" s="339">
        <v>1</v>
      </c>
      <c r="J874" s="340">
        <v>65.805511663250002</v>
      </c>
      <c r="K874" s="335" t="s">
        <v>1795</v>
      </c>
      <c r="L874" s="335">
        <v>6</v>
      </c>
      <c r="M874" s="335" t="s">
        <v>1801</v>
      </c>
      <c r="N874" s="339">
        <v>7</v>
      </c>
      <c r="O874" s="341">
        <v>65.805511663250002</v>
      </c>
      <c r="P874" s="341">
        <v>56</v>
      </c>
      <c r="Q874" s="341">
        <v>3685.1086531420001</v>
      </c>
      <c r="R874" s="342">
        <v>4.03</v>
      </c>
      <c r="S874" s="342" t="s">
        <v>106</v>
      </c>
    </row>
    <row r="875" spans="1:19" ht="14.25" customHeight="1" x14ac:dyDescent="0.3">
      <c r="A875" s="335" t="s">
        <v>1790</v>
      </c>
      <c r="B875" s="335" t="s">
        <v>56</v>
      </c>
      <c r="C875" s="335" t="s">
        <v>57</v>
      </c>
      <c r="D875" s="343" t="s">
        <v>58</v>
      </c>
      <c r="E875" s="336" t="s">
        <v>59</v>
      </c>
      <c r="F875" s="336" t="s">
        <v>60</v>
      </c>
      <c r="G875" s="337">
        <v>0.5</v>
      </c>
      <c r="H875" s="338">
        <v>0</v>
      </c>
      <c r="I875" s="339">
        <v>60860.580776572002</v>
      </c>
      <c r="J875" s="340">
        <v>30430.290388286001</v>
      </c>
      <c r="K875" s="335" t="s">
        <v>1802</v>
      </c>
      <c r="L875" s="335">
        <v>1</v>
      </c>
      <c r="M875" s="335" t="s">
        <v>1803</v>
      </c>
      <c r="N875" s="339">
        <v>7</v>
      </c>
      <c r="O875" s="341">
        <v>7.1428571428571397E-2</v>
      </c>
      <c r="P875" s="341">
        <v>56</v>
      </c>
      <c r="Q875" s="341">
        <v>4</v>
      </c>
      <c r="R875" s="342">
        <v>4.03</v>
      </c>
      <c r="S875" s="342" t="s">
        <v>106</v>
      </c>
    </row>
    <row r="876" spans="1:19" ht="14.25" customHeight="1" x14ac:dyDescent="0.3">
      <c r="A876" s="335" t="s">
        <v>1790</v>
      </c>
      <c r="B876" s="335" t="s">
        <v>56</v>
      </c>
      <c r="C876" s="335" t="s">
        <v>57</v>
      </c>
      <c r="D876" s="343" t="s">
        <v>63</v>
      </c>
      <c r="E876" s="336" t="s">
        <v>64</v>
      </c>
      <c r="F876" s="336" t="s">
        <v>60</v>
      </c>
      <c r="G876" s="337">
        <v>0.5</v>
      </c>
      <c r="H876" s="338">
        <v>0</v>
      </c>
      <c r="I876" s="339">
        <v>85927.097156571996</v>
      </c>
      <c r="J876" s="340">
        <v>42963.548578285998</v>
      </c>
      <c r="K876" s="335" t="s">
        <v>1802</v>
      </c>
      <c r="L876" s="335">
        <v>2</v>
      </c>
      <c r="M876" s="335" t="s">
        <v>1804</v>
      </c>
      <c r="N876" s="339">
        <v>7</v>
      </c>
      <c r="O876" s="341">
        <v>7.1428571428571397E-2</v>
      </c>
      <c r="P876" s="341">
        <v>56</v>
      </c>
      <c r="Q876" s="341">
        <v>4</v>
      </c>
      <c r="R876" s="342">
        <v>4.03</v>
      </c>
      <c r="S876" s="342" t="s">
        <v>106</v>
      </c>
    </row>
    <row r="877" spans="1:19" ht="14.25" customHeight="1" x14ac:dyDescent="0.3">
      <c r="A877" s="335" t="s">
        <v>1805</v>
      </c>
      <c r="B877" s="335" t="s">
        <v>20</v>
      </c>
      <c r="C877" s="335"/>
      <c r="D877" s="335" t="s">
        <v>67</v>
      </c>
      <c r="E877" s="336" t="s">
        <v>68</v>
      </c>
      <c r="F877" s="336"/>
      <c r="G877" s="337">
        <v>0.5</v>
      </c>
      <c r="H877" s="338">
        <v>0</v>
      </c>
      <c r="I877" s="339">
        <v>571.17949098076099</v>
      </c>
      <c r="J877" s="340">
        <v>285.58974549038101</v>
      </c>
      <c r="K877" s="335" t="s">
        <v>1806</v>
      </c>
      <c r="L877" s="335">
        <v>1</v>
      </c>
      <c r="M877" s="335" t="s">
        <v>1807</v>
      </c>
      <c r="N877" s="339">
        <v>15</v>
      </c>
      <c r="O877" s="341">
        <v>0.5</v>
      </c>
      <c r="P877" s="341" t="s">
        <v>25</v>
      </c>
      <c r="Q877" s="341">
        <v>0</v>
      </c>
      <c r="R877" s="342" t="s">
        <v>25</v>
      </c>
      <c r="S877" s="342" t="s">
        <v>25</v>
      </c>
    </row>
    <row r="878" spans="1:19" ht="14.25" customHeight="1" x14ac:dyDescent="0.3">
      <c r="A878" s="335" t="s">
        <v>1805</v>
      </c>
      <c r="B878" s="335" t="s">
        <v>20</v>
      </c>
      <c r="C878" s="335"/>
      <c r="D878" s="335" t="s">
        <v>71</v>
      </c>
      <c r="E878" s="336" t="s">
        <v>72</v>
      </c>
      <c r="F878" s="336"/>
      <c r="G878" s="337">
        <v>1</v>
      </c>
      <c r="H878" s="338">
        <v>0</v>
      </c>
      <c r="I878" s="339">
        <v>2287.1357450968098</v>
      </c>
      <c r="J878" s="340">
        <v>2287.1357450968098</v>
      </c>
      <c r="K878" s="335" t="s">
        <v>1806</v>
      </c>
      <c r="L878" s="335">
        <v>2</v>
      </c>
      <c r="M878" s="335" t="s">
        <v>1808</v>
      </c>
      <c r="N878" s="339">
        <v>15</v>
      </c>
      <c r="O878" s="341">
        <v>1</v>
      </c>
      <c r="P878" s="341" t="s">
        <v>25</v>
      </c>
      <c r="Q878" s="341">
        <v>0</v>
      </c>
      <c r="R878" s="342" t="s">
        <v>25</v>
      </c>
      <c r="S878" s="342" t="s">
        <v>25</v>
      </c>
    </row>
    <row r="879" spans="1:19" ht="14.25" customHeight="1" x14ac:dyDescent="0.3">
      <c r="A879" s="335" t="s">
        <v>1805</v>
      </c>
      <c r="B879" s="335" t="s">
        <v>20</v>
      </c>
      <c r="C879" s="335"/>
      <c r="D879" s="335" t="s">
        <v>74</v>
      </c>
      <c r="E879" s="336" t="s">
        <v>75</v>
      </c>
      <c r="F879" s="336"/>
      <c r="G879" s="337">
        <v>1</v>
      </c>
      <c r="H879" s="338">
        <v>0</v>
      </c>
      <c r="I879" s="339">
        <v>957.25319614994703</v>
      </c>
      <c r="J879" s="340">
        <v>957.25319614994703</v>
      </c>
      <c r="K879" s="335" t="s">
        <v>1806</v>
      </c>
      <c r="L879" s="335">
        <v>3</v>
      </c>
      <c r="M879" s="335" t="s">
        <v>1809</v>
      </c>
      <c r="N879" s="339">
        <v>15</v>
      </c>
      <c r="O879" s="341">
        <v>1</v>
      </c>
      <c r="P879" s="341" t="s">
        <v>25</v>
      </c>
      <c r="Q879" s="341">
        <v>0</v>
      </c>
      <c r="R879" s="342" t="s">
        <v>25</v>
      </c>
      <c r="S879" s="342" t="s">
        <v>25</v>
      </c>
    </row>
    <row r="880" spans="1:19" ht="14.25" customHeight="1" x14ac:dyDescent="0.3">
      <c r="A880" s="335" t="s">
        <v>1805</v>
      </c>
      <c r="B880" s="335" t="s">
        <v>26</v>
      </c>
      <c r="C880" s="335" t="s">
        <v>27</v>
      </c>
      <c r="D880" s="335" t="s">
        <v>77</v>
      </c>
      <c r="E880" s="336" t="s">
        <v>78</v>
      </c>
      <c r="F880" s="336" t="s">
        <v>35</v>
      </c>
      <c r="G880" s="337">
        <v>0.17</v>
      </c>
      <c r="H880" s="338">
        <v>0.1</v>
      </c>
      <c r="I880" s="339">
        <v>3424.53</v>
      </c>
      <c r="J880" s="340">
        <v>640.38711000000001</v>
      </c>
      <c r="K880" s="335" t="s">
        <v>1810</v>
      </c>
      <c r="L880" s="335">
        <v>1</v>
      </c>
      <c r="M880" s="335" t="s">
        <v>1811</v>
      </c>
      <c r="N880" s="339">
        <v>15</v>
      </c>
      <c r="O880" s="341">
        <v>0.17</v>
      </c>
      <c r="P880" s="341" t="s">
        <v>25</v>
      </c>
      <c r="Q880" s="341">
        <v>0</v>
      </c>
      <c r="R880" s="342" t="s">
        <v>25</v>
      </c>
      <c r="S880" s="342" t="s">
        <v>25</v>
      </c>
    </row>
    <row r="881" spans="1:19" ht="14.25" customHeight="1" x14ac:dyDescent="0.3">
      <c r="A881" s="335" t="s">
        <v>1805</v>
      </c>
      <c r="B881" s="335" t="s">
        <v>26</v>
      </c>
      <c r="C881" s="335" t="s">
        <v>27</v>
      </c>
      <c r="D881" s="335" t="s">
        <v>81</v>
      </c>
      <c r="E881" s="336" t="s">
        <v>82</v>
      </c>
      <c r="F881" s="336" t="s">
        <v>83</v>
      </c>
      <c r="G881" s="337">
        <v>1.7999999999999999E-2</v>
      </c>
      <c r="H881" s="338">
        <v>0.1</v>
      </c>
      <c r="I881" s="339">
        <v>32399.77</v>
      </c>
      <c r="J881" s="340">
        <v>641.515446</v>
      </c>
      <c r="K881" s="335" t="s">
        <v>1810</v>
      </c>
      <c r="L881" s="335">
        <v>2</v>
      </c>
      <c r="M881" s="335" t="s">
        <v>1812</v>
      </c>
      <c r="N881" s="339">
        <v>15</v>
      </c>
      <c r="O881" s="341">
        <v>1.7999999999999999E-2</v>
      </c>
      <c r="P881" s="341" t="s">
        <v>25</v>
      </c>
      <c r="Q881" s="341">
        <v>0</v>
      </c>
      <c r="R881" s="342" t="s">
        <v>25</v>
      </c>
      <c r="S881" s="342" t="s">
        <v>25</v>
      </c>
    </row>
    <row r="882" spans="1:19" ht="14.25" customHeight="1" x14ac:dyDescent="0.3">
      <c r="A882" s="335" t="s">
        <v>1805</v>
      </c>
      <c r="B882" s="335" t="s">
        <v>26</v>
      </c>
      <c r="C882" s="335" t="s">
        <v>27</v>
      </c>
      <c r="D882" s="335" t="s">
        <v>85</v>
      </c>
      <c r="E882" s="336" t="s">
        <v>86</v>
      </c>
      <c r="F882" s="336" t="s">
        <v>87</v>
      </c>
      <c r="G882" s="337">
        <v>7.4999999999999997E-2</v>
      </c>
      <c r="H882" s="338">
        <v>0.1</v>
      </c>
      <c r="I882" s="339">
        <v>7809.48</v>
      </c>
      <c r="J882" s="340">
        <v>644.28210000000001</v>
      </c>
      <c r="K882" s="335" t="s">
        <v>1810</v>
      </c>
      <c r="L882" s="335">
        <v>3</v>
      </c>
      <c r="M882" s="335" t="s">
        <v>1813</v>
      </c>
      <c r="N882" s="339">
        <v>15</v>
      </c>
      <c r="O882" s="341">
        <v>7.4999999999999997E-2</v>
      </c>
      <c r="P882" s="341" t="s">
        <v>25</v>
      </c>
      <c r="Q882" s="341">
        <v>0</v>
      </c>
      <c r="R882" s="342" t="s">
        <v>25</v>
      </c>
      <c r="S882" s="342" t="s">
        <v>25</v>
      </c>
    </row>
    <row r="883" spans="1:19" ht="14.25" customHeight="1" x14ac:dyDescent="0.3">
      <c r="A883" s="335" t="s">
        <v>1805</v>
      </c>
      <c r="B883" s="335" t="s">
        <v>26</v>
      </c>
      <c r="C883" s="335" t="s">
        <v>27</v>
      </c>
      <c r="D883" s="335" t="s">
        <v>89</v>
      </c>
      <c r="E883" s="336" t="s">
        <v>90</v>
      </c>
      <c r="F883" s="336" t="s">
        <v>91</v>
      </c>
      <c r="G883" s="337">
        <v>0.15</v>
      </c>
      <c r="H883" s="338">
        <v>0.1</v>
      </c>
      <c r="I883" s="339">
        <v>3837.96</v>
      </c>
      <c r="J883" s="340">
        <v>633.26340000000005</v>
      </c>
      <c r="K883" s="335" t="s">
        <v>1810</v>
      </c>
      <c r="L883" s="335">
        <v>4</v>
      </c>
      <c r="M883" s="335" t="s">
        <v>1814</v>
      </c>
      <c r="N883" s="339">
        <v>15</v>
      </c>
      <c r="O883" s="341">
        <v>0.15</v>
      </c>
      <c r="P883" s="341" t="s">
        <v>25</v>
      </c>
      <c r="Q883" s="341">
        <v>0</v>
      </c>
      <c r="R883" s="342" t="s">
        <v>25</v>
      </c>
      <c r="S883" s="342" t="s">
        <v>25</v>
      </c>
    </row>
    <row r="884" spans="1:19" ht="14.25" customHeight="1" x14ac:dyDescent="0.3">
      <c r="A884" s="335" t="s">
        <v>1805</v>
      </c>
      <c r="B884" s="335" t="s">
        <v>26</v>
      </c>
      <c r="C884" s="335" t="s">
        <v>27</v>
      </c>
      <c r="D884" s="335" t="s">
        <v>190</v>
      </c>
      <c r="E884" s="336" t="s">
        <v>191</v>
      </c>
      <c r="F884" s="336" t="s">
        <v>35</v>
      </c>
      <c r="G884" s="337">
        <v>15</v>
      </c>
      <c r="H884" s="338">
        <v>0.05</v>
      </c>
      <c r="I884" s="339">
        <v>563.22</v>
      </c>
      <c r="J884" s="340">
        <v>8870.7150000000001</v>
      </c>
      <c r="K884" s="335" t="s">
        <v>1810</v>
      </c>
      <c r="L884" s="335">
        <v>5</v>
      </c>
      <c r="M884" s="335" t="s">
        <v>1815</v>
      </c>
      <c r="N884" s="339">
        <v>15</v>
      </c>
      <c r="O884" s="341">
        <v>15</v>
      </c>
      <c r="P884" s="341" t="s">
        <v>25</v>
      </c>
      <c r="Q884" s="341">
        <v>0</v>
      </c>
      <c r="R884" s="342" t="s">
        <v>25</v>
      </c>
      <c r="S884" s="342" t="s">
        <v>25</v>
      </c>
    </row>
    <row r="885" spans="1:19" ht="14.25" customHeight="1" x14ac:dyDescent="0.3">
      <c r="A885" s="335" t="s">
        <v>1805</v>
      </c>
      <c r="B885" s="335" t="s">
        <v>56</v>
      </c>
      <c r="C885" s="335" t="s">
        <v>57</v>
      </c>
      <c r="D885" s="343" t="s">
        <v>58</v>
      </c>
      <c r="E885" s="336" t="s">
        <v>59</v>
      </c>
      <c r="F885" s="336" t="s">
        <v>60</v>
      </c>
      <c r="G885" s="337">
        <v>1</v>
      </c>
      <c r="H885" s="338">
        <v>0</v>
      </c>
      <c r="I885" s="339">
        <v>60860.580776572002</v>
      </c>
      <c r="J885" s="340">
        <v>60860.580776572002</v>
      </c>
      <c r="K885" s="335" t="s">
        <v>1816</v>
      </c>
      <c r="L885" s="335">
        <v>1</v>
      </c>
      <c r="M885" s="335" t="s">
        <v>1817</v>
      </c>
      <c r="N885" s="339">
        <v>15</v>
      </c>
      <c r="O885" s="341">
        <v>6.6666666666666693E-2</v>
      </c>
      <c r="P885" s="341" t="s">
        <v>25</v>
      </c>
      <c r="Q885" s="341">
        <v>0</v>
      </c>
      <c r="R885" s="342" t="s">
        <v>25</v>
      </c>
      <c r="S885" s="342" t="s">
        <v>25</v>
      </c>
    </row>
    <row r="886" spans="1:19" ht="14.25" customHeight="1" x14ac:dyDescent="0.3">
      <c r="A886" s="335" t="s">
        <v>1805</v>
      </c>
      <c r="B886" s="335" t="s">
        <v>56</v>
      </c>
      <c r="C886" s="335" t="s">
        <v>57</v>
      </c>
      <c r="D886" s="343" t="s">
        <v>63</v>
      </c>
      <c r="E886" s="336" t="s">
        <v>64</v>
      </c>
      <c r="F886" s="336" t="s">
        <v>60</v>
      </c>
      <c r="G886" s="337">
        <v>1</v>
      </c>
      <c r="H886" s="338">
        <v>0</v>
      </c>
      <c r="I886" s="339">
        <v>85927.097156571996</v>
      </c>
      <c r="J886" s="340">
        <v>85927.097156571996</v>
      </c>
      <c r="K886" s="335" t="s">
        <v>1816</v>
      </c>
      <c r="L886" s="335">
        <v>2</v>
      </c>
      <c r="M886" s="335" t="s">
        <v>1818</v>
      </c>
      <c r="N886" s="339">
        <v>15</v>
      </c>
      <c r="O886" s="341">
        <v>6.6666666666666693E-2</v>
      </c>
      <c r="P886" s="341" t="s">
        <v>25</v>
      </c>
      <c r="Q886" s="341">
        <v>0</v>
      </c>
      <c r="R886" s="342" t="s">
        <v>25</v>
      </c>
      <c r="S886" s="342" t="s">
        <v>25</v>
      </c>
    </row>
    <row r="887" spans="1:19" ht="14.25" customHeight="1" x14ac:dyDescent="0.3">
      <c r="A887" s="335" t="s">
        <v>1819</v>
      </c>
      <c r="B887" s="335" t="s">
        <v>20</v>
      </c>
      <c r="C887" s="335"/>
      <c r="D887" s="335" t="s">
        <v>1820</v>
      </c>
      <c r="E887" s="336" t="s">
        <v>1821</v>
      </c>
      <c r="F887" s="336"/>
      <c r="G887" s="337">
        <v>1</v>
      </c>
      <c r="H887" s="338">
        <v>0</v>
      </c>
      <c r="I887" s="339">
        <v>409.54162235694002</v>
      </c>
      <c r="J887" s="340">
        <v>409.54162235694002</v>
      </c>
      <c r="K887" s="335" t="s">
        <v>1822</v>
      </c>
      <c r="L887" s="335">
        <v>1</v>
      </c>
      <c r="M887" s="335" t="s">
        <v>1823</v>
      </c>
      <c r="N887" s="339">
        <v>1</v>
      </c>
      <c r="O887" s="341">
        <v>1</v>
      </c>
      <c r="P887" s="341">
        <v>70</v>
      </c>
      <c r="Q887" s="341">
        <v>70</v>
      </c>
      <c r="R887" s="342">
        <v>4.05</v>
      </c>
      <c r="S887" s="342" t="s">
        <v>106</v>
      </c>
    </row>
    <row r="888" spans="1:19" ht="14.25" customHeight="1" x14ac:dyDescent="0.3">
      <c r="A888" s="335" t="s">
        <v>1819</v>
      </c>
      <c r="B888" s="335" t="s">
        <v>26</v>
      </c>
      <c r="C888" s="335" t="s">
        <v>480</v>
      </c>
      <c r="D888" s="335" t="s">
        <v>1824</v>
      </c>
      <c r="E888" s="336" t="s">
        <v>1825</v>
      </c>
      <c r="F888" s="336" t="s">
        <v>35</v>
      </c>
      <c r="G888" s="337">
        <v>8.5</v>
      </c>
      <c r="H888" s="338">
        <v>0</v>
      </c>
      <c r="I888" s="339">
        <v>1516.11</v>
      </c>
      <c r="J888" s="340">
        <v>12886.934999999999</v>
      </c>
      <c r="K888" s="335" t="s">
        <v>1826</v>
      </c>
      <c r="L888" s="335">
        <v>1</v>
      </c>
      <c r="M888" s="335" t="s">
        <v>1827</v>
      </c>
      <c r="N888" s="339">
        <v>1</v>
      </c>
      <c r="O888" s="341">
        <v>8.5</v>
      </c>
      <c r="P888" s="341">
        <v>70</v>
      </c>
      <c r="Q888" s="341">
        <v>595</v>
      </c>
      <c r="R888" s="342">
        <v>4.05</v>
      </c>
      <c r="S888" s="342" t="s">
        <v>106</v>
      </c>
    </row>
    <row r="889" spans="1:19" ht="14.25" customHeight="1" x14ac:dyDescent="0.3">
      <c r="A889" s="335" t="s">
        <v>1819</v>
      </c>
      <c r="B889" s="335" t="s">
        <v>26</v>
      </c>
      <c r="C889" s="335" t="s">
        <v>480</v>
      </c>
      <c r="D889" s="335" t="s">
        <v>96</v>
      </c>
      <c r="E889" s="336" t="s">
        <v>97</v>
      </c>
      <c r="F889" s="336" t="s">
        <v>98</v>
      </c>
      <c r="G889" s="337">
        <v>2660.95511429</v>
      </c>
      <c r="H889" s="338">
        <v>0</v>
      </c>
      <c r="I889" s="339">
        <v>1</v>
      </c>
      <c r="J889" s="340">
        <v>2660.95511429</v>
      </c>
      <c r="K889" s="335" t="s">
        <v>1826</v>
      </c>
      <c r="L889" s="335">
        <v>2</v>
      </c>
      <c r="M889" s="335" t="s">
        <v>1828</v>
      </c>
      <c r="N889" s="339">
        <v>1</v>
      </c>
      <c r="O889" s="341">
        <v>2660.95511429</v>
      </c>
      <c r="P889" s="341">
        <v>70</v>
      </c>
      <c r="Q889" s="341">
        <v>186266.85800030001</v>
      </c>
      <c r="R889" s="342">
        <v>4.05</v>
      </c>
      <c r="S889" s="342" t="s">
        <v>106</v>
      </c>
    </row>
    <row r="890" spans="1:19" ht="14.25" customHeight="1" x14ac:dyDescent="0.3">
      <c r="A890" s="335" t="s">
        <v>1819</v>
      </c>
      <c r="B890" s="335" t="s">
        <v>26</v>
      </c>
      <c r="C890" s="335" t="s">
        <v>480</v>
      </c>
      <c r="D890" s="335" t="s">
        <v>1533</v>
      </c>
      <c r="E890" s="336" t="s">
        <v>1534</v>
      </c>
      <c r="F890" s="336" t="s">
        <v>167</v>
      </c>
      <c r="G890" s="337">
        <v>0.17142857142857101</v>
      </c>
      <c r="H890" s="338">
        <v>0</v>
      </c>
      <c r="I890" s="339">
        <v>1704.41</v>
      </c>
      <c r="J890" s="340">
        <v>292.18457142857102</v>
      </c>
      <c r="K890" s="335" t="s">
        <v>1826</v>
      </c>
      <c r="L890" s="335">
        <v>3</v>
      </c>
      <c r="M890" s="335" t="s">
        <v>1829</v>
      </c>
      <c r="N890" s="339">
        <v>1</v>
      </c>
      <c r="O890" s="341">
        <v>0.17142857142857101</v>
      </c>
      <c r="P890" s="341">
        <v>70</v>
      </c>
      <c r="Q890" s="341">
        <v>12</v>
      </c>
      <c r="R890" s="342">
        <v>4.05</v>
      </c>
      <c r="S890" s="342" t="s">
        <v>106</v>
      </c>
    </row>
    <row r="891" spans="1:19" ht="14.25" customHeight="1" x14ac:dyDescent="0.3">
      <c r="A891" s="335" t="s">
        <v>1819</v>
      </c>
      <c r="B891" s="335" t="s">
        <v>26</v>
      </c>
      <c r="C891" s="335" t="s">
        <v>480</v>
      </c>
      <c r="D891" s="335" t="s">
        <v>1830</v>
      </c>
      <c r="E891" s="336" t="s">
        <v>1831</v>
      </c>
      <c r="F891" s="336" t="s">
        <v>91</v>
      </c>
      <c r="G891" s="337">
        <v>0.1</v>
      </c>
      <c r="H891" s="338">
        <v>0</v>
      </c>
      <c r="I891" s="339">
        <v>9778.66</v>
      </c>
      <c r="J891" s="340">
        <v>977.86599999999999</v>
      </c>
      <c r="K891" s="335" t="s">
        <v>1826</v>
      </c>
      <c r="L891" s="335">
        <v>4</v>
      </c>
      <c r="M891" s="335" t="s">
        <v>1832</v>
      </c>
      <c r="N891" s="339">
        <v>1</v>
      </c>
      <c r="O891" s="341">
        <v>0.1</v>
      </c>
      <c r="P891" s="341">
        <v>70</v>
      </c>
      <c r="Q891" s="341">
        <v>7</v>
      </c>
      <c r="R891" s="342">
        <v>4.05</v>
      </c>
      <c r="S891" s="342" t="s">
        <v>106</v>
      </c>
    </row>
    <row r="892" spans="1:19" ht="14.25" customHeight="1" x14ac:dyDescent="0.3">
      <c r="A892" s="335" t="s">
        <v>1819</v>
      </c>
      <c r="B892" s="335" t="s">
        <v>56</v>
      </c>
      <c r="C892" s="335" t="s">
        <v>57</v>
      </c>
      <c r="D892" s="335" t="s">
        <v>58</v>
      </c>
      <c r="E892" s="336" t="s">
        <v>59</v>
      </c>
      <c r="F892" s="336" t="s">
        <v>60</v>
      </c>
      <c r="G892" s="337">
        <v>7.1428571428571397E-2</v>
      </c>
      <c r="H892" s="338">
        <v>0</v>
      </c>
      <c r="I892" s="339">
        <v>60860.580776572002</v>
      </c>
      <c r="J892" s="340">
        <v>4347.1843411837099</v>
      </c>
      <c r="K892" s="335" t="s">
        <v>1833</v>
      </c>
      <c r="L892" s="335">
        <v>1</v>
      </c>
      <c r="M892" s="335" t="s">
        <v>1834</v>
      </c>
      <c r="N892" s="339">
        <v>1</v>
      </c>
      <c r="O892" s="341">
        <v>7.1428571428571397E-2</v>
      </c>
      <c r="P892" s="341">
        <v>70</v>
      </c>
      <c r="Q892" s="341">
        <v>5</v>
      </c>
      <c r="R892" s="342">
        <v>4.05</v>
      </c>
      <c r="S892" s="342" t="s">
        <v>106</v>
      </c>
    </row>
    <row r="893" spans="1:19" ht="14.25" customHeight="1" x14ac:dyDescent="0.3">
      <c r="A893" s="335" t="s">
        <v>1819</v>
      </c>
      <c r="B893" s="335" t="s">
        <v>56</v>
      </c>
      <c r="C893" s="335" t="s">
        <v>57</v>
      </c>
      <c r="D893" s="343" t="s">
        <v>63</v>
      </c>
      <c r="E893" s="336" t="s">
        <v>64</v>
      </c>
      <c r="F893" s="336" t="s">
        <v>60</v>
      </c>
      <c r="G893" s="337">
        <v>7.1428571428571397E-2</v>
      </c>
      <c r="H893" s="338">
        <v>0</v>
      </c>
      <c r="I893" s="339">
        <v>85927.097156571996</v>
      </c>
      <c r="J893" s="340">
        <v>6137.6497968980002</v>
      </c>
      <c r="K893" s="335" t="s">
        <v>1833</v>
      </c>
      <c r="L893" s="335">
        <v>2</v>
      </c>
      <c r="M893" s="335" t="s">
        <v>1835</v>
      </c>
      <c r="N893" s="339">
        <v>1</v>
      </c>
      <c r="O893" s="341">
        <v>7.1428571428571397E-2</v>
      </c>
      <c r="P893" s="341">
        <v>70</v>
      </c>
      <c r="Q893" s="341">
        <v>5</v>
      </c>
      <c r="R893" s="342">
        <v>4.05</v>
      </c>
      <c r="S893" s="342" t="s">
        <v>106</v>
      </c>
    </row>
    <row r="894" spans="1:19" ht="14.25" customHeight="1" x14ac:dyDescent="0.3">
      <c r="A894" s="335" t="s">
        <v>1836</v>
      </c>
      <c r="B894" s="335" t="s">
        <v>20</v>
      </c>
      <c r="C894" s="335"/>
      <c r="D894" s="335" t="s">
        <v>67</v>
      </c>
      <c r="E894" s="336" t="s">
        <v>68</v>
      </c>
      <c r="F894" s="336"/>
      <c r="G894" s="337">
        <v>0.5</v>
      </c>
      <c r="H894" s="338">
        <v>0</v>
      </c>
      <c r="I894" s="339">
        <v>571.17949098076099</v>
      </c>
      <c r="J894" s="340">
        <v>285.58974549038101</v>
      </c>
      <c r="K894" s="335" t="s">
        <v>1837</v>
      </c>
      <c r="L894" s="335">
        <v>1</v>
      </c>
      <c r="M894" s="335" t="s">
        <v>1838</v>
      </c>
      <c r="N894" s="339">
        <v>15</v>
      </c>
      <c r="O894" s="341">
        <v>0.5</v>
      </c>
      <c r="P894" s="341" t="s">
        <v>25</v>
      </c>
      <c r="Q894" s="341">
        <v>0</v>
      </c>
      <c r="R894" s="342" t="s">
        <v>25</v>
      </c>
      <c r="S894" s="342" t="s">
        <v>25</v>
      </c>
    </row>
    <row r="895" spans="1:19" ht="14.25" customHeight="1" x14ac:dyDescent="0.3">
      <c r="A895" s="335" t="s">
        <v>1836</v>
      </c>
      <c r="B895" s="335" t="s">
        <v>20</v>
      </c>
      <c r="C895" s="335"/>
      <c r="D895" s="335" t="s">
        <v>71</v>
      </c>
      <c r="E895" s="336" t="s">
        <v>72</v>
      </c>
      <c r="F895" s="336"/>
      <c r="G895" s="337">
        <v>1</v>
      </c>
      <c r="H895" s="338">
        <v>0</v>
      </c>
      <c r="I895" s="339">
        <v>2287.1357450968098</v>
      </c>
      <c r="J895" s="340">
        <v>2287.1357450968098</v>
      </c>
      <c r="K895" s="335" t="s">
        <v>1837</v>
      </c>
      <c r="L895" s="335">
        <v>2</v>
      </c>
      <c r="M895" s="335" t="s">
        <v>1839</v>
      </c>
      <c r="N895" s="339">
        <v>15</v>
      </c>
      <c r="O895" s="341">
        <v>1</v>
      </c>
      <c r="P895" s="341" t="s">
        <v>25</v>
      </c>
      <c r="Q895" s="341">
        <v>0</v>
      </c>
      <c r="R895" s="342" t="s">
        <v>25</v>
      </c>
      <c r="S895" s="342" t="s">
        <v>25</v>
      </c>
    </row>
    <row r="896" spans="1:19" ht="14.25" customHeight="1" x14ac:dyDescent="0.3">
      <c r="A896" s="335" t="s">
        <v>1836</v>
      </c>
      <c r="B896" s="335" t="s">
        <v>20</v>
      </c>
      <c r="C896" s="335"/>
      <c r="D896" s="335" t="s">
        <v>74</v>
      </c>
      <c r="E896" s="336" t="s">
        <v>75</v>
      </c>
      <c r="F896" s="336"/>
      <c r="G896" s="337">
        <v>1</v>
      </c>
      <c r="H896" s="338">
        <v>0</v>
      </c>
      <c r="I896" s="339">
        <v>957.25319614994703</v>
      </c>
      <c r="J896" s="340">
        <v>957.25319614994703</v>
      </c>
      <c r="K896" s="335" t="s">
        <v>1837</v>
      </c>
      <c r="L896" s="335">
        <v>3</v>
      </c>
      <c r="M896" s="335" t="s">
        <v>1840</v>
      </c>
      <c r="N896" s="339">
        <v>15</v>
      </c>
      <c r="O896" s="341">
        <v>1</v>
      </c>
      <c r="P896" s="341" t="s">
        <v>25</v>
      </c>
      <c r="Q896" s="341">
        <v>0</v>
      </c>
      <c r="R896" s="342" t="s">
        <v>25</v>
      </c>
      <c r="S896" s="342" t="s">
        <v>25</v>
      </c>
    </row>
    <row r="897" spans="1:19" ht="14.25" customHeight="1" x14ac:dyDescent="0.3">
      <c r="A897" s="335" t="s">
        <v>1836</v>
      </c>
      <c r="B897" s="335" t="s">
        <v>26</v>
      </c>
      <c r="C897" s="335" t="s">
        <v>27</v>
      </c>
      <c r="D897" s="335" t="s">
        <v>77</v>
      </c>
      <c r="E897" s="336" t="s">
        <v>78</v>
      </c>
      <c r="F897" s="336" t="s">
        <v>35</v>
      </c>
      <c r="G897" s="337">
        <v>0.17</v>
      </c>
      <c r="H897" s="338">
        <v>0.1</v>
      </c>
      <c r="I897" s="339">
        <v>3424.53</v>
      </c>
      <c r="J897" s="340">
        <v>640.38711000000001</v>
      </c>
      <c r="K897" s="335" t="s">
        <v>1841</v>
      </c>
      <c r="L897" s="335">
        <v>1</v>
      </c>
      <c r="M897" s="335" t="s">
        <v>1842</v>
      </c>
      <c r="N897" s="339">
        <v>15</v>
      </c>
      <c r="O897" s="341">
        <v>0.17</v>
      </c>
      <c r="P897" s="341" t="s">
        <v>25</v>
      </c>
      <c r="Q897" s="341">
        <v>0</v>
      </c>
      <c r="R897" s="342" t="s">
        <v>25</v>
      </c>
      <c r="S897" s="342" t="s">
        <v>25</v>
      </c>
    </row>
    <row r="898" spans="1:19" ht="14.25" customHeight="1" x14ac:dyDescent="0.3">
      <c r="A898" s="335" t="s">
        <v>1836</v>
      </c>
      <c r="B898" s="335" t="s">
        <v>26</v>
      </c>
      <c r="C898" s="335" t="s">
        <v>27</v>
      </c>
      <c r="D898" s="335" t="s">
        <v>81</v>
      </c>
      <c r="E898" s="336" t="s">
        <v>82</v>
      </c>
      <c r="F898" s="336" t="s">
        <v>83</v>
      </c>
      <c r="G898" s="337">
        <v>2.4E-2</v>
      </c>
      <c r="H898" s="338">
        <v>0.1</v>
      </c>
      <c r="I898" s="339">
        <v>32399.77</v>
      </c>
      <c r="J898" s="340">
        <v>855.353928</v>
      </c>
      <c r="K898" s="335" t="s">
        <v>1841</v>
      </c>
      <c r="L898" s="335">
        <v>2</v>
      </c>
      <c r="M898" s="335" t="s">
        <v>1843</v>
      </c>
      <c r="N898" s="339">
        <v>15</v>
      </c>
      <c r="O898" s="341">
        <v>2.4E-2</v>
      </c>
      <c r="P898" s="341" t="s">
        <v>25</v>
      </c>
      <c r="Q898" s="341">
        <v>0</v>
      </c>
      <c r="R898" s="342" t="s">
        <v>25</v>
      </c>
      <c r="S898" s="342" t="s">
        <v>25</v>
      </c>
    </row>
    <row r="899" spans="1:19" ht="14.25" customHeight="1" x14ac:dyDescent="0.3">
      <c r="A899" s="335" t="s">
        <v>1836</v>
      </c>
      <c r="B899" s="335" t="s">
        <v>26</v>
      </c>
      <c r="C899" s="335" t="s">
        <v>27</v>
      </c>
      <c r="D899" s="335" t="s">
        <v>85</v>
      </c>
      <c r="E899" s="336" t="s">
        <v>86</v>
      </c>
      <c r="F899" s="336" t="s">
        <v>87</v>
      </c>
      <c r="G899" s="337">
        <v>0.1</v>
      </c>
      <c r="H899" s="338">
        <v>0.1</v>
      </c>
      <c r="I899" s="339">
        <v>7809.48</v>
      </c>
      <c r="J899" s="340">
        <v>859.04280000000006</v>
      </c>
      <c r="K899" s="335" t="s">
        <v>1841</v>
      </c>
      <c r="L899" s="335">
        <v>3</v>
      </c>
      <c r="M899" s="335" t="s">
        <v>1844</v>
      </c>
      <c r="N899" s="339">
        <v>15</v>
      </c>
      <c r="O899" s="341">
        <v>0.1</v>
      </c>
      <c r="P899" s="341" t="s">
        <v>25</v>
      </c>
      <c r="Q899" s="341">
        <v>0</v>
      </c>
      <c r="R899" s="342" t="s">
        <v>25</v>
      </c>
      <c r="S899" s="342" t="s">
        <v>25</v>
      </c>
    </row>
    <row r="900" spans="1:19" ht="14.25" customHeight="1" x14ac:dyDescent="0.3">
      <c r="A900" s="335" t="s">
        <v>1836</v>
      </c>
      <c r="B900" s="335" t="s">
        <v>26</v>
      </c>
      <c r="C900" s="335" t="s">
        <v>27</v>
      </c>
      <c r="D900" s="335" t="s">
        <v>89</v>
      </c>
      <c r="E900" s="336" t="s">
        <v>90</v>
      </c>
      <c r="F900" s="336" t="s">
        <v>91</v>
      </c>
      <c r="G900" s="337">
        <v>0.2</v>
      </c>
      <c r="H900" s="338">
        <v>0.1</v>
      </c>
      <c r="I900" s="339">
        <v>3837.96</v>
      </c>
      <c r="J900" s="340">
        <v>844.35119999999995</v>
      </c>
      <c r="K900" s="335" t="s">
        <v>1841</v>
      </c>
      <c r="L900" s="335">
        <v>4</v>
      </c>
      <c r="M900" s="335" t="s">
        <v>1845</v>
      </c>
      <c r="N900" s="339">
        <v>15</v>
      </c>
      <c r="O900" s="341">
        <v>0.2</v>
      </c>
      <c r="P900" s="341" t="s">
        <v>25</v>
      </c>
      <c r="Q900" s="341">
        <v>0</v>
      </c>
      <c r="R900" s="342" t="s">
        <v>25</v>
      </c>
      <c r="S900" s="342" t="s">
        <v>25</v>
      </c>
    </row>
    <row r="901" spans="1:19" ht="14.25" customHeight="1" x14ac:dyDescent="0.3">
      <c r="A901" s="335" t="s">
        <v>1836</v>
      </c>
      <c r="B901" s="335" t="s">
        <v>26</v>
      </c>
      <c r="C901" s="335" t="s">
        <v>27</v>
      </c>
      <c r="D901" s="335" t="s">
        <v>148</v>
      </c>
      <c r="E901" s="336" t="s">
        <v>149</v>
      </c>
      <c r="F901" s="336" t="s">
        <v>35</v>
      </c>
      <c r="G901" s="337">
        <v>15</v>
      </c>
      <c r="H901" s="338">
        <v>0.05</v>
      </c>
      <c r="I901" s="339">
        <v>519.12</v>
      </c>
      <c r="J901" s="340">
        <v>8176.14</v>
      </c>
      <c r="K901" s="335" t="s">
        <v>1841</v>
      </c>
      <c r="L901" s="335">
        <v>5</v>
      </c>
      <c r="M901" s="335" t="s">
        <v>1846</v>
      </c>
      <c r="N901" s="339">
        <v>15</v>
      </c>
      <c r="O901" s="341">
        <v>15</v>
      </c>
      <c r="P901" s="341" t="s">
        <v>25</v>
      </c>
      <c r="Q901" s="341">
        <v>0</v>
      </c>
      <c r="R901" s="342" t="s">
        <v>25</v>
      </c>
      <c r="S901" s="342" t="s">
        <v>25</v>
      </c>
    </row>
    <row r="902" spans="1:19" ht="14.25" customHeight="1" x14ac:dyDescent="0.3">
      <c r="A902" s="335" t="s">
        <v>1836</v>
      </c>
      <c r="B902" s="335" t="s">
        <v>56</v>
      </c>
      <c r="C902" s="335" t="s">
        <v>57</v>
      </c>
      <c r="D902" s="343" t="s">
        <v>58</v>
      </c>
      <c r="E902" s="336" t="s">
        <v>59</v>
      </c>
      <c r="F902" s="336" t="s">
        <v>60</v>
      </c>
      <c r="G902" s="337">
        <v>1</v>
      </c>
      <c r="H902" s="338">
        <v>0</v>
      </c>
      <c r="I902" s="339">
        <v>60860.580776572002</v>
      </c>
      <c r="J902" s="340">
        <v>60860.580776572002</v>
      </c>
      <c r="K902" s="335" t="s">
        <v>1847</v>
      </c>
      <c r="L902" s="335">
        <v>1</v>
      </c>
      <c r="M902" s="335" t="s">
        <v>1848</v>
      </c>
      <c r="N902" s="339">
        <v>15</v>
      </c>
      <c r="O902" s="341">
        <v>6.6666666666666693E-2</v>
      </c>
      <c r="P902" s="341" t="s">
        <v>25</v>
      </c>
      <c r="Q902" s="341">
        <v>0</v>
      </c>
      <c r="R902" s="342" t="s">
        <v>25</v>
      </c>
      <c r="S902" s="342" t="s">
        <v>25</v>
      </c>
    </row>
    <row r="903" spans="1:19" ht="14.25" customHeight="1" x14ac:dyDescent="0.3">
      <c r="A903" s="335" t="s">
        <v>1836</v>
      </c>
      <c r="B903" s="335" t="s">
        <v>56</v>
      </c>
      <c r="C903" s="335" t="s">
        <v>57</v>
      </c>
      <c r="D903" s="343" t="s">
        <v>63</v>
      </c>
      <c r="E903" s="336" t="s">
        <v>64</v>
      </c>
      <c r="F903" s="336" t="s">
        <v>60</v>
      </c>
      <c r="G903" s="337">
        <v>1</v>
      </c>
      <c r="H903" s="338">
        <v>0</v>
      </c>
      <c r="I903" s="339">
        <v>85927.097156571996</v>
      </c>
      <c r="J903" s="340">
        <v>85927.097156571996</v>
      </c>
      <c r="K903" s="335" t="s">
        <v>1847</v>
      </c>
      <c r="L903" s="335">
        <v>2</v>
      </c>
      <c r="M903" s="335" t="s">
        <v>1849</v>
      </c>
      <c r="N903" s="339">
        <v>15</v>
      </c>
      <c r="O903" s="341">
        <v>6.6666666666666693E-2</v>
      </c>
      <c r="P903" s="341" t="s">
        <v>25</v>
      </c>
      <c r="Q903" s="341">
        <v>0</v>
      </c>
      <c r="R903" s="342" t="s">
        <v>25</v>
      </c>
      <c r="S903" s="342" t="s">
        <v>25</v>
      </c>
    </row>
    <row r="904" spans="1:19" ht="14.25" customHeight="1" x14ac:dyDescent="0.3">
      <c r="A904" s="335" t="s">
        <v>1850</v>
      </c>
      <c r="B904" s="335" t="s">
        <v>20</v>
      </c>
      <c r="C904" s="335"/>
      <c r="D904" s="335" t="s">
        <v>67</v>
      </c>
      <c r="E904" s="336" t="s">
        <v>68</v>
      </c>
      <c r="F904" s="336"/>
      <c r="G904" s="337">
        <v>0.25</v>
      </c>
      <c r="H904" s="338">
        <v>0</v>
      </c>
      <c r="I904" s="339">
        <v>571.17949098076099</v>
      </c>
      <c r="J904" s="340">
        <v>142.79487274518999</v>
      </c>
      <c r="K904" s="335" t="s">
        <v>1851</v>
      </c>
      <c r="L904" s="335">
        <v>1</v>
      </c>
      <c r="M904" s="335" t="s">
        <v>1852</v>
      </c>
      <c r="N904" s="339">
        <v>7</v>
      </c>
      <c r="O904" s="341">
        <v>0.25</v>
      </c>
      <c r="P904" s="341">
        <v>193</v>
      </c>
      <c r="Q904" s="341">
        <v>48.25</v>
      </c>
      <c r="R904" s="342">
        <v>4.07</v>
      </c>
      <c r="S904" s="342" t="s">
        <v>106</v>
      </c>
    </row>
    <row r="905" spans="1:19" ht="14.25" customHeight="1" x14ac:dyDescent="0.3">
      <c r="A905" s="335" t="s">
        <v>1850</v>
      </c>
      <c r="B905" s="335" t="s">
        <v>20</v>
      </c>
      <c r="C905" s="335"/>
      <c r="D905" s="335" t="s">
        <v>71</v>
      </c>
      <c r="E905" s="336" t="s">
        <v>72</v>
      </c>
      <c r="F905" s="336"/>
      <c r="G905" s="337">
        <v>0.5</v>
      </c>
      <c r="H905" s="338">
        <v>0</v>
      </c>
      <c r="I905" s="339">
        <v>2287.1357450968098</v>
      </c>
      <c r="J905" s="340">
        <v>1143.5678725483999</v>
      </c>
      <c r="K905" s="335" t="s">
        <v>1851</v>
      </c>
      <c r="L905" s="335">
        <v>2</v>
      </c>
      <c r="M905" s="335" t="s">
        <v>1853</v>
      </c>
      <c r="N905" s="339">
        <v>7</v>
      </c>
      <c r="O905" s="341">
        <v>0.5</v>
      </c>
      <c r="P905" s="341">
        <v>193</v>
      </c>
      <c r="Q905" s="341">
        <v>96.5</v>
      </c>
      <c r="R905" s="342">
        <v>4.07</v>
      </c>
      <c r="S905" s="342" t="s">
        <v>106</v>
      </c>
    </row>
    <row r="906" spans="1:19" ht="14.25" customHeight="1" x14ac:dyDescent="0.3">
      <c r="A906" s="335" t="s">
        <v>1850</v>
      </c>
      <c r="B906" s="335" t="s">
        <v>20</v>
      </c>
      <c r="C906" s="335"/>
      <c r="D906" s="335" t="s">
        <v>74</v>
      </c>
      <c r="E906" s="336" t="s">
        <v>75</v>
      </c>
      <c r="F906" s="336"/>
      <c r="G906" s="337">
        <v>0.5</v>
      </c>
      <c r="H906" s="338">
        <v>0</v>
      </c>
      <c r="I906" s="339">
        <v>957.25319614994703</v>
      </c>
      <c r="J906" s="340">
        <v>478.62659807497403</v>
      </c>
      <c r="K906" s="335" t="s">
        <v>1851</v>
      </c>
      <c r="L906" s="335">
        <v>3</v>
      </c>
      <c r="M906" s="335" t="s">
        <v>1854</v>
      </c>
      <c r="N906" s="339">
        <v>7</v>
      </c>
      <c r="O906" s="341">
        <v>0.5</v>
      </c>
      <c r="P906" s="341">
        <v>193</v>
      </c>
      <c r="Q906" s="341">
        <v>96.5</v>
      </c>
      <c r="R906" s="342">
        <v>4.07</v>
      </c>
      <c r="S906" s="342" t="s">
        <v>106</v>
      </c>
    </row>
    <row r="907" spans="1:19" ht="14.25" customHeight="1" x14ac:dyDescent="0.3">
      <c r="A907" s="335" t="s">
        <v>1850</v>
      </c>
      <c r="B907" s="335" t="s">
        <v>26</v>
      </c>
      <c r="C907" s="335" t="s">
        <v>27</v>
      </c>
      <c r="D907" s="335" t="s">
        <v>77</v>
      </c>
      <c r="E907" s="336" t="s">
        <v>78</v>
      </c>
      <c r="F907" s="336" t="s">
        <v>35</v>
      </c>
      <c r="G907" s="337">
        <v>4.2500000000000003E-2</v>
      </c>
      <c r="H907" s="338">
        <v>0.1</v>
      </c>
      <c r="I907" s="339">
        <v>3424.53</v>
      </c>
      <c r="J907" s="340">
        <v>160.0967775</v>
      </c>
      <c r="K907" s="335" t="s">
        <v>1855</v>
      </c>
      <c r="L907" s="335">
        <v>1</v>
      </c>
      <c r="M907" s="335" t="s">
        <v>1856</v>
      </c>
      <c r="N907" s="339">
        <v>7</v>
      </c>
      <c r="O907" s="341">
        <v>4.2500000000000003E-2</v>
      </c>
      <c r="P907" s="341">
        <v>193</v>
      </c>
      <c r="Q907" s="341">
        <v>8.2025000000000006</v>
      </c>
      <c r="R907" s="342">
        <v>4.07</v>
      </c>
      <c r="S907" s="342" t="s">
        <v>106</v>
      </c>
    </row>
    <row r="908" spans="1:19" ht="14.25" customHeight="1" x14ac:dyDescent="0.3">
      <c r="A908" s="335" t="s">
        <v>1850</v>
      </c>
      <c r="B908" s="335" t="s">
        <v>26</v>
      </c>
      <c r="C908" s="335" t="s">
        <v>27</v>
      </c>
      <c r="D908" s="335" t="s">
        <v>81</v>
      </c>
      <c r="E908" s="336" t="s">
        <v>82</v>
      </c>
      <c r="F908" s="336" t="s">
        <v>83</v>
      </c>
      <c r="G908" s="337">
        <v>8.7500000000000008E-3</v>
      </c>
      <c r="H908" s="338">
        <v>0.1</v>
      </c>
      <c r="I908" s="339">
        <v>32399.77</v>
      </c>
      <c r="J908" s="340">
        <v>311.84778625000001</v>
      </c>
      <c r="K908" s="335" t="s">
        <v>1855</v>
      </c>
      <c r="L908" s="335">
        <v>2</v>
      </c>
      <c r="M908" s="335" t="s">
        <v>1857</v>
      </c>
      <c r="N908" s="339">
        <v>7</v>
      </c>
      <c r="O908" s="341">
        <v>8.7500000000000008E-3</v>
      </c>
      <c r="P908" s="341">
        <v>193</v>
      </c>
      <c r="Q908" s="341">
        <v>1.68875</v>
      </c>
      <c r="R908" s="342">
        <v>4.07</v>
      </c>
      <c r="S908" s="342" t="s">
        <v>106</v>
      </c>
    </row>
    <row r="909" spans="1:19" ht="14.25" customHeight="1" x14ac:dyDescent="0.3">
      <c r="A909" s="335" t="s">
        <v>1850</v>
      </c>
      <c r="B909" s="335" t="s">
        <v>26</v>
      </c>
      <c r="C909" s="335" t="s">
        <v>27</v>
      </c>
      <c r="D909" s="335" t="s">
        <v>85</v>
      </c>
      <c r="E909" s="336" t="s">
        <v>86</v>
      </c>
      <c r="F909" s="336" t="s">
        <v>87</v>
      </c>
      <c r="G909" s="337">
        <v>3.7499999999999999E-2</v>
      </c>
      <c r="H909" s="338">
        <v>0.1</v>
      </c>
      <c r="I909" s="339">
        <v>7809.48</v>
      </c>
      <c r="J909" s="340">
        <v>322.14105000000001</v>
      </c>
      <c r="K909" s="335" t="s">
        <v>1855</v>
      </c>
      <c r="L909" s="335">
        <v>3</v>
      </c>
      <c r="M909" s="335" t="s">
        <v>1858</v>
      </c>
      <c r="N909" s="339">
        <v>7</v>
      </c>
      <c r="O909" s="341">
        <v>3.7499999999999999E-2</v>
      </c>
      <c r="P909" s="341">
        <v>193</v>
      </c>
      <c r="Q909" s="341">
        <v>7.2374999999999998</v>
      </c>
      <c r="R909" s="342">
        <v>4.07</v>
      </c>
      <c r="S909" s="342" t="s">
        <v>106</v>
      </c>
    </row>
    <row r="910" spans="1:19" ht="14.25" customHeight="1" x14ac:dyDescent="0.3">
      <c r="A910" s="335" t="s">
        <v>1850</v>
      </c>
      <c r="B910" s="335" t="s">
        <v>26</v>
      </c>
      <c r="C910" s="335" t="s">
        <v>27</v>
      </c>
      <c r="D910" s="335" t="s">
        <v>89</v>
      </c>
      <c r="E910" s="336" t="s">
        <v>90</v>
      </c>
      <c r="F910" s="336" t="s">
        <v>91</v>
      </c>
      <c r="G910" s="337">
        <v>7.4999999999999997E-2</v>
      </c>
      <c r="H910" s="338">
        <v>0.1</v>
      </c>
      <c r="I910" s="339">
        <v>3837.96</v>
      </c>
      <c r="J910" s="340">
        <v>316.63170000000002</v>
      </c>
      <c r="K910" s="335" t="s">
        <v>1855</v>
      </c>
      <c r="L910" s="335">
        <v>4</v>
      </c>
      <c r="M910" s="335" t="s">
        <v>1859</v>
      </c>
      <c r="N910" s="339">
        <v>7</v>
      </c>
      <c r="O910" s="341">
        <v>7.4999999999999997E-2</v>
      </c>
      <c r="P910" s="341">
        <v>193</v>
      </c>
      <c r="Q910" s="341">
        <v>14.475</v>
      </c>
      <c r="R910" s="342">
        <v>4.07</v>
      </c>
      <c r="S910" s="342" t="s">
        <v>106</v>
      </c>
    </row>
    <row r="911" spans="1:19" ht="14.25" customHeight="1" x14ac:dyDescent="0.3">
      <c r="A911" s="335" t="s">
        <v>1850</v>
      </c>
      <c r="B911" s="335" t="s">
        <v>26</v>
      </c>
      <c r="C911" s="335" t="s">
        <v>27</v>
      </c>
      <c r="D911" s="335" t="s">
        <v>93</v>
      </c>
      <c r="E911" s="336" t="s">
        <v>94</v>
      </c>
      <c r="F911" s="336" t="s">
        <v>35</v>
      </c>
      <c r="G911" s="337">
        <v>15</v>
      </c>
      <c r="H911" s="338">
        <v>0.05</v>
      </c>
      <c r="I911" s="339">
        <v>132.30000000000001</v>
      </c>
      <c r="J911" s="340">
        <v>2083.7249999999999</v>
      </c>
      <c r="K911" s="335" t="s">
        <v>1855</v>
      </c>
      <c r="L911" s="335">
        <v>5</v>
      </c>
      <c r="M911" s="335" t="s">
        <v>1860</v>
      </c>
      <c r="N911" s="339">
        <v>7</v>
      </c>
      <c r="O911" s="341">
        <v>15</v>
      </c>
      <c r="P911" s="341">
        <v>193</v>
      </c>
      <c r="Q911" s="341">
        <v>2895</v>
      </c>
      <c r="R911" s="342">
        <v>4.07</v>
      </c>
      <c r="S911" s="342" t="s">
        <v>106</v>
      </c>
    </row>
    <row r="912" spans="1:19" ht="14.25" customHeight="1" x14ac:dyDescent="0.3">
      <c r="A912" s="335" t="s">
        <v>1850</v>
      </c>
      <c r="B912" s="335" t="s">
        <v>26</v>
      </c>
      <c r="C912" s="335" t="s">
        <v>27</v>
      </c>
      <c r="D912" s="335" t="s">
        <v>96</v>
      </c>
      <c r="E912" s="336" t="s">
        <v>97</v>
      </c>
      <c r="F912" s="336" t="s">
        <v>98</v>
      </c>
      <c r="G912" s="337">
        <v>32.902755831625001</v>
      </c>
      <c r="H912" s="338">
        <v>0</v>
      </c>
      <c r="I912" s="339">
        <v>1</v>
      </c>
      <c r="J912" s="340">
        <v>32.902755831625001</v>
      </c>
      <c r="K912" s="335" t="s">
        <v>1855</v>
      </c>
      <c r="L912" s="335">
        <v>6</v>
      </c>
      <c r="M912" s="335" t="s">
        <v>1861</v>
      </c>
      <c r="N912" s="339">
        <v>7</v>
      </c>
      <c r="O912" s="341">
        <v>32.902755831625001</v>
      </c>
      <c r="P912" s="341">
        <v>193</v>
      </c>
      <c r="Q912" s="341">
        <v>6350.2318755036304</v>
      </c>
      <c r="R912" s="342">
        <v>4.07</v>
      </c>
      <c r="S912" s="342" t="s">
        <v>106</v>
      </c>
    </row>
    <row r="913" spans="1:19" ht="14.25" customHeight="1" x14ac:dyDescent="0.3">
      <c r="A913" s="335" t="s">
        <v>1850</v>
      </c>
      <c r="B913" s="335" t="s">
        <v>56</v>
      </c>
      <c r="C913" s="335" t="s">
        <v>57</v>
      </c>
      <c r="D913" s="343" t="s">
        <v>58</v>
      </c>
      <c r="E913" s="336" t="s">
        <v>59</v>
      </c>
      <c r="F913" s="336" t="s">
        <v>60</v>
      </c>
      <c r="G913" s="337">
        <v>0.5</v>
      </c>
      <c r="H913" s="338">
        <v>0</v>
      </c>
      <c r="I913" s="339">
        <v>60860.580776572002</v>
      </c>
      <c r="J913" s="340">
        <v>30430.290388286001</v>
      </c>
      <c r="K913" s="335" t="s">
        <v>1862</v>
      </c>
      <c r="L913" s="335">
        <v>1</v>
      </c>
      <c r="M913" s="335" t="s">
        <v>1863</v>
      </c>
      <c r="N913" s="339">
        <v>7</v>
      </c>
      <c r="O913" s="341">
        <v>7.1428571428571397E-2</v>
      </c>
      <c r="P913" s="341">
        <v>193</v>
      </c>
      <c r="Q913" s="341">
        <v>13.785714285714301</v>
      </c>
      <c r="R913" s="342">
        <v>4.07</v>
      </c>
      <c r="S913" s="342" t="s">
        <v>106</v>
      </c>
    </row>
    <row r="914" spans="1:19" ht="14.25" customHeight="1" x14ac:dyDescent="0.3">
      <c r="A914" s="335" t="s">
        <v>1850</v>
      </c>
      <c r="B914" s="335" t="s">
        <v>56</v>
      </c>
      <c r="C914" s="335" t="s">
        <v>57</v>
      </c>
      <c r="D914" s="343" t="s">
        <v>63</v>
      </c>
      <c r="E914" s="336" t="s">
        <v>64</v>
      </c>
      <c r="F914" s="336" t="s">
        <v>60</v>
      </c>
      <c r="G914" s="337">
        <v>0.5</v>
      </c>
      <c r="H914" s="338">
        <v>0</v>
      </c>
      <c r="I914" s="339">
        <v>85927.097156571996</v>
      </c>
      <c r="J914" s="340">
        <v>42963.548578285998</v>
      </c>
      <c r="K914" s="335" t="s">
        <v>1862</v>
      </c>
      <c r="L914" s="335">
        <v>2</v>
      </c>
      <c r="M914" s="335" t="s">
        <v>1864</v>
      </c>
      <c r="N914" s="339">
        <v>7</v>
      </c>
      <c r="O914" s="341">
        <v>7.1428571428571397E-2</v>
      </c>
      <c r="P914" s="341">
        <v>193</v>
      </c>
      <c r="Q914" s="341">
        <v>13.785714285714301</v>
      </c>
      <c r="R914" s="342">
        <v>4.07</v>
      </c>
      <c r="S914" s="342" t="s">
        <v>106</v>
      </c>
    </row>
    <row r="915" spans="1:19" ht="14.25" customHeight="1" x14ac:dyDescent="0.3">
      <c r="A915" s="335" t="s">
        <v>1865</v>
      </c>
      <c r="B915" s="335" t="s">
        <v>20</v>
      </c>
      <c r="C915" s="335"/>
      <c r="D915" s="335" t="s">
        <v>1866</v>
      </c>
      <c r="E915" s="336" t="s">
        <v>1867</v>
      </c>
      <c r="F915" s="336"/>
      <c r="G915" s="337">
        <v>1</v>
      </c>
      <c r="H915" s="338">
        <v>0</v>
      </c>
      <c r="I915" s="339">
        <v>316.88644749976697</v>
      </c>
      <c r="J915" s="340">
        <v>316.88644749976697</v>
      </c>
      <c r="K915" s="335" t="s">
        <v>1868</v>
      </c>
      <c r="L915" s="335">
        <v>1</v>
      </c>
      <c r="M915" s="335" t="s">
        <v>1869</v>
      </c>
      <c r="N915" s="339">
        <v>1</v>
      </c>
      <c r="O915" s="341">
        <v>1</v>
      </c>
      <c r="P915" s="341">
        <v>61</v>
      </c>
      <c r="Q915" s="341">
        <v>61</v>
      </c>
      <c r="R915" s="342">
        <v>4.08</v>
      </c>
      <c r="S915" s="342" t="s">
        <v>106</v>
      </c>
    </row>
    <row r="916" spans="1:19" ht="14.25" customHeight="1" x14ac:dyDescent="0.3">
      <c r="A916" s="335" t="s">
        <v>1865</v>
      </c>
      <c r="B916" s="335" t="s">
        <v>26</v>
      </c>
      <c r="C916" s="335" t="s">
        <v>480</v>
      </c>
      <c r="D916" s="335" t="s">
        <v>96</v>
      </c>
      <c r="E916" s="336" t="s">
        <v>97</v>
      </c>
      <c r="F916" s="336" t="s">
        <v>98</v>
      </c>
      <c r="G916" s="337">
        <v>1391.9845</v>
      </c>
      <c r="H916" s="338">
        <v>0</v>
      </c>
      <c r="I916" s="339">
        <v>1</v>
      </c>
      <c r="J916" s="340">
        <v>1391.9845</v>
      </c>
      <c r="K916" s="335" t="s">
        <v>1870</v>
      </c>
      <c r="L916" s="335">
        <v>1</v>
      </c>
      <c r="M916" s="335" t="s">
        <v>1871</v>
      </c>
      <c r="N916" s="339">
        <v>1</v>
      </c>
      <c r="O916" s="341">
        <v>1391.9845</v>
      </c>
      <c r="P916" s="341">
        <v>61</v>
      </c>
      <c r="Q916" s="341">
        <v>84911.054499999998</v>
      </c>
      <c r="R916" s="342">
        <v>4.08</v>
      </c>
      <c r="S916" s="342" t="s">
        <v>106</v>
      </c>
    </row>
    <row r="917" spans="1:19" ht="14.25" customHeight="1" x14ac:dyDescent="0.3">
      <c r="A917" s="335" t="s">
        <v>1865</v>
      </c>
      <c r="B917" s="335" t="s">
        <v>26</v>
      </c>
      <c r="C917" s="335" t="s">
        <v>27</v>
      </c>
      <c r="D917" s="335" t="s">
        <v>1533</v>
      </c>
      <c r="E917" s="336" t="s">
        <v>1534</v>
      </c>
      <c r="F917" s="336" t="s">
        <v>167</v>
      </c>
      <c r="G917" s="337">
        <v>0.9</v>
      </c>
      <c r="H917" s="338">
        <v>0</v>
      </c>
      <c r="I917" s="339">
        <v>1704.41</v>
      </c>
      <c r="J917" s="340">
        <v>1533.9690000000001</v>
      </c>
      <c r="K917" s="335" t="s">
        <v>1870</v>
      </c>
      <c r="L917" s="335">
        <v>2</v>
      </c>
      <c r="M917" s="335" t="s">
        <v>1872</v>
      </c>
      <c r="N917" s="339">
        <v>1</v>
      </c>
      <c r="O917" s="341">
        <v>0.9</v>
      </c>
      <c r="P917" s="341">
        <v>61</v>
      </c>
      <c r="Q917" s="341">
        <v>54.9</v>
      </c>
      <c r="R917" s="342">
        <v>4.08</v>
      </c>
      <c r="S917" s="342" t="s">
        <v>106</v>
      </c>
    </row>
    <row r="918" spans="1:19" ht="14.25" customHeight="1" x14ac:dyDescent="0.3">
      <c r="A918" s="335" t="s">
        <v>1865</v>
      </c>
      <c r="B918" s="335" t="s">
        <v>26</v>
      </c>
      <c r="C918" s="335" t="s">
        <v>27</v>
      </c>
      <c r="D918" s="335" t="s">
        <v>1873</v>
      </c>
      <c r="E918" s="336" t="s">
        <v>1874</v>
      </c>
      <c r="F918" s="336" t="s">
        <v>83</v>
      </c>
      <c r="G918" s="337">
        <v>0.01</v>
      </c>
      <c r="H918" s="338">
        <v>0</v>
      </c>
      <c r="I918" s="339">
        <v>125000</v>
      </c>
      <c r="J918" s="340">
        <v>1250</v>
      </c>
      <c r="K918" s="335" t="s">
        <v>1870</v>
      </c>
      <c r="L918" s="335">
        <v>3</v>
      </c>
      <c r="M918" s="335" t="s">
        <v>1875</v>
      </c>
      <c r="N918" s="339">
        <v>1</v>
      </c>
      <c r="O918" s="341">
        <v>0.01</v>
      </c>
      <c r="P918" s="341">
        <v>61</v>
      </c>
      <c r="Q918" s="341">
        <v>0.61</v>
      </c>
      <c r="R918" s="342">
        <v>4.08</v>
      </c>
      <c r="S918" s="342" t="s">
        <v>106</v>
      </c>
    </row>
    <row r="919" spans="1:19" ht="14.25" customHeight="1" x14ac:dyDescent="0.3">
      <c r="A919" s="335" t="s">
        <v>1865</v>
      </c>
      <c r="B919" s="335" t="s">
        <v>26</v>
      </c>
      <c r="C919" s="335" t="s">
        <v>27</v>
      </c>
      <c r="D919" s="335" t="s">
        <v>1876</v>
      </c>
      <c r="E919" s="336" t="s">
        <v>1877</v>
      </c>
      <c r="F919" s="336" t="s">
        <v>35</v>
      </c>
      <c r="G919" s="337">
        <v>8.1967213114754106E-2</v>
      </c>
      <c r="H919" s="338">
        <v>0</v>
      </c>
      <c r="I919" s="339">
        <v>60000</v>
      </c>
      <c r="J919" s="340">
        <v>4918.0327868852501</v>
      </c>
      <c r="K919" s="335" t="s">
        <v>1870</v>
      </c>
      <c r="L919" s="335">
        <v>4</v>
      </c>
      <c r="M919" s="335" t="s">
        <v>1878</v>
      </c>
      <c r="N919" s="339">
        <v>1</v>
      </c>
      <c r="O919" s="341">
        <v>8.1967213114754106E-2</v>
      </c>
      <c r="P919" s="341">
        <v>61</v>
      </c>
      <c r="Q919" s="341">
        <v>5</v>
      </c>
      <c r="R919" s="342">
        <v>4.08</v>
      </c>
      <c r="S919" s="342" t="s">
        <v>106</v>
      </c>
    </row>
    <row r="920" spans="1:19" ht="14.25" customHeight="1" x14ac:dyDescent="0.3">
      <c r="A920" s="335" t="s">
        <v>1865</v>
      </c>
      <c r="B920" s="335" t="s">
        <v>56</v>
      </c>
      <c r="C920" s="335" t="s">
        <v>57</v>
      </c>
      <c r="D920" s="335" t="s">
        <v>58</v>
      </c>
      <c r="E920" s="336" t="s">
        <v>59</v>
      </c>
      <c r="F920" s="336" t="s">
        <v>60</v>
      </c>
      <c r="G920" s="337">
        <v>8.1967213114754106E-2</v>
      </c>
      <c r="H920" s="338">
        <v>0</v>
      </c>
      <c r="I920" s="339">
        <v>60860.580776572002</v>
      </c>
      <c r="J920" s="340">
        <v>4988.5721948009796</v>
      </c>
      <c r="K920" s="335" t="s">
        <v>1879</v>
      </c>
      <c r="L920" s="335">
        <v>1</v>
      </c>
      <c r="M920" s="335" t="s">
        <v>1880</v>
      </c>
      <c r="N920" s="339">
        <v>1</v>
      </c>
      <c r="O920" s="341">
        <v>8.1967213114754106E-2</v>
      </c>
      <c r="P920" s="341">
        <v>61</v>
      </c>
      <c r="Q920" s="341">
        <v>5</v>
      </c>
      <c r="R920" s="342">
        <v>4.08</v>
      </c>
      <c r="S920" s="342" t="s">
        <v>106</v>
      </c>
    </row>
    <row r="921" spans="1:19" ht="14.25" customHeight="1" x14ac:dyDescent="0.3">
      <c r="A921" s="335" t="s">
        <v>1865</v>
      </c>
      <c r="B921" s="335" t="s">
        <v>56</v>
      </c>
      <c r="C921" s="335" t="s">
        <v>57</v>
      </c>
      <c r="D921" s="343" t="s">
        <v>63</v>
      </c>
      <c r="E921" s="336" t="s">
        <v>64</v>
      </c>
      <c r="F921" s="336" t="s">
        <v>60</v>
      </c>
      <c r="G921" s="337">
        <v>8.1967213114754106E-2</v>
      </c>
      <c r="H921" s="338">
        <v>0</v>
      </c>
      <c r="I921" s="339">
        <v>85927.097156571996</v>
      </c>
      <c r="J921" s="340">
        <v>7043.2046849649196</v>
      </c>
      <c r="K921" s="335" t="s">
        <v>1879</v>
      </c>
      <c r="L921" s="335">
        <v>2</v>
      </c>
      <c r="M921" s="335" t="s">
        <v>1881</v>
      </c>
      <c r="N921" s="339">
        <v>1</v>
      </c>
      <c r="O921" s="341">
        <v>8.1967213114754106E-2</v>
      </c>
      <c r="P921" s="341">
        <v>61</v>
      </c>
      <c r="Q921" s="341">
        <v>5</v>
      </c>
      <c r="R921" s="342">
        <v>4.08</v>
      </c>
      <c r="S921" s="342" t="s">
        <v>106</v>
      </c>
    </row>
    <row r="922" spans="1:19" ht="14.25" customHeight="1" x14ac:dyDescent="0.3">
      <c r="A922" s="335" t="s">
        <v>1882</v>
      </c>
      <c r="B922" s="335" t="s">
        <v>20</v>
      </c>
      <c r="C922" s="335"/>
      <c r="D922" s="335" t="s">
        <v>1883</v>
      </c>
      <c r="E922" s="336" t="s">
        <v>1884</v>
      </c>
      <c r="F922" s="336"/>
      <c r="G922" s="337">
        <v>1</v>
      </c>
      <c r="H922" s="338">
        <v>0</v>
      </c>
      <c r="I922" s="339">
        <v>3113.9806362981599</v>
      </c>
      <c r="J922" s="340">
        <v>3113.9806362981599</v>
      </c>
      <c r="K922" s="335" t="s">
        <v>1885</v>
      </c>
      <c r="L922" s="335">
        <v>1</v>
      </c>
      <c r="M922" s="335" t="s">
        <v>1886</v>
      </c>
      <c r="N922" s="339">
        <v>1</v>
      </c>
      <c r="O922" s="341">
        <v>1</v>
      </c>
      <c r="P922" s="341">
        <v>1</v>
      </c>
      <c r="Q922" s="341">
        <v>1</v>
      </c>
      <c r="R922" s="342">
        <v>4.09</v>
      </c>
      <c r="S922" s="342" t="s">
        <v>106</v>
      </c>
    </row>
    <row r="923" spans="1:19" ht="14.25" customHeight="1" x14ac:dyDescent="0.3">
      <c r="A923" s="335" t="s">
        <v>1882</v>
      </c>
      <c r="B923" s="335" t="s">
        <v>26</v>
      </c>
      <c r="C923" s="335" t="s">
        <v>480</v>
      </c>
      <c r="D923" s="335" t="s">
        <v>96</v>
      </c>
      <c r="E923" s="336" t="s">
        <v>97</v>
      </c>
      <c r="F923" s="336" t="s">
        <v>98</v>
      </c>
      <c r="G923" s="337">
        <v>10135.171858899999</v>
      </c>
      <c r="H923" s="338">
        <v>0</v>
      </c>
      <c r="I923" s="339">
        <v>1</v>
      </c>
      <c r="J923" s="340">
        <v>10135.171858899999</v>
      </c>
      <c r="K923" s="335" t="s">
        <v>1887</v>
      </c>
      <c r="L923" s="335">
        <v>1</v>
      </c>
      <c r="M923" s="335" t="s">
        <v>1888</v>
      </c>
      <c r="N923" s="339">
        <v>1</v>
      </c>
      <c r="O923" s="341">
        <v>10135.171858899999</v>
      </c>
      <c r="P923" s="341">
        <v>1</v>
      </c>
      <c r="Q923" s="341">
        <v>10135.171858899999</v>
      </c>
      <c r="R923" s="342">
        <v>4.09</v>
      </c>
      <c r="S923" s="342" t="s">
        <v>106</v>
      </c>
    </row>
    <row r="924" spans="1:19" ht="14.25" customHeight="1" x14ac:dyDescent="0.3">
      <c r="A924" s="335" t="s">
        <v>1882</v>
      </c>
      <c r="B924" s="335" t="s">
        <v>26</v>
      </c>
      <c r="C924" s="335" t="s">
        <v>480</v>
      </c>
      <c r="D924" s="335" t="s">
        <v>1889</v>
      </c>
      <c r="E924" s="336" t="s">
        <v>1890</v>
      </c>
      <c r="F924" s="336" t="s">
        <v>83</v>
      </c>
      <c r="G924" s="337">
        <v>0.5</v>
      </c>
      <c r="H924" s="338">
        <v>0</v>
      </c>
      <c r="I924" s="339">
        <v>67465.638888999994</v>
      </c>
      <c r="J924" s="340">
        <v>33732.819444499997</v>
      </c>
      <c r="K924" s="335" t="s">
        <v>1887</v>
      </c>
      <c r="L924" s="335">
        <v>2</v>
      </c>
      <c r="M924" s="335" t="s">
        <v>1891</v>
      </c>
      <c r="N924" s="339">
        <v>1</v>
      </c>
      <c r="O924" s="341">
        <v>0.5</v>
      </c>
      <c r="P924" s="341">
        <v>1</v>
      </c>
      <c r="Q924" s="341">
        <v>0.5</v>
      </c>
      <c r="R924" s="342">
        <v>4.09</v>
      </c>
      <c r="S924" s="342" t="s">
        <v>106</v>
      </c>
    </row>
    <row r="925" spans="1:19" ht="14.25" customHeight="1" x14ac:dyDescent="0.3">
      <c r="A925" s="335" t="s">
        <v>1882</v>
      </c>
      <c r="B925" s="335" t="s">
        <v>26</v>
      </c>
      <c r="C925" s="335" t="s">
        <v>480</v>
      </c>
      <c r="D925" s="335" t="s">
        <v>1892</v>
      </c>
      <c r="E925" s="336" t="s">
        <v>1893</v>
      </c>
      <c r="F925" s="336" t="s">
        <v>988</v>
      </c>
      <c r="G925" s="337">
        <v>5</v>
      </c>
      <c r="H925" s="338">
        <v>0</v>
      </c>
      <c r="I925" s="339">
        <v>3388.60797</v>
      </c>
      <c r="J925" s="340">
        <v>16943.039850000001</v>
      </c>
      <c r="K925" s="335" t="s">
        <v>1887</v>
      </c>
      <c r="L925" s="335">
        <v>3</v>
      </c>
      <c r="M925" s="335" t="s">
        <v>1894</v>
      </c>
      <c r="N925" s="339">
        <v>1</v>
      </c>
      <c r="O925" s="341">
        <v>5</v>
      </c>
      <c r="P925" s="341">
        <v>1</v>
      </c>
      <c r="Q925" s="341">
        <v>5</v>
      </c>
      <c r="R925" s="342">
        <v>4.09</v>
      </c>
      <c r="S925" s="342" t="s">
        <v>106</v>
      </c>
    </row>
    <row r="926" spans="1:19" ht="14.25" customHeight="1" x14ac:dyDescent="0.3">
      <c r="A926" s="335" t="s">
        <v>1882</v>
      </c>
      <c r="B926" s="335" t="s">
        <v>56</v>
      </c>
      <c r="C926" s="335" t="s">
        <v>57</v>
      </c>
      <c r="D926" s="335" t="s">
        <v>58</v>
      </c>
      <c r="E926" s="336" t="s">
        <v>59</v>
      </c>
      <c r="F926" s="336" t="s">
        <v>60</v>
      </c>
      <c r="G926" s="337">
        <v>1</v>
      </c>
      <c r="H926" s="338">
        <v>0</v>
      </c>
      <c r="I926" s="339">
        <v>60860.580776572002</v>
      </c>
      <c r="J926" s="340">
        <v>60860.580776572002</v>
      </c>
      <c r="K926" s="335" t="s">
        <v>1895</v>
      </c>
      <c r="L926" s="335">
        <v>1</v>
      </c>
      <c r="M926" s="335" t="s">
        <v>1896</v>
      </c>
      <c r="N926" s="339">
        <v>1</v>
      </c>
      <c r="O926" s="341">
        <v>1</v>
      </c>
      <c r="P926" s="341">
        <v>1</v>
      </c>
      <c r="Q926" s="341">
        <v>1</v>
      </c>
      <c r="R926" s="342">
        <v>4.09</v>
      </c>
      <c r="S926" s="342" t="s">
        <v>106</v>
      </c>
    </row>
    <row r="927" spans="1:19" ht="14.25" customHeight="1" x14ac:dyDescent="0.3">
      <c r="A927" s="335" t="s">
        <v>1882</v>
      </c>
      <c r="B927" s="335" t="s">
        <v>56</v>
      </c>
      <c r="C927" s="335" t="s">
        <v>57</v>
      </c>
      <c r="D927" s="343" t="s">
        <v>63</v>
      </c>
      <c r="E927" s="336" t="s">
        <v>64</v>
      </c>
      <c r="F927" s="336" t="s">
        <v>60</v>
      </c>
      <c r="G927" s="337">
        <v>1</v>
      </c>
      <c r="H927" s="338">
        <v>0</v>
      </c>
      <c r="I927" s="339">
        <v>85927.097156571996</v>
      </c>
      <c r="J927" s="340">
        <v>85927.097156571996</v>
      </c>
      <c r="K927" s="335" t="s">
        <v>1895</v>
      </c>
      <c r="L927" s="335">
        <v>2</v>
      </c>
      <c r="M927" s="335" t="s">
        <v>1897</v>
      </c>
      <c r="N927" s="339">
        <v>1</v>
      </c>
      <c r="O927" s="341">
        <v>1</v>
      </c>
      <c r="P927" s="341">
        <v>1</v>
      </c>
      <c r="Q927" s="341">
        <v>1</v>
      </c>
      <c r="R927" s="342">
        <v>4.09</v>
      </c>
      <c r="S927" s="342" t="s">
        <v>106</v>
      </c>
    </row>
    <row r="928" spans="1:19" ht="14.25" customHeight="1" x14ac:dyDescent="0.3">
      <c r="A928" s="335" t="s">
        <v>1898</v>
      </c>
      <c r="B928" s="335" t="s">
        <v>20</v>
      </c>
      <c r="C928" s="335"/>
      <c r="D928" s="335" t="s">
        <v>1899</v>
      </c>
      <c r="E928" s="336" t="s">
        <v>1900</v>
      </c>
      <c r="F928" s="336"/>
      <c r="G928" s="337">
        <v>1</v>
      </c>
      <c r="H928" s="338">
        <v>0</v>
      </c>
      <c r="I928" s="339">
        <v>8884.4798329444802</v>
      </c>
      <c r="J928" s="340">
        <v>8884.4798329444802</v>
      </c>
      <c r="K928" s="335" t="s">
        <v>1901</v>
      </c>
      <c r="L928" s="335">
        <v>1</v>
      </c>
      <c r="M928" s="335" t="s">
        <v>1902</v>
      </c>
      <c r="N928" s="339">
        <v>1</v>
      </c>
      <c r="O928" s="341">
        <v>1</v>
      </c>
      <c r="P928" s="341">
        <v>1</v>
      </c>
      <c r="Q928" s="341">
        <v>1</v>
      </c>
      <c r="R928" s="342">
        <v>4.0999999999999996</v>
      </c>
      <c r="S928" s="342" t="s">
        <v>106</v>
      </c>
    </row>
    <row r="929" spans="1:19" ht="14.25" customHeight="1" x14ac:dyDescent="0.3">
      <c r="A929" s="335" t="s">
        <v>1898</v>
      </c>
      <c r="B929" s="335" t="s">
        <v>26</v>
      </c>
      <c r="C929" s="335" t="s">
        <v>480</v>
      </c>
      <c r="D929" s="335" t="s">
        <v>96</v>
      </c>
      <c r="E929" s="336" t="s">
        <v>97</v>
      </c>
      <c r="F929" s="336" t="s">
        <v>98</v>
      </c>
      <c r="G929" s="337">
        <v>50645.2072434</v>
      </c>
      <c r="H929" s="338">
        <v>0</v>
      </c>
      <c r="I929" s="339">
        <v>1</v>
      </c>
      <c r="J929" s="340">
        <v>50645.2072434</v>
      </c>
      <c r="K929" s="335" t="s">
        <v>1903</v>
      </c>
      <c r="L929" s="335">
        <v>1</v>
      </c>
      <c r="M929" s="335" t="s">
        <v>1904</v>
      </c>
      <c r="N929" s="339">
        <v>1</v>
      </c>
      <c r="O929" s="341">
        <v>50645.2072434</v>
      </c>
      <c r="P929" s="341">
        <v>1</v>
      </c>
      <c r="Q929" s="341">
        <v>50645.2072434</v>
      </c>
      <c r="R929" s="342">
        <v>4.0999999999999996</v>
      </c>
      <c r="S929" s="342" t="s">
        <v>106</v>
      </c>
    </row>
    <row r="930" spans="1:19" ht="14.25" customHeight="1" x14ac:dyDescent="0.3">
      <c r="A930" s="335" t="s">
        <v>1898</v>
      </c>
      <c r="B930" s="335" t="s">
        <v>26</v>
      </c>
      <c r="C930" s="335" t="s">
        <v>480</v>
      </c>
      <c r="D930" s="335" t="s">
        <v>1889</v>
      </c>
      <c r="E930" s="336" t="s">
        <v>1890</v>
      </c>
      <c r="F930" s="336" t="s">
        <v>83</v>
      </c>
      <c r="G930" s="337">
        <v>1.2</v>
      </c>
      <c r="H930" s="338">
        <v>0</v>
      </c>
      <c r="I930" s="339">
        <v>67465.638888999994</v>
      </c>
      <c r="J930" s="340">
        <v>80958.766666800002</v>
      </c>
      <c r="K930" s="335" t="s">
        <v>1903</v>
      </c>
      <c r="L930" s="335">
        <v>2</v>
      </c>
      <c r="M930" s="335" t="s">
        <v>1905</v>
      </c>
      <c r="N930" s="339">
        <v>1</v>
      </c>
      <c r="O930" s="341">
        <v>1.2</v>
      </c>
      <c r="P930" s="341">
        <v>1</v>
      </c>
      <c r="Q930" s="341">
        <v>1.2</v>
      </c>
      <c r="R930" s="342">
        <v>4.0999999999999996</v>
      </c>
      <c r="S930" s="342" t="s">
        <v>106</v>
      </c>
    </row>
    <row r="931" spans="1:19" ht="14.25" customHeight="1" x14ac:dyDescent="0.3">
      <c r="A931" s="335" t="s">
        <v>1898</v>
      </c>
      <c r="B931" s="335" t="s">
        <v>26</v>
      </c>
      <c r="C931" s="335" t="s">
        <v>480</v>
      </c>
      <c r="D931" s="335" t="s">
        <v>1892</v>
      </c>
      <c r="E931" s="336" t="s">
        <v>1893</v>
      </c>
      <c r="F931" s="336" t="s">
        <v>988</v>
      </c>
      <c r="G931" s="337">
        <v>6</v>
      </c>
      <c r="H931" s="338">
        <v>0</v>
      </c>
      <c r="I931" s="339">
        <v>3388.60797</v>
      </c>
      <c r="J931" s="340">
        <v>20331.647819999998</v>
      </c>
      <c r="K931" s="335" t="s">
        <v>1903</v>
      </c>
      <c r="L931" s="335">
        <v>3</v>
      </c>
      <c r="M931" s="335" t="s">
        <v>1906</v>
      </c>
      <c r="N931" s="339">
        <v>1</v>
      </c>
      <c r="O931" s="341">
        <v>6</v>
      </c>
      <c r="P931" s="341">
        <v>1</v>
      </c>
      <c r="Q931" s="341">
        <v>6</v>
      </c>
      <c r="R931" s="342">
        <v>4.0999999999999996</v>
      </c>
      <c r="S931" s="342" t="s">
        <v>106</v>
      </c>
    </row>
    <row r="932" spans="1:19" ht="14.25" customHeight="1" x14ac:dyDescent="0.3">
      <c r="A932" s="335" t="s">
        <v>1898</v>
      </c>
      <c r="B932" s="335" t="s">
        <v>56</v>
      </c>
      <c r="C932" s="335" t="s">
        <v>57</v>
      </c>
      <c r="D932" s="335" t="s">
        <v>58</v>
      </c>
      <c r="E932" s="336" t="s">
        <v>59</v>
      </c>
      <c r="F932" s="336" t="s">
        <v>60</v>
      </c>
      <c r="G932" s="337">
        <v>3</v>
      </c>
      <c r="H932" s="338">
        <v>0</v>
      </c>
      <c r="I932" s="339">
        <v>60860.580776572002</v>
      </c>
      <c r="J932" s="340">
        <v>182581.74232971601</v>
      </c>
      <c r="K932" s="335" t="s">
        <v>1907</v>
      </c>
      <c r="L932" s="335">
        <v>1</v>
      </c>
      <c r="M932" s="335" t="s">
        <v>1908</v>
      </c>
      <c r="N932" s="339">
        <v>1</v>
      </c>
      <c r="O932" s="341">
        <v>3</v>
      </c>
      <c r="P932" s="341">
        <v>1</v>
      </c>
      <c r="Q932" s="341">
        <v>3</v>
      </c>
      <c r="R932" s="342">
        <v>4.0999999999999996</v>
      </c>
      <c r="S932" s="342" t="s">
        <v>106</v>
      </c>
    </row>
    <row r="933" spans="1:19" ht="14.25" customHeight="1" x14ac:dyDescent="0.3">
      <c r="A933" s="335" t="s">
        <v>1898</v>
      </c>
      <c r="B933" s="335" t="s">
        <v>56</v>
      </c>
      <c r="C933" s="335" t="s">
        <v>57</v>
      </c>
      <c r="D933" s="343" t="s">
        <v>63</v>
      </c>
      <c r="E933" s="336" t="s">
        <v>64</v>
      </c>
      <c r="F933" s="336" t="s">
        <v>60</v>
      </c>
      <c r="G933" s="337">
        <v>3</v>
      </c>
      <c r="H933" s="338">
        <v>0</v>
      </c>
      <c r="I933" s="339">
        <v>85927.097156571996</v>
      </c>
      <c r="J933" s="340">
        <v>257781.291469716</v>
      </c>
      <c r="K933" s="335" t="s">
        <v>1907</v>
      </c>
      <c r="L933" s="335">
        <v>2</v>
      </c>
      <c r="M933" s="335" t="s">
        <v>1909</v>
      </c>
      <c r="N933" s="339">
        <v>1</v>
      </c>
      <c r="O933" s="341">
        <v>3</v>
      </c>
      <c r="P933" s="341">
        <v>1</v>
      </c>
      <c r="Q933" s="341">
        <v>3</v>
      </c>
      <c r="R933" s="342">
        <v>4.0999999999999996</v>
      </c>
      <c r="S933" s="342" t="s">
        <v>106</v>
      </c>
    </row>
    <row r="934" spans="1:19" ht="14.25" customHeight="1" x14ac:dyDescent="0.3">
      <c r="A934" s="335" t="s">
        <v>1910</v>
      </c>
      <c r="B934" s="335" t="s">
        <v>20</v>
      </c>
      <c r="C934" s="335"/>
      <c r="D934" s="335" t="s">
        <v>1911</v>
      </c>
      <c r="E934" s="336" t="s">
        <v>1912</v>
      </c>
      <c r="F934" s="336"/>
      <c r="G934" s="337">
        <v>1</v>
      </c>
      <c r="H934" s="338">
        <v>0</v>
      </c>
      <c r="I934" s="339">
        <v>5824.1957555443196</v>
      </c>
      <c r="J934" s="340">
        <v>5824.1957555443196</v>
      </c>
      <c r="K934" s="335" t="s">
        <v>1913</v>
      </c>
      <c r="L934" s="335">
        <v>1</v>
      </c>
      <c r="M934" s="335" t="s">
        <v>1914</v>
      </c>
      <c r="N934" s="339">
        <v>1</v>
      </c>
      <c r="O934" s="341">
        <v>1</v>
      </c>
      <c r="P934" s="341">
        <v>1</v>
      </c>
      <c r="Q934" s="341">
        <v>1</v>
      </c>
      <c r="R934" s="342">
        <v>4.1100000000000003</v>
      </c>
      <c r="S934" s="342" t="s">
        <v>106</v>
      </c>
    </row>
    <row r="935" spans="1:19" ht="14.25" customHeight="1" x14ac:dyDescent="0.3">
      <c r="A935" s="335" t="s">
        <v>1910</v>
      </c>
      <c r="B935" s="335" t="s">
        <v>26</v>
      </c>
      <c r="C935" s="335" t="s">
        <v>480</v>
      </c>
      <c r="D935" s="335" t="s">
        <v>1915</v>
      </c>
      <c r="E935" s="336" t="s">
        <v>1916</v>
      </c>
      <c r="F935" s="336" t="s">
        <v>83</v>
      </c>
      <c r="G935" s="337">
        <v>0.75</v>
      </c>
      <c r="H935" s="338">
        <v>0</v>
      </c>
      <c r="I935" s="339">
        <v>125000</v>
      </c>
      <c r="J935" s="340">
        <v>93750</v>
      </c>
      <c r="K935" s="335" t="s">
        <v>1917</v>
      </c>
      <c r="L935" s="335">
        <v>1</v>
      </c>
      <c r="M935" s="335" t="s">
        <v>1918</v>
      </c>
      <c r="N935" s="339">
        <v>1</v>
      </c>
      <c r="O935" s="341">
        <v>0.75</v>
      </c>
      <c r="P935" s="341">
        <v>1</v>
      </c>
      <c r="Q935" s="341">
        <v>0.75</v>
      </c>
      <c r="R935" s="342">
        <v>4.1100000000000003</v>
      </c>
      <c r="S935" s="342" t="s">
        <v>106</v>
      </c>
    </row>
    <row r="936" spans="1:19" ht="14.25" customHeight="1" x14ac:dyDescent="0.3">
      <c r="A936" s="335" t="s">
        <v>1910</v>
      </c>
      <c r="B936" s="335" t="s">
        <v>26</v>
      </c>
      <c r="C936" s="335" t="s">
        <v>480</v>
      </c>
      <c r="D936" s="335" t="s">
        <v>1919</v>
      </c>
      <c r="E936" s="336" t="s">
        <v>1920</v>
      </c>
      <c r="F936" s="336" t="s">
        <v>35</v>
      </c>
      <c r="G936" s="337">
        <v>0.5</v>
      </c>
      <c r="H936" s="338">
        <v>0</v>
      </c>
      <c r="I936" s="339">
        <v>69985.789999999994</v>
      </c>
      <c r="J936" s="340">
        <v>34992.894999999997</v>
      </c>
      <c r="K936" s="335" t="s">
        <v>1917</v>
      </c>
      <c r="L936" s="335">
        <v>2</v>
      </c>
      <c r="M936" s="335" t="s">
        <v>1921</v>
      </c>
      <c r="N936" s="339">
        <v>1</v>
      </c>
      <c r="O936" s="341">
        <v>0.5</v>
      </c>
      <c r="P936" s="341">
        <v>1</v>
      </c>
      <c r="Q936" s="341">
        <v>0.5</v>
      </c>
      <c r="R936" s="342">
        <v>4.1100000000000003</v>
      </c>
      <c r="S936" s="342" t="s">
        <v>106</v>
      </c>
    </row>
    <row r="937" spans="1:19" ht="14.25" customHeight="1" x14ac:dyDescent="0.3">
      <c r="A937" s="335" t="s">
        <v>1910</v>
      </c>
      <c r="B937" s="335" t="s">
        <v>56</v>
      </c>
      <c r="C937" s="335" t="s">
        <v>57</v>
      </c>
      <c r="D937" s="335" t="s">
        <v>58</v>
      </c>
      <c r="E937" s="336" t="s">
        <v>59</v>
      </c>
      <c r="F937" s="336" t="s">
        <v>60</v>
      </c>
      <c r="G937" s="337">
        <v>3</v>
      </c>
      <c r="H937" s="338">
        <v>0</v>
      </c>
      <c r="I937" s="339">
        <v>60860.580776572002</v>
      </c>
      <c r="J937" s="340">
        <v>182581.74232971601</v>
      </c>
      <c r="K937" s="335" t="s">
        <v>1922</v>
      </c>
      <c r="L937" s="335">
        <v>1</v>
      </c>
      <c r="M937" s="335" t="s">
        <v>1923</v>
      </c>
      <c r="N937" s="339">
        <v>1</v>
      </c>
      <c r="O937" s="341">
        <v>3</v>
      </c>
      <c r="P937" s="341">
        <v>1</v>
      </c>
      <c r="Q937" s="341">
        <v>3</v>
      </c>
      <c r="R937" s="342">
        <v>4.1100000000000003</v>
      </c>
      <c r="S937" s="342" t="s">
        <v>106</v>
      </c>
    </row>
    <row r="938" spans="1:19" ht="14.25" customHeight="1" x14ac:dyDescent="0.3">
      <c r="A938" s="335" t="s">
        <v>1910</v>
      </c>
      <c r="B938" s="335" t="s">
        <v>56</v>
      </c>
      <c r="C938" s="335" t="s">
        <v>57</v>
      </c>
      <c r="D938" s="343" t="s">
        <v>497</v>
      </c>
      <c r="E938" s="336" t="s">
        <v>498</v>
      </c>
      <c r="F938" s="336" t="s">
        <v>60</v>
      </c>
      <c r="G938" s="337">
        <v>1</v>
      </c>
      <c r="H938" s="338">
        <v>0</v>
      </c>
      <c r="I938" s="339">
        <v>76955.079706571996</v>
      </c>
      <c r="J938" s="340">
        <v>76955.079706571996</v>
      </c>
      <c r="K938" s="335" t="s">
        <v>1922</v>
      </c>
      <c r="L938" s="335">
        <v>2</v>
      </c>
      <c r="M938" s="335" t="s">
        <v>1924</v>
      </c>
      <c r="N938" s="339">
        <v>1</v>
      </c>
      <c r="O938" s="341">
        <v>1</v>
      </c>
      <c r="P938" s="341">
        <v>1</v>
      </c>
      <c r="Q938" s="341">
        <v>1</v>
      </c>
      <c r="R938" s="342">
        <v>4.1100000000000003</v>
      </c>
      <c r="S938" s="342" t="s">
        <v>106</v>
      </c>
    </row>
    <row r="939" spans="1:19" ht="14.25" customHeight="1" x14ac:dyDescent="0.3">
      <c r="A939" s="335" t="s">
        <v>1925</v>
      </c>
      <c r="B939" s="335" t="s">
        <v>20</v>
      </c>
      <c r="C939" s="335"/>
      <c r="D939" s="335" t="s">
        <v>1926</v>
      </c>
      <c r="E939" s="336" t="s">
        <v>1927</v>
      </c>
      <c r="F939" s="336"/>
      <c r="G939" s="337">
        <v>1</v>
      </c>
      <c r="H939" s="338">
        <v>0</v>
      </c>
      <c r="I939" s="339">
        <v>2636.7249339025002</v>
      </c>
      <c r="J939" s="340">
        <v>2636.7249339025002</v>
      </c>
      <c r="K939" s="335" t="s">
        <v>1928</v>
      </c>
      <c r="L939" s="335">
        <v>1</v>
      </c>
      <c r="M939" s="335" t="s">
        <v>1929</v>
      </c>
      <c r="N939" s="339">
        <v>1</v>
      </c>
      <c r="O939" s="341">
        <v>1</v>
      </c>
      <c r="P939" s="341">
        <v>3</v>
      </c>
      <c r="Q939" s="341">
        <v>3</v>
      </c>
      <c r="R939" s="342">
        <v>4.12</v>
      </c>
      <c r="S939" s="342" t="s">
        <v>106</v>
      </c>
    </row>
    <row r="940" spans="1:19" ht="14.25" customHeight="1" x14ac:dyDescent="0.3">
      <c r="A940" s="335" t="s">
        <v>1925</v>
      </c>
      <c r="B940" s="335" t="s">
        <v>26</v>
      </c>
      <c r="C940" s="335" t="s">
        <v>27</v>
      </c>
      <c r="D940" s="335" t="s">
        <v>1930</v>
      </c>
      <c r="E940" s="336" t="s">
        <v>1931</v>
      </c>
      <c r="F940" s="336" t="s">
        <v>35</v>
      </c>
      <c r="G940" s="337">
        <v>1</v>
      </c>
      <c r="H940" s="338">
        <v>0</v>
      </c>
      <c r="I940" s="339">
        <v>121487.603305785</v>
      </c>
      <c r="J940" s="340">
        <v>121487.603305785</v>
      </c>
      <c r="K940" s="335" t="s">
        <v>1932</v>
      </c>
      <c r="L940" s="335">
        <v>1</v>
      </c>
      <c r="M940" s="335" t="s">
        <v>1933</v>
      </c>
      <c r="N940" s="339">
        <v>1</v>
      </c>
      <c r="O940" s="341">
        <v>1</v>
      </c>
      <c r="P940" s="341">
        <v>3</v>
      </c>
      <c r="Q940" s="341">
        <v>3</v>
      </c>
      <c r="R940" s="342">
        <v>4.12</v>
      </c>
      <c r="S940" s="342" t="s">
        <v>106</v>
      </c>
    </row>
    <row r="941" spans="1:19" ht="14.25" customHeight="1" x14ac:dyDescent="0.3">
      <c r="A941" s="335" t="s">
        <v>1925</v>
      </c>
      <c r="B941" s="335" t="s">
        <v>56</v>
      </c>
      <c r="C941" s="335" t="s">
        <v>57</v>
      </c>
      <c r="D941" s="343" t="s">
        <v>63</v>
      </c>
      <c r="E941" s="336" t="s">
        <v>64</v>
      </c>
      <c r="F941" s="336" t="s">
        <v>60</v>
      </c>
      <c r="G941" s="337">
        <v>0.33333333333333298</v>
      </c>
      <c r="H941" s="338">
        <v>0</v>
      </c>
      <c r="I941" s="339">
        <v>85927.097156571996</v>
      </c>
      <c r="J941" s="340">
        <v>28642.365718857302</v>
      </c>
      <c r="K941" s="335" t="s">
        <v>1934</v>
      </c>
      <c r="L941" s="335">
        <v>1</v>
      </c>
      <c r="M941" s="335" t="s">
        <v>1935</v>
      </c>
      <c r="N941" s="339">
        <v>1</v>
      </c>
      <c r="O941" s="341">
        <v>0.33333333333333298</v>
      </c>
      <c r="P941" s="341">
        <v>3</v>
      </c>
      <c r="Q941" s="341">
        <v>0.999999999999999</v>
      </c>
      <c r="R941" s="342">
        <v>4.12</v>
      </c>
      <c r="S941" s="342" t="s">
        <v>106</v>
      </c>
    </row>
    <row r="942" spans="1:19" ht="14.25" customHeight="1" x14ac:dyDescent="0.3">
      <c r="A942" s="335" t="s">
        <v>1925</v>
      </c>
      <c r="B942" s="335" t="s">
        <v>56</v>
      </c>
      <c r="C942" s="335" t="s">
        <v>57</v>
      </c>
      <c r="D942" s="343" t="s">
        <v>497</v>
      </c>
      <c r="E942" s="336" t="s">
        <v>498</v>
      </c>
      <c r="F942" s="336" t="s">
        <v>60</v>
      </c>
      <c r="G942" s="337">
        <v>0.33333333333333298</v>
      </c>
      <c r="H942" s="338">
        <v>0</v>
      </c>
      <c r="I942" s="339">
        <v>76955.079706571996</v>
      </c>
      <c r="J942" s="340">
        <v>25651.693235523999</v>
      </c>
      <c r="K942" s="335" t="s">
        <v>1934</v>
      </c>
      <c r="L942" s="335">
        <v>2</v>
      </c>
      <c r="M942" s="335" t="s">
        <v>1936</v>
      </c>
      <c r="N942" s="339">
        <v>1</v>
      </c>
      <c r="O942" s="341">
        <v>0.33333333333333298</v>
      </c>
      <c r="P942" s="341">
        <v>3</v>
      </c>
      <c r="Q942" s="341">
        <v>0.999999999999999</v>
      </c>
      <c r="R942" s="342">
        <v>4.12</v>
      </c>
      <c r="S942" s="342" t="s">
        <v>106</v>
      </c>
    </row>
    <row r="943" spans="1:19" ht="14.25" customHeight="1" x14ac:dyDescent="0.3">
      <c r="A943" s="335" t="s">
        <v>1937</v>
      </c>
      <c r="B943" s="335" t="s">
        <v>20</v>
      </c>
      <c r="C943" s="335"/>
      <c r="D943" s="335" t="s">
        <v>1938</v>
      </c>
      <c r="E943" s="336" t="s">
        <v>1939</v>
      </c>
      <c r="F943" s="336"/>
      <c r="G943" s="337">
        <v>1</v>
      </c>
      <c r="H943" s="338">
        <v>0</v>
      </c>
      <c r="I943" s="339">
        <v>1086.9845825454699</v>
      </c>
      <c r="J943" s="340">
        <v>1086.9845825454699</v>
      </c>
      <c r="K943" s="335" t="s">
        <v>1940</v>
      </c>
      <c r="L943" s="335">
        <v>1</v>
      </c>
      <c r="M943" s="335" t="s">
        <v>1941</v>
      </c>
      <c r="N943" s="339">
        <v>1</v>
      </c>
      <c r="O943" s="341">
        <v>1</v>
      </c>
      <c r="P943" s="341">
        <v>40</v>
      </c>
      <c r="Q943" s="341">
        <v>40</v>
      </c>
      <c r="R943" s="342">
        <v>4.13</v>
      </c>
      <c r="S943" s="342" t="s">
        <v>106</v>
      </c>
    </row>
    <row r="944" spans="1:19" ht="14.25" customHeight="1" x14ac:dyDescent="0.3">
      <c r="A944" s="335" t="s">
        <v>1937</v>
      </c>
      <c r="B944" s="335" t="s">
        <v>26</v>
      </c>
      <c r="C944" s="335" t="s">
        <v>27</v>
      </c>
      <c r="D944" s="335" t="s">
        <v>96</v>
      </c>
      <c r="E944" s="336" t="s">
        <v>97</v>
      </c>
      <c r="F944" s="336" t="s">
        <v>98</v>
      </c>
      <c r="G944" s="337">
        <v>3340.8074999999999</v>
      </c>
      <c r="H944" s="338">
        <v>0</v>
      </c>
      <c r="I944" s="339">
        <v>1</v>
      </c>
      <c r="J944" s="340">
        <v>3340.8074999999999</v>
      </c>
      <c r="K944" s="335" t="s">
        <v>1942</v>
      </c>
      <c r="L944" s="335">
        <v>1</v>
      </c>
      <c r="M944" s="335" t="s">
        <v>1943</v>
      </c>
      <c r="N944" s="339">
        <v>1</v>
      </c>
      <c r="O944" s="341">
        <v>3340.8074999999999</v>
      </c>
      <c r="P944" s="341">
        <v>40</v>
      </c>
      <c r="Q944" s="341">
        <v>133632.29999999999</v>
      </c>
      <c r="R944" s="342">
        <v>4.13</v>
      </c>
      <c r="S944" s="342" t="s">
        <v>106</v>
      </c>
    </row>
    <row r="945" spans="1:19" ht="14.25" customHeight="1" x14ac:dyDescent="0.3">
      <c r="A945" s="335" t="s">
        <v>1937</v>
      </c>
      <c r="B945" s="335" t="s">
        <v>26</v>
      </c>
      <c r="C945" s="335" t="s">
        <v>27</v>
      </c>
      <c r="D945" s="335" t="s">
        <v>1533</v>
      </c>
      <c r="E945" s="336" t="s">
        <v>1534</v>
      </c>
      <c r="F945" s="336" t="s">
        <v>167</v>
      </c>
      <c r="G945" s="337">
        <v>7.5</v>
      </c>
      <c r="H945" s="338">
        <v>0</v>
      </c>
      <c r="I945" s="339">
        <v>1704.41</v>
      </c>
      <c r="J945" s="340">
        <v>12783.075000000001</v>
      </c>
      <c r="K945" s="335" t="s">
        <v>1942</v>
      </c>
      <c r="L945" s="335">
        <v>2</v>
      </c>
      <c r="M945" s="335" t="s">
        <v>1944</v>
      </c>
      <c r="N945" s="339">
        <v>1</v>
      </c>
      <c r="O945" s="341">
        <v>7.5</v>
      </c>
      <c r="P945" s="341">
        <v>40</v>
      </c>
      <c r="Q945" s="341">
        <v>300</v>
      </c>
      <c r="R945" s="342">
        <v>4.13</v>
      </c>
      <c r="S945" s="342" t="s">
        <v>106</v>
      </c>
    </row>
    <row r="946" spans="1:19" ht="14.25" customHeight="1" x14ac:dyDescent="0.3">
      <c r="A946" s="335" t="s">
        <v>1937</v>
      </c>
      <c r="B946" s="335" t="s">
        <v>26</v>
      </c>
      <c r="C946" s="335" t="s">
        <v>27</v>
      </c>
      <c r="D946" s="335" t="s">
        <v>1873</v>
      </c>
      <c r="E946" s="336" t="s">
        <v>1874</v>
      </c>
      <c r="F946" s="336" t="s">
        <v>83</v>
      </c>
      <c r="G946" s="337">
        <v>0.125</v>
      </c>
      <c r="H946" s="338">
        <v>0</v>
      </c>
      <c r="I946" s="339">
        <v>125000</v>
      </c>
      <c r="J946" s="340">
        <v>15625</v>
      </c>
      <c r="K946" s="335" t="s">
        <v>1942</v>
      </c>
      <c r="L946" s="335">
        <v>3</v>
      </c>
      <c r="M946" s="335" t="s">
        <v>1945</v>
      </c>
      <c r="N946" s="339">
        <v>1</v>
      </c>
      <c r="O946" s="341">
        <v>0.125</v>
      </c>
      <c r="P946" s="341">
        <v>40</v>
      </c>
      <c r="Q946" s="341">
        <v>5</v>
      </c>
      <c r="R946" s="342">
        <v>4.13</v>
      </c>
      <c r="S946" s="342" t="s">
        <v>106</v>
      </c>
    </row>
    <row r="947" spans="1:19" ht="14.25" customHeight="1" x14ac:dyDescent="0.3">
      <c r="A947" s="335" t="s">
        <v>1937</v>
      </c>
      <c r="B947" s="335" t="s">
        <v>26</v>
      </c>
      <c r="C947" s="335" t="s">
        <v>27</v>
      </c>
      <c r="D947" s="335" t="s">
        <v>1946</v>
      </c>
      <c r="E947" s="336" t="s">
        <v>1947</v>
      </c>
      <c r="F947" s="336" t="s">
        <v>35</v>
      </c>
      <c r="G947" s="337">
        <v>0.05</v>
      </c>
      <c r="H947" s="338">
        <v>0</v>
      </c>
      <c r="I947" s="339">
        <v>100000</v>
      </c>
      <c r="J947" s="340">
        <v>5000</v>
      </c>
      <c r="K947" s="335" t="s">
        <v>1942</v>
      </c>
      <c r="L947" s="335">
        <v>4</v>
      </c>
      <c r="M947" s="335" t="s">
        <v>1948</v>
      </c>
      <c r="N947" s="339">
        <v>1</v>
      </c>
      <c r="O947" s="341">
        <v>0.05</v>
      </c>
      <c r="P947" s="341">
        <v>40</v>
      </c>
      <c r="Q947" s="341">
        <v>2</v>
      </c>
      <c r="R947" s="342">
        <v>4.13</v>
      </c>
      <c r="S947" s="342" t="s">
        <v>106</v>
      </c>
    </row>
    <row r="948" spans="1:19" ht="14.25" customHeight="1" x14ac:dyDescent="0.3">
      <c r="A948" s="335" t="s">
        <v>1937</v>
      </c>
      <c r="B948" s="335" t="s">
        <v>56</v>
      </c>
      <c r="C948" s="335" t="s">
        <v>57</v>
      </c>
      <c r="D948" s="335" t="s">
        <v>58</v>
      </c>
      <c r="E948" s="336" t="s">
        <v>59</v>
      </c>
      <c r="F948" s="336" t="s">
        <v>60</v>
      </c>
      <c r="G948" s="337">
        <v>0.375</v>
      </c>
      <c r="H948" s="338">
        <v>0</v>
      </c>
      <c r="I948" s="339">
        <v>60860.580776572002</v>
      </c>
      <c r="J948" s="340">
        <v>22822.717791214502</v>
      </c>
      <c r="K948" s="335" t="s">
        <v>1949</v>
      </c>
      <c r="L948" s="335">
        <v>1</v>
      </c>
      <c r="M948" s="335" t="s">
        <v>1950</v>
      </c>
      <c r="N948" s="339">
        <v>1</v>
      </c>
      <c r="O948" s="341">
        <v>0.375</v>
      </c>
      <c r="P948" s="341">
        <v>40</v>
      </c>
      <c r="Q948" s="341">
        <v>15</v>
      </c>
      <c r="R948" s="342">
        <v>4.13</v>
      </c>
      <c r="S948" s="342" t="s">
        <v>106</v>
      </c>
    </row>
    <row r="949" spans="1:19" ht="14.25" customHeight="1" x14ac:dyDescent="0.3">
      <c r="A949" s="335" t="s">
        <v>1937</v>
      </c>
      <c r="B949" s="335" t="s">
        <v>56</v>
      </c>
      <c r="C949" s="335" t="s">
        <v>57</v>
      </c>
      <c r="D949" s="343" t="s">
        <v>413</v>
      </c>
      <c r="E949" s="336" t="s">
        <v>414</v>
      </c>
      <c r="F949" s="336" t="s">
        <v>60</v>
      </c>
      <c r="G949" s="337">
        <v>0.05</v>
      </c>
      <c r="H949" s="338">
        <v>0</v>
      </c>
      <c r="I949" s="339">
        <v>65493.071636572</v>
      </c>
      <c r="J949" s="340">
        <v>3274.6535818286002</v>
      </c>
      <c r="K949" s="335" t="s">
        <v>1949</v>
      </c>
      <c r="L949" s="335">
        <v>2</v>
      </c>
      <c r="M949" s="335" t="s">
        <v>1951</v>
      </c>
      <c r="N949" s="339">
        <v>1</v>
      </c>
      <c r="O949" s="341">
        <v>0.05</v>
      </c>
      <c r="P949" s="341">
        <v>40</v>
      </c>
      <c r="Q949" s="341">
        <v>2</v>
      </c>
      <c r="R949" s="342">
        <v>4.13</v>
      </c>
      <c r="S949" s="342" t="s">
        <v>106</v>
      </c>
    </row>
    <row r="950" spans="1:19" ht="14.25" customHeight="1" x14ac:dyDescent="0.3">
      <c r="A950" s="335" t="s">
        <v>1937</v>
      </c>
      <c r="B950" s="335" t="s">
        <v>56</v>
      </c>
      <c r="C950" s="335" t="s">
        <v>57</v>
      </c>
      <c r="D950" s="343" t="s">
        <v>497</v>
      </c>
      <c r="E950" s="336" t="s">
        <v>498</v>
      </c>
      <c r="F950" s="336" t="s">
        <v>60</v>
      </c>
      <c r="G950" s="337">
        <v>0.125</v>
      </c>
      <c r="H950" s="338">
        <v>0</v>
      </c>
      <c r="I950" s="339">
        <v>76955.079706571996</v>
      </c>
      <c r="J950" s="340">
        <v>9619.3849633214995</v>
      </c>
      <c r="K950" s="335" t="s">
        <v>1949</v>
      </c>
      <c r="L950" s="335">
        <v>3</v>
      </c>
      <c r="M950" s="335" t="s">
        <v>1952</v>
      </c>
      <c r="N950" s="339">
        <v>1</v>
      </c>
      <c r="O950" s="341">
        <v>0.125</v>
      </c>
      <c r="P950" s="341">
        <v>40</v>
      </c>
      <c r="Q950" s="341">
        <v>5</v>
      </c>
      <c r="R950" s="342">
        <v>4.13</v>
      </c>
      <c r="S950" s="342" t="s">
        <v>106</v>
      </c>
    </row>
    <row r="951" spans="1:19" ht="14.25" customHeight="1" x14ac:dyDescent="0.3">
      <c r="A951" s="335" t="s">
        <v>1953</v>
      </c>
      <c r="B951" s="335" t="s">
        <v>20</v>
      </c>
      <c r="C951" s="335"/>
      <c r="D951" s="335" t="s">
        <v>1954</v>
      </c>
      <c r="E951" s="336" t="s">
        <v>1955</v>
      </c>
      <c r="F951" s="336"/>
      <c r="G951" s="337">
        <v>1</v>
      </c>
      <c r="H951" s="338">
        <v>0</v>
      </c>
      <c r="I951" s="339">
        <v>1969.9744827858201</v>
      </c>
      <c r="J951" s="340">
        <v>1969.9744827858201</v>
      </c>
      <c r="K951" s="335" t="s">
        <v>1956</v>
      </c>
      <c r="L951" s="335">
        <v>1</v>
      </c>
      <c r="M951" s="335" t="s">
        <v>1957</v>
      </c>
      <c r="N951" s="339">
        <v>1</v>
      </c>
      <c r="O951" s="341">
        <v>1</v>
      </c>
      <c r="P951" s="341">
        <v>8</v>
      </c>
      <c r="Q951" s="341">
        <v>8</v>
      </c>
      <c r="R951" s="342">
        <v>4.1399999999999997</v>
      </c>
      <c r="S951" s="342" t="s">
        <v>106</v>
      </c>
    </row>
    <row r="952" spans="1:19" ht="14.25" customHeight="1" x14ac:dyDescent="0.3">
      <c r="A952" s="335" t="s">
        <v>1953</v>
      </c>
      <c r="B952" s="335" t="s">
        <v>26</v>
      </c>
      <c r="C952" s="335" t="s">
        <v>480</v>
      </c>
      <c r="D952" s="335" t="s">
        <v>96</v>
      </c>
      <c r="E952" s="336" t="s">
        <v>97</v>
      </c>
      <c r="F952" s="336" t="s">
        <v>98</v>
      </c>
      <c r="G952" s="337">
        <v>2176.93291735</v>
      </c>
      <c r="H952" s="338">
        <v>0</v>
      </c>
      <c r="I952" s="339">
        <v>1</v>
      </c>
      <c r="J952" s="340">
        <v>2176.93291735</v>
      </c>
      <c r="K952" s="335" t="s">
        <v>1958</v>
      </c>
      <c r="L952" s="335">
        <v>1</v>
      </c>
      <c r="M952" s="335" t="s">
        <v>1959</v>
      </c>
      <c r="N952" s="339">
        <v>1</v>
      </c>
      <c r="O952" s="341">
        <v>2176.93291735</v>
      </c>
      <c r="P952" s="341">
        <v>8</v>
      </c>
      <c r="Q952" s="341">
        <v>17415.4633388</v>
      </c>
      <c r="R952" s="342">
        <v>4.1399999999999997</v>
      </c>
      <c r="S952" s="342" t="s">
        <v>106</v>
      </c>
    </row>
    <row r="953" spans="1:19" ht="14.25" customHeight="1" x14ac:dyDescent="0.3">
      <c r="A953" s="335" t="s">
        <v>1953</v>
      </c>
      <c r="B953" s="335" t="s">
        <v>26</v>
      </c>
      <c r="C953" s="335" t="s">
        <v>480</v>
      </c>
      <c r="D953" s="335" t="s">
        <v>1960</v>
      </c>
      <c r="E953" s="336" t="s">
        <v>1961</v>
      </c>
      <c r="F953" s="336" t="s">
        <v>988</v>
      </c>
      <c r="G953" s="337">
        <v>1.8</v>
      </c>
      <c r="H953" s="338">
        <v>0</v>
      </c>
      <c r="I953" s="339">
        <v>6590.9962250622002</v>
      </c>
      <c r="J953" s="340">
        <v>11863.793205112001</v>
      </c>
      <c r="K953" s="335" t="s">
        <v>1958</v>
      </c>
      <c r="L953" s="335">
        <v>2</v>
      </c>
      <c r="M953" s="335" t="s">
        <v>1962</v>
      </c>
      <c r="N953" s="339">
        <v>1</v>
      </c>
      <c r="O953" s="341">
        <v>1.8</v>
      </c>
      <c r="P953" s="341">
        <v>8</v>
      </c>
      <c r="Q953" s="341">
        <v>14.4</v>
      </c>
      <c r="R953" s="342">
        <v>4.1399999999999997</v>
      </c>
      <c r="S953" s="342" t="s">
        <v>106</v>
      </c>
    </row>
    <row r="954" spans="1:19" ht="14.25" customHeight="1" x14ac:dyDescent="0.3">
      <c r="A954" s="335" t="s">
        <v>1953</v>
      </c>
      <c r="B954" s="335" t="s">
        <v>26</v>
      </c>
      <c r="C954" s="335" t="s">
        <v>480</v>
      </c>
      <c r="D954" s="335" t="s">
        <v>1963</v>
      </c>
      <c r="E954" s="336" t="s">
        <v>1964</v>
      </c>
      <c r="F954" s="336" t="s">
        <v>988</v>
      </c>
      <c r="G954" s="337">
        <v>0.6</v>
      </c>
      <c r="H954" s="338">
        <v>0</v>
      </c>
      <c r="I954" s="339">
        <v>4009.2266140000002</v>
      </c>
      <c r="J954" s="340">
        <v>2405.5359684</v>
      </c>
      <c r="K954" s="335" t="s">
        <v>1958</v>
      </c>
      <c r="L954" s="335">
        <v>3</v>
      </c>
      <c r="M954" s="335" t="s">
        <v>1965</v>
      </c>
      <c r="N954" s="339">
        <v>1</v>
      </c>
      <c r="O954" s="341">
        <v>0.6</v>
      </c>
      <c r="P954" s="341">
        <v>8</v>
      </c>
      <c r="Q954" s="341">
        <v>4.8</v>
      </c>
      <c r="R954" s="342">
        <v>4.1399999999999997</v>
      </c>
      <c r="S954" s="342" t="s">
        <v>106</v>
      </c>
    </row>
    <row r="955" spans="1:19" ht="14.25" customHeight="1" x14ac:dyDescent="0.3">
      <c r="A955" s="335" t="s">
        <v>1953</v>
      </c>
      <c r="B955" s="335" t="s">
        <v>26</v>
      </c>
      <c r="C955" s="335" t="s">
        <v>27</v>
      </c>
      <c r="D955" s="335" t="s">
        <v>1966</v>
      </c>
      <c r="E955" s="336" t="s">
        <v>1967</v>
      </c>
      <c r="F955" s="336" t="s">
        <v>35</v>
      </c>
      <c r="G955" s="337">
        <v>0.5</v>
      </c>
      <c r="H955" s="338">
        <v>0</v>
      </c>
      <c r="I955" s="339">
        <v>15000</v>
      </c>
      <c r="J955" s="340">
        <v>7500</v>
      </c>
      <c r="K955" s="335" t="s">
        <v>1958</v>
      </c>
      <c r="L955" s="335">
        <v>4</v>
      </c>
      <c r="M955" s="335" t="s">
        <v>1968</v>
      </c>
      <c r="N955" s="339">
        <v>1</v>
      </c>
      <c r="O955" s="341">
        <v>0.5</v>
      </c>
      <c r="P955" s="341">
        <v>8</v>
      </c>
      <c r="Q955" s="341">
        <v>4</v>
      </c>
      <c r="R955" s="342">
        <v>4.1399999999999997</v>
      </c>
      <c r="S955" s="342" t="s">
        <v>106</v>
      </c>
    </row>
    <row r="956" spans="1:19" ht="14.25" customHeight="1" x14ac:dyDescent="0.3">
      <c r="A956" s="335" t="s">
        <v>1953</v>
      </c>
      <c r="B956" s="335" t="s">
        <v>56</v>
      </c>
      <c r="C956" s="335" t="s">
        <v>57</v>
      </c>
      <c r="D956" s="335" t="s">
        <v>58</v>
      </c>
      <c r="E956" s="336" t="s">
        <v>59</v>
      </c>
      <c r="F956" s="336" t="s">
        <v>60</v>
      </c>
      <c r="G956" s="337">
        <v>0.5</v>
      </c>
      <c r="H956" s="338">
        <v>0</v>
      </c>
      <c r="I956" s="339">
        <v>60860.580776572002</v>
      </c>
      <c r="J956" s="340">
        <v>30430.290388286001</v>
      </c>
      <c r="K956" s="335" t="s">
        <v>1969</v>
      </c>
      <c r="L956" s="335">
        <v>1</v>
      </c>
      <c r="M956" s="335" t="s">
        <v>1970</v>
      </c>
      <c r="N956" s="339">
        <v>1</v>
      </c>
      <c r="O956" s="341">
        <v>0.5</v>
      </c>
      <c r="P956" s="341">
        <v>8</v>
      </c>
      <c r="Q956" s="341">
        <v>4</v>
      </c>
      <c r="R956" s="342">
        <v>4.1399999999999997</v>
      </c>
      <c r="S956" s="342" t="s">
        <v>106</v>
      </c>
    </row>
    <row r="957" spans="1:19" ht="14.25" customHeight="1" x14ac:dyDescent="0.3">
      <c r="A957" s="335" t="s">
        <v>1953</v>
      </c>
      <c r="B957" s="335" t="s">
        <v>56</v>
      </c>
      <c r="C957" s="335" t="s">
        <v>57</v>
      </c>
      <c r="D957" s="343" t="s">
        <v>497</v>
      </c>
      <c r="E957" s="336" t="s">
        <v>498</v>
      </c>
      <c r="F957" s="336" t="s">
        <v>60</v>
      </c>
      <c r="G957" s="337">
        <v>1</v>
      </c>
      <c r="H957" s="338">
        <v>0</v>
      </c>
      <c r="I957" s="339">
        <v>76955.079706571996</v>
      </c>
      <c r="J957" s="340">
        <v>76955.079706571996</v>
      </c>
      <c r="K957" s="335" t="s">
        <v>1969</v>
      </c>
      <c r="L957" s="335">
        <v>2</v>
      </c>
      <c r="M957" s="335" t="s">
        <v>1971</v>
      </c>
      <c r="N957" s="339">
        <v>1</v>
      </c>
      <c r="O957" s="341">
        <v>1</v>
      </c>
      <c r="P957" s="341">
        <v>8</v>
      </c>
      <c r="Q957" s="341">
        <v>8</v>
      </c>
      <c r="R957" s="342">
        <v>4.1399999999999997</v>
      </c>
      <c r="S957" s="342" t="s">
        <v>106</v>
      </c>
    </row>
    <row r="958" spans="1:19" ht="14.25" customHeight="1" x14ac:dyDescent="0.3">
      <c r="A958" s="335" t="s">
        <v>1972</v>
      </c>
      <c r="B958" s="335" t="s">
        <v>20</v>
      </c>
      <c r="C958" s="335"/>
      <c r="D958" s="335" t="s">
        <v>67</v>
      </c>
      <c r="E958" s="336" t="s">
        <v>68</v>
      </c>
      <c r="F958" s="336"/>
      <c r="G958" s="337">
        <v>0.5</v>
      </c>
      <c r="H958" s="338">
        <v>0</v>
      </c>
      <c r="I958" s="339">
        <v>571.17949098076099</v>
      </c>
      <c r="J958" s="340">
        <v>285.58974549038101</v>
      </c>
      <c r="K958" s="335" t="s">
        <v>1973</v>
      </c>
      <c r="L958" s="335">
        <v>1</v>
      </c>
      <c r="M958" s="335" t="s">
        <v>1974</v>
      </c>
      <c r="N958" s="339">
        <v>28</v>
      </c>
      <c r="O958" s="341">
        <v>0.5</v>
      </c>
      <c r="P958" s="341">
        <v>136</v>
      </c>
      <c r="Q958" s="341">
        <v>68</v>
      </c>
      <c r="R958" s="342">
        <v>5.01</v>
      </c>
      <c r="S958" s="342" t="s">
        <v>106</v>
      </c>
    </row>
    <row r="959" spans="1:19" ht="14.25" customHeight="1" x14ac:dyDescent="0.3">
      <c r="A959" s="335" t="s">
        <v>1972</v>
      </c>
      <c r="B959" s="335" t="s">
        <v>20</v>
      </c>
      <c r="C959" s="335"/>
      <c r="D959" s="335" t="s">
        <v>71</v>
      </c>
      <c r="E959" s="336" t="s">
        <v>72</v>
      </c>
      <c r="F959" s="336"/>
      <c r="G959" s="337">
        <v>1</v>
      </c>
      <c r="H959" s="338">
        <v>0</v>
      </c>
      <c r="I959" s="339">
        <v>2287.1357450968098</v>
      </c>
      <c r="J959" s="340">
        <v>2287.1357450968098</v>
      </c>
      <c r="K959" s="335" t="s">
        <v>1973</v>
      </c>
      <c r="L959" s="335">
        <v>2</v>
      </c>
      <c r="M959" s="335" t="s">
        <v>1975</v>
      </c>
      <c r="N959" s="339">
        <v>28</v>
      </c>
      <c r="O959" s="341">
        <v>1</v>
      </c>
      <c r="P959" s="341">
        <v>136</v>
      </c>
      <c r="Q959" s="341">
        <v>136</v>
      </c>
      <c r="R959" s="342">
        <v>5.01</v>
      </c>
      <c r="S959" s="342" t="s">
        <v>106</v>
      </c>
    </row>
    <row r="960" spans="1:19" ht="14.25" customHeight="1" x14ac:dyDescent="0.3">
      <c r="A960" s="335" t="s">
        <v>1972</v>
      </c>
      <c r="B960" s="335" t="s">
        <v>20</v>
      </c>
      <c r="C960" s="335"/>
      <c r="D960" s="335" t="s">
        <v>74</v>
      </c>
      <c r="E960" s="336" t="s">
        <v>75</v>
      </c>
      <c r="F960" s="336"/>
      <c r="G960" s="337">
        <v>1</v>
      </c>
      <c r="H960" s="338">
        <v>0</v>
      </c>
      <c r="I960" s="339">
        <v>957.25319614994703</v>
      </c>
      <c r="J960" s="340">
        <v>957.25319614994703</v>
      </c>
      <c r="K960" s="335" t="s">
        <v>1973</v>
      </c>
      <c r="L960" s="335">
        <v>3</v>
      </c>
      <c r="M960" s="335" t="s">
        <v>1976</v>
      </c>
      <c r="N960" s="339">
        <v>28</v>
      </c>
      <c r="O960" s="341">
        <v>1</v>
      </c>
      <c r="P960" s="341">
        <v>136</v>
      </c>
      <c r="Q960" s="341">
        <v>136</v>
      </c>
      <c r="R960" s="342">
        <v>5.01</v>
      </c>
      <c r="S960" s="342" t="s">
        <v>106</v>
      </c>
    </row>
    <row r="961" spans="1:19" ht="14.25" customHeight="1" x14ac:dyDescent="0.3">
      <c r="A961" s="335" t="s">
        <v>1972</v>
      </c>
      <c r="B961" s="335" t="s">
        <v>26</v>
      </c>
      <c r="C961" s="335" t="s">
        <v>27</v>
      </c>
      <c r="D961" s="335" t="s">
        <v>81</v>
      </c>
      <c r="E961" s="336" t="s">
        <v>82</v>
      </c>
      <c r="F961" s="336" t="s">
        <v>83</v>
      </c>
      <c r="G961" s="337">
        <v>6.0000000000000001E-3</v>
      </c>
      <c r="H961" s="338">
        <v>0.1</v>
      </c>
      <c r="I961" s="339">
        <v>32399.77</v>
      </c>
      <c r="J961" s="340">
        <v>213.838482</v>
      </c>
      <c r="K961" s="335" t="s">
        <v>1977</v>
      </c>
      <c r="L961" s="335">
        <v>1</v>
      </c>
      <c r="M961" s="335" t="s">
        <v>1978</v>
      </c>
      <c r="N961" s="339">
        <v>28</v>
      </c>
      <c r="O961" s="341">
        <v>6.0000000000000001E-3</v>
      </c>
      <c r="P961" s="341">
        <v>136</v>
      </c>
      <c r="Q961" s="341">
        <v>0.81599999999999995</v>
      </c>
      <c r="R961" s="342">
        <v>5.01</v>
      </c>
      <c r="S961" s="342" t="s">
        <v>106</v>
      </c>
    </row>
    <row r="962" spans="1:19" ht="14.25" customHeight="1" x14ac:dyDescent="0.3">
      <c r="A962" s="335" t="s">
        <v>1972</v>
      </c>
      <c r="B962" s="335" t="s">
        <v>26</v>
      </c>
      <c r="C962" s="335" t="s">
        <v>27</v>
      </c>
      <c r="D962" s="335" t="s">
        <v>85</v>
      </c>
      <c r="E962" s="336" t="s">
        <v>86</v>
      </c>
      <c r="F962" s="336" t="s">
        <v>87</v>
      </c>
      <c r="G962" s="337">
        <v>5.3999999999999999E-2</v>
      </c>
      <c r="H962" s="338">
        <v>0.1</v>
      </c>
      <c r="I962" s="339">
        <v>7809.48</v>
      </c>
      <c r="J962" s="340">
        <v>463.88311199999998</v>
      </c>
      <c r="K962" s="335" t="s">
        <v>1977</v>
      </c>
      <c r="L962" s="335">
        <v>2</v>
      </c>
      <c r="M962" s="335" t="s">
        <v>1979</v>
      </c>
      <c r="N962" s="339">
        <v>28</v>
      </c>
      <c r="O962" s="341">
        <v>5.3999999999999999E-2</v>
      </c>
      <c r="P962" s="341">
        <v>136</v>
      </c>
      <c r="Q962" s="341">
        <v>7.3440000000000003</v>
      </c>
      <c r="R962" s="342">
        <v>5.01</v>
      </c>
      <c r="S962" s="342" t="s">
        <v>106</v>
      </c>
    </row>
    <row r="963" spans="1:19" ht="14.25" customHeight="1" x14ac:dyDescent="0.3">
      <c r="A963" s="335" t="s">
        <v>1972</v>
      </c>
      <c r="B963" s="335" t="s">
        <v>26</v>
      </c>
      <c r="C963" s="335" t="s">
        <v>27</v>
      </c>
      <c r="D963" s="335" t="s">
        <v>165</v>
      </c>
      <c r="E963" s="336" t="s">
        <v>166</v>
      </c>
      <c r="F963" s="336" t="s">
        <v>167</v>
      </c>
      <c r="G963" s="337">
        <v>0.1</v>
      </c>
      <c r="H963" s="338">
        <v>0.05</v>
      </c>
      <c r="I963" s="339">
        <v>1256.1279999999999</v>
      </c>
      <c r="J963" s="340">
        <v>131.89344</v>
      </c>
      <c r="K963" s="335" t="s">
        <v>1977</v>
      </c>
      <c r="L963" s="335">
        <v>3</v>
      </c>
      <c r="M963" s="335" t="s">
        <v>1980</v>
      </c>
      <c r="N963" s="339">
        <v>28</v>
      </c>
      <c r="O963" s="341">
        <v>0.1</v>
      </c>
      <c r="P963" s="341">
        <v>136</v>
      </c>
      <c r="Q963" s="341">
        <v>13.6</v>
      </c>
      <c r="R963" s="342">
        <v>5.01</v>
      </c>
      <c r="S963" s="342" t="s">
        <v>106</v>
      </c>
    </row>
    <row r="964" spans="1:19" ht="14.25" customHeight="1" x14ac:dyDescent="0.3">
      <c r="A964" s="335" t="s">
        <v>1972</v>
      </c>
      <c r="B964" s="335" t="s">
        <v>56</v>
      </c>
      <c r="C964" s="335" t="s">
        <v>57</v>
      </c>
      <c r="D964" s="343" t="s">
        <v>58</v>
      </c>
      <c r="E964" s="336" t="s">
        <v>59</v>
      </c>
      <c r="F964" s="336" t="s">
        <v>60</v>
      </c>
      <c r="G964" s="337">
        <v>0.4</v>
      </c>
      <c r="H964" s="338">
        <v>0</v>
      </c>
      <c r="I964" s="339">
        <v>60860.580776572002</v>
      </c>
      <c r="J964" s="340">
        <v>24344.232310628799</v>
      </c>
      <c r="K964" s="335" t="s">
        <v>1981</v>
      </c>
      <c r="L964" s="335">
        <v>1</v>
      </c>
      <c r="M964" s="335" t="s">
        <v>1982</v>
      </c>
      <c r="N964" s="339">
        <v>28</v>
      </c>
      <c r="O964" s="341">
        <v>1.4285714285714299E-2</v>
      </c>
      <c r="P964" s="341">
        <v>136</v>
      </c>
      <c r="Q964" s="341">
        <v>1.94285714285714</v>
      </c>
      <c r="R964" s="342">
        <v>5.01</v>
      </c>
      <c r="S964" s="342" t="s">
        <v>106</v>
      </c>
    </row>
    <row r="965" spans="1:19" ht="14.25" customHeight="1" x14ac:dyDescent="0.3">
      <c r="A965" s="335" t="s">
        <v>1972</v>
      </c>
      <c r="B965" s="335" t="s">
        <v>56</v>
      </c>
      <c r="C965" s="335" t="s">
        <v>57</v>
      </c>
      <c r="D965" s="343" t="s">
        <v>63</v>
      </c>
      <c r="E965" s="336" t="s">
        <v>64</v>
      </c>
      <c r="F965" s="336" t="s">
        <v>60</v>
      </c>
      <c r="G965" s="337">
        <v>1</v>
      </c>
      <c r="H965" s="338">
        <v>0</v>
      </c>
      <c r="I965" s="339">
        <v>85927.097156571996</v>
      </c>
      <c r="J965" s="340">
        <v>85927.097156571996</v>
      </c>
      <c r="K965" s="335" t="s">
        <v>1981</v>
      </c>
      <c r="L965" s="335">
        <v>2</v>
      </c>
      <c r="M965" s="335" t="s">
        <v>1983</v>
      </c>
      <c r="N965" s="339">
        <v>28</v>
      </c>
      <c r="O965" s="341">
        <v>3.5714285714285698E-2</v>
      </c>
      <c r="P965" s="341">
        <v>136</v>
      </c>
      <c r="Q965" s="341">
        <v>4.8571428571428603</v>
      </c>
      <c r="R965" s="342">
        <v>5.01</v>
      </c>
      <c r="S965" s="342" t="s">
        <v>106</v>
      </c>
    </row>
    <row r="966" spans="1:19" ht="14.25" customHeight="1" x14ac:dyDescent="0.3">
      <c r="A966" s="335" t="s">
        <v>1984</v>
      </c>
      <c r="B966" s="335" t="s">
        <v>20</v>
      </c>
      <c r="C966" s="335"/>
      <c r="D966" s="335" t="s">
        <v>21</v>
      </c>
      <c r="E966" s="336" t="s">
        <v>22</v>
      </c>
      <c r="F966" s="336"/>
      <c r="G966" s="337">
        <v>1</v>
      </c>
      <c r="H966" s="338">
        <v>0</v>
      </c>
      <c r="I966" s="339">
        <v>804.50568716119994</v>
      </c>
      <c r="J966" s="340">
        <v>804.50568716119994</v>
      </c>
      <c r="K966" s="335" t="s">
        <v>1985</v>
      </c>
      <c r="L966" s="335">
        <v>1</v>
      </c>
      <c r="M966" s="335" t="s">
        <v>1986</v>
      </c>
      <c r="N966" s="339">
        <v>25</v>
      </c>
      <c r="O966" s="341">
        <v>1</v>
      </c>
      <c r="P966" s="341">
        <v>77</v>
      </c>
      <c r="Q966" s="341">
        <v>77</v>
      </c>
      <c r="R966" s="342">
        <v>5.0199999999999996</v>
      </c>
      <c r="S966" s="342" t="s">
        <v>106</v>
      </c>
    </row>
    <row r="967" spans="1:19" ht="14.25" customHeight="1" x14ac:dyDescent="0.3">
      <c r="A967" s="335" t="s">
        <v>1984</v>
      </c>
      <c r="B967" s="335" t="s">
        <v>26</v>
      </c>
      <c r="C967" s="335" t="s">
        <v>27</v>
      </c>
      <c r="D967" s="335" t="s">
        <v>53</v>
      </c>
      <c r="E967" s="336" t="s">
        <v>54</v>
      </c>
      <c r="F967" s="336" t="s">
        <v>35</v>
      </c>
      <c r="G967" s="337">
        <v>0.1</v>
      </c>
      <c r="H967" s="338">
        <v>0.1</v>
      </c>
      <c r="I967" s="339">
        <v>70192.210000000006</v>
      </c>
      <c r="J967" s="340">
        <v>7721.1431000000002</v>
      </c>
      <c r="K967" s="335" t="s">
        <v>1987</v>
      </c>
      <c r="L967" s="335">
        <v>1</v>
      </c>
      <c r="M967" s="335" t="s">
        <v>1988</v>
      </c>
      <c r="N967" s="339">
        <v>25</v>
      </c>
      <c r="O967" s="341">
        <v>0.1</v>
      </c>
      <c r="P967" s="341">
        <v>77</v>
      </c>
      <c r="Q967" s="341">
        <v>7.7</v>
      </c>
      <c r="R967" s="342">
        <v>5.0199999999999996</v>
      </c>
      <c r="S967" s="342" t="s">
        <v>106</v>
      </c>
    </row>
    <row r="968" spans="1:19" ht="14.25" customHeight="1" x14ac:dyDescent="0.3">
      <c r="A968" s="335" t="s">
        <v>1984</v>
      </c>
      <c r="B968" s="335" t="s">
        <v>26</v>
      </c>
      <c r="C968" s="335" t="s">
        <v>27</v>
      </c>
      <c r="D968" s="335" t="s">
        <v>28</v>
      </c>
      <c r="E968" s="336" t="s">
        <v>29</v>
      </c>
      <c r="F968" s="336" t="s">
        <v>30</v>
      </c>
      <c r="G968" s="337">
        <v>0.01</v>
      </c>
      <c r="H968" s="338">
        <v>0.05</v>
      </c>
      <c r="I968" s="339">
        <v>26907.33</v>
      </c>
      <c r="J968" s="340">
        <v>282.52696500000002</v>
      </c>
      <c r="K968" s="335" t="s">
        <v>1987</v>
      </c>
      <c r="L968" s="335">
        <v>2</v>
      </c>
      <c r="M968" s="335" t="s">
        <v>1989</v>
      </c>
      <c r="N968" s="339">
        <v>25</v>
      </c>
      <c r="O968" s="341">
        <v>0.01</v>
      </c>
      <c r="P968" s="341">
        <v>77</v>
      </c>
      <c r="Q968" s="341">
        <v>0.77</v>
      </c>
      <c r="R968" s="342">
        <v>5.0199999999999996</v>
      </c>
      <c r="S968" s="342" t="s">
        <v>106</v>
      </c>
    </row>
    <row r="969" spans="1:19" ht="14.25" customHeight="1" x14ac:dyDescent="0.3">
      <c r="A969" s="335" t="s">
        <v>1984</v>
      </c>
      <c r="B969" s="335" t="s">
        <v>26</v>
      </c>
      <c r="C969" s="335" t="s">
        <v>27</v>
      </c>
      <c r="D969" s="335" t="s">
        <v>33</v>
      </c>
      <c r="E969" s="336" t="s">
        <v>34</v>
      </c>
      <c r="F969" s="336" t="s">
        <v>35</v>
      </c>
      <c r="G969" s="337">
        <v>0.02</v>
      </c>
      <c r="H969" s="338">
        <v>0.05</v>
      </c>
      <c r="I969" s="339">
        <v>735.06</v>
      </c>
      <c r="J969" s="340">
        <v>15.436260000000001</v>
      </c>
      <c r="K969" s="335" t="s">
        <v>1987</v>
      </c>
      <c r="L969" s="335">
        <v>3</v>
      </c>
      <c r="M969" s="335" t="s">
        <v>1990</v>
      </c>
      <c r="N969" s="339">
        <v>25</v>
      </c>
      <c r="O969" s="341">
        <v>0.02</v>
      </c>
      <c r="P969" s="341">
        <v>77</v>
      </c>
      <c r="Q969" s="341">
        <v>1.54</v>
      </c>
      <c r="R969" s="342">
        <v>5.0199999999999996</v>
      </c>
      <c r="S969" s="342" t="s">
        <v>106</v>
      </c>
    </row>
    <row r="970" spans="1:19" ht="14.25" customHeight="1" x14ac:dyDescent="0.3">
      <c r="A970" s="335" t="s">
        <v>1984</v>
      </c>
      <c r="B970" s="335" t="s">
        <v>26</v>
      </c>
      <c r="C970" s="335" t="s">
        <v>27</v>
      </c>
      <c r="D970" s="335" t="s">
        <v>37</v>
      </c>
      <c r="E970" s="336" t="s">
        <v>38</v>
      </c>
      <c r="F970" s="336" t="s">
        <v>35</v>
      </c>
      <c r="G970" s="337">
        <v>0.01</v>
      </c>
      <c r="H970" s="338">
        <v>0.05</v>
      </c>
      <c r="I970" s="339">
        <v>6678.36</v>
      </c>
      <c r="J970" s="340">
        <v>70.122780000000006</v>
      </c>
      <c r="K970" s="335" t="s">
        <v>1987</v>
      </c>
      <c r="L970" s="335">
        <v>4</v>
      </c>
      <c r="M970" s="335" t="s">
        <v>1991</v>
      </c>
      <c r="N970" s="339">
        <v>25</v>
      </c>
      <c r="O970" s="341">
        <v>0.01</v>
      </c>
      <c r="P970" s="341">
        <v>77</v>
      </c>
      <c r="Q970" s="341">
        <v>0.77</v>
      </c>
      <c r="R970" s="342">
        <v>5.0199999999999996</v>
      </c>
      <c r="S970" s="342" t="s">
        <v>106</v>
      </c>
    </row>
    <row r="971" spans="1:19" ht="14.25" customHeight="1" x14ac:dyDescent="0.3">
      <c r="A971" s="335" t="s">
        <v>1984</v>
      </c>
      <c r="B971" s="335" t="s">
        <v>26</v>
      </c>
      <c r="C971" s="335" t="s">
        <v>27</v>
      </c>
      <c r="D971" s="335" t="s">
        <v>40</v>
      </c>
      <c r="E971" s="336" t="s">
        <v>41</v>
      </c>
      <c r="F971" s="336" t="s">
        <v>35</v>
      </c>
      <c r="G971" s="337">
        <v>0.02</v>
      </c>
      <c r="H971" s="338">
        <v>0.05</v>
      </c>
      <c r="I971" s="339">
        <v>5282.24</v>
      </c>
      <c r="J971" s="340">
        <v>110.92704000000001</v>
      </c>
      <c r="K971" s="335" t="s">
        <v>1987</v>
      </c>
      <c r="L971" s="335">
        <v>5</v>
      </c>
      <c r="M971" s="335" t="s">
        <v>1992</v>
      </c>
      <c r="N971" s="339">
        <v>25</v>
      </c>
      <c r="O971" s="341">
        <v>0.02</v>
      </c>
      <c r="P971" s="341">
        <v>77</v>
      </c>
      <c r="Q971" s="341">
        <v>1.54</v>
      </c>
      <c r="R971" s="342">
        <v>5.0199999999999996</v>
      </c>
      <c r="S971" s="342" t="s">
        <v>106</v>
      </c>
    </row>
    <row r="972" spans="1:19" ht="14.25" customHeight="1" x14ac:dyDescent="0.3">
      <c r="A972" s="335" t="s">
        <v>1984</v>
      </c>
      <c r="B972" s="335" t="s">
        <v>26</v>
      </c>
      <c r="C972" s="335" t="s">
        <v>27</v>
      </c>
      <c r="D972" s="335" t="s">
        <v>43</v>
      </c>
      <c r="E972" s="336" t="s">
        <v>44</v>
      </c>
      <c r="F972" s="336" t="s">
        <v>45</v>
      </c>
      <c r="G972" s="337">
        <v>0.06</v>
      </c>
      <c r="H972" s="338">
        <v>0.05</v>
      </c>
      <c r="I972" s="339">
        <v>4842</v>
      </c>
      <c r="J972" s="340">
        <v>305.04599999999999</v>
      </c>
      <c r="K972" s="335" t="s">
        <v>1987</v>
      </c>
      <c r="L972" s="335">
        <v>6</v>
      </c>
      <c r="M972" s="335" t="s">
        <v>1993</v>
      </c>
      <c r="N972" s="339">
        <v>25</v>
      </c>
      <c r="O972" s="341">
        <v>0.06</v>
      </c>
      <c r="P972" s="341">
        <v>77</v>
      </c>
      <c r="Q972" s="341">
        <v>4.62</v>
      </c>
      <c r="R972" s="342">
        <v>5.0199999999999996</v>
      </c>
      <c r="S972" s="342" t="s">
        <v>106</v>
      </c>
    </row>
    <row r="973" spans="1:19" ht="14.25" customHeight="1" x14ac:dyDescent="0.3">
      <c r="A973" s="335" t="s">
        <v>1984</v>
      </c>
      <c r="B973" s="335" t="s">
        <v>26</v>
      </c>
      <c r="C973" s="335" t="s">
        <v>27</v>
      </c>
      <c r="D973" s="335" t="s">
        <v>47</v>
      </c>
      <c r="E973" s="336" t="s">
        <v>48</v>
      </c>
      <c r="F973" s="336" t="s">
        <v>35</v>
      </c>
      <c r="G973" s="337">
        <v>0.02</v>
      </c>
      <c r="H973" s="338">
        <v>0.05</v>
      </c>
      <c r="I973" s="339">
        <v>12396.694214876001</v>
      </c>
      <c r="J973" s="340">
        <v>260.33057851239602</v>
      </c>
      <c r="K973" s="335" t="s">
        <v>1987</v>
      </c>
      <c r="L973" s="335">
        <v>7</v>
      </c>
      <c r="M973" s="335" t="s">
        <v>1994</v>
      </c>
      <c r="N973" s="339">
        <v>25</v>
      </c>
      <c r="O973" s="341">
        <v>0.02</v>
      </c>
      <c r="P973" s="341">
        <v>77</v>
      </c>
      <c r="Q973" s="341">
        <v>1.54</v>
      </c>
      <c r="R973" s="342">
        <v>5.0199999999999996</v>
      </c>
      <c r="S973" s="342" t="s">
        <v>106</v>
      </c>
    </row>
    <row r="974" spans="1:19" ht="14.25" customHeight="1" x14ac:dyDescent="0.3">
      <c r="A974" s="335" t="s">
        <v>1984</v>
      </c>
      <c r="B974" s="335" t="s">
        <v>26</v>
      </c>
      <c r="C974" s="335" t="s">
        <v>27</v>
      </c>
      <c r="D974" s="335" t="s">
        <v>1995</v>
      </c>
      <c r="E974" s="336" t="s">
        <v>1996</v>
      </c>
      <c r="F974" s="336" t="s">
        <v>988</v>
      </c>
      <c r="G974" s="337">
        <v>1</v>
      </c>
      <c r="H974" s="338">
        <v>0</v>
      </c>
      <c r="I974" s="339">
        <v>3419.20382267378</v>
      </c>
      <c r="J974" s="340">
        <v>3419.20382267378</v>
      </c>
      <c r="K974" s="335" t="s">
        <v>1987</v>
      </c>
      <c r="L974" s="335">
        <v>8</v>
      </c>
      <c r="M974" s="335" t="s">
        <v>1997</v>
      </c>
      <c r="N974" s="339">
        <v>25</v>
      </c>
      <c r="O974" s="341">
        <v>1</v>
      </c>
      <c r="P974" s="341">
        <v>77</v>
      </c>
      <c r="Q974" s="341">
        <v>77</v>
      </c>
      <c r="R974" s="342">
        <v>5.0199999999999996</v>
      </c>
      <c r="S974" s="342" t="s">
        <v>106</v>
      </c>
    </row>
    <row r="975" spans="1:19" ht="14.25" customHeight="1" x14ac:dyDescent="0.3">
      <c r="A975" s="335" t="s">
        <v>1984</v>
      </c>
      <c r="B975" s="335" t="s">
        <v>26</v>
      </c>
      <c r="C975" s="335" t="s">
        <v>27</v>
      </c>
      <c r="D975" s="335" t="s">
        <v>50</v>
      </c>
      <c r="E975" s="336" t="s">
        <v>51</v>
      </c>
      <c r="F975" s="336" t="s">
        <v>30</v>
      </c>
      <c r="G975" s="337">
        <v>2.7777777777777801E-2</v>
      </c>
      <c r="H975" s="338">
        <v>0.1</v>
      </c>
      <c r="I975" s="339">
        <v>32845.78</v>
      </c>
      <c r="J975" s="340">
        <v>1003.62105555556</v>
      </c>
      <c r="K975" s="335" t="s">
        <v>1987</v>
      </c>
      <c r="L975" s="335">
        <v>9</v>
      </c>
      <c r="M975" s="335" t="s">
        <v>1998</v>
      </c>
      <c r="N975" s="339">
        <v>25</v>
      </c>
      <c r="O975" s="341">
        <v>2.7777777777777801E-2</v>
      </c>
      <c r="P975" s="341">
        <v>77</v>
      </c>
      <c r="Q975" s="341">
        <v>2.1388888888888902</v>
      </c>
      <c r="R975" s="342">
        <v>5.0199999999999996</v>
      </c>
      <c r="S975" s="342" t="s">
        <v>106</v>
      </c>
    </row>
    <row r="976" spans="1:19" ht="14.25" customHeight="1" x14ac:dyDescent="0.3">
      <c r="A976" s="335" t="s">
        <v>1984</v>
      </c>
      <c r="B976" s="335" t="s">
        <v>56</v>
      </c>
      <c r="C976" s="335" t="s">
        <v>57</v>
      </c>
      <c r="D976" s="343" t="s">
        <v>58</v>
      </c>
      <c r="E976" s="336" t="s">
        <v>59</v>
      </c>
      <c r="F976" s="336" t="s">
        <v>60</v>
      </c>
      <c r="G976" s="337">
        <v>1</v>
      </c>
      <c r="H976" s="338">
        <v>0</v>
      </c>
      <c r="I976" s="339">
        <v>60860.580776572002</v>
      </c>
      <c r="J976" s="340">
        <v>60860.580776572002</v>
      </c>
      <c r="K976" s="335" t="s">
        <v>1999</v>
      </c>
      <c r="L976" s="335">
        <v>1</v>
      </c>
      <c r="M976" s="335" t="s">
        <v>2000</v>
      </c>
      <c r="N976" s="339">
        <v>25</v>
      </c>
      <c r="O976" s="341">
        <v>0.04</v>
      </c>
      <c r="P976" s="341">
        <v>77</v>
      </c>
      <c r="Q976" s="341">
        <v>3.08</v>
      </c>
      <c r="R976" s="342">
        <v>5.0199999999999996</v>
      </c>
      <c r="S976" s="342" t="s">
        <v>106</v>
      </c>
    </row>
    <row r="977" spans="1:19" ht="14.25" customHeight="1" x14ac:dyDescent="0.3">
      <c r="A977" s="335" t="s">
        <v>1984</v>
      </c>
      <c r="B977" s="335" t="s">
        <v>56</v>
      </c>
      <c r="C977" s="335" t="s">
        <v>57</v>
      </c>
      <c r="D977" s="343" t="s">
        <v>63</v>
      </c>
      <c r="E977" s="336" t="s">
        <v>64</v>
      </c>
      <c r="F977" s="336" t="s">
        <v>60</v>
      </c>
      <c r="G977" s="337">
        <v>1</v>
      </c>
      <c r="H977" s="338">
        <v>0</v>
      </c>
      <c r="I977" s="339">
        <v>85927.097156571996</v>
      </c>
      <c r="J977" s="340">
        <v>85927.097156571996</v>
      </c>
      <c r="K977" s="335" t="s">
        <v>1999</v>
      </c>
      <c r="L977" s="335">
        <v>2</v>
      </c>
      <c r="M977" s="335" t="s">
        <v>2001</v>
      </c>
      <c r="N977" s="339">
        <v>25</v>
      </c>
      <c r="O977" s="341">
        <v>0.04</v>
      </c>
      <c r="P977" s="341">
        <v>77</v>
      </c>
      <c r="Q977" s="341">
        <v>3.08</v>
      </c>
      <c r="R977" s="342">
        <v>5.0199999999999996</v>
      </c>
      <c r="S977" s="342" t="s">
        <v>106</v>
      </c>
    </row>
    <row r="978" spans="1:19" ht="14.25" customHeight="1" x14ac:dyDescent="0.3">
      <c r="A978" s="335" t="s">
        <v>1984</v>
      </c>
      <c r="B978" s="335" t="s">
        <v>56</v>
      </c>
      <c r="C978" s="335" t="s">
        <v>27</v>
      </c>
      <c r="D978" s="335" t="s">
        <v>2002</v>
      </c>
      <c r="E978" s="336" t="s">
        <v>2003</v>
      </c>
      <c r="F978" s="336" t="s">
        <v>60</v>
      </c>
      <c r="G978" s="337">
        <v>1</v>
      </c>
      <c r="H978" s="338">
        <v>0</v>
      </c>
      <c r="I978" s="339">
        <v>146787.677933144</v>
      </c>
      <c r="J978" s="340">
        <v>146787.677933144</v>
      </c>
      <c r="K978" s="335" t="s">
        <v>1999</v>
      </c>
      <c r="L978" s="335">
        <v>3</v>
      </c>
      <c r="M978" s="335" t="s">
        <v>2004</v>
      </c>
      <c r="N978" s="339">
        <v>25</v>
      </c>
      <c r="O978" s="341">
        <v>1</v>
      </c>
      <c r="P978" s="341">
        <v>77</v>
      </c>
      <c r="Q978" s="341">
        <v>77</v>
      </c>
      <c r="R978" s="342">
        <v>5.0199999999999996</v>
      </c>
      <c r="S978" s="342" t="s">
        <v>106</v>
      </c>
    </row>
    <row r="979" spans="1:19" ht="14.25" customHeight="1" x14ac:dyDescent="0.3">
      <c r="A979" s="335" t="s">
        <v>2005</v>
      </c>
      <c r="B979" s="335" t="s">
        <v>20</v>
      </c>
      <c r="C979" s="335"/>
      <c r="D979" s="335" t="s">
        <v>67</v>
      </c>
      <c r="E979" s="336" t="s">
        <v>68</v>
      </c>
      <c r="F979" s="336"/>
      <c r="G979" s="337">
        <v>0.5</v>
      </c>
      <c r="H979" s="338">
        <v>0</v>
      </c>
      <c r="I979" s="339">
        <v>571.17949098076099</v>
      </c>
      <c r="J979" s="340">
        <v>285.58974549038101</v>
      </c>
      <c r="K979" s="335" t="s">
        <v>2006</v>
      </c>
      <c r="L979" s="335">
        <v>1</v>
      </c>
      <c r="M979" s="335" t="s">
        <v>2007</v>
      </c>
      <c r="N979" s="339">
        <v>28</v>
      </c>
      <c r="O979" s="341">
        <v>0.5</v>
      </c>
      <c r="P979" s="341">
        <v>107</v>
      </c>
      <c r="Q979" s="341">
        <v>53.5</v>
      </c>
      <c r="R979" s="342">
        <v>5.03</v>
      </c>
      <c r="S979" s="342" t="s">
        <v>106</v>
      </c>
    </row>
    <row r="980" spans="1:19" ht="14.25" customHeight="1" x14ac:dyDescent="0.3">
      <c r="A980" s="335" t="s">
        <v>2005</v>
      </c>
      <c r="B980" s="335" t="s">
        <v>20</v>
      </c>
      <c r="C980" s="335"/>
      <c r="D980" s="335" t="s">
        <v>71</v>
      </c>
      <c r="E980" s="336" t="s">
        <v>72</v>
      </c>
      <c r="F980" s="336"/>
      <c r="G980" s="337">
        <v>1</v>
      </c>
      <c r="H980" s="338">
        <v>0</v>
      </c>
      <c r="I980" s="339">
        <v>2287.1357450968098</v>
      </c>
      <c r="J980" s="340">
        <v>2287.1357450968098</v>
      </c>
      <c r="K980" s="335" t="s">
        <v>2006</v>
      </c>
      <c r="L980" s="335">
        <v>2</v>
      </c>
      <c r="M980" s="335" t="s">
        <v>2008</v>
      </c>
      <c r="N980" s="339">
        <v>28</v>
      </c>
      <c r="O980" s="341">
        <v>1</v>
      </c>
      <c r="P980" s="341">
        <v>107</v>
      </c>
      <c r="Q980" s="341">
        <v>107</v>
      </c>
      <c r="R980" s="342">
        <v>5.03</v>
      </c>
      <c r="S980" s="342" t="s">
        <v>106</v>
      </c>
    </row>
    <row r="981" spans="1:19" ht="14.25" customHeight="1" x14ac:dyDescent="0.3">
      <c r="A981" s="335" t="s">
        <v>2005</v>
      </c>
      <c r="B981" s="335" t="s">
        <v>20</v>
      </c>
      <c r="C981" s="335"/>
      <c r="D981" s="335" t="s">
        <v>74</v>
      </c>
      <c r="E981" s="336" t="s">
        <v>75</v>
      </c>
      <c r="F981" s="336"/>
      <c r="G981" s="337">
        <v>1</v>
      </c>
      <c r="H981" s="338">
        <v>0</v>
      </c>
      <c r="I981" s="339">
        <v>957.25319614994703</v>
      </c>
      <c r="J981" s="340">
        <v>957.25319614994703</v>
      </c>
      <c r="K981" s="335" t="s">
        <v>2006</v>
      </c>
      <c r="L981" s="335">
        <v>3</v>
      </c>
      <c r="M981" s="335" t="s">
        <v>2009</v>
      </c>
      <c r="N981" s="339">
        <v>28</v>
      </c>
      <c r="O981" s="341">
        <v>1</v>
      </c>
      <c r="P981" s="341">
        <v>107</v>
      </c>
      <c r="Q981" s="341">
        <v>107</v>
      </c>
      <c r="R981" s="342">
        <v>5.03</v>
      </c>
      <c r="S981" s="342" t="s">
        <v>106</v>
      </c>
    </row>
    <row r="982" spans="1:19" ht="14.25" customHeight="1" x14ac:dyDescent="0.3">
      <c r="A982" s="335" t="s">
        <v>2005</v>
      </c>
      <c r="B982" s="335" t="s">
        <v>26</v>
      </c>
      <c r="C982" s="335" t="s">
        <v>27</v>
      </c>
      <c r="D982" s="335" t="s">
        <v>81</v>
      </c>
      <c r="E982" s="336" t="s">
        <v>82</v>
      </c>
      <c r="F982" s="336" t="s">
        <v>83</v>
      </c>
      <c r="G982" s="337">
        <v>6.0000000000000001E-3</v>
      </c>
      <c r="H982" s="338">
        <v>0.1</v>
      </c>
      <c r="I982" s="339">
        <v>32399.77</v>
      </c>
      <c r="J982" s="340">
        <v>213.838482</v>
      </c>
      <c r="K982" s="335" t="s">
        <v>2010</v>
      </c>
      <c r="L982" s="335">
        <v>1</v>
      </c>
      <c r="M982" s="335" t="s">
        <v>2011</v>
      </c>
      <c r="N982" s="339">
        <v>28</v>
      </c>
      <c r="O982" s="341">
        <v>6.0000000000000001E-3</v>
      </c>
      <c r="P982" s="341">
        <v>107</v>
      </c>
      <c r="Q982" s="341">
        <v>0.64200000000000002</v>
      </c>
      <c r="R982" s="342">
        <v>5.03</v>
      </c>
      <c r="S982" s="342" t="s">
        <v>106</v>
      </c>
    </row>
    <row r="983" spans="1:19" ht="14.25" customHeight="1" x14ac:dyDescent="0.3">
      <c r="A983" s="335" t="s">
        <v>2005</v>
      </c>
      <c r="B983" s="335" t="s">
        <v>26</v>
      </c>
      <c r="C983" s="335" t="s">
        <v>27</v>
      </c>
      <c r="D983" s="335" t="s">
        <v>85</v>
      </c>
      <c r="E983" s="336" t="s">
        <v>86</v>
      </c>
      <c r="F983" s="336" t="s">
        <v>87</v>
      </c>
      <c r="G983" s="337">
        <v>5.3999999999999999E-2</v>
      </c>
      <c r="H983" s="338">
        <v>0.1</v>
      </c>
      <c r="I983" s="339">
        <v>7809.48</v>
      </c>
      <c r="J983" s="340">
        <v>463.88311199999998</v>
      </c>
      <c r="K983" s="335" t="s">
        <v>2010</v>
      </c>
      <c r="L983" s="335">
        <v>2</v>
      </c>
      <c r="M983" s="335" t="s">
        <v>2012</v>
      </c>
      <c r="N983" s="339">
        <v>28</v>
      </c>
      <c r="O983" s="341">
        <v>5.3999999999999999E-2</v>
      </c>
      <c r="P983" s="341">
        <v>107</v>
      </c>
      <c r="Q983" s="341">
        <v>5.7779999999999996</v>
      </c>
      <c r="R983" s="342">
        <v>5.03</v>
      </c>
      <c r="S983" s="342" t="s">
        <v>106</v>
      </c>
    </row>
    <row r="984" spans="1:19" ht="14.25" customHeight="1" x14ac:dyDescent="0.3">
      <c r="A984" s="335" t="s">
        <v>2005</v>
      </c>
      <c r="B984" s="335" t="s">
        <v>26</v>
      </c>
      <c r="C984" s="335" t="s">
        <v>27</v>
      </c>
      <c r="D984" s="335" t="s">
        <v>165</v>
      </c>
      <c r="E984" s="336" t="s">
        <v>166</v>
      </c>
      <c r="F984" s="336" t="s">
        <v>167</v>
      </c>
      <c r="G984" s="337">
        <v>0.1</v>
      </c>
      <c r="H984" s="338">
        <v>0.05</v>
      </c>
      <c r="I984" s="339">
        <v>1256.1279999999999</v>
      </c>
      <c r="J984" s="340">
        <v>131.89344</v>
      </c>
      <c r="K984" s="335" t="s">
        <v>2010</v>
      </c>
      <c r="L984" s="335">
        <v>3</v>
      </c>
      <c r="M984" s="335" t="s">
        <v>2013</v>
      </c>
      <c r="N984" s="339">
        <v>28</v>
      </c>
      <c r="O984" s="341">
        <v>0.1</v>
      </c>
      <c r="P984" s="341">
        <v>107</v>
      </c>
      <c r="Q984" s="341">
        <v>10.7</v>
      </c>
      <c r="R984" s="342">
        <v>5.03</v>
      </c>
      <c r="S984" s="342" t="s">
        <v>106</v>
      </c>
    </row>
    <row r="985" spans="1:19" ht="14.25" customHeight="1" x14ac:dyDescent="0.3">
      <c r="A985" s="335" t="s">
        <v>2005</v>
      </c>
      <c r="B985" s="335" t="s">
        <v>56</v>
      </c>
      <c r="C985" s="335" t="s">
        <v>57</v>
      </c>
      <c r="D985" s="343" t="s">
        <v>58</v>
      </c>
      <c r="E985" s="336" t="s">
        <v>59</v>
      </c>
      <c r="F985" s="336" t="s">
        <v>60</v>
      </c>
      <c r="G985" s="337">
        <v>0.4</v>
      </c>
      <c r="H985" s="338">
        <v>0</v>
      </c>
      <c r="I985" s="339">
        <v>60860.580776572002</v>
      </c>
      <c r="J985" s="340">
        <v>24344.232310628799</v>
      </c>
      <c r="K985" s="335" t="s">
        <v>2014</v>
      </c>
      <c r="L985" s="335">
        <v>1</v>
      </c>
      <c r="M985" s="335" t="s">
        <v>2015</v>
      </c>
      <c r="N985" s="339">
        <v>28</v>
      </c>
      <c r="O985" s="341">
        <v>1.4285714285714299E-2</v>
      </c>
      <c r="P985" s="341">
        <v>107</v>
      </c>
      <c r="Q985" s="341">
        <v>1.52857142857143</v>
      </c>
      <c r="R985" s="342">
        <v>5.03</v>
      </c>
      <c r="S985" s="342" t="s">
        <v>106</v>
      </c>
    </row>
    <row r="986" spans="1:19" ht="14.25" customHeight="1" x14ac:dyDescent="0.3">
      <c r="A986" s="335" t="s">
        <v>2005</v>
      </c>
      <c r="B986" s="335" t="s">
        <v>56</v>
      </c>
      <c r="C986" s="335" t="s">
        <v>57</v>
      </c>
      <c r="D986" s="343" t="s">
        <v>63</v>
      </c>
      <c r="E986" s="336" t="s">
        <v>64</v>
      </c>
      <c r="F986" s="336" t="s">
        <v>60</v>
      </c>
      <c r="G986" s="337">
        <v>1</v>
      </c>
      <c r="H986" s="338">
        <v>0</v>
      </c>
      <c r="I986" s="339">
        <v>85927.097156571996</v>
      </c>
      <c r="J986" s="340">
        <v>85927.097156571996</v>
      </c>
      <c r="K986" s="335" t="s">
        <v>2014</v>
      </c>
      <c r="L986" s="335">
        <v>2</v>
      </c>
      <c r="M986" s="335" t="s">
        <v>2016</v>
      </c>
      <c r="N986" s="339">
        <v>28</v>
      </c>
      <c r="O986" s="341">
        <v>3.5714285714285698E-2</v>
      </c>
      <c r="P986" s="341">
        <v>107</v>
      </c>
      <c r="Q986" s="341">
        <v>3.8214285714285698</v>
      </c>
      <c r="R986" s="342">
        <v>5.03</v>
      </c>
      <c r="S986" s="342" t="s">
        <v>106</v>
      </c>
    </row>
    <row r="987" spans="1:19" ht="14.25" customHeight="1" x14ac:dyDescent="0.3">
      <c r="A987" s="335" t="s">
        <v>2017</v>
      </c>
      <c r="B987" s="335" t="s">
        <v>26</v>
      </c>
      <c r="C987" s="335" t="s">
        <v>27</v>
      </c>
      <c r="D987" s="335" t="s">
        <v>2018</v>
      </c>
      <c r="E987" s="336" t="s">
        <v>2019</v>
      </c>
      <c r="F987" s="336" t="s">
        <v>35</v>
      </c>
      <c r="G987" s="337">
        <v>1</v>
      </c>
      <c r="H987" s="338">
        <v>0</v>
      </c>
      <c r="I987" s="339">
        <v>3625.4</v>
      </c>
      <c r="J987" s="340">
        <v>3625.4</v>
      </c>
      <c r="K987" s="335" t="s">
        <v>2020</v>
      </c>
      <c r="L987" s="335">
        <v>1</v>
      </c>
      <c r="M987" s="335" t="s">
        <v>2021</v>
      </c>
      <c r="N987" s="339">
        <v>1</v>
      </c>
      <c r="O987" s="341">
        <v>1</v>
      </c>
      <c r="P987" s="341">
        <v>186</v>
      </c>
      <c r="Q987" s="341">
        <v>186</v>
      </c>
      <c r="R987" s="342">
        <v>5.04</v>
      </c>
      <c r="S987" s="342" t="s">
        <v>25</v>
      </c>
    </row>
    <row r="988" spans="1:19" ht="14.25" customHeight="1" x14ac:dyDescent="0.3">
      <c r="A988" s="335" t="s">
        <v>2022</v>
      </c>
      <c r="B988" s="335" t="s">
        <v>20</v>
      </c>
      <c r="C988" s="335"/>
      <c r="D988" s="335" t="s">
        <v>21</v>
      </c>
      <c r="E988" s="336" t="s">
        <v>22</v>
      </c>
      <c r="F988" s="336"/>
      <c r="G988" s="337">
        <v>1</v>
      </c>
      <c r="H988" s="338">
        <v>0</v>
      </c>
      <c r="I988" s="339">
        <v>804.50568716119994</v>
      </c>
      <c r="J988" s="340">
        <v>804.50568716119994</v>
      </c>
      <c r="K988" s="335" t="s">
        <v>2023</v>
      </c>
      <c r="L988" s="335">
        <v>1</v>
      </c>
      <c r="M988" s="335" t="s">
        <v>2024</v>
      </c>
      <c r="N988" s="339">
        <v>80</v>
      </c>
      <c r="O988" s="341">
        <v>1</v>
      </c>
      <c r="P988" s="341" t="s">
        <v>25</v>
      </c>
      <c r="Q988" s="341">
        <v>0</v>
      </c>
      <c r="R988" s="342" t="s">
        <v>25</v>
      </c>
      <c r="S988" s="342" t="s">
        <v>25</v>
      </c>
    </row>
    <row r="989" spans="1:19" ht="14.25" customHeight="1" x14ac:dyDescent="0.3">
      <c r="A989" s="335" t="s">
        <v>2022</v>
      </c>
      <c r="B989" s="335" t="s">
        <v>26</v>
      </c>
      <c r="C989" s="335" t="s">
        <v>27</v>
      </c>
      <c r="D989" s="335" t="s">
        <v>28</v>
      </c>
      <c r="E989" s="336" t="s">
        <v>29</v>
      </c>
      <c r="F989" s="336" t="s">
        <v>30</v>
      </c>
      <c r="G989" s="337">
        <v>2E-3</v>
      </c>
      <c r="H989" s="338">
        <v>0.05</v>
      </c>
      <c r="I989" s="339">
        <v>26907.33</v>
      </c>
      <c r="J989" s="340">
        <v>56.505392999999998</v>
      </c>
      <c r="K989" s="335" t="s">
        <v>2025</v>
      </c>
      <c r="L989" s="335">
        <v>1</v>
      </c>
      <c r="M989" s="335" t="s">
        <v>2026</v>
      </c>
      <c r="N989" s="339">
        <v>80</v>
      </c>
      <c r="O989" s="341">
        <v>2E-3</v>
      </c>
      <c r="P989" s="341" t="s">
        <v>25</v>
      </c>
      <c r="Q989" s="341">
        <v>0</v>
      </c>
      <c r="R989" s="342" t="s">
        <v>25</v>
      </c>
      <c r="S989" s="342" t="s">
        <v>25</v>
      </c>
    </row>
    <row r="990" spans="1:19" ht="14.25" customHeight="1" x14ac:dyDescent="0.3">
      <c r="A990" s="335" t="s">
        <v>2022</v>
      </c>
      <c r="B990" s="335" t="s">
        <v>26</v>
      </c>
      <c r="C990" s="335" t="s">
        <v>27</v>
      </c>
      <c r="D990" s="335" t="s">
        <v>33</v>
      </c>
      <c r="E990" s="336" t="s">
        <v>34</v>
      </c>
      <c r="F990" s="336" t="s">
        <v>35</v>
      </c>
      <c r="G990" s="337">
        <v>0.02</v>
      </c>
      <c r="H990" s="338">
        <v>0.05</v>
      </c>
      <c r="I990" s="339">
        <v>735.06</v>
      </c>
      <c r="J990" s="340">
        <v>15.436260000000001</v>
      </c>
      <c r="K990" s="335" t="s">
        <v>2025</v>
      </c>
      <c r="L990" s="335">
        <v>2</v>
      </c>
      <c r="M990" s="335" t="s">
        <v>2027</v>
      </c>
      <c r="N990" s="339">
        <v>80</v>
      </c>
      <c r="O990" s="341">
        <v>0.02</v>
      </c>
      <c r="P990" s="341" t="s">
        <v>25</v>
      </c>
      <c r="Q990" s="341">
        <v>0</v>
      </c>
      <c r="R990" s="342" t="s">
        <v>25</v>
      </c>
      <c r="S990" s="342" t="s">
        <v>25</v>
      </c>
    </row>
    <row r="991" spans="1:19" ht="14.25" customHeight="1" x14ac:dyDescent="0.3">
      <c r="A991" s="335" t="s">
        <v>2022</v>
      </c>
      <c r="B991" s="335" t="s">
        <v>26</v>
      </c>
      <c r="C991" s="335" t="s">
        <v>27</v>
      </c>
      <c r="D991" s="335" t="s">
        <v>37</v>
      </c>
      <c r="E991" s="336" t="s">
        <v>38</v>
      </c>
      <c r="F991" s="336" t="s">
        <v>35</v>
      </c>
      <c r="G991" s="337">
        <v>0.01</v>
      </c>
      <c r="H991" s="338">
        <v>0.05</v>
      </c>
      <c r="I991" s="339">
        <v>6678.36</v>
      </c>
      <c r="J991" s="340">
        <v>70.122780000000006</v>
      </c>
      <c r="K991" s="335" t="s">
        <v>2025</v>
      </c>
      <c r="L991" s="335">
        <v>3</v>
      </c>
      <c r="M991" s="335" t="s">
        <v>2028</v>
      </c>
      <c r="N991" s="339">
        <v>80</v>
      </c>
      <c r="O991" s="341">
        <v>0.01</v>
      </c>
      <c r="P991" s="341" t="s">
        <v>25</v>
      </c>
      <c r="Q991" s="341">
        <v>0</v>
      </c>
      <c r="R991" s="342" t="s">
        <v>25</v>
      </c>
      <c r="S991" s="342" t="s">
        <v>25</v>
      </c>
    </row>
    <row r="992" spans="1:19" ht="14.25" customHeight="1" x14ac:dyDescent="0.3">
      <c r="A992" s="335" t="s">
        <v>2022</v>
      </c>
      <c r="B992" s="335" t="s">
        <v>26</v>
      </c>
      <c r="C992" s="335" t="s">
        <v>27</v>
      </c>
      <c r="D992" s="335" t="s">
        <v>40</v>
      </c>
      <c r="E992" s="336" t="s">
        <v>41</v>
      </c>
      <c r="F992" s="336" t="s">
        <v>35</v>
      </c>
      <c r="G992" s="337">
        <v>0.02</v>
      </c>
      <c r="H992" s="338">
        <v>0.05</v>
      </c>
      <c r="I992" s="339">
        <v>5282.24</v>
      </c>
      <c r="J992" s="340">
        <v>110.92704000000001</v>
      </c>
      <c r="K992" s="335" t="s">
        <v>2025</v>
      </c>
      <c r="L992" s="335">
        <v>4</v>
      </c>
      <c r="M992" s="335" t="s">
        <v>2029</v>
      </c>
      <c r="N992" s="339">
        <v>80</v>
      </c>
      <c r="O992" s="341">
        <v>0.02</v>
      </c>
      <c r="P992" s="341" t="s">
        <v>25</v>
      </c>
      <c r="Q992" s="341">
        <v>0</v>
      </c>
      <c r="R992" s="342" t="s">
        <v>25</v>
      </c>
      <c r="S992" s="342" t="s">
        <v>25</v>
      </c>
    </row>
    <row r="993" spans="1:19" ht="14.25" customHeight="1" x14ac:dyDescent="0.3">
      <c r="A993" s="335" t="s">
        <v>2022</v>
      </c>
      <c r="B993" s="335" t="s">
        <v>26</v>
      </c>
      <c r="C993" s="335" t="s">
        <v>27</v>
      </c>
      <c r="D993" s="335" t="s">
        <v>50</v>
      </c>
      <c r="E993" s="336" t="s">
        <v>51</v>
      </c>
      <c r="F993" s="336" t="s">
        <v>30</v>
      </c>
      <c r="G993" s="337">
        <v>2.7777777777777801E-2</v>
      </c>
      <c r="H993" s="338">
        <v>0.1</v>
      </c>
      <c r="I993" s="339">
        <v>32845.78</v>
      </c>
      <c r="J993" s="340">
        <v>1003.62105555556</v>
      </c>
      <c r="K993" s="335" t="s">
        <v>2025</v>
      </c>
      <c r="L993" s="335">
        <v>5</v>
      </c>
      <c r="M993" s="335" t="s">
        <v>2030</v>
      </c>
      <c r="N993" s="339">
        <v>80</v>
      </c>
      <c r="O993" s="341">
        <v>2.7777777777777801E-2</v>
      </c>
      <c r="P993" s="341" t="s">
        <v>25</v>
      </c>
      <c r="Q993" s="341">
        <v>0</v>
      </c>
      <c r="R993" s="342" t="s">
        <v>25</v>
      </c>
      <c r="S993" s="342" t="s">
        <v>25</v>
      </c>
    </row>
    <row r="994" spans="1:19" ht="14.25" customHeight="1" x14ac:dyDescent="0.3">
      <c r="A994" s="335" t="s">
        <v>2022</v>
      </c>
      <c r="B994" s="335" t="s">
        <v>56</v>
      </c>
      <c r="C994" s="335" t="s">
        <v>57</v>
      </c>
      <c r="D994" s="343" t="s">
        <v>58</v>
      </c>
      <c r="E994" s="336" t="s">
        <v>59</v>
      </c>
      <c r="F994" s="336" t="s">
        <v>60</v>
      </c>
      <c r="G994" s="337">
        <v>1</v>
      </c>
      <c r="H994" s="338">
        <v>0</v>
      </c>
      <c r="I994" s="339">
        <v>60860.580776572002</v>
      </c>
      <c r="J994" s="340">
        <v>60860.580776572002</v>
      </c>
      <c r="K994" s="335" t="s">
        <v>2031</v>
      </c>
      <c r="L994" s="335">
        <v>1</v>
      </c>
      <c r="M994" s="335" t="s">
        <v>2032</v>
      </c>
      <c r="N994" s="339">
        <v>80</v>
      </c>
      <c r="O994" s="341">
        <v>1.2500000000000001E-2</v>
      </c>
      <c r="P994" s="341" t="s">
        <v>25</v>
      </c>
      <c r="Q994" s="341">
        <v>0</v>
      </c>
      <c r="R994" s="342" t="s">
        <v>25</v>
      </c>
      <c r="S994" s="342" t="s">
        <v>25</v>
      </c>
    </row>
    <row r="995" spans="1:19" ht="14.25" customHeight="1" x14ac:dyDescent="0.3">
      <c r="A995" s="335" t="s">
        <v>2022</v>
      </c>
      <c r="B995" s="335" t="s">
        <v>56</v>
      </c>
      <c r="C995" s="335" t="s">
        <v>57</v>
      </c>
      <c r="D995" s="343" t="s">
        <v>497</v>
      </c>
      <c r="E995" s="336" t="s">
        <v>498</v>
      </c>
      <c r="F995" s="336" t="s">
        <v>60</v>
      </c>
      <c r="G995" s="337">
        <v>1</v>
      </c>
      <c r="H995" s="338">
        <v>0</v>
      </c>
      <c r="I995" s="339">
        <v>76955.079706571996</v>
      </c>
      <c r="J995" s="340">
        <v>76955.079706571996</v>
      </c>
      <c r="K995" s="335" t="s">
        <v>2031</v>
      </c>
      <c r="L995" s="335">
        <v>2</v>
      </c>
      <c r="M995" s="335" t="s">
        <v>2033</v>
      </c>
      <c r="N995" s="339">
        <v>80</v>
      </c>
      <c r="O995" s="341">
        <v>1.2500000000000001E-2</v>
      </c>
      <c r="P995" s="341" t="s">
        <v>25</v>
      </c>
      <c r="Q995" s="341">
        <v>0</v>
      </c>
      <c r="R995" s="342" t="s">
        <v>25</v>
      </c>
      <c r="S995" s="342" t="s">
        <v>25</v>
      </c>
    </row>
    <row r="996" spans="1:19" ht="14.25" customHeight="1" x14ac:dyDescent="0.3">
      <c r="A996" s="335" t="s">
        <v>2034</v>
      </c>
      <c r="B996" s="335" t="s">
        <v>20</v>
      </c>
      <c r="C996" s="335"/>
      <c r="D996" s="335" t="s">
        <v>21</v>
      </c>
      <c r="E996" s="336" t="s">
        <v>22</v>
      </c>
      <c r="F996" s="336"/>
      <c r="G996" s="337">
        <v>1</v>
      </c>
      <c r="H996" s="338">
        <v>0</v>
      </c>
      <c r="I996" s="339">
        <v>804.50568716119994</v>
      </c>
      <c r="J996" s="340">
        <v>804.50568716119994</v>
      </c>
      <c r="K996" s="335" t="s">
        <v>2035</v>
      </c>
      <c r="L996" s="335">
        <v>1</v>
      </c>
      <c r="M996" s="335" t="s">
        <v>2036</v>
      </c>
      <c r="N996" s="339">
        <v>25</v>
      </c>
      <c r="O996" s="341">
        <v>1</v>
      </c>
      <c r="P996" s="341">
        <v>390</v>
      </c>
      <c r="Q996" s="341">
        <v>390</v>
      </c>
      <c r="R996" s="342">
        <v>5.0599999999999996</v>
      </c>
      <c r="S996" s="342" t="s">
        <v>106</v>
      </c>
    </row>
    <row r="997" spans="1:19" ht="14.25" customHeight="1" x14ac:dyDescent="0.3">
      <c r="A997" s="335" t="s">
        <v>2034</v>
      </c>
      <c r="B997" s="335" t="s">
        <v>26</v>
      </c>
      <c r="C997" s="335" t="s">
        <v>27</v>
      </c>
      <c r="D997" s="335" t="s">
        <v>53</v>
      </c>
      <c r="E997" s="336" t="s">
        <v>54</v>
      </c>
      <c r="F997" s="336" t="s">
        <v>35</v>
      </c>
      <c r="G997" s="337">
        <v>0.1</v>
      </c>
      <c r="H997" s="338">
        <v>0.1</v>
      </c>
      <c r="I997" s="339">
        <v>70192.210000000006</v>
      </c>
      <c r="J997" s="340">
        <v>7721.1431000000002</v>
      </c>
      <c r="K997" s="335" t="s">
        <v>2037</v>
      </c>
      <c r="L997" s="335">
        <v>1</v>
      </c>
      <c r="M997" s="335" t="s">
        <v>2038</v>
      </c>
      <c r="N997" s="339">
        <v>25</v>
      </c>
      <c r="O997" s="341">
        <v>0.1</v>
      </c>
      <c r="P997" s="341">
        <v>390</v>
      </c>
      <c r="Q997" s="341">
        <v>39</v>
      </c>
      <c r="R997" s="342">
        <v>5.0599999999999996</v>
      </c>
      <c r="S997" s="342" t="s">
        <v>106</v>
      </c>
    </row>
    <row r="998" spans="1:19" ht="14.25" customHeight="1" x14ac:dyDescent="0.3">
      <c r="A998" s="335" t="s">
        <v>2034</v>
      </c>
      <c r="B998" s="335" t="s">
        <v>26</v>
      </c>
      <c r="C998" s="335" t="s">
        <v>27</v>
      </c>
      <c r="D998" s="335" t="s">
        <v>28</v>
      </c>
      <c r="E998" s="336" t="s">
        <v>29</v>
      </c>
      <c r="F998" s="336" t="s">
        <v>30</v>
      </c>
      <c r="G998" s="337">
        <v>0.01</v>
      </c>
      <c r="H998" s="338">
        <v>0.05</v>
      </c>
      <c r="I998" s="339">
        <v>26907.33</v>
      </c>
      <c r="J998" s="340">
        <v>282.52696500000002</v>
      </c>
      <c r="K998" s="335" t="s">
        <v>2037</v>
      </c>
      <c r="L998" s="335">
        <v>2</v>
      </c>
      <c r="M998" s="335" t="s">
        <v>2039</v>
      </c>
      <c r="N998" s="339">
        <v>25</v>
      </c>
      <c r="O998" s="341">
        <v>0.01</v>
      </c>
      <c r="P998" s="341">
        <v>390</v>
      </c>
      <c r="Q998" s="341">
        <v>3.9</v>
      </c>
      <c r="R998" s="342">
        <v>5.0599999999999996</v>
      </c>
      <c r="S998" s="342" t="s">
        <v>106</v>
      </c>
    </row>
    <row r="999" spans="1:19" ht="14.25" customHeight="1" x14ac:dyDescent="0.3">
      <c r="A999" s="335" t="s">
        <v>2034</v>
      </c>
      <c r="B999" s="335" t="s">
        <v>26</v>
      </c>
      <c r="C999" s="335" t="s">
        <v>27</v>
      </c>
      <c r="D999" s="335" t="s">
        <v>33</v>
      </c>
      <c r="E999" s="336" t="s">
        <v>34</v>
      </c>
      <c r="F999" s="336" t="s">
        <v>35</v>
      </c>
      <c r="G999" s="337">
        <v>0.02</v>
      </c>
      <c r="H999" s="338">
        <v>0.05</v>
      </c>
      <c r="I999" s="339">
        <v>735.06</v>
      </c>
      <c r="J999" s="340">
        <v>15.436260000000001</v>
      </c>
      <c r="K999" s="335" t="s">
        <v>2037</v>
      </c>
      <c r="L999" s="335">
        <v>3</v>
      </c>
      <c r="M999" s="335" t="s">
        <v>2040</v>
      </c>
      <c r="N999" s="339">
        <v>25</v>
      </c>
      <c r="O999" s="341">
        <v>0.02</v>
      </c>
      <c r="P999" s="341">
        <v>390</v>
      </c>
      <c r="Q999" s="341">
        <v>7.8</v>
      </c>
      <c r="R999" s="342">
        <v>5.0599999999999996</v>
      </c>
      <c r="S999" s="342" t="s">
        <v>106</v>
      </c>
    </row>
    <row r="1000" spans="1:19" ht="14.25" customHeight="1" x14ac:dyDescent="0.3">
      <c r="A1000" s="335" t="s">
        <v>2034</v>
      </c>
      <c r="B1000" s="335" t="s">
        <v>26</v>
      </c>
      <c r="C1000" s="335" t="s">
        <v>27</v>
      </c>
      <c r="D1000" s="335" t="s">
        <v>37</v>
      </c>
      <c r="E1000" s="336" t="s">
        <v>38</v>
      </c>
      <c r="F1000" s="336" t="s">
        <v>35</v>
      </c>
      <c r="G1000" s="337">
        <v>0.01</v>
      </c>
      <c r="H1000" s="338">
        <v>0.05</v>
      </c>
      <c r="I1000" s="339">
        <v>6678.36</v>
      </c>
      <c r="J1000" s="340">
        <v>70.122780000000006</v>
      </c>
      <c r="K1000" s="335" t="s">
        <v>2037</v>
      </c>
      <c r="L1000" s="335">
        <v>4</v>
      </c>
      <c r="M1000" s="335" t="s">
        <v>2041</v>
      </c>
      <c r="N1000" s="339">
        <v>25</v>
      </c>
      <c r="O1000" s="341">
        <v>0.01</v>
      </c>
      <c r="P1000" s="341">
        <v>390</v>
      </c>
      <c r="Q1000" s="341">
        <v>3.9</v>
      </c>
      <c r="R1000" s="342">
        <v>5.0599999999999996</v>
      </c>
      <c r="S1000" s="342" t="s">
        <v>106</v>
      </c>
    </row>
    <row r="1001" spans="1:19" ht="14.25" customHeight="1" x14ac:dyDescent="0.3">
      <c r="A1001" s="335" t="s">
        <v>2034</v>
      </c>
      <c r="B1001" s="335" t="s">
        <v>26</v>
      </c>
      <c r="C1001" s="335" t="s">
        <v>27</v>
      </c>
      <c r="D1001" s="335" t="s">
        <v>40</v>
      </c>
      <c r="E1001" s="336" t="s">
        <v>41</v>
      </c>
      <c r="F1001" s="336" t="s">
        <v>35</v>
      </c>
      <c r="G1001" s="337">
        <v>0.02</v>
      </c>
      <c r="H1001" s="338">
        <v>0.05</v>
      </c>
      <c r="I1001" s="339">
        <v>5282.24</v>
      </c>
      <c r="J1001" s="340">
        <v>110.92704000000001</v>
      </c>
      <c r="K1001" s="335" t="s">
        <v>2037</v>
      </c>
      <c r="L1001" s="335">
        <v>5</v>
      </c>
      <c r="M1001" s="335" t="s">
        <v>2042</v>
      </c>
      <c r="N1001" s="339">
        <v>25</v>
      </c>
      <c r="O1001" s="341">
        <v>0.02</v>
      </c>
      <c r="P1001" s="341">
        <v>390</v>
      </c>
      <c r="Q1001" s="341">
        <v>7.8</v>
      </c>
      <c r="R1001" s="342">
        <v>5.0599999999999996</v>
      </c>
      <c r="S1001" s="342" t="s">
        <v>106</v>
      </c>
    </row>
    <row r="1002" spans="1:19" ht="14.25" customHeight="1" x14ac:dyDescent="0.3">
      <c r="A1002" s="335" t="s">
        <v>2034</v>
      </c>
      <c r="B1002" s="335" t="s">
        <v>26</v>
      </c>
      <c r="C1002" s="335" t="s">
        <v>27</v>
      </c>
      <c r="D1002" s="335" t="s">
        <v>43</v>
      </c>
      <c r="E1002" s="336" t="s">
        <v>44</v>
      </c>
      <c r="F1002" s="336" t="s">
        <v>45</v>
      </c>
      <c r="G1002" s="337">
        <v>0.06</v>
      </c>
      <c r="H1002" s="338">
        <v>0.05</v>
      </c>
      <c r="I1002" s="339">
        <v>4842</v>
      </c>
      <c r="J1002" s="340">
        <v>305.04599999999999</v>
      </c>
      <c r="K1002" s="335" t="s">
        <v>2037</v>
      </c>
      <c r="L1002" s="335">
        <v>6</v>
      </c>
      <c r="M1002" s="335" t="s">
        <v>2043</v>
      </c>
      <c r="N1002" s="339">
        <v>25</v>
      </c>
      <c r="O1002" s="341">
        <v>0.06</v>
      </c>
      <c r="P1002" s="341">
        <v>390</v>
      </c>
      <c r="Q1002" s="341">
        <v>23.4</v>
      </c>
      <c r="R1002" s="342">
        <v>5.0599999999999996</v>
      </c>
      <c r="S1002" s="342" t="s">
        <v>106</v>
      </c>
    </row>
    <row r="1003" spans="1:19" ht="14.25" customHeight="1" x14ac:dyDescent="0.3">
      <c r="A1003" s="335" t="s">
        <v>2034</v>
      </c>
      <c r="B1003" s="335" t="s">
        <v>26</v>
      </c>
      <c r="C1003" s="335" t="s">
        <v>27</v>
      </c>
      <c r="D1003" s="335" t="s">
        <v>47</v>
      </c>
      <c r="E1003" s="336" t="s">
        <v>48</v>
      </c>
      <c r="F1003" s="336" t="s">
        <v>35</v>
      </c>
      <c r="G1003" s="337">
        <v>0.02</v>
      </c>
      <c r="H1003" s="338">
        <v>0.05</v>
      </c>
      <c r="I1003" s="339">
        <v>12396.694214876001</v>
      </c>
      <c r="J1003" s="340">
        <v>260.33057851239602</v>
      </c>
      <c r="K1003" s="335" t="s">
        <v>2037</v>
      </c>
      <c r="L1003" s="335">
        <v>7</v>
      </c>
      <c r="M1003" s="335" t="s">
        <v>2044</v>
      </c>
      <c r="N1003" s="339">
        <v>25</v>
      </c>
      <c r="O1003" s="341">
        <v>0.02</v>
      </c>
      <c r="P1003" s="341">
        <v>390</v>
      </c>
      <c r="Q1003" s="341">
        <v>7.8</v>
      </c>
      <c r="R1003" s="342">
        <v>5.0599999999999996</v>
      </c>
      <c r="S1003" s="342" t="s">
        <v>106</v>
      </c>
    </row>
    <row r="1004" spans="1:19" ht="14.25" customHeight="1" x14ac:dyDescent="0.3">
      <c r="A1004" s="335" t="s">
        <v>2034</v>
      </c>
      <c r="B1004" s="335" t="s">
        <v>26</v>
      </c>
      <c r="C1004" s="335" t="s">
        <v>27</v>
      </c>
      <c r="D1004" s="335" t="s">
        <v>2045</v>
      </c>
      <c r="E1004" s="336" t="s">
        <v>2046</v>
      </c>
      <c r="F1004" s="336" t="s">
        <v>988</v>
      </c>
      <c r="G1004" s="337">
        <v>1</v>
      </c>
      <c r="H1004" s="338">
        <v>0</v>
      </c>
      <c r="I1004" s="339">
        <v>1953.83075581359</v>
      </c>
      <c r="J1004" s="340">
        <v>1953.83075581359</v>
      </c>
      <c r="K1004" s="335" t="s">
        <v>2037</v>
      </c>
      <c r="L1004" s="335">
        <v>8</v>
      </c>
      <c r="M1004" s="335" t="s">
        <v>2047</v>
      </c>
      <c r="N1004" s="339">
        <v>25</v>
      </c>
      <c r="O1004" s="341">
        <v>1</v>
      </c>
      <c r="P1004" s="341">
        <v>390</v>
      </c>
      <c r="Q1004" s="341">
        <v>390</v>
      </c>
      <c r="R1004" s="342">
        <v>5.0599999999999996</v>
      </c>
      <c r="S1004" s="342" t="s">
        <v>106</v>
      </c>
    </row>
    <row r="1005" spans="1:19" ht="14.25" customHeight="1" x14ac:dyDescent="0.3">
      <c r="A1005" s="335" t="s">
        <v>2034</v>
      </c>
      <c r="B1005" s="335" t="s">
        <v>26</v>
      </c>
      <c r="C1005" s="335" t="s">
        <v>27</v>
      </c>
      <c r="D1005" s="335" t="s">
        <v>50</v>
      </c>
      <c r="E1005" s="336" t="s">
        <v>51</v>
      </c>
      <c r="F1005" s="336" t="s">
        <v>30</v>
      </c>
      <c r="G1005" s="337">
        <v>2.7777777777777801E-2</v>
      </c>
      <c r="H1005" s="338">
        <v>0.1</v>
      </c>
      <c r="I1005" s="339">
        <v>32845.78</v>
      </c>
      <c r="J1005" s="340">
        <v>1003.62105555556</v>
      </c>
      <c r="K1005" s="335" t="s">
        <v>2037</v>
      </c>
      <c r="L1005" s="335">
        <v>9</v>
      </c>
      <c r="M1005" s="335" t="s">
        <v>2048</v>
      </c>
      <c r="N1005" s="339">
        <v>25</v>
      </c>
      <c r="O1005" s="341">
        <v>2.7777777777777801E-2</v>
      </c>
      <c r="P1005" s="341">
        <v>390</v>
      </c>
      <c r="Q1005" s="341">
        <v>10.8333333333333</v>
      </c>
      <c r="R1005" s="342">
        <v>5.0599999999999996</v>
      </c>
      <c r="S1005" s="342" t="s">
        <v>106</v>
      </c>
    </row>
    <row r="1006" spans="1:19" ht="14.25" customHeight="1" x14ac:dyDescent="0.3">
      <c r="A1006" s="335" t="s">
        <v>2034</v>
      </c>
      <c r="B1006" s="335" t="s">
        <v>56</v>
      </c>
      <c r="C1006" s="335" t="s">
        <v>57</v>
      </c>
      <c r="D1006" s="343" t="s">
        <v>58</v>
      </c>
      <c r="E1006" s="336" t="s">
        <v>59</v>
      </c>
      <c r="F1006" s="336" t="s">
        <v>60</v>
      </c>
      <c r="G1006" s="337">
        <v>1</v>
      </c>
      <c r="H1006" s="338">
        <v>0</v>
      </c>
      <c r="I1006" s="339">
        <v>60860.580776572002</v>
      </c>
      <c r="J1006" s="340">
        <v>60860.580776572002</v>
      </c>
      <c r="K1006" s="335" t="s">
        <v>2049</v>
      </c>
      <c r="L1006" s="335">
        <v>1</v>
      </c>
      <c r="M1006" s="335" t="s">
        <v>2050</v>
      </c>
      <c r="N1006" s="339">
        <v>25</v>
      </c>
      <c r="O1006" s="341">
        <v>0.04</v>
      </c>
      <c r="P1006" s="341">
        <v>390</v>
      </c>
      <c r="Q1006" s="341">
        <v>15.6</v>
      </c>
      <c r="R1006" s="342">
        <v>5.0599999999999996</v>
      </c>
      <c r="S1006" s="342" t="s">
        <v>106</v>
      </c>
    </row>
    <row r="1007" spans="1:19" ht="13.5" customHeight="1" x14ac:dyDescent="0.3">
      <c r="A1007" s="335" t="s">
        <v>2034</v>
      </c>
      <c r="B1007" s="335" t="s">
        <v>56</v>
      </c>
      <c r="C1007" s="335" t="s">
        <v>57</v>
      </c>
      <c r="D1007" s="343" t="s">
        <v>63</v>
      </c>
      <c r="E1007" s="336" t="s">
        <v>64</v>
      </c>
      <c r="F1007" s="336" t="s">
        <v>60</v>
      </c>
      <c r="G1007" s="337">
        <v>1</v>
      </c>
      <c r="H1007" s="338">
        <v>0</v>
      </c>
      <c r="I1007" s="339">
        <v>85927.097156571996</v>
      </c>
      <c r="J1007" s="340">
        <v>85927.097156571996</v>
      </c>
      <c r="K1007" s="335" t="s">
        <v>2049</v>
      </c>
      <c r="L1007" s="335">
        <v>2</v>
      </c>
      <c r="M1007" s="335" t="s">
        <v>2051</v>
      </c>
      <c r="N1007" s="339">
        <v>25</v>
      </c>
      <c r="O1007" s="341">
        <v>0.04</v>
      </c>
      <c r="P1007" s="341">
        <v>390</v>
      </c>
      <c r="Q1007" s="341">
        <v>15.6</v>
      </c>
      <c r="R1007" s="342">
        <v>5.0599999999999996</v>
      </c>
      <c r="S1007" s="342" t="s">
        <v>106</v>
      </c>
    </row>
    <row r="1008" spans="1:19" ht="14.25" customHeight="1" x14ac:dyDescent="0.3">
      <c r="A1008" s="335" t="s">
        <v>2034</v>
      </c>
      <c r="B1008" s="335" t="s">
        <v>56</v>
      </c>
      <c r="C1008" s="335" t="s">
        <v>27</v>
      </c>
      <c r="D1008" s="335" t="s">
        <v>2052</v>
      </c>
      <c r="E1008" s="336" t="s">
        <v>2053</v>
      </c>
      <c r="F1008" s="336" t="s">
        <v>60</v>
      </c>
      <c r="G1008" s="337">
        <v>1</v>
      </c>
      <c r="H1008" s="338">
        <v>0</v>
      </c>
      <c r="I1008" s="339">
        <v>88072.606759886403</v>
      </c>
      <c r="J1008" s="340">
        <v>88072.606759886403</v>
      </c>
      <c r="K1008" s="335" t="s">
        <v>2049</v>
      </c>
      <c r="L1008" s="335">
        <v>3</v>
      </c>
      <c r="M1008" s="335" t="s">
        <v>2054</v>
      </c>
      <c r="N1008" s="339">
        <v>25</v>
      </c>
      <c r="O1008" s="341">
        <v>1</v>
      </c>
      <c r="P1008" s="341">
        <v>390</v>
      </c>
      <c r="Q1008" s="341">
        <v>390</v>
      </c>
      <c r="R1008" s="342">
        <v>5.0599999999999996</v>
      </c>
      <c r="S1008" s="342" t="s">
        <v>106</v>
      </c>
    </row>
    <row r="1009" spans="1:19" ht="14.25" customHeight="1" x14ac:dyDescent="0.3">
      <c r="A1009" s="335" t="s">
        <v>2055</v>
      </c>
      <c r="B1009" s="335" t="s">
        <v>56</v>
      </c>
      <c r="C1009" s="335" t="s">
        <v>27</v>
      </c>
      <c r="D1009" s="335" t="s">
        <v>2056</v>
      </c>
      <c r="E1009" s="336" t="s">
        <v>2057</v>
      </c>
      <c r="F1009" s="336" t="s">
        <v>60</v>
      </c>
      <c r="G1009" s="337">
        <v>1</v>
      </c>
      <c r="H1009" s="338">
        <v>0</v>
      </c>
      <c r="I1009" s="339">
        <v>1829911.58844288</v>
      </c>
      <c r="J1009" s="340">
        <v>1829911.58844288</v>
      </c>
      <c r="K1009" s="335" t="s">
        <v>2058</v>
      </c>
      <c r="L1009" s="335">
        <v>1</v>
      </c>
      <c r="M1009" s="335" t="s">
        <v>2059</v>
      </c>
      <c r="N1009" s="339">
        <v>1</v>
      </c>
      <c r="O1009" s="341">
        <v>1</v>
      </c>
      <c r="P1009" s="341">
        <v>1</v>
      </c>
      <c r="Q1009" s="341">
        <v>1</v>
      </c>
      <c r="R1009" s="342">
        <v>5.07</v>
      </c>
      <c r="S1009" s="342" t="s">
        <v>25</v>
      </c>
    </row>
    <row r="1010" spans="1:19" ht="14.25" customHeight="1" x14ac:dyDescent="0.3">
      <c r="A1010" s="335" t="s">
        <v>2060</v>
      </c>
      <c r="B1010" s="335" t="s">
        <v>20</v>
      </c>
      <c r="C1010" s="335"/>
      <c r="D1010" s="335" t="s">
        <v>2061</v>
      </c>
      <c r="E1010" s="336" t="s">
        <v>2062</v>
      </c>
      <c r="F1010" s="336"/>
      <c r="G1010" s="337">
        <v>1</v>
      </c>
      <c r="H1010" s="338">
        <v>0</v>
      </c>
      <c r="I1010" s="339">
        <v>347.35203892992803</v>
      </c>
      <c r="J1010" s="340">
        <v>347.35203892992803</v>
      </c>
      <c r="K1010" s="335" t="s">
        <v>2063</v>
      </c>
      <c r="L1010" s="335">
        <v>1</v>
      </c>
      <c r="M1010" s="335" t="s">
        <v>2064</v>
      </c>
      <c r="N1010" s="339">
        <v>1</v>
      </c>
      <c r="O1010" s="341">
        <v>1</v>
      </c>
      <c r="P1010" s="341">
        <v>55</v>
      </c>
      <c r="Q1010" s="341">
        <v>55</v>
      </c>
      <c r="R1010" s="342">
        <v>6.02</v>
      </c>
      <c r="S1010" s="342" t="s">
        <v>106</v>
      </c>
    </row>
    <row r="1011" spans="1:19" ht="14.25" customHeight="1" x14ac:dyDescent="0.3">
      <c r="A1011" s="335" t="s">
        <v>2060</v>
      </c>
      <c r="B1011" s="335" t="s">
        <v>26</v>
      </c>
      <c r="C1011" s="335" t="s">
        <v>27</v>
      </c>
      <c r="D1011" s="335" t="s">
        <v>96</v>
      </c>
      <c r="E1011" s="336" t="s">
        <v>97</v>
      </c>
      <c r="F1011" s="336" t="s">
        <v>98</v>
      </c>
      <c r="G1011" s="337">
        <v>1354.32006011</v>
      </c>
      <c r="H1011" s="338">
        <v>0</v>
      </c>
      <c r="I1011" s="339">
        <v>1</v>
      </c>
      <c r="J1011" s="340">
        <v>1354.32006011</v>
      </c>
      <c r="K1011" s="335" t="s">
        <v>2065</v>
      </c>
      <c r="L1011" s="335">
        <v>1</v>
      </c>
      <c r="M1011" s="335" t="s">
        <v>2066</v>
      </c>
      <c r="N1011" s="339">
        <v>1</v>
      </c>
      <c r="O1011" s="341">
        <v>1354.32006011</v>
      </c>
      <c r="P1011" s="341">
        <v>55</v>
      </c>
      <c r="Q1011" s="341">
        <v>74487.603306050005</v>
      </c>
      <c r="R1011" s="342">
        <v>6.02</v>
      </c>
      <c r="S1011" s="342" t="s">
        <v>106</v>
      </c>
    </row>
    <row r="1012" spans="1:19" ht="14.25" customHeight="1" x14ac:dyDescent="0.3">
      <c r="A1012" s="335" t="s">
        <v>2060</v>
      </c>
      <c r="B1012" s="335" t="s">
        <v>26</v>
      </c>
      <c r="C1012" s="335" t="s">
        <v>27</v>
      </c>
      <c r="D1012" s="335" t="s">
        <v>2067</v>
      </c>
      <c r="E1012" s="336" t="s">
        <v>2068</v>
      </c>
      <c r="F1012" s="336" t="s">
        <v>35</v>
      </c>
      <c r="G1012" s="337">
        <v>0.45454545454545497</v>
      </c>
      <c r="H1012" s="338">
        <v>0</v>
      </c>
      <c r="I1012" s="339">
        <v>18595.0413223141</v>
      </c>
      <c r="J1012" s="340">
        <v>8452.2915101427807</v>
      </c>
      <c r="K1012" s="335" t="s">
        <v>2065</v>
      </c>
      <c r="L1012" s="335">
        <v>2</v>
      </c>
      <c r="M1012" s="335" t="s">
        <v>2069</v>
      </c>
      <c r="N1012" s="339">
        <v>1</v>
      </c>
      <c r="O1012" s="341">
        <v>0.45454545454545497</v>
      </c>
      <c r="P1012" s="341">
        <v>55</v>
      </c>
      <c r="Q1012" s="341">
        <v>25</v>
      </c>
      <c r="R1012" s="342">
        <v>6.02</v>
      </c>
      <c r="S1012" s="342" t="s">
        <v>106</v>
      </c>
    </row>
    <row r="1013" spans="1:19" ht="14.25" customHeight="1" x14ac:dyDescent="0.3">
      <c r="A1013" s="335" t="s">
        <v>2060</v>
      </c>
      <c r="B1013" s="335" t="s">
        <v>26</v>
      </c>
      <c r="C1013" s="335" t="s">
        <v>27</v>
      </c>
      <c r="D1013" s="335" t="s">
        <v>2070</v>
      </c>
      <c r="E1013" s="336" t="s">
        <v>2071</v>
      </c>
      <c r="F1013" s="336" t="s">
        <v>35</v>
      </c>
      <c r="G1013" s="337">
        <v>0.2</v>
      </c>
      <c r="H1013" s="338">
        <v>0</v>
      </c>
      <c r="I1013" s="339">
        <v>25454.5454545455</v>
      </c>
      <c r="J1013" s="340">
        <v>5090.9090909091001</v>
      </c>
      <c r="K1013" s="335" t="s">
        <v>2065</v>
      </c>
      <c r="L1013" s="335">
        <v>3</v>
      </c>
      <c r="M1013" s="335" t="s">
        <v>2072</v>
      </c>
      <c r="N1013" s="339">
        <v>1</v>
      </c>
      <c r="O1013" s="341">
        <v>0.2</v>
      </c>
      <c r="P1013" s="341">
        <v>55</v>
      </c>
      <c r="Q1013" s="341">
        <v>11</v>
      </c>
      <c r="R1013" s="342">
        <v>6.02</v>
      </c>
      <c r="S1013" s="342" t="s">
        <v>106</v>
      </c>
    </row>
    <row r="1014" spans="1:19" ht="14.25" customHeight="1" x14ac:dyDescent="0.3">
      <c r="A1014" s="335" t="s">
        <v>2060</v>
      </c>
      <c r="B1014" s="335" t="s">
        <v>56</v>
      </c>
      <c r="C1014" s="335" t="s">
        <v>57</v>
      </c>
      <c r="D1014" s="343" t="s">
        <v>63</v>
      </c>
      <c r="E1014" s="336" t="s">
        <v>64</v>
      </c>
      <c r="F1014" s="336" t="s">
        <v>60</v>
      </c>
      <c r="G1014" s="337">
        <v>5.4545454545454501E-2</v>
      </c>
      <c r="H1014" s="338">
        <v>0</v>
      </c>
      <c r="I1014" s="339">
        <v>85927.097156571996</v>
      </c>
      <c r="J1014" s="340">
        <v>4686.93257217665</v>
      </c>
      <c r="K1014" s="335" t="s">
        <v>2073</v>
      </c>
      <c r="L1014" s="335">
        <v>1</v>
      </c>
      <c r="M1014" s="335" t="s">
        <v>2074</v>
      </c>
      <c r="N1014" s="339">
        <v>1</v>
      </c>
      <c r="O1014" s="341">
        <v>5.4545454545454501E-2</v>
      </c>
      <c r="P1014" s="341">
        <v>55</v>
      </c>
      <c r="Q1014" s="341">
        <v>3</v>
      </c>
      <c r="R1014" s="342">
        <v>6.02</v>
      </c>
      <c r="S1014" s="342" t="s">
        <v>106</v>
      </c>
    </row>
    <row r="1015" spans="1:19" ht="14.25" customHeight="1" x14ac:dyDescent="0.3">
      <c r="A1015" s="335" t="s">
        <v>2060</v>
      </c>
      <c r="B1015" s="335" t="s">
        <v>56</v>
      </c>
      <c r="C1015" s="335" t="s">
        <v>57</v>
      </c>
      <c r="D1015" s="343" t="s">
        <v>413</v>
      </c>
      <c r="E1015" s="336" t="s">
        <v>414</v>
      </c>
      <c r="F1015" s="336" t="s">
        <v>60</v>
      </c>
      <c r="G1015" s="337">
        <v>5.4545454545454501E-2</v>
      </c>
      <c r="H1015" s="338">
        <v>0</v>
      </c>
      <c r="I1015" s="339">
        <v>65493.071636572</v>
      </c>
      <c r="J1015" s="340">
        <v>3572.3493619948299</v>
      </c>
      <c r="K1015" s="335" t="s">
        <v>2073</v>
      </c>
      <c r="L1015" s="335">
        <v>2</v>
      </c>
      <c r="M1015" s="335" t="s">
        <v>2075</v>
      </c>
      <c r="N1015" s="339">
        <v>1</v>
      </c>
      <c r="O1015" s="341">
        <v>5.4545454545454501E-2</v>
      </c>
      <c r="P1015" s="341">
        <v>55</v>
      </c>
      <c r="Q1015" s="341">
        <v>3</v>
      </c>
      <c r="R1015" s="342">
        <v>6.02</v>
      </c>
      <c r="S1015" s="342" t="s">
        <v>106</v>
      </c>
    </row>
    <row r="1016" spans="1:19" ht="14.25" customHeight="1" x14ac:dyDescent="0.3">
      <c r="A1016" s="335" t="s">
        <v>2076</v>
      </c>
      <c r="B1016" s="335" t="s">
        <v>20</v>
      </c>
      <c r="C1016" s="335"/>
      <c r="D1016" s="335" t="s">
        <v>67</v>
      </c>
      <c r="E1016" s="336" t="s">
        <v>68</v>
      </c>
      <c r="F1016" s="336"/>
      <c r="G1016" s="337">
        <v>0.5</v>
      </c>
      <c r="H1016" s="338">
        <v>0</v>
      </c>
      <c r="I1016" s="339">
        <v>571.17949098076099</v>
      </c>
      <c r="J1016" s="340">
        <v>285.58974549038101</v>
      </c>
      <c r="K1016" s="335" t="s">
        <v>2077</v>
      </c>
      <c r="L1016" s="335">
        <v>1</v>
      </c>
      <c r="M1016" s="335" t="s">
        <v>2078</v>
      </c>
      <c r="N1016" s="339">
        <v>11.5</v>
      </c>
      <c r="O1016" s="341">
        <v>0.5</v>
      </c>
      <c r="P1016" s="341" t="s">
        <v>25</v>
      </c>
      <c r="Q1016" s="341">
        <v>0</v>
      </c>
      <c r="R1016" s="342" t="s">
        <v>25</v>
      </c>
      <c r="S1016" s="342" t="s">
        <v>25</v>
      </c>
    </row>
    <row r="1017" spans="1:19" ht="14.25" customHeight="1" x14ac:dyDescent="0.3">
      <c r="A1017" s="335" t="s">
        <v>2076</v>
      </c>
      <c r="B1017" s="335" t="s">
        <v>20</v>
      </c>
      <c r="C1017" s="335"/>
      <c r="D1017" s="335" t="s">
        <v>71</v>
      </c>
      <c r="E1017" s="336" t="s">
        <v>72</v>
      </c>
      <c r="F1017" s="336"/>
      <c r="G1017" s="337">
        <v>1</v>
      </c>
      <c r="H1017" s="338">
        <v>0</v>
      </c>
      <c r="I1017" s="339">
        <v>2287.1357450968098</v>
      </c>
      <c r="J1017" s="340">
        <v>2287.1357450968098</v>
      </c>
      <c r="K1017" s="335" t="s">
        <v>2077</v>
      </c>
      <c r="L1017" s="335">
        <v>2</v>
      </c>
      <c r="M1017" s="335" t="s">
        <v>2079</v>
      </c>
      <c r="N1017" s="339">
        <v>11.5</v>
      </c>
      <c r="O1017" s="341">
        <v>1</v>
      </c>
      <c r="P1017" s="341" t="s">
        <v>25</v>
      </c>
      <c r="Q1017" s="341">
        <v>0</v>
      </c>
      <c r="R1017" s="342" t="s">
        <v>25</v>
      </c>
      <c r="S1017" s="342" t="s">
        <v>25</v>
      </c>
    </row>
    <row r="1018" spans="1:19" ht="14.25" customHeight="1" x14ac:dyDescent="0.3">
      <c r="A1018" s="335" t="s">
        <v>2076</v>
      </c>
      <c r="B1018" s="335" t="s">
        <v>20</v>
      </c>
      <c r="C1018" s="335"/>
      <c r="D1018" s="335" t="s">
        <v>74</v>
      </c>
      <c r="E1018" s="336" t="s">
        <v>75</v>
      </c>
      <c r="F1018" s="336"/>
      <c r="G1018" s="337">
        <v>1</v>
      </c>
      <c r="H1018" s="338">
        <v>0</v>
      </c>
      <c r="I1018" s="339">
        <v>957.25319614994703</v>
      </c>
      <c r="J1018" s="340">
        <v>957.25319614994703</v>
      </c>
      <c r="K1018" s="335" t="s">
        <v>2077</v>
      </c>
      <c r="L1018" s="335">
        <v>3</v>
      </c>
      <c r="M1018" s="335" t="s">
        <v>2080</v>
      </c>
      <c r="N1018" s="339">
        <v>11.5</v>
      </c>
      <c r="O1018" s="341">
        <v>1</v>
      </c>
      <c r="P1018" s="341" t="s">
        <v>25</v>
      </c>
      <c r="Q1018" s="341">
        <v>0</v>
      </c>
      <c r="R1018" s="342" t="s">
        <v>25</v>
      </c>
      <c r="S1018" s="342" t="s">
        <v>25</v>
      </c>
    </row>
    <row r="1019" spans="1:19" ht="14.25" customHeight="1" x14ac:dyDescent="0.3">
      <c r="A1019" s="335" t="s">
        <v>2076</v>
      </c>
      <c r="B1019" s="335" t="s">
        <v>26</v>
      </c>
      <c r="C1019" s="335" t="s">
        <v>27</v>
      </c>
      <c r="D1019" s="335" t="s">
        <v>81</v>
      </c>
      <c r="E1019" s="336" t="s">
        <v>82</v>
      </c>
      <c r="F1019" s="336" t="s">
        <v>83</v>
      </c>
      <c r="G1019" s="337">
        <v>2.5999999999999999E-2</v>
      </c>
      <c r="H1019" s="338">
        <v>0.1</v>
      </c>
      <c r="I1019" s="339">
        <v>32399.77</v>
      </c>
      <c r="J1019" s="340">
        <v>926.633422</v>
      </c>
      <c r="K1019" s="335" t="s">
        <v>2081</v>
      </c>
      <c r="L1019" s="335">
        <v>1</v>
      </c>
      <c r="M1019" s="335" t="s">
        <v>2082</v>
      </c>
      <c r="N1019" s="339">
        <v>11.5</v>
      </c>
      <c r="O1019" s="341">
        <v>2.5999999999999999E-2</v>
      </c>
      <c r="P1019" s="341" t="s">
        <v>25</v>
      </c>
      <c r="Q1019" s="341">
        <v>0</v>
      </c>
      <c r="R1019" s="342" t="s">
        <v>25</v>
      </c>
      <c r="S1019" s="342" t="s">
        <v>25</v>
      </c>
    </row>
    <row r="1020" spans="1:19" ht="14.25" customHeight="1" x14ac:dyDescent="0.3">
      <c r="A1020" s="335" t="s">
        <v>2076</v>
      </c>
      <c r="B1020" s="335" t="s">
        <v>26</v>
      </c>
      <c r="C1020" s="335" t="s">
        <v>27</v>
      </c>
      <c r="D1020" s="335" t="s">
        <v>85</v>
      </c>
      <c r="E1020" s="336" t="s">
        <v>86</v>
      </c>
      <c r="F1020" s="336" t="s">
        <v>87</v>
      </c>
      <c r="G1020" s="337">
        <v>0.314</v>
      </c>
      <c r="H1020" s="338">
        <v>0.1</v>
      </c>
      <c r="I1020" s="339">
        <v>7809.48</v>
      </c>
      <c r="J1020" s="340">
        <v>2697.3943920000002</v>
      </c>
      <c r="K1020" s="335" t="s">
        <v>2081</v>
      </c>
      <c r="L1020" s="335">
        <v>2</v>
      </c>
      <c r="M1020" s="335" t="s">
        <v>2083</v>
      </c>
      <c r="N1020" s="339">
        <v>11.5</v>
      </c>
      <c r="O1020" s="341">
        <v>0.314</v>
      </c>
      <c r="P1020" s="341" t="s">
        <v>25</v>
      </c>
      <c r="Q1020" s="341">
        <v>0</v>
      </c>
      <c r="R1020" s="342" t="s">
        <v>25</v>
      </c>
      <c r="S1020" s="342" t="s">
        <v>25</v>
      </c>
    </row>
    <row r="1021" spans="1:19" ht="14.25" customHeight="1" x14ac:dyDescent="0.3">
      <c r="A1021" s="335" t="s">
        <v>2076</v>
      </c>
      <c r="B1021" s="335" t="s">
        <v>26</v>
      </c>
      <c r="C1021" s="335" t="s">
        <v>27</v>
      </c>
      <c r="D1021" s="335" t="s">
        <v>89</v>
      </c>
      <c r="E1021" s="336" t="s">
        <v>90</v>
      </c>
      <c r="F1021" s="336" t="s">
        <v>91</v>
      </c>
      <c r="G1021" s="337">
        <v>0.06</v>
      </c>
      <c r="H1021" s="338">
        <v>0.1</v>
      </c>
      <c r="I1021" s="339">
        <v>3837.96</v>
      </c>
      <c r="J1021" s="340">
        <v>253.30536000000001</v>
      </c>
      <c r="K1021" s="335" t="s">
        <v>2081</v>
      </c>
      <c r="L1021" s="335">
        <v>3</v>
      </c>
      <c r="M1021" s="335" t="s">
        <v>2084</v>
      </c>
      <c r="N1021" s="339">
        <v>11.5</v>
      </c>
      <c r="O1021" s="341">
        <v>0.06</v>
      </c>
      <c r="P1021" s="341" t="s">
        <v>25</v>
      </c>
      <c r="Q1021" s="341">
        <v>0</v>
      </c>
      <c r="R1021" s="342" t="s">
        <v>25</v>
      </c>
      <c r="S1021" s="342" t="s">
        <v>25</v>
      </c>
    </row>
    <row r="1022" spans="1:19" ht="14.25" customHeight="1" x14ac:dyDescent="0.3">
      <c r="A1022" s="335" t="s">
        <v>2076</v>
      </c>
      <c r="B1022" s="335" t="s">
        <v>26</v>
      </c>
      <c r="C1022" s="335" t="s">
        <v>27</v>
      </c>
      <c r="D1022" s="335" t="s">
        <v>165</v>
      </c>
      <c r="E1022" s="336" t="s">
        <v>166</v>
      </c>
      <c r="F1022" s="336" t="s">
        <v>167</v>
      </c>
      <c r="G1022" s="337">
        <v>0.1</v>
      </c>
      <c r="H1022" s="338">
        <v>0.05</v>
      </c>
      <c r="I1022" s="339">
        <v>1256.1279999999999</v>
      </c>
      <c r="J1022" s="340">
        <v>131.89344</v>
      </c>
      <c r="K1022" s="335" t="s">
        <v>2081</v>
      </c>
      <c r="L1022" s="335">
        <v>4</v>
      </c>
      <c r="M1022" s="335" t="s">
        <v>2085</v>
      </c>
      <c r="N1022" s="339">
        <v>11.5</v>
      </c>
      <c r="O1022" s="341">
        <v>0.1</v>
      </c>
      <c r="P1022" s="341" t="s">
        <v>25</v>
      </c>
      <c r="Q1022" s="341">
        <v>0</v>
      </c>
      <c r="R1022" s="342" t="s">
        <v>25</v>
      </c>
      <c r="S1022" s="342" t="s">
        <v>25</v>
      </c>
    </row>
    <row r="1023" spans="1:19" ht="14.25" customHeight="1" x14ac:dyDescent="0.3">
      <c r="A1023" s="335" t="s">
        <v>2076</v>
      </c>
      <c r="B1023" s="335" t="s">
        <v>56</v>
      </c>
      <c r="C1023" s="335" t="s">
        <v>57</v>
      </c>
      <c r="D1023" s="343" t="s">
        <v>58</v>
      </c>
      <c r="E1023" s="336" t="s">
        <v>59</v>
      </c>
      <c r="F1023" s="336" t="s">
        <v>60</v>
      </c>
      <c r="G1023" s="337">
        <v>0.6</v>
      </c>
      <c r="H1023" s="338">
        <v>0</v>
      </c>
      <c r="I1023" s="339">
        <v>60860.580776572002</v>
      </c>
      <c r="J1023" s="340">
        <v>36516.3484659432</v>
      </c>
      <c r="K1023" s="335" t="s">
        <v>2086</v>
      </c>
      <c r="L1023" s="335">
        <v>1</v>
      </c>
      <c r="M1023" s="335" t="s">
        <v>2087</v>
      </c>
      <c r="N1023" s="339">
        <v>11.5</v>
      </c>
      <c r="O1023" s="341">
        <v>5.21739130434783E-2</v>
      </c>
      <c r="P1023" s="341" t="s">
        <v>25</v>
      </c>
      <c r="Q1023" s="341">
        <v>0</v>
      </c>
      <c r="R1023" s="342" t="s">
        <v>25</v>
      </c>
      <c r="S1023" s="342" t="s">
        <v>25</v>
      </c>
    </row>
    <row r="1024" spans="1:19" ht="14.25" customHeight="1" x14ac:dyDescent="0.3">
      <c r="A1024" s="335" t="s">
        <v>2076</v>
      </c>
      <c r="B1024" s="335" t="s">
        <v>56</v>
      </c>
      <c r="C1024" s="335" t="s">
        <v>57</v>
      </c>
      <c r="D1024" s="343" t="s">
        <v>63</v>
      </c>
      <c r="E1024" s="336" t="s">
        <v>64</v>
      </c>
      <c r="F1024" s="336" t="s">
        <v>60</v>
      </c>
      <c r="G1024" s="337">
        <v>1</v>
      </c>
      <c r="H1024" s="338">
        <v>0</v>
      </c>
      <c r="I1024" s="339">
        <v>85927.097156571996</v>
      </c>
      <c r="J1024" s="340">
        <v>85927.097156571996</v>
      </c>
      <c r="K1024" s="335" t="s">
        <v>2086</v>
      </c>
      <c r="L1024" s="335">
        <v>2</v>
      </c>
      <c r="M1024" s="335" t="s">
        <v>2088</v>
      </c>
      <c r="N1024" s="339">
        <v>11.5</v>
      </c>
      <c r="O1024" s="341">
        <v>8.6956521739130405E-2</v>
      </c>
      <c r="P1024" s="341" t="s">
        <v>25</v>
      </c>
      <c r="Q1024" s="341">
        <v>0</v>
      </c>
      <c r="R1024" s="342" t="s">
        <v>25</v>
      </c>
      <c r="S1024" s="342" t="s">
        <v>25</v>
      </c>
    </row>
    <row r="1025" spans="1:19" ht="14.25" customHeight="1" x14ac:dyDescent="0.3">
      <c r="A1025" s="335" t="s">
        <v>2089</v>
      </c>
      <c r="B1025" s="335" t="s">
        <v>20</v>
      </c>
      <c r="C1025" s="335"/>
      <c r="D1025" s="335" t="s">
        <v>269</v>
      </c>
      <c r="E1025" s="336" t="s">
        <v>270</v>
      </c>
      <c r="F1025" s="336"/>
      <c r="G1025" s="337">
        <v>1</v>
      </c>
      <c r="H1025" s="338">
        <v>0</v>
      </c>
      <c r="I1025" s="339">
        <v>2910.1331666666701</v>
      </c>
      <c r="J1025" s="340">
        <v>2910.1331666666701</v>
      </c>
      <c r="K1025" s="335" t="s">
        <v>2090</v>
      </c>
      <c r="L1025" s="335">
        <v>1</v>
      </c>
      <c r="M1025" s="335" t="s">
        <v>2091</v>
      </c>
      <c r="N1025" s="339">
        <v>8</v>
      </c>
      <c r="O1025" s="341">
        <v>1</v>
      </c>
      <c r="P1025" s="341">
        <v>716</v>
      </c>
      <c r="Q1025" s="341">
        <v>716</v>
      </c>
      <c r="R1025" s="342">
        <v>7.02</v>
      </c>
      <c r="S1025" s="342" t="s">
        <v>106</v>
      </c>
    </row>
    <row r="1026" spans="1:19" ht="14.25" customHeight="1" x14ac:dyDescent="0.3">
      <c r="A1026" s="335" t="s">
        <v>2089</v>
      </c>
      <c r="B1026" s="335" t="s">
        <v>20</v>
      </c>
      <c r="C1026" s="335"/>
      <c r="D1026" s="335" t="s">
        <v>71</v>
      </c>
      <c r="E1026" s="336" t="s">
        <v>72</v>
      </c>
      <c r="F1026" s="336"/>
      <c r="G1026" s="337">
        <v>1</v>
      </c>
      <c r="H1026" s="338">
        <v>0</v>
      </c>
      <c r="I1026" s="339">
        <v>2287.1357450968098</v>
      </c>
      <c r="J1026" s="340">
        <v>2287.1357450968098</v>
      </c>
      <c r="K1026" s="335" t="s">
        <v>2090</v>
      </c>
      <c r="L1026" s="335">
        <v>2</v>
      </c>
      <c r="M1026" s="335" t="s">
        <v>2092</v>
      </c>
      <c r="N1026" s="339">
        <v>8</v>
      </c>
      <c r="O1026" s="341">
        <v>1</v>
      </c>
      <c r="P1026" s="341">
        <v>716</v>
      </c>
      <c r="Q1026" s="341">
        <v>716</v>
      </c>
      <c r="R1026" s="342">
        <v>7.02</v>
      </c>
      <c r="S1026" s="342" t="s">
        <v>106</v>
      </c>
    </row>
    <row r="1027" spans="1:19" ht="14.25" customHeight="1" x14ac:dyDescent="0.3">
      <c r="A1027" s="335" t="s">
        <v>2089</v>
      </c>
      <c r="B1027" s="335" t="s">
        <v>20</v>
      </c>
      <c r="C1027" s="335"/>
      <c r="D1027" s="335" t="s">
        <v>74</v>
      </c>
      <c r="E1027" s="336" t="s">
        <v>75</v>
      </c>
      <c r="F1027" s="336"/>
      <c r="G1027" s="337">
        <v>1</v>
      </c>
      <c r="H1027" s="338">
        <v>0</v>
      </c>
      <c r="I1027" s="339">
        <v>957.25319614994703</v>
      </c>
      <c r="J1027" s="340">
        <v>957.25319614994703</v>
      </c>
      <c r="K1027" s="335" t="s">
        <v>2090</v>
      </c>
      <c r="L1027" s="335">
        <v>3</v>
      </c>
      <c r="M1027" s="335" t="s">
        <v>2093</v>
      </c>
      <c r="N1027" s="339">
        <v>8</v>
      </c>
      <c r="O1027" s="341">
        <v>1</v>
      </c>
      <c r="P1027" s="341">
        <v>716</v>
      </c>
      <c r="Q1027" s="341">
        <v>716</v>
      </c>
      <c r="R1027" s="342">
        <v>7.02</v>
      </c>
      <c r="S1027" s="342" t="s">
        <v>106</v>
      </c>
    </row>
    <row r="1028" spans="1:19" ht="14.25" customHeight="1" x14ac:dyDescent="0.3">
      <c r="A1028" s="335" t="s">
        <v>2089</v>
      </c>
      <c r="B1028" s="335" t="s">
        <v>26</v>
      </c>
      <c r="C1028" s="335" t="s">
        <v>27</v>
      </c>
      <c r="D1028" s="335" t="s">
        <v>81</v>
      </c>
      <c r="E1028" s="336" t="s">
        <v>82</v>
      </c>
      <c r="F1028" s="336" t="s">
        <v>83</v>
      </c>
      <c r="G1028" s="337">
        <v>2.5999999999999999E-2</v>
      </c>
      <c r="H1028" s="338">
        <v>0.1</v>
      </c>
      <c r="I1028" s="339">
        <v>32399.77</v>
      </c>
      <c r="J1028" s="340">
        <v>926.633422</v>
      </c>
      <c r="K1028" s="335" t="s">
        <v>2094</v>
      </c>
      <c r="L1028" s="335">
        <v>1</v>
      </c>
      <c r="M1028" s="335" t="s">
        <v>2095</v>
      </c>
      <c r="N1028" s="339">
        <v>8</v>
      </c>
      <c r="O1028" s="341">
        <v>2.5999999999999999E-2</v>
      </c>
      <c r="P1028" s="341">
        <v>716</v>
      </c>
      <c r="Q1028" s="341">
        <v>18.616</v>
      </c>
      <c r="R1028" s="342">
        <v>7.02</v>
      </c>
      <c r="S1028" s="342" t="s">
        <v>106</v>
      </c>
    </row>
    <row r="1029" spans="1:19" ht="14.25" customHeight="1" x14ac:dyDescent="0.3">
      <c r="A1029" s="335" t="s">
        <v>2089</v>
      </c>
      <c r="B1029" s="335" t="s">
        <v>26</v>
      </c>
      <c r="C1029" s="335" t="s">
        <v>27</v>
      </c>
      <c r="D1029" s="335" t="s">
        <v>85</v>
      </c>
      <c r="E1029" s="336" t="s">
        <v>86</v>
      </c>
      <c r="F1029" s="336" t="s">
        <v>87</v>
      </c>
      <c r="G1029" s="337">
        <v>0.314</v>
      </c>
      <c r="H1029" s="338">
        <v>0.1</v>
      </c>
      <c r="I1029" s="339">
        <v>7809.48</v>
      </c>
      <c r="J1029" s="340">
        <v>2697.3943920000002</v>
      </c>
      <c r="K1029" s="335" t="s">
        <v>2094</v>
      </c>
      <c r="L1029" s="335">
        <v>2</v>
      </c>
      <c r="M1029" s="335" t="s">
        <v>2096</v>
      </c>
      <c r="N1029" s="339">
        <v>8</v>
      </c>
      <c r="O1029" s="341">
        <v>0.314</v>
      </c>
      <c r="P1029" s="341">
        <v>716</v>
      </c>
      <c r="Q1029" s="341">
        <v>224.82400000000001</v>
      </c>
      <c r="R1029" s="342">
        <v>7.02</v>
      </c>
      <c r="S1029" s="342" t="s">
        <v>106</v>
      </c>
    </row>
    <row r="1030" spans="1:19" ht="14.25" customHeight="1" x14ac:dyDescent="0.3">
      <c r="A1030" s="335" t="s">
        <v>2089</v>
      </c>
      <c r="B1030" s="335" t="s">
        <v>26</v>
      </c>
      <c r="C1030" s="335" t="s">
        <v>27</v>
      </c>
      <c r="D1030" s="335" t="s">
        <v>89</v>
      </c>
      <c r="E1030" s="336" t="s">
        <v>90</v>
      </c>
      <c r="F1030" s="336" t="s">
        <v>91</v>
      </c>
      <c r="G1030" s="337">
        <v>0.06</v>
      </c>
      <c r="H1030" s="338">
        <v>0.1</v>
      </c>
      <c r="I1030" s="339">
        <v>3837.96</v>
      </c>
      <c r="J1030" s="340">
        <v>253.30536000000001</v>
      </c>
      <c r="K1030" s="335" t="s">
        <v>2094</v>
      </c>
      <c r="L1030" s="335">
        <v>3</v>
      </c>
      <c r="M1030" s="335" t="s">
        <v>2097</v>
      </c>
      <c r="N1030" s="339">
        <v>8</v>
      </c>
      <c r="O1030" s="341">
        <v>0.06</v>
      </c>
      <c r="P1030" s="341">
        <v>716</v>
      </c>
      <c r="Q1030" s="341">
        <v>42.96</v>
      </c>
      <c r="R1030" s="342">
        <v>7.02</v>
      </c>
      <c r="S1030" s="342" t="s">
        <v>106</v>
      </c>
    </row>
    <row r="1031" spans="1:19" ht="14.25" customHeight="1" x14ac:dyDescent="0.3">
      <c r="A1031" s="335" t="s">
        <v>2089</v>
      </c>
      <c r="B1031" s="335" t="s">
        <v>26</v>
      </c>
      <c r="C1031" s="335" t="s">
        <v>27</v>
      </c>
      <c r="D1031" s="335" t="s">
        <v>165</v>
      </c>
      <c r="E1031" s="336" t="s">
        <v>166</v>
      </c>
      <c r="F1031" s="336" t="s">
        <v>167</v>
      </c>
      <c r="G1031" s="337">
        <v>0.1</v>
      </c>
      <c r="H1031" s="338">
        <v>0.05</v>
      </c>
      <c r="I1031" s="339">
        <v>1256.1279999999999</v>
      </c>
      <c r="J1031" s="340">
        <v>131.89344</v>
      </c>
      <c r="K1031" s="335" t="s">
        <v>2094</v>
      </c>
      <c r="L1031" s="335">
        <v>4</v>
      </c>
      <c r="M1031" s="335" t="s">
        <v>2098</v>
      </c>
      <c r="N1031" s="339">
        <v>8</v>
      </c>
      <c r="O1031" s="341">
        <v>0.1</v>
      </c>
      <c r="P1031" s="341">
        <v>716</v>
      </c>
      <c r="Q1031" s="341">
        <v>71.599999999999994</v>
      </c>
      <c r="R1031" s="342">
        <v>7.02</v>
      </c>
      <c r="S1031" s="342" t="s">
        <v>106</v>
      </c>
    </row>
    <row r="1032" spans="1:19" ht="14.25" customHeight="1" x14ac:dyDescent="0.3">
      <c r="A1032" s="335" t="s">
        <v>2089</v>
      </c>
      <c r="B1032" s="335" t="s">
        <v>56</v>
      </c>
      <c r="C1032" s="335" t="s">
        <v>57</v>
      </c>
      <c r="D1032" s="343" t="s">
        <v>58</v>
      </c>
      <c r="E1032" s="336" t="s">
        <v>59</v>
      </c>
      <c r="F1032" s="336" t="s">
        <v>60</v>
      </c>
      <c r="G1032" s="337">
        <v>0.6</v>
      </c>
      <c r="H1032" s="338">
        <v>0</v>
      </c>
      <c r="I1032" s="339">
        <v>60860.580776572002</v>
      </c>
      <c r="J1032" s="340">
        <v>36516.3484659432</v>
      </c>
      <c r="K1032" s="335" t="s">
        <v>2099</v>
      </c>
      <c r="L1032" s="335">
        <v>1</v>
      </c>
      <c r="M1032" s="335" t="s">
        <v>2100</v>
      </c>
      <c r="N1032" s="339">
        <v>8</v>
      </c>
      <c r="O1032" s="341">
        <v>7.4999999999999997E-2</v>
      </c>
      <c r="P1032" s="341">
        <v>716</v>
      </c>
      <c r="Q1032" s="341">
        <v>53.7</v>
      </c>
      <c r="R1032" s="342">
        <v>7.02</v>
      </c>
      <c r="S1032" s="342" t="s">
        <v>106</v>
      </c>
    </row>
    <row r="1033" spans="1:19" ht="14.25" customHeight="1" x14ac:dyDescent="0.3">
      <c r="A1033" s="335" t="s">
        <v>2089</v>
      </c>
      <c r="B1033" s="335" t="s">
        <v>56</v>
      </c>
      <c r="C1033" s="335" t="s">
        <v>57</v>
      </c>
      <c r="D1033" s="343" t="s">
        <v>63</v>
      </c>
      <c r="E1033" s="336" t="s">
        <v>64</v>
      </c>
      <c r="F1033" s="336" t="s">
        <v>60</v>
      </c>
      <c r="G1033" s="337">
        <v>1</v>
      </c>
      <c r="H1033" s="338">
        <v>0</v>
      </c>
      <c r="I1033" s="339">
        <v>85927.097156571996</v>
      </c>
      <c r="J1033" s="340">
        <v>85927.097156571996</v>
      </c>
      <c r="K1033" s="335" t="s">
        <v>2099</v>
      </c>
      <c r="L1033" s="335">
        <v>2</v>
      </c>
      <c r="M1033" s="335" t="s">
        <v>2101</v>
      </c>
      <c r="N1033" s="339">
        <v>8</v>
      </c>
      <c r="O1033" s="341">
        <v>0.125</v>
      </c>
      <c r="P1033" s="341">
        <v>716</v>
      </c>
      <c r="Q1033" s="341">
        <v>89.5</v>
      </c>
      <c r="R1033" s="342">
        <v>7.02</v>
      </c>
      <c r="S1033" s="342" t="s">
        <v>106</v>
      </c>
    </row>
    <row r="1034" spans="1:19" ht="14.25" customHeight="1" x14ac:dyDescent="0.3">
      <c r="A1034" s="335" t="s">
        <v>2102</v>
      </c>
      <c r="B1034" s="335" t="s">
        <v>20</v>
      </c>
      <c r="C1034" s="335"/>
      <c r="D1034" s="335" t="s">
        <v>2103</v>
      </c>
      <c r="E1034" s="336" t="s">
        <v>2104</v>
      </c>
      <c r="F1034" s="336"/>
      <c r="G1034" s="337">
        <v>1</v>
      </c>
      <c r="H1034" s="338">
        <v>0</v>
      </c>
      <c r="I1034" s="339">
        <v>254.63084667573</v>
      </c>
      <c r="J1034" s="340">
        <v>254.63084667573</v>
      </c>
      <c r="K1034" s="335" t="s">
        <v>2105</v>
      </c>
      <c r="L1034" s="335">
        <v>1</v>
      </c>
      <c r="M1034" s="335" t="s">
        <v>2106</v>
      </c>
      <c r="N1034" s="339">
        <v>1</v>
      </c>
      <c r="O1034" s="341">
        <v>1</v>
      </c>
      <c r="P1034" s="341">
        <v>1439</v>
      </c>
      <c r="Q1034" s="341">
        <v>1439</v>
      </c>
      <c r="R1034" s="342">
        <v>7.03</v>
      </c>
      <c r="S1034" s="342" t="s">
        <v>25</v>
      </c>
    </row>
    <row r="1035" spans="1:19" ht="14.25" customHeight="1" x14ac:dyDescent="0.3">
      <c r="A1035" s="335" t="s">
        <v>2102</v>
      </c>
      <c r="B1035" s="335" t="s">
        <v>26</v>
      </c>
      <c r="C1035" s="335" t="s">
        <v>480</v>
      </c>
      <c r="D1035" s="335" t="s">
        <v>2107</v>
      </c>
      <c r="E1035" s="336" t="s">
        <v>2108</v>
      </c>
      <c r="F1035" s="336" t="s">
        <v>91</v>
      </c>
      <c r="G1035" s="337">
        <v>0.71438498957609498</v>
      </c>
      <c r="H1035" s="338">
        <v>0</v>
      </c>
      <c r="I1035" s="339">
        <v>6965.28</v>
      </c>
      <c r="J1035" s="340">
        <v>4975.8914801945803</v>
      </c>
      <c r="K1035" s="335" t="s">
        <v>2109</v>
      </c>
      <c r="L1035" s="335">
        <v>1</v>
      </c>
      <c r="M1035" s="335" t="s">
        <v>2110</v>
      </c>
      <c r="N1035" s="339">
        <v>1</v>
      </c>
      <c r="O1035" s="341">
        <v>0.71438498957609498</v>
      </c>
      <c r="P1035" s="341">
        <v>1439</v>
      </c>
      <c r="Q1035" s="341">
        <v>1028</v>
      </c>
      <c r="R1035" s="342">
        <v>7.03</v>
      </c>
      <c r="S1035" s="342" t="s">
        <v>25</v>
      </c>
    </row>
    <row r="1036" spans="1:19" ht="14.25" customHeight="1" x14ac:dyDescent="0.3">
      <c r="A1036" s="335" t="s">
        <v>2102</v>
      </c>
      <c r="B1036" s="335" t="s">
        <v>26</v>
      </c>
      <c r="C1036" s="335" t="s">
        <v>480</v>
      </c>
      <c r="D1036" s="335" t="s">
        <v>2111</v>
      </c>
      <c r="E1036" s="336" t="s">
        <v>2112</v>
      </c>
      <c r="F1036" s="336" t="s">
        <v>2113</v>
      </c>
      <c r="G1036" s="337">
        <v>1.38985406532314E-3</v>
      </c>
      <c r="H1036" s="338">
        <v>0</v>
      </c>
      <c r="I1036" s="339">
        <v>127350</v>
      </c>
      <c r="J1036" s="340">
        <v>176.99791521890199</v>
      </c>
      <c r="K1036" s="335" t="s">
        <v>2109</v>
      </c>
      <c r="L1036" s="335">
        <v>2</v>
      </c>
      <c r="M1036" s="335" t="s">
        <v>2114</v>
      </c>
      <c r="N1036" s="339">
        <v>1</v>
      </c>
      <c r="O1036" s="341">
        <v>1.38985406532314E-3</v>
      </c>
      <c r="P1036" s="341">
        <v>1439</v>
      </c>
      <c r="Q1036" s="341">
        <v>2</v>
      </c>
      <c r="R1036" s="342">
        <v>7.03</v>
      </c>
      <c r="S1036" s="342" t="s">
        <v>25</v>
      </c>
    </row>
    <row r="1037" spans="1:19" ht="14.25" customHeight="1" x14ac:dyDescent="0.3">
      <c r="A1037" s="335" t="s">
        <v>2102</v>
      </c>
      <c r="B1037" s="335" t="s">
        <v>26</v>
      </c>
      <c r="C1037" s="335" t="s">
        <v>480</v>
      </c>
      <c r="D1037" s="335" t="s">
        <v>2115</v>
      </c>
      <c r="E1037" s="336" t="s">
        <v>2116</v>
      </c>
      <c r="F1037" s="336" t="s">
        <v>1322</v>
      </c>
      <c r="G1037" s="337">
        <v>4.8644892286309896E-3</v>
      </c>
      <c r="H1037" s="338">
        <v>0</v>
      </c>
      <c r="I1037" s="339">
        <v>35210.699999999997</v>
      </c>
      <c r="J1037" s="340">
        <v>171.28207088255701</v>
      </c>
      <c r="K1037" s="335" t="s">
        <v>2109</v>
      </c>
      <c r="L1037" s="335">
        <v>3</v>
      </c>
      <c r="M1037" s="335" t="s">
        <v>2117</v>
      </c>
      <c r="N1037" s="339">
        <v>1</v>
      </c>
      <c r="O1037" s="341">
        <v>4.8644892286309896E-3</v>
      </c>
      <c r="P1037" s="341">
        <v>1439</v>
      </c>
      <c r="Q1037" s="341">
        <v>6.9999999999999902</v>
      </c>
      <c r="R1037" s="342">
        <v>7.03</v>
      </c>
      <c r="S1037" s="342" t="s">
        <v>25</v>
      </c>
    </row>
    <row r="1038" spans="1:19" ht="14.25" customHeight="1" x14ac:dyDescent="0.3">
      <c r="A1038" s="335" t="s">
        <v>2102</v>
      </c>
      <c r="B1038" s="335" t="s">
        <v>56</v>
      </c>
      <c r="C1038" s="335" t="s">
        <v>27</v>
      </c>
      <c r="D1038" s="335" t="s">
        <v>2118</v>
      </c>
      <c r="E1038" s="336" t="s">
        <v>2119</v>
      </c>
      <c r="F1038" s="336" t="s">
        <v>60</v>
      </c>
      <c r="G1038" s="337">
        <v>1</v>
      </c>
      <c r="H1038" s="338">
        <v>0</v>
      </c>
      <c r="I1038" s="339">
        <v>11651.218312086001</v>
      </c>
      <c r="J1038" s="340">
        <v>11651.218312086001</v>
      </c>
      <c r="K1038" s="335" t="s">
        <v>2120</v>
      </c>
      <c r="L1038" s="335">
        <v>1</v>
      </c>
      <c r="M1038" s="335" t="s">
        <v>2121</v>
      </c>
      <c r="N1038" s="339">
        <v>1</v>
      </c>
      <c r="O1038" s="341">
        <v>1</v>
      </c>
      <c r="P1038" s="341">
        <v>1439</v>
      </c>
      <c r="Q1038" s="341">
        <v>1439</v>
      </c>
      <c r="R1038" s="342">
        <v>7.03</v>
      </c>
      <c r="S1038" s="342" t="s">
        <v>25</v>
      </c>
    </row>
    <row r="1039" spans="1:19" ht="14.25" customHeight="1" x14ac:dyDescent="0.3">
      <c r="A1039" s="335" t="s">
        <v>2122</v>
      </c>
      <c r="B1039" s="335" t="s">
        <v>20</v>
      </c>
      <c r="C1039" s="335"/>
      <c r="D1039" s="335" t="s">
        <v>2123</v>
      </c>
      <c r="E1039" s="336" t="s">
        <v>2124</v>
      </c>
      <c r="F1039" s="336"/>
      <c r="G1039" s="337">
        <v>1</v>
      </c>
      <c r="H1039" s="338">
        <v>0</v>
      </c>
      <c r="I1039" s="339">
        <v>187.4920973566</v>
      </c>
      <c r="J1039" s="340">
        <v>187.4920973566</v>
      </c>
      <c r="K1039" s="335" t="s">
        <v>2125</v>
      </c>
      <c r="L1039" s="335">
        <v>1</v>
      </c>
      <c r="M1039" s="335" t="s">
        <v>2126</v>
      </c>
      <c r="N1039" s="339">
        <v>1</v>
      </c>
      <c r="O1039" s="341">
        <v>1</v>
      </c>
      <c r="P1039" s="341">
        <v>347</v>
      </c>
      <c r="Q1039" s="341">
        <v>347</v>
      </c>
      <c r="R1039" s="342">
        <v>7.04</v>
      </c>
      <c r="S1039" s="342" t="s">
        <v>25</v>
      </c>
    </row>
    <row r="1040" spans="1:19" ht="14.25" customHeight="1" x14ac:dyDescent="0.3">
      <c r="A1040" s="335" t="s">
        <v>2122</v>
      </c>
      <c r="B1040" s="335" t="s">
        <v>56</v>
      </c>
      <c r="C1040" s="335" t="s">
        <v>27</v>
      </c>
      <c r="D1040" s="335" t="s">
        <v>2127</v>
      </c>
      <c r="E1040" s="336" t="s">
        <v>2128</v>
      </c>
      <c r="F1040" s="336" t="s">
        <v>60</v>
      </c>
      <c r="G1040" s="337">
        <v>1</v>
      </c>
      <c r="H1040" s="338">
        <v>0</v>
      </c>
      <c r="I1040" s="339">
        <v>12499.4731571067</v>
      </c>
      <c r="J1040" s="340">
        <v>12499.4731571067</v>
      </c>
      <c r="K1040" s="335" t="s">
        <v>2129</v>
      </c>
      <c r="L1040" s="335">
        <v>1</v>
      </c>
      <c r="M1040" s="335" t="s">
        <v>2130</v>
      </c>
      <c r="N1040" s="339">
        <v>1</v>
      </c>
      <c r="O1040" s="341">
        <v>1</v>
      </c>
      <c r="P1040" s="341">
        <v>347</v>
      </c>
      <c r="Q1040" s="341">
        <v>347</v>
      </c>
      <c r="R1040" s="342">
        <v>7.04</v>
      </c>
      <c r="S1040" s="342" t="s">
        <v>25</v>
      </c>
    </row>
    <row r="1041" spans="1:19" ht="14.25" customHeight="1" x14ac:dyDescent="0.3">
      <c r="A1041" s="335" t="s">
        <v>2131</v>
      </c>
      <c r="B1041" s="335" t="s">
        <v>20</v>
      </c>
      <c r="C1041" s="335"/>
      <c r="D1041" s="335" t="s">
        <v>2132</v>
      </c>
      <c r="E1041" s="336" t="s">
        <v>2133</v>
      </c>
      <c r="F1041" s="336"/>
      <c r="G1041" s="337">
        <v>1</v>
      </c>
      <c r="H1041" s="338">
        <v>0</v>
      </c>
      <c r="I1041" s="339">
        <v>214.94396350429901</v>
      </c>
      <c r="J1041" s="340">
        <v>214.94396350429901</v>
      </c>
      <c r="K1041" s="335" t="s">
        <v>2134</v>
      </c>
      <c r="L1041" s="335">
        <v>1</v>
      </c>
      <c r="M1041" s="335" t="s">
        <v>2135</v>
      </c>
      <c r="N1041" s="339">
        <v>1</v>
      </c>
      <c r="O1041" s="341">
        <v>1</v>
      </c>
      <c r="P1041" s="341">
        <v>132</v>
      </c>
      <c r="Q1041" s="341">
        <v>132</v>
      </c>
      <c r="R1041" s="342">
        <v>7.05</v>
      </c>
      <c r="S1041" s="342" t="s">
        <v>25</v>
      </c>
    </row>
    <row r="1042" spans="1:19" ht="14.25" customHeight="1" x14ac:dyDescent="0.3">
      <c r="A1042" s="335" t="s">
        <v>2131</v>
      </c>
      <c r="B1042" s="335" t="s">
        <v>26</v>
      </c>
      <c r="C1042" s="335" t="s">
        <v>480</v>
      </c>
      <c r="D1042" s="335" t="s">
        <v>2136</v>
      </c>
      <c r="E1042" s="336" t="s">
        <v>2137</v>
      </c>
      <c r="F1042" s="336" t="s">
        <v>35</v>
      </c>
      <c r="G1042" s="337">
        <v>1.0530303030303001</v>
      </c>
      <c r="H1042" s="338">
        <v>0</v>
      </c>
      <c r="I1042" s="339">
        <v>1108.49</v>
      </c>
      <c r="J1042" s="340">
        <v>1167.2735606060601</v>
      </c>
      <c r="K1042" s="335" t="s">
        <v>2138</v>
      </c>
      <c r="L1042" s="335">
        <v>1</v>
      </c>
      <c r="M1042" s="335" t="s">
        <v>2139</v>
      </c>
      <c r="N1042" s="339">
        <v>1</v>
      </c>
      <c r="O1042" s="341">
        <v>1.0530303030303001</v>
      </c>
      <c r="P1042" s="341">
        <v>132</v>
      </c>
      <c r="Q1042" s="341">
        <v>139</v>
      </c>
      <c r="R1042" s="342">
        <v>7.05</v>
      </c>
      <c r="S1042" s="342" t="s">
        <v>25</v>
      </c>
    </row>
    <row r="1043" spans="1:19" ht="14.25" customHeight="1" x14ac:dyDescent="0.3">
      <c r="A1043" s="335" t="s">
        <v>2131</v>
      </c>
      <c r="B1043" s="335" t="s">
        <v>56</v>
      </c>
      <c r="C1043" s="335" t="s">
        <v>27</v>
      </c>
      <c r="D1043" s="335" t="s">
        <v>2140</v>
      </c>
      <c r="E1043" s="336" t="s">
        <v>2137</v>
      </c>
      <c r="F1043" s="336" t="s">
        <v>60</v>
      </c>
      <c r="G1043" s="337">
        <v>1.0530303030303001</v>
      </c>
      <c r="H1043" s="338">
        <v>0</v>
      </c>
      <c r="I1043" s="339">
        <v>12499.4731571067</v>
      </c>
      <c r="J1043" s="340">
        <v>13162.3240063472</v>
      </c>
      <c r="K1043" s="335" t="s">
        <v>2141</v>
      </c>
      <c r="L1043" s="335">
        <v>1</v>
      </c>
      <c r="M1043" s="335" t="s">
        <v>2142</v>
      </c>
      <c r="N1043" s="339">
        <v>1</v>
      </c>
      <c r="O1043" s="341">
        <v>1.0530303030303001</v>
      </c>
      <c r="P1043" s="341">
        <v>132</v>
      </c>
      <c r="Q1043" s="341">
        <v>139</v>
      </c>
      <c r="R1043" s="342">
        <v>7.05</v>
      </c>
      <c r="S1043" s="342" t="s">
        <v>25</v>
      </c>
    </row>
    <row r="1044" spans="1:19" ht="14.25" customHeight="1" x14ac:dyDescent="0.3">
      <c r="A1044" s="335" t="s">
        <v>2143</v>
      </c>
      <c r="B1044" s="335" t="s">
        <v>20</v>
      </c>
      <c r="C1044" s="335"/>
      <c r="D1044" s="335" t="s">
        <v>67</v>
      </c>
      <c r="E1044" s="336" t="s">
        <v>68</v>
      </c>
      <c r="F1044" s="336"/>
      <c r="G1044" s="337">
        <v>0.5</v>
      </c>
      <c r="H1044" s="338">
        <v>0</v>
      </c>
      <c r="I1044" s="339">
        <v>571.17949098076099</v>
      </c>
      <c r="J1044" s="340">
        <v>285.58974549038101</v>
      </c>
      <c r="K1044" s="335" t="s">
        <v>2144</v>
      </c>
      <c r="L1044" s="335">
        <v>1</v>
      </c>
      <c r="M1044" s="335" t="s">
        <v>2145</v>
      </c>
      <c r="N1044" s="339">
        <v>11.5</v>
      </c>
      <c r="O1044" s="341">
        <v>0.5</v>
      </c>
      <c r="P1044" s="341" t="s">
        <v>25</v>
      </c>
      <c r="Q1044" s="341">
        <v>0</v>
      </c>
      <c r="R1044" s="342" t="s">
        <v>25</v>
      </c>
      <c r="S1044" s="342" t="s">
        <v>25</v>
      </c>
    </row>
    <row r="1045" spans="1:19" ht="14.25" customHeight="1" x14ac:dyDescent="0.3">
      <c r="A1045" s="335" t="s">
        <v>2143</v>
      </c>
      <c r="B1045" s="335" t="s">
        <v>20</v>
      </c>
      <c r="C1045" s="335"/>
      <c r="D1045" s="335" t="s">
        <v>71</v>
      </c>
      <c r="E1045" s="336" t="s">
        <v>72</v>
      </c>
      <c r="F1045" s="336"/>
      <c r="G1045" s="337">
        <v>1</v>
      </c>
      <c r="H1045" s="338">
        <v>0</v>
      </c>
      <c r="I1045" s="339">
        <v>2287.1357450968098</v>
      </c>
      <c r="J1045" s="340">
        <v>2287.1357450968098</v>
      </c>
      <c r="K1045" s="335" t="s">
        <v>2144</v>
      </c>
      <c r="L1045" s="335">
        <v>2</v>
      </c>
      <c r="M1045" s="335" t="s">
        <v>2146</v>
      </c>
      <c r="N1045" s="339">
        <v>11.5</v>
      </c>
      <c r="O1045" s="341">
        <v>1</v>
      </c>
      <c r="P1045" s="341" t="s">
        <v>25</v>
      </c>
      <c r="Q1045" s="341">
        <v>0</v>
      </c>
      <c r="R1045" s="342" t="s">
        <v>25</v>
      </c>
      <c r="S1045" s="342" t="s">
        <v>25</v>
      </c>
    </row>
    <row r="1046" spans="1:19" ht="14.25" customHeight="1" x14ac:dyDescent="0.3">
      <c r="A1046" s="335" t="s">
        <v>2143</v>
      </c>
      <c r="B1046" s="335" t="s">
        <v>20</v>
      </c>
      <c r="C1046" s="335"/>
      <c r="D1046" s="335" t="s">
        <v>74</v>
      </c>
      <c r="E1046" s="336" t="s">
        <v>75</v>
      </c>
      <c r="F1046" s="336"/>
      <c r="G1046" s="337">
        <v>1</v>
      </c>
      <c r="H1046" s="338">
        <v>0</v>
      </c>
      <c r="I1046" s="339">
        <v>957.25319614994703</v>
      </c>
      <c r="J1046" s="340">
        <v>957.25319614994703</v>
      </c>
      <c r="K1046" s="335" t="s">
        <v>2144</v>
      </c>
      <c r="L1046" s="335">
        <v>3</v>
      </c>
      <c r="M1046" s="335" t="s">
        <v>2147</v>
      </c>
      <c r="N1046" s="339">
        <v>11.5</v>
      </c>
      <c r="O1046" s="341">
        <v>1</v>
      </c>
      <c r="P1046" s="341" t="s">
        <v>25</v>
      </c>
      <c r="Q1046" s="341">
        <v>0</v>
      </c>
      <c r="R1046" s="342" t="s">
        <v>25</v>
      </c>
      <c r="S1046" s="342" t="s">
        <v>25</v>
      </c>
    </row>
    <row r="1047" spans="1:19" ht="14.25" customHeight="1" x14ac:dyDescent="0.3">
      <c r="A1047" s="335" t="s">
        <v>2143</v>
      </c>
      <c r="B1047" s="335" t="s">
        <v>26</v>
      </c>
      <c r="C1047" s="335" t="s">
        <v>27</v>
      </c>
      <c r="D1047" s="335" t="s">
        <v>81</v>
      </c>
      <c r="E1047" s="336" t="s">
        <v>82</v>
      </c>
      <c r="F1047" s="336" t="s">
        <v>83</v>
      </c>
      <c r="G1047" s="337">
        <v>2.5999999999999999E-2</v>
      </c>
      <c r="H1047" s="338">
        <v>0.1</v>
      </c>
      <c r="I1047" s="339">
        <v>32399.77</v>
      </c>
      <c r="J1047" s="340">
        <v>926.633422</v>
      </c>
      <c r="K1047" s="335" t="s">
        <v>2148</v>
      </c>
      <c r="L1047" s="335">
        <v>1</v>
      </c>
      <c r="M1047" s="335" t="s">
        <v>2149</v>
      </c>
      <c r="N1047" s="339">
        <v>11.5</v>
      </c>
      <c r="O1047" s="341">
        <v>2.5999999999999999E-2</v>
      </c>
      <c r="P1047" s="341" t="s">
        <v>25</v>
      </c>
      <c r="Q1047" s="341">
        <v>0</v>
      </c>
      <c r="R1047" s="342" t="s">
        <v>25</v>
      </c>
      <c r="S1047" s="342" t="s">
        <v>25</v>
      </c>
    </row>
    <row r="1048" spans="1:19" ht="14.25" customHeight="1" x14ac:dyDescent="0.3">
      <c r="A1048" s="335" t="s">
        <v>2143</v>
      </c>
      <c r="B1048" s="335" t="s">
        <v>26</v>
      </c>
      <c r="C1048" s="335" t="s">
        <v>27</v>
      </c>
      <c r="D1048" s="335" t="s">
        <v>85</v>
      </c>
      <c r="E1048" s="336" t="s">
        <v>86</v>
      </c>
      <c r="F1048" s="336" t="s">
        <v>87</v>
      </c>
      <c r="G1048" s="337">
        <v>0.314</v>
      </c>
      <c r="H1048" s="338">
        <v>0.1</v>
      </c>
      <c r="I1048" s="339">
        <v>7809.48</v>
      </c>
      <c r="J1048" s="340">
        <v>2697.3943920000002</v>
      </c>
      <c r="K1048" s="335" t="s">
        <v>2148</v>
      </c>
      <c r="L1048" s="335">
        <v>2</v>
      </c>
      <c r="M1048" s="335" t="s">
        <v>2150</v>
      </c>
      <c r="N1048" s="339">
        <v>11.5</v>
      </c>
      <c r="O1048" s="341">
        <v>0.314</v>
      </c>
      <c r="P1048" s="341" t="s">
        <v>25</v>
      </c>
      <c r="Q1048" s="341">
        <v>0</v>
      </c>
      <c r="R1048" s="342" t="s">
        <v>25</v>
      </c>
      <c r="S1048" s="342" t="s">
        <v>25</v>
      </c>
    </row>
    <row r="1049" spans="1:19" ht="14.25" customHeight="1" x14ac:dyDescent="0.3">
      <c r="A1049" s="335" t="s">
        <v>2143</v>
      </c>
      <c r="B1049" s="335" t="s">
        <v>26</v>
      </c>
      <c r="C1049" s="335" t="s">
        <v>27</v>
      </c>
      <c r="D1049" s="335" t="s">
        <v>89</v>
      </c>
      <c r="E1049" s="336" t="s">
        <v>90</v>
      </c>
      <c r="F1049" s="336" t="s">
        <v>91</v>
      </c>
      <c r="G1049" s="337">
        <v>0.06</v>
      </c>
      <c r="H1049" s="338">
        <v>0.1</v>
      </c>
      <c r="I1049" s="339">
        <v>3837.96</v>
      </c>
      <c r="J1049" s="340">
        <v>253.30536000000001</v>
      </c>
      <c r="K1049" s="335" t="s">
        <v>2148</v>
      </c>
      <c r="L1049" s="335">
        <v>3</v>
      </c>
      <c r="M1049" s="335" t="s">
        <v>2151</v>
      </c>
      <c r="N1049" s="339">
        <v>11.5</v>
      </c>
      <c r="O1049" s="341">
        <v>0.06</v>
      </c>
      <c r="P1049" s="341" t="s">
        <v>25</v>
      </c>
      <c r="Q1049" s="341">
        <v>0</v>
      </c>
      <c r="R1049" s="342" t="s">
        <v>25</v>
      </c>
      <c r="S1049" s="342" t="s">
        <v>25</v>
      </c>
    </row>
    <row r="1050" spans="1:19" ht="14.25" customHeight="1" x14ac:dyDescent="0.3">
      <c r="A1050" s="335" t="s">
        <v>2143</v>
      </c>
      <c r="B1050" s="335" t="s">
        <v>26</v>
      </c>
      <c r="C1050" s="335" t="s">
        <v>27</v>
      </c>
      <c r="D1050" s="335" t="s">
        <v>165</v>
      </c>
      <c r="E1050" s="336" t="s">
        <v>166</v>
      </c>
      <c r="F1050" s="336" t="s">
        <v>167</v>
      </c>
      <c r="G1050" s="337">
        <v>0.1</v>
      </c>
      <c r="H1050" s="338">
        <v>0.05</v>
      </c>
      <c r="I1050" s="339">
        <v>1256.1279999999999</v>
      </c>
      <c r="J1050" s="340">
        <v>131.89344</v>
      </c>
      <c r="K1050" s="335" t="s">
        <v>2148</v>
      </c>
      <c r="L1050" s="335">
        <v>4</v>
      </c>
      <c r="M1050" s="335" t="s">
        <v>2152</v>
      </c>
      <c r="N1050" s="339">
        <v>11.5</v>
      </c>
      <c r="O1050" s="341">
        <v>0.1</v>
      </c>
      <c r="P1050" s="341" t="s">
        <v>25</v>
      </c>
      <c r="Q1050" s="341">
        <v>0</v>
      </c>
      <c r="R1050" s="342" t="s">
        <v>25</v>
      </c>
      <c r="S1050" s="342" t="s">
        <v>25</v>
      </c>
    </row>
    <row r="1051" spans="1:19" ht="14.25" customHeight="1" x14ac:dyDescent="0.3">
      <c r="A1051" s="335" t="s">
        <v>2143</v>
      </c>
      <c r="B1051" s="335" t="s">
        <v>56</v>
      </c>
      <c r="C1051" s="335" t="s">
        <v>57</v>
      </c>
      <c r="D1051" s="343" t="s">
        <v>58</v>
      </c>
      <c r="E1051" s="336" t="s">
        <v>59</v>
      </c>
      <c r="F1051" s="336" t="s">
        <v>60</v>
      </c>
      <c r="G1051" s="337">
        <v>0.6</v>
      </c>
      <c r="H1051" s="338">
        <v>0</v>
      </c>
      <c r="I1051" s="339">
        <v>60860.580776572002</v>
      </c>
      <c r="J1051" s="340">
        <v>36516.3484659432</v>
      </c>
      <c r="K1051" s="335" t="s">
        <v>2153</v>
      </c>
      <c r="L1051" s="335">
        <v>1</v>
      </c>
      <c r="M1051" s="335" t="s">
        <v>2154</v>
      </c>
      <c r="N1051" s="339">
        <v>11.5</v>
      </c>
      <c r="O1051" s="341">
        <v>5.21739130434783E-2</v>
      </c>
      <c r="P1051" s="341" t="s">
        <v>25</v>
      </c>
      <c r="Q1051" s="341">
        <v>0</v>
      </c>
      <c r="R1051" s="342" t="s">
        <v>25</v>
      </c>
      <c r="S1051" s="342" t="s">
        <v>25</v>
      </c>
    </row>
    <row r="1052" spans="1:19" ht="14.25" customHeight="1" x14ac:dyDescent="0.3">
      <c r="A1052" s="335" t="s">
        <v>2143</v>
      </c>
      <c r="B1052" s="335" t="s">
        <v>56</v>
      </c>
      <c r="C1052" s="335" t="s">
        <v>57</v>
      </c>
      <c r="D1052" s="343" t="s">
        <v>63</v>
      </c>
      <c r="E1052" s="336" t="s">
        <v>64</v>
      </c>
      <c r="F1052" s="336" t="s">
        <v>60</v>
      </c>
      <c r="G1052" s="337">
        <v>1</v>
      </c>
      <c r="H1052" s="338">
        <v>0</v>
      </c>
      <c r="I1052" s="339">
        <v>85927.097156571996</v>
      </c>
      <c r="J1052" s="340">
        <v>85927.097156571996</v>
      </c>
      <c r="K1052" s="335" t="s">
        <v>2153</v>
      </c>
      <c r="L1052" s="335">
        <v>2</v>
      </c>
      <c r="M1052" s="335" t="s">
        <v>2155</v>
      </c>
      <c r="N1052" s="339">
        <v>11.5</v>
      </c>
      <c r="O1052" s="341">
        <v>8.6956521739130405E-2</v>
      </c>
      <c r="P1052" s="341" t="s">
        <v>25</v>
      </c>
      <c r="Q1052" s="341">
        <v>0</v>
      </c>
      <c r="R1052" s="342" t="s">
        <v>25</v>
      </c>
      <c r="S1052" s="342" t="s">
        <v>25</v>
      </c>
    </row>
    <row r="1053" spans="1:19" ht="14.25" customHeight="1" x14ac:dyDescent="0.3">
      <c r="A1053" s="335" t="s">
        <v>2156</v>
      </c>
      <c r="B1053" s="335" t="s">
        <v>20</v>
      </c>
      <c r="C1053" s="335"/>
      <c r="D1053" s="335" t="s">
        <v>2157</v>
      </c>
      <c r="E1053" s="336" t="s">
        <v>2158</v>
      </c>
      <c r="F1053" s="336"/>
      <c r="G1053" s="337">
        <v>1</v>
      </c>
      <c r="H1053" s="338">
        <v>0</v>
      </c>
      <c r="I1053" s="339">
        <v>649.57350320066905</v>
      </c>
      <c r="J1053" s="340">
        <v>649.57350320066905</v>
      </c>
      <c r="K1053" s="335" t="s">
        <v>2159</v>
      </c>
      <c r="L1053" s="335">
        <v>1</v>
      </c>
      <c r="M1053" s="335" t="s">
        <v>2160</v>
      </c>
      <c r="N1053" s="339">
        <v>1</v>
      </c>
      <c r="O1053" s="341">
        <v>1</v>
      </c>
      <c r="P1053" s="341">
        <v>107</v>
      </c>
      <c r="Q1053" s="341">
        <v>107</v>
      </c>
      <c r="R1053" s="342">
        <v>8.01</v>
      </c>
      <c r="S1053" s="342" t="s">
        <v>106</v>
      </c>
    </row>
    <row r="1054" spans="1:19" ht="14.25" customHeight="1" x14ac:dyDescent="0.3">
      <c r="A1054" s="335" t="s">
        <v>2156</v>
      </c>
      <c r="B1054" s="335" t="s">
        <v>26</v>
      </c>
      <c r="C1054" s="335" t="s">
        <v>480</v>
      </c>
      <c r="D1054" s="335" t="s">
        <v>96</v>
      </c>
      <c r="E1054" s="336" t="s">
        <v>97</v>
      </c>
      <c r="F1054" s="336" t="s">
        <v>98</v>
      </c>
      <c r="G1054" s="337">
        <v>1212.43102803738</v>
      </c>
      <c r="H1054" s="338">
        <v>0</v>
      </c>
      <c r="I1054" s="339">
        <v>1</v>
      </c>
      <c r="J1054" s="340">
        <v>1212.43102803738</v>
      </c>
      <c r="K1054" s="335" t="s">
        <v>2161</v>
      </c>
      <c r="L1054" s="335">
        <v>1</v>
      </c>
      <c r="M1054" s="335" t="s">
        <v>2162</v>
      </c>
      <c r="N1054" s="339">
        <v>1</v>
      </c>
      <c r="O1054" s="341">
        <v>1212.43102803738</v>
      </c>
      <c r="P1054" s="341">
        <v>107</v>
      </c>
      <c r="Q1054" s="341">
        <v>129730.12</v>
      </c>
      <c r="R1054" s="342">
        <v>8.01</v>
      </c>
      <c r="S1054" s="342" t="s">
        <v>106</v>
      </c>
    </row>
    <row r="1055" spans="1:19" ht="14.25" customHeight="1" x14ac:dyDescent="0.3">
      <c r="A1055" s="335" t="s">
        <v>2156</v>
      </c>
      <c r="B1055" s="335" t="s">
        <v>26</v>
      </c>
      <c r="C1055" s="335" t="s">
        <v>480</v>
      </c>
      <c r="D1055" s="335" t="s">
        <v>2163</v>
      </c>
      <c r="E1055" s="336" t="s">
        <v>2164</v>
      </c>
      <c r="F1055" s="336" t="s">
        <v>1322</v>
      </c>
      <c r="G1055" s="337">
        <v>6.4999999999999997E-3</v>
      </c>
      <c r="H1055" s="338">
        <v>0</v>
      </c>
      <c r="I1055" s="339">
        <v>27000</v>
      </c>
      <c r="J1055" s="340">
        <v>175.5</v>
      </c>
      <c r="K1055" s="335" t="s">
        <v>2161</v>
      </c>
      <c r="L1055" s="335">
        <v>2</v>
      </c>
      <c r="M1055" s="335" t="s">
        <v>2165</v>
      </c>
      <c r="N1055" s="339">
        <v>1</v>
      </c>
      <c r="O1055" s="341">
        <v>6.4999999999999997E-3</v>
      </c>
      <c r="P1055" s="341">
        <v>107</v>
      </c>
      <c r="Q1055" s="341">
        <v>0.69550000000000001</v>
      </c>
      <c r="R1055" s="342">
        <v>8.01</v>
      </c>
      <c r="S1055" s="342" t="s">
        <v>106</v>
      </c>
    </row>
    <row r="1056" spans="1:19" ht="14.25" customHeight="1" x14ac:dyDescent="0.3">
      <c r="A1056" s="335" t="s">
        <v>2156</v>
      </c>
      <c r="B1056" s="335" t="s">
        <v>26</v>
      </c>
      <c r="C1056" s="335" t="s">
        <v>480</v>
      </c>
      <c r="D1056" s="335" t="s">
        <v>2166</v>
      </c>
      <c r="E1056" s="336" t="s">
        <v>2167</v>
      </c>
      <c r="F1056" s="336" t="s">
        <v>748</v>
      </c>
      <c r="G1056" s="337">
        <v>8.4112149532710304E-2</v>
      </c>
      <c r="H1056" s="338">
        <v>0</v>
      </c>
      <c r="I1056" s="339">
        <v>69985.789999999994</v>
      </c>
      <c r="J1056" s="340">
        <v>5886.6552336448603</v>
      </c>
      <c r="K1056" s="335" t="s">
        <v>2161</v>
      </c>
      <c r="L1056" s="335">
        <v>3</v>
      </c>
      <c r="M1056" s="335" t="s">
        <v>2168</v>
      </c>
      <c r="N1056" s="339">
        <v>1</v>
      </c>
      <c r="O1056" s="341">
        <v>8.4112149532710304E-2</v>
      </c>
      <c r="P1056" s="341">
        <v>107</v>
      </c>
      <c r="Q1056" s="341">
        <v>9</v>
      </c>
      <c r="R1056" s="342">
        <v>8.01</v>
      </c>
      <c r="S1056" s="342" t="s">
        <v>106</v>
      </c>
    </row>
    <row r="1057" spans="1:19" ht="14.25" customHeight="1" x14ac:dyDescent="0.3">
      <c r="A1057" s="335" t="s">
        <v>2156</v>
      </c>
      <c r="B1057" s="335" t="s">
        <v>26</v>
      </c>
      <c r="C1057" s="335" t="s">
        <v>480</v>
      </c>
      <c r="D1057" s="335" t="s">
        <v>2169</v>
      </c>
      <c r="E1057" s="336" t="s">
        <v>2170</v>
      </c>
      <c r="F1057" s="336" t="s">
        <v>83</v>
      </c>
      <c r="G1057" s="337">
        <v>0.20560747663551401</v>
      </c>
      <c r="H1057" s="338">
        <v>0</v>
      </c>
      <c r="I1057" s="339">
        <v>115100</v>
      </c>
      <c r="J1057" s="340">
        <v>23665.420560747702</v>
      </c>
      <c r="K1057" s="335" t="s">
        <v>2161</v>
      </c>
      <c r="L1057" s="335">
        <v>4</v>
      </c>
      <c r="M1057" s="335" t="s">
        <v>2171</v>
      </c>
      <c r="N1057" s="339">
        <v>1</v>
      </c>
      <c r="O1057" s="341">
        <v>0.20560747663551401</v>
      </c>
      <c r="P1057" s="341">
        <v>107</v>
      </c>
      <c r="Q1057" s="341">
        <v>22</v>
      </c>
      <c r="R1057" s="342">
        <v>8.01</v>
      </c>
      <c r="S1057" s="342" t="s">
        <v>106</v>
      </c>
    </row>
    <row r="1058" spans="1:19" ht="14.25" customHeight="1" x14ac:dyDescent="0.3">
      <c r="A1058" s="335" t="s">
        <v>2156</v>
      </c>
      <c r="B1058" s="335" t="s">
        <v>56</v>
      </c>
      <c r="C1058" s="335" t="s">
        <v>57</v>
      </c>
      <c r="D1058" s="335" t="s">
        <v>58</v>
      </c>
      <c r="E1058" s="336" t="s">
        <v>59</v>
      </c>
      <c r="F1058" s="336" t="s">
        <v>60</v>
      </c>
      <c r="G1058" s="337">
        <v>0.11214953271028</v>
      </c>
      <c r="H1058" s="338">
        <v>0</v>
      </c>
      <c r="I1058" s="339">
        <v>60860.580776572002</v>
      </c>
      <c r="J1058" s="340">
        <v>6825.4856945687998</v>
      </c>
      <c r="K1058" s="335" t="s">
        <v>2172</v>
      </c>
      <c r="L1058" s="335">
        <v>1</v>
      </c>
      <c r="M1058" s="335" t="s">
        <v>2173</v>
      </c>
      <c r="N1058" s="339">
        <v>1</v>
      </c>
      <c r="O1058" s="341">
        <v>0.11214953271028</v>
      </c>
      <c r="P1058" s="341">
        <v>107</v>
      </c>
      <c r="Q1058" s="341">
        <v>12</v>
      </c>
      <c r="R1058" s="342">
        <v>8.01</v>
      </c>
      <c r="S1058" s="342" t="s">
        <v>106</v>
      </c>
    </row>
    <row r="1059" spans="1:19" ht="14.25" customHeight="1" x14ac:dyDescent="0.3">
      <c r="A1059" s="335" t="s">
        <v>2156</v>
      </c>
      <c r="B1059" s="335" t="s">
        <v>56</v>
      </c>
      <c r="C1059" s="335" t="s">
        <v>57</v>
      </c>
      <c r="D1059" s="343" t="s">
        <v>413</v>
      </c>
      <c r="E1059" s="336" t="s">
        <v>414</v>
      </c>
      <c r="F1059" s="336" t="s">
        <v>60</v>
      </c>
      <c r="G1059" s="337">
        <v>1.86915887850467E-2</v>
      </c>
      <c r="H1059" s="338">
        <v>0</v>
      </c>
      <c r="I1059" s="339">
        <v>65493.071636572</v>
      </c>
      <c r="J1059" s="340">
        <v>1224.1695633004099</v>
      </c>
      <c r="K1059" s="335" t="s">
        <v>2172</v>
      </c>
      <c r="L1059" s="335">
        <v>2</v>
      </c>
      <c r="M1059" s="335" t="s">
        <v>2174</v>
      </c>
      <c r="N1059" s="339">
        <v>1</v>
      </c>
      <c r="O1059" s="341">
        <v>1.86915887850467E-2</v>
      </c>
      <c r="P1059" s="341">
        <v>107</v>
      </c>
      <c r="Q1059" s="341">
        <v>2</v>
      </c>
      <c r="R1059" s="342">
        <v>8.01</v>
      </c>
      <c r="S1059" s="342" t="s">
        <v>106</v>
      </c>
    </row>
    <row r="1060" spans="1:19" ht="14.25" customHeight="1" x14ac:dyDescent="0.3">
      <c r="A1060" s="335" t="s">
        <v>2156</v>
      </c>
      <c r="B1060" s="335" t="s">
        <v>56</v>
      </c>
      <c r="C1060" s="335" t="s">
        <v>57</v>
      </c>
      <c r="D1060" s="343" t="s">
        <v>497</v>
      </c>
      <c r="E1060" s="336" t="s">
        <v>498</v>
      </c>
      <c r="F1060" s="336" t="s">
        <v>60</v>
      </c>
      <c r="G1060" s="337">
        <v>5.60747663551402E-2</v>
      </c>
      <c r="H1060" s="338">
        <v>0</v>
      </c>
      <c r="I1060" s="339">
        <v>76955.079706571996</v>
      </c>
      <c r="J1060" s="340">
        <v>4315.2381143872199</v>
      </c>
      <c r="K1060" s="335" t="s">
        <v>2172</v>
      </c>
      <c r="L1060" s="335">
        <v>3</v>
      </c>
      <c r="M1060" s="335" t="s">
        <v>2175</v>
      </c>
      <c r="N1060" s="339">
        <v>1</v>
      </c>
      <c r="O1060" s="341">
        <v>5.60747663551402E-2</v>
      </c>
      <c r="P1060" s="341">
        <v>107</v>
      </c>
      <c r="Q1060" s="341">
        <v>6</v>
      </c>
      <c r="R1060" s="342">
        <v>8.01</v>
      </c>
      <c r="S1060" s="342" t="s">
        <v>106</v>
      </c>
    </row>
    <row r="1061" spans="1:19" ht="14.25" customHeight="1" x14ac:dyDescent="0.3">
      <c r="A1061" s="335" t="s">
        <v>2176</v>
      </c>
      <c r="B1061" s="335" t="s">
        <v>20</v>
      </c>
      <c r="C1061" s="335"/>
      <c r="D1061" s="335" t="s">
        <v>2177</v>
      </c>
      <c r="E1061" s="336" t="s">
        <v>2178</v>
      </c>
      <c r="F1061" s="336"/>
      <c r="G1061" s="337">
        <v>1</v>
      </c>
      <c r="H1061" s="338">
        <v>0</v>
      </c>
      <c r="I1061" s="339">
        <v>429.44656213747601</v>
      </c>
      <c r="J1061" s="340">
        <v>429.44656213747601</v>
      </c>
      <c r="K1061" s="335" t="s">
        <v>2179</v>
      </c>
      <c r="L1061" s="335">
        <v>1</v>
      </c>
      <c r="M1061" s="335" t="s">
        <v>2180</v>
      </c>
      <c r="N1061" s="339">
        <v>1</v>
      </c>
      <c r="O1061" s="341">
        <v>1</v>
      </c>
      <c r="P1061" s="341">
        <v>258</v>
      </c>
      <c r="Q1061" s="341">
        <v>258</v>
      </c>
      <c r="R1061" s="342">
        <v>8.02</v>
      </c>
      <c r="S1061" s="342" t="s">
        <v>106</v>
      </c>
    </row>
    <row r="1062" spans="1:19" ht="14.25" customHeight="1" x14ac:dyDescent="0.3">
      <c r="A1062" s="335" t="s">
        <v>2176</v>
      </c>
      <c r="B1062" s="335" t="s">
        <v>26</v>
      </c>
      <c r="C1062" s="335" t="s">
        <v>27</v>
      </c>
      <c r="D1062" s="335" t="s">
        <v>1008</v>
      </c>
      <c r="E1062" s="336" t="s">
        <v>1009</v>
      </c>
      <c r="F1062" s="336" t="s">
        <v>83</v>
      </c>
      <c r="G1062" s="337">
        <v>0.15891472868217099</v>
      </c>
      <c r="H1062" s="338">
        <v>0</v>
      </c>
      <c r="I1062" s="339">
        <v>5330</v>
      </c>
      <c r="J1062" s="340">
        <v>847.01550387597104</v>
      </c>
      <c r="K1062" s="335" t="s">
        <v>2181</v>
      </c>
      <c r="L1062" s="335">
        <v>1</v>
      </c>
      <c r="M1062" s="335" t="s">
        <v>2182</v>
      </c>
      <c r="N1062" s="339">
        <v>1</v>
      </c>
      <c r="O1062" s="341">
        <v>0.15891472868217099</v>
      </c>
      <c r="P1062" s="341">
        <v>258</v>
      </c>
      <c r="Q1062" s="341">
        <v>41.000000000000099</v>
      </c>
      <c r="R1062" s="342">
        <v>8.02</v>
      </c>
      <c r="S1062" s="342" t="s">
        <v>106</v>
      </c>
    </row>
    <row r="1063" spans="1:19" ht="14.25" customHeight="1" x14ac:dyDescent="0.3">
      <c r="A1063" s="335" t="s">
        <v>2176</v>
      </c>
      <c r="B1063" s="335" t="s">
        <v>26</v>
      </c>
      <c r="C1063" s="335" t="s">
        <v>27</v>
      </c>
      <c r="D1063" s="335" t="s">
        <v>1536</v>
      </c>
      <c r="E1063" s="336" t="s">
        <v>1537</v>
      </c>
      <c r="F1063" s="336" t="s">
        <v>91</v>
      </c>
      <c r="G1063" s="337">
        <v>7.7519379844961198E-2</v>
      </c>
      <c r="H1063" s="338">
        <v>0</v>
      </c>
      <c r="I1063" s="339">
        <v>7809.48</v>
      </c>
      <c r="J1063" s="340">
        <v>605.38604651162802</v>
      </c>
      <c r="K1063" s="335" t="s">
        <v>2181</v>
      </c>
      <c r="L1063" s="335">
        <v>2</v>
      </c>
      <c r="M1063" s="335" t="s">
        <v>2183</v>
      </c>
      <c r="N1063" s="339">
        <v>1</v>
      </c>
      <c r="O1063" s="341">
        <v>7.7519379844961198E-2</v>
      </c>
      <c r="P1063" s="341">
        <v>258</v>
      </c>
      <c r="Q1063" s="341">
        <v>20</v>
      </c>
      <c r="R1063" s="342">
        <v>8.02</v>
      </c>
      <c r="S1063" s="342" t="s">
        <v>106</v>
      </c>
    </row>
    <row r="1064" spans="1:19" ht="14.25" customHeight="1" x14ac:dyDescent="0.3">
      <c r="A1064" s="335" t="s">
        <v>2176</v>
      </c>
      <c r="B1064" s="335" t="s">
        <v>26</v>
      </c>
      <c r="C1064" s="335" t="s">
        <v>27</v>
      </c>
      <c r="D1064" s="335" t="s">
        <v>2163</v>
      </c>
      <c r="E1064" s="336" t="s">
        <v>2164</v>
      </c>
      <c r="F1064" s="336" t="s">
        <v>1322</v>
      </c>
      <c r="G1064" s="337">
        <v>5.0000000000000001E-3</v>
      </c>
      <c r="H1064" s="338">
        <v>0</v>
      </c>
      <c r="I1064" s="339">
        <v>27000</v>
      </c>
      <c r="J1064" s="340">
        <v>135</v>
      </c>
      <c r="K1064" s="335" t="s">
        <v>2181</v>
      </c>
      <c r="L1064" s="335">
        <v>3</v>
      </c>
      <c r="M1064" s="335" t="s">
        <v>2184</v>
      </c>
      <c r="N1064" s="339">
        <v>1</v>
      </c>
      <c r="O1064" s="341">
        <v>5.0000000000000001E-3</v>
      </c>
      <c r="P1064" s="341">
        <v>258</v>
      </c>
      <c r="Q1064" s="341">
        <v>1.29</v>
      </c>
      <c r="R1064" s="342">
        <v>8.02</v>
      </c>
      <c r="S1064" s="342" t="s">
        <v>106</v>
      </c>
    </row>
    <row r="1065" spans="1:19" ht="14.25" customHeight="1" x14ac:dyDescent="0.3">
      <c r="A1065" s="335" t="s">
        <v>2176</v>
      </c>
      <c r="B1065" s="335" t="s">
        <v>26</v>
      </c>
      <c r="C1065" s="335" t="s">
        <v>27</v>
      </c>
      <c r="D1065" s="335" t="s">
        <v>2169</v>
      </c>
      <c r="E1065" s="336" t="s">
        <v>2170</v>
      </c>
      <c r="F1065" s="336" t="s">
        <v>83</v>
      </c>
      <c r="G1065" s="337">
        <v>0.15891472868217099</v>
      </c>
      <c r="H1065" s="338">
        <v>0</v>
      </c>
      <c r="I1065" s="339">
        <v>115100</v>
      </c>
      <c r="J1065" s="340">
        <v>18291.085271317901</v>
      </c>
      <c r="K1065" s="335" t="s">
        <v>2181</v>
      </c>
      <c r="L1065" s="335">
        <v>4</v>
      </c>
      <c r="M1065" s="335" t="s">
        <v>2185</v>
      </c>
      <c r="N1065" s="339">
        <v>1</v>
      </c>
      <c r="O1065" s="341">
        <v>0.15891472868217099</v>
      </c>
      <c r="P1065" s="341">
        <v>258</v>
      </c>
      <c r="Q1065" s="341">
        <v>41.000000000000099</v>
      </c>
      <c r="R1065" s="342">
        <v>8.02</v>
      </c>
      <c r="S1065" s="342" t="s">
        <v>106</v>
      </c>
    </row>
    <row r="1066" spans="1:19" ht="14.25" customHeight="1" x14ac:dyDescent="0.3">
      <c r="A1066" s="335" t="s">
        <v>2176</v>
      </c>
      <c r="B1066" s="335" t="s">
        <v>26</v>
      </c>
      <c r="C1066" s="335" t="s">
        <v>27</v>
      </c>
      <c r="D1066" s="335" t="s">
        <v>2186</v>
      </c>
      <c r="E1066" s="336" t="s">
        <v>2187</v>
      </c>
      <c r="F1066" s="336" t="s">
        <v>98</v>
      </c>
      <c r="G1066" s="337">
        <v>3.8759689922480598E-3</v>
      </c>
      <c r="H1066" s="338">
        <v>0</v>
      </c>
      <c r="I1066" s="339">
        <v>533000</v>
      </c>
      <c r="J1066" s="340">
        <v>2065.8914728682198</v>
      </c>
      <c r="K1066" s="335" t="s">
        <v>2181</v>
      </c>
      <c r="L1066" s="335">
        <v>5</v>
      </c>
      <c r="M1066" s="335" t="s">
        <v>2188</v>
      </c>
      <c r="N1066" s="339">
        <v>1</v>
      </c>
      <c r="O1066" s="341">
        <v>3.8759689922480598E-3</v>
      </c>
      <c r="P1066" s="341">
        <v>258</v>
      </c>
      <c r="Q1066" s="341">
        <v>0.999999999999999</v>
      </c>
      <c r="R1066" s="342">
        <v>8.02</v>
      </c>
      <c r="S1066" s="342" t="s">
        <v>106</v>
      </c>
    </row>
    <row r="1067" spans="1:19" ht="14.25" customHeight="1" x14ac:dyDescent="0.3">
      <c r="A1067" s="335" t="s">
        <v>2176</v>
      </c>
      <c r="B1067" s="335" t="s">
        <v>26</v>
      </c>
      <c r="C1067" s="335" t="s">
        <v>27</v>
      </c>
      <c r="D1067" s="335" t="s">
        <v>2189</v>
      </c>
      <c r="E1067" s="336" t="s">
        <v>1490</v>
      </c>
      <c r="F1067" s="336" t="s">
        <v>2190</v>
      </c>
      <c r="G1067" s="337">
        <v>3.8759689922480598E-3</v>
      </c>
      <c r="H1067" s="338">
        <v>0</v>
      </c>
      <c r="I1067" s="339">
        <v>25000</v>
      </c>
      <c r="J1067" s="340">
        <v>96.899224806201502</v>
      </c>
      <c r="K1067" s="335" t="s">
        <v>2181</v>
      </c>
      <c r="L1067" s="335">
        <v>6</v>
      </c>
      <c r="M1067" s="335" t="s">
        <v>2191</v>
      </c>
      <c r="N1067" s="339">
        <v>1</v>
      </c>
      <c r="O1067" s="341">
        <v>3.8759689922480598E-3</v>
      </c>
      <c r="P1067" s="341">
        <v>258</v>
      </c>
      <c r="Q1067" s="341">
        <v>0.999999999999999</v>
      </c>
      <c r="R1067" s="342">
        <v>8.02</v>
      </c>
      <c r="S1067" s="342" t="s">
        <v>106</v>
      </c>
    </row>
    <row r="1068" spans="1:19" ht="14.25" customHeight="1" x14ac:dyDescent="0.3">
      <c r="A1068" s="335" t="s">
        <v>2176</v>
      </c>
      <c r="B1068" s="335" t="s">
        <v>56</v>
      </c>
      <c r="C1068" s="335" t="s">
        <v>57</v>
      </c>
      <c r="D1068" s="335" t="s">
        <v>58</v>
      </c>
      <c r="E1068" s="336" t="s">
        <v>59</v>
      </c>
      <c r="F1068" s="336" t="s">
        <v>60</v>
      </c>
      <c r="G1068" s="337">
        <v>5.0387596899224799E-2</v>
      </c>
      <c r="H1068" s="338">
        <v>0</v>
      </c>
      <c r="I1068" s="339">
        <v>60860.580776572002</v>
      </c>
      <c r="J1068" s="340">
        <v>3066.6184112226201</v>
      </c>
      <c r="K1068" s="335" t="s">
        <v>2192</v>
      </c>
      <c r="L1068" s="335">
        <v>1</v>
      </c>
      <c r="M1068" s="335" t="s">
        <v>2193</v>
      </c>
      <c r="N1068" s="339">
        <v>1</v>
      </c>
      <c r="O1068" s="341">
        <v>5.0387596899224799E-2</v>
      </c>
      <c r="P1068" s="341">
        <v>258</v>
      </c>
      <c r="Q1068" s="341">
        <v>13</v>
      </c>
      <c r="R1068" s="342">
        <v>8.02</v>
      </c>
      <c r="S1068" s="342" t="s">
        <v>106</v>
      </c>
    </row>
    <row r="1069" spans="1:19" ht="14.25" customHeight="1" x14ac:dyDescent="0.3">
      <c r="A1069" s="335" t="s">
        <v>2176</v>
      </c>
      <c r="B1069" s="335" t="s">
        <v>56</v>
      </c>
      <c r="C1069" s="335" t="s">
        <v>57</v>
      </c>
      <c r="D1069" s="343" t="s">
        <v>63</v>
      </c>
      <c r="E1069" s="336" t="s">
        <v>64</v>
      </c>
      <c r="F1069" s="336" t="s">
        <v>60</v>
      </c>
      <c r="G1069" s="337">
        <v>3.8759689922480598E-3</v>
      </c>
      <c r="H1069" s="338">
        <v>0</v>
      </c>
      <c r="I1069" s="339">
        <v>85927.097156571996</v>
      </c>
      <c r="J1069" s="340">
        <v>333.05076417276001</v>
      </c>
      <c r="K1069" s="335" t="s">
        <v>2192</v>
      </c>
      <c r="L1069" s="335">
        <v>2</v>
      </c>
      <c r="M1069" s="335" t="s">
        <v>2194</v>
      </c>
      <c r="N1069" s="339">
        <v>1</v>
      </c>
      <c r="O1069" s="341">
        <v>3.8759689922480598E-3</v>
      </c>
      <c r="P1069" s="341">
        <v>258</v>
      </c>
      <c r="Q1069" s="341">
        <v>0.999999999999999</v>
      </c>
      <c r="R1069" s="342">
        <v>8.02</v>
      </c>
      <c r="S1069" s="342" t="s">
        <v>106</v>
      </c>
    </row>
    <row r="1070" spans="1:19" ht="14.25" customHeight="1" x14ac:dyDescent="0.3">
      <c r="A1070" s="335" t="s">
        <v>2176</v>
      </c>
      <c r="B1070" s="335" t="s">
        <v>56</v>
      </c>
      <c r="C1070" s="335" t="s">
        <v>57</v>
      </c>
      <c r="D1070" s="343" t="s">
        <v>413</v>
      </c>
      <c r="E1070" s="336" t="s">
        <v>414</v>
      </c>
      <c r="F1070" s="336" t="s">
        <v>60</v>
      </c>
      <c r="G1070" s="337">
        <v>7.7519379844961196E-3</v>
      </c>
      <c r="H1070" s="338">
        <v>0</v>
      </c>
      <c r="I1070" s="339">
        <v>65493.071636572</v>
      </c>
      <c r="J1070" s="340">
        <v>507.69822974086799</v>
      </c>
      <c r="K1070" s="335" t="s">
        <v>2192</v>
      </c>
      <c r="L1070" s="335">
        <v>3</v>
      </c>
      <c r="M1070" s="335" t="s">
        <v>2195</v>
      </c>
      <c r="N1070" s="339">
        <v>1</v>
      </c>
      <c r="O1070" s="341">
        <v>7.7519379844961196E-3</v>
      </c>
      <c r="P1070" s="341">
        <v>258</v>
      </c>
      <c r="Q1070" s="341">
        <v>2</v>
      </c>
      <c r="R1070" s="342">
        <v>8.02</v>
      </c>
      <c r="S1070" s="342" t="s">
        <v>106</v>
      </c>
    </row>
    <row r="1071" spans="1:19" ht="14.25" customHeight="1" x14ac:dyDescent="0.3">
      <c r="A1071" s="335" t="s">
        <v>2176</v>
      </c>
      <c r="B1071" s="335" t="s">
        <v>56</v>
      </c>
      <c r="C1071" s="335" t="s">
        <v>57</v>
      </c>
      <c r="D1071" s="343" t="s">
        <v>497</v>
      </c>
      <c r="E1071" s="336" t="s">
        <v>498</v>
      </c>
      <c r="F1071" s="336" t="s">
        <v>60</v>
      </c>
      <c r="G1071" s="337">
        <v>2.32558139534884E-2</v>
      </c>
      <c r="H1071" s="338">
        <v>0</v>
      </c>
      <c r="I1071" s="339">
        <v>76955.079706571996</v>
      </c>
      <c r="J1071" s="340">
        <v>1789.6530164319099</v>
      </c>
      <c r="K1071" s="335" t="s">
        <v>2192</v>
      </c>
      <c r="L1071" s="335">
        <v>4</v>
      </c>
      <c r="M1071" s="335" t="s">
        <v>2196</v>
      </c>
      <c r="N1071" s="339">
        <v>1</v>
      </c>
      <c r="O1071" s="341">
        <v>2.32558139534884E-2</v>
      </c>
      <c r="P1071" s="341">
        <v>258</v>
      </c>
      <c r="Q1071" s="341">
        <v>6.0000000000000098</v>
      </c>
      <c r="R1071" s="342">
        <v>8.02</v>
      </c>
      <c r="S1071" s="342" t="s">
        <v>106</v>
      </c>
    </row>
    <row r="1072" spans="1:19" ht="14.25" customHeight="1" x14ac:dyDescent="0.3">
      <c r="A1072" s="335" t="s">
        <v>2176</v>
      </c>
      <c r="B1072" s="335" t="s">
        <v>56</v>
      </c>
      <c r="C1072" s="335" t="s">
        <v>27</v>
      </c>
      <c r="D1072" s="335" t="s">
        <v>2197</v>
      </c>
      <c r="E1072" s="336" t="s">
        <v>1490</v>
      </c>
      <c r="F1072" s="336" t="s">
        <v>60</v>
      </c>
      <c r="G1072" s="337">
        <v>3.8759689922480598E-3</v>
      </c>
      <c r="H1072" s="338">
        <v>0</v>
      </c>
      <c r="I1072" s="339">
        <v>230000</v>
      </c>
      <c r="J1072" s="340">
        <v>891.47286821705404</v>
      </c>
      <c r="K1072" s="335" t="s">
        <v>2192</v>
      </c>
      <c r="L1072" s="335">
        <v>5</v>
      </c>
      <c r="M1072" s="335" t="s">
        <v>2198</v>
      </c>
      <c r="N1072" s="339">
        <v>1</v>
      </c>
      <c r="O1072" s="341">
        <v>3.8759689922480598E-3</v>
      </c>
      <c r="P1072" s="341">
        <v>258</v>
      </c>
      <c r="Q1072" s="341">
        <v>0.999999999999999</v>
      </c>
      <c r="R1072" s="342">
        <v>8.02</v>
      </c>
      <c r="S1072" s="342" t="s">
        <v>106</v>
      </c>
    </row>
    <row r="1073" spans="1:19" ht="14.25" customHeight="1" x14ac:dyDescent="0.3">
      <c r="A1073" s="335" t="s">
        <v>2199</v>
      </c>
      <c r="B1073" s="335" t="s">
        <v>20</v>
      </c>
      <c r="C1073" s="335"/>
      <c r="D1073" s="335" t="s">
        <v>71</v>
      </c>
      <c r="E1073" s="336" t="s">
        <v>72</v>
      </c>
      <c r="F1073" s="336"/>
      <c r="G1073" s="337">
        <v>1</v>
      </c>
      <c r="H1073" s="338">
        <v>0</v>
      </c>
      <c r="I1073" s="339">
        <v>2287.1357450968098</v>
      </c>
      <c r="J1073" s="340">
        <v>2287.1357450968098</v>
      </c>
      <c r="K1073" s="335" t="s">
        <v>2200</v>
      </c>
      <c r="L1073" s="335">
        <v>1</v>
      </c>
      <c r="M1073" s="335" t="s">
        <v>2201</v>
      </c>
      <c r="N1073" s="339">
        <v>35</v>
      </c>
      <c r="O1073" s="341">
        <v>1</v>
      </c>
      <c r="P1073" s="341">
        <v>425</v>
      </c>
      <c r="Q1073" s="341">
        <v>425</v>
      </c>
      <c r="R1073" s="342">
        <v>8.0299999999999994</v>
      </c>
      <c r="S1073" s="342" t="s">
        <v>106</v>
      </c>
    </row>
    <row r="1074" spans="1:19" ht="14.25" customHeight="1" x14ac:dyDescent="0.3">
      <c r="A1074" s="335" t="s">
        <v>2199</v>
      </c>
      <c r="B1074" s="335" t="s">
        <v>20</v>
      </c>
      <c r="C1074" s="335"/>
      <c r="D1074" s="335" t="s">
        <v>74</v>
      </c>
      <c r="E1074" s="336" t="s">
        <v>75</v>
      </c>
      <c r="F1074" s="336"/>
      <c r="G1074" s="337">
        <v>2</v>
      </c>
      <c r="H1074" s="338">
        <v>0</v>
      </c>
      <c r="I1074" s="339">
        <v>957.25319614994703</v>
      </c>
      <c r="J1074" s="340">
        <v>1914.5063922999</v>
      </c>
      <c r="K1074" s="335" t="s">
        <v>2200</v>
      </c>
      <c r="L1074" s="335">
        <v>2</v>
      </c>
      <c r="M1074" s="335" t="s">
        <v>2202</v>
      </c>
      <c r="N1074" s="339">
        <v>35</v>
      </c>
      <c r="O1074" s="341">
        <v>2</v>
      </c>
      <c r="P1074" s="341">
        <v>425</v>
      </c>
      <c r="Q1074" s="341">
        <v>850</v>
      </c>
      <c r="R1074" s="342">
        <v>8.0299999999999994</v>
      </c>
      <c r="S1074" s="342" t="s">
        <v>106</v>
      </c>
    </row>
    <row r="1075" spans="1:19" ht="14.25" customHeight="1" x14ac:dyDescent="0.3">
      <c r="A1075" s="335" t="s">
        <v>2199</v>
      </c>
      <c r="B1075" s="335" t="s">
        <v>26</v>
      </c>
      <c r="C1075" s="335" t="s">
        <v>27</v>
      </c>
      <c r="D1075" s="335" t="s">
        <v>311</v>
      </c>
      <c r="E1075" s="336" t="s">
        <v>312</v>
      </c>
      <c r="F1075" s="336" t="s">
        <v>30</v>
      </c>
      <c r="G1075" s="337">
        <v>2.4499999999999999E-3</v>
      </c>
      <c r="H1075" s="338">
        <v>0.05</v>
      </c>
      <c r="I1075" s="339">
        <v>252066.115702479</v>
      </c>
      <c r="J1075" s="340">
        <v>648.44008264462695</v>
      </c>
      <c r="K1075" s="335" t="s">
        <v>2203</v>
      </c>
      <c r="L1075" s="335">
        <v>1</v>
      </c>
      <c r="M1075" s="335" t="s">
        <v>2204</v>
      </c>
      <c r="N1075" s="339">
        <v>35</v>
      </c>
      <c r="O1075" s="341">
        <v>2.4499999999999999E-3</v>
      </c>
      <c r="P1075" s="341">
        <v>425</v>
      </c>
      <c r="Q1075" s="341">
        <v>1.04125</v>
      </c>
      <c r="R1075" s="342">
        <v>8.0299999999999994</v>
      </c>
      <c r="S1075" s="342" t="s">
        <v>106</v>
      </c>
    </row>
    <row r="1076" spans="1:19" ht="14.25" customHeight="1" x14ac:dyDescent="0.3">
      <c r="A1076" s="335" t="s">
        <v>2199</v>
      </c>
      <c r="B1076" s="335" t="s">
        <v>26</v>
      </c>
      <c r="C1076" s="335" t="s">
        <v>27</v>
      </c>
      <c r="D1076" s="335" t="s">
        <v>81</v>
      </c>
      <c r="E1076" s="336" t="s">
        <v>82</v>
      </c>
      <c r="F1076" s="336" t="s">
        <v>83</v>
      </c>
      <c r="G1076" s="337">
        <v>5.9499999999999997E-2</v>
      </c>
      <c r="H1076" s="338">
        <v>0.1</v>
      </c>
      <c r="I1076" s="339">
        <v>32399.77</v>
      </c>
      <c r="J1076" s="340">
        <v>2120.5649465000001</v>
      </c>
      <c r="K1076" s="335" t="s">
        <v>2203</v>
      </c>
      <c r="L1076" s="335">
        <v>2</v>
      </c>
      <c r="M1076" s="335" t="s">
        <v>2205</v>
      </c>
      <c r="N1076" s="339">
        <v>35</v>
      </c>
      <c r="O1076" s="341">
        <v>5.9499999999999997E-2</v>
      </c>
      <c r="P1076" s="341">
        <v>425</v>
      </c>
      <c r="Q1076" s="341">
        <v>25.287500000000001</v>
      </c>
      <c r="R1076" s="342">
        <v>8.0299999999999994</v>
      </c>
      <c r="S1076" s="342" t="s">
        <v>106</v>
      </c>
    </row>
    <row r="1077" spans="1:19" ht="14.25" customHeight="1" x14ac:dyDescent="0.3">
      <c r="A1077" s="335" t="s">
        <v>2199</v>
      </c>
      <c r="B1077" s="335" t="s">
        <v>26</v>
      </c>
      <c r="C1077" s="335" t="s">
        <v>27</v>
      </c>
      <c r="D1077" s="335" t="s">
        <v>85</v>
      </c>
      <c r="E1077" s="336" t="s">
        <v>86</v>
      </c>
      <c r="F1077" s="336" t="s">
        <v>87</v>
      </c>
      <c r="G1077" s="337">
        <v>0.42</v>
      </c>
      <c r="H1077" s="338">
        <v>0.1</v>
      </c>
      <c r="I1077" s="339">
        <v>7809.48</v>
      </c>
      <c r="J1077" s="340">
        <v>3607.9797600000002</v>
      </c>
      <c r="K1077" s="335" t="s">
        <v>2203</v>
      </c>
      <c r="L1077" s="335">
        <v>3</v>
      </c>
      <c r="M1077" s="335" t="s">
        <v>2206</v>
      </c>
      <c r="N1077" s="339">
        <v>35</v>
      </c>
      <c r="O1077" s="341">
        <v>0.42</v>
      </c>
      <c r="P1077" s="341">
        <v>425</v>
      </c>
      <c r="Q1077" s="341">
        <v>178.5</v>
      </c>
      <c r="R1077" s="342">
        <v>8.0299999999999994</v>
      </c>
      <c r="S1077" s="342" t="s">
        <v>106</v>
      </c>
    </row>
    <row r="1078" spans="1:19" ht="14.25" customHeight="1" x14ac:dyDescent="0.3">
      <c r="A1078" s="335" t="s">
        <v>2199</v>
      </c>
      <c r="B1078" s="335" t="s">
        <v>26</v>
      </c>
      <c r="C1078" s="335" t="s">
        <v>27</v>
      </c>
      <c r="D1078" s="335" t="s">
        <v>89</v>
      </c>
      <c r="E1078" s="336" t="s">
        <v>90</v>
      </c>
      <c r="F1078" s="336" t="s">
        <v>91</v>
      </c>
      <c r="G1078" s="337">
        <v>0.14000000000000001</v>
      </c>
      <c r="H1078" s="338">
        <v>0.1</v>
      </c>
      <c r="I1078" s="339">
        <v>3837.96</v>
      </c>
      <c r="J1078" s="340">
        <v>591.04584</v>
      </c>
      <c r="K1078" s="335" t="s">
        <v>2203</v>
      </c>
      <c r="L1078" s="335">
        <v>4</v>
      </c>
      <c r="M1078" s="335" t="s">
        <v>2207</v>
      </c>
      <c r="N1078" s="339">
        <v>35</v>
      </c>
      <c r="O1078" s="341">
        <v>0.14000000000000001</v>
      </c>
      <c r="P1078" s="341">
        <v>425</v>
      </c>
      <c r="Q1078" s="341">
        <v>59.5</v>
      </c>
      <c r="R1078" s="342">
        <v>8.0299999999999994</v>
      </c>
      <c r="S1078" s="342" t="s">
        <v>106</v>
      </c>
    </row>
    <row r="1079" spans="1:19" ht="14.25" customHeight="1" x14ac:dyDescent="0.3">
      <c r="A1079" s="335" t="s">
        <v>2199</v>
      </c>
      <c r="B1079" s="335" t="s">
        <v>56</v>
      </c>
      <c r="C1079" s="335" t="s">
        <v>57</v>
      </c>
      <c r="D1079" s="343" t="s">
        <v>58</v>
      </c>
      <c r="E1079" s="336" t="s">
        <v>59</v>
      </c>
      <c r="F1079" s="336" t="s">
        <v>60</v>
      </c>
      <c r="G1079" s="337">
        <v>3</v>
      </c>
      <c r="H1079" s="338">
        <v>0</v>
      </c>
      <c r="I1079" s="339">
        <v>60860.580776572002</v>
      </c>
      <c r="J1079" s="340">
        <v>182581.74232971601</v>
      </c>
      <c r="K1079" s="335" t="s">
        <v>2208</v>
      </c>
      <c r="L1079" s="335">
        <v>1</v>
      </c>
      <c r="M1079" s="335" t="s">
        <v>2209</v>
      </c>
      <c r="N1079" s="339">
        <v>35</v>
      </c>
      <c r="O1079" s="341">
        <v>8.5714285714285701E-2</v>
      </c>
      <c r="P1079" s="341">
        <v>425</v>
      </c>
      <c r="Q1079" s="341">
        <v>36.428571428571402</v>
      </c>
      <c r="R1079" s="342">
        <v>8.0299999999999994</v>
      </c>
      <c r="S1079" s="342" t="s">
        <v>106</v>
      </c>
    </row>
    <row r="1080" spans="1:19" ht="14.25" customHeight="1" x14ac:dyDescent="0.3">
      <c r="A1080" s="335" t="s">
        <v>2199</v>
      </c>
      <c r="B1080" s="335" t="s">
        <v>56</v>
      </c>
      <c r="C1080" s="335" t="s">
        <v>57</v>
      </c>
      <c r="D1080" s="343" t="s">
        <v>63</v>
      </c>
      <c r="E1080" s="336" t="s">
        <v>64</v>
      </c>
      <c r="F1080" s="336" t="s">
        <v>60</v>
      </c>
      <c r="G1080" s="337">
        <v>2</v>
      </c>
      <c r="H1080" s="338">
        <v>0</v>
      </c>
      <c r="I1080" s="339">
        <v>85927.097156571996</v>
      </c>
      <c r="J1080" s="340">
        <v>171854.19431314399</v>
      </c>
      <c r="K1080" s="335" t="s">
        <v>2208</v>
      </c>
      <c r="L1080" s="335">
        <v>2</v>
      </c>
      <c r="M1080" s="335" t="s">
        <v>2210</v>
      </c>
      <c r="N1080" s="339">
        <v>35</v>
      </c>
      <c r="O1080" s="341">
        <v>5.7142857142857099E-2</v>
      </c>
      <c r="P1080" s="341">
        <v>425</v>
      </c>
      <c r="Q1080" s="341">
        <v>24.285714285714299</v>
      </c>
      <c r="R1080" s="342">
        <v>8.0299999999999994</v>
      </c>
      <c r="S1080" s="342" t="s">
        <v>106</v>
      </c>
    </row>
    <row r="1081" spans="1:19" ht="14.25" customHeight="1" x14ac:dyDescent="0.3">
      <c r="A1081" s="335" t="s">
        <v>2211</v>
      </c>
      <c r="B1081" s="335" t="s">
        <v>20</v>
      </c>
      <c r="C1081" s="335"/>
      <c r="D1081" s="335" t="s">
        <v>2212</v>
      </c>
      <c r="E1081" s="336" t="s">
        <v>2213</v>
      </c>
      <c r="F1081" s="336"/>
      <c r="G1081" s="337">
        <v>1</v>
      </c>
      <c r="H1081" s="338">
        <v>0</v>
      </c>
      <c r="I1081" s="339">
        <v>447.47765896838598</v>
      </c>
      <c r="J1081" s="340">
        <v>447.47765896838598</v>
      </c>
      <c r="K1081" s="335" t="s">
        <v>2214</v>
      </c>
      <c r="L1081" s="335">
        <v>1</v>
      </c>
      <c r="M1081" s="335" t="s">
        <v>2215</v>
      </c>
      <c r="N1081" s="339">
        <v>1</v>
      </c>
      <c r="O1081" s="341">
        <v>1</v>
      </c>
      <c r="P1081" s="341">
        <v>200</v>
      </c>
      <c r="Q1081" s="341">
        <v>200</v>
      </c>
      <c r="R1081" s="342">
        <v>8.0399999999999991</v>
      </c>
      <c r="S1081" s="342" t="s">
        <v>106</v>
      </c>
    </row>
    <row r="1082" spans="1:19" ht="14.25" customHeight="1" x14ac:dyDescent="0.3">
      <c r="A1082" s="335" t="s">
        <v>2211</v>
      </c>
      <c r="B1082" s="335" t="s">
        <v>26</v>
      </c>
      <c r="C1082" s="335" t="s">
        <v>480</v>
      </c>
      <c r="D1082" s="335" t="s">
        <v>2216</v>
      </c>
      <c r="E1082" s="336" t="s">
        <v>2217</v>
      </c>
      <c r="F1082" s="336" t="s">
        <v>1409</v>
      </c>
      <c r="G1082" s="337">
        <v>1.4999999999999999E-2</v>
      </c>
      <c r="H1082" s="338">
        <v>0</v>
      </c>
      <c r="I1082" s="339">
        <v>20000</v>
      </c>
      <c r="J1082" s="340">
        <v>300</v>
      </c>
      <c r="K1082" s="335" t="s">
        <v>2218</v>
      </c>
      <c r="L1082" s="335">
        <v>1</v>
      </c>
      <c r="M1082" s="335" t="s">
        <v>2219</v>
      </c>
      <c r="N1082" s="339">
        <v>1</v>
      </c>
      <c r="O1082" s="341">
        <v>1.4999999999999999E-2</v>
      </c>
      <c r="P1082" s="341">
        <v>200</v>
      </c>
      <c r="Q1082" s="341">
        <v>3</v>
      </c>
      <c r="R1082" s="342">
        <v>8.0399999999999991</v>
      </c>
      <c r="S1082" s="342" t="s">
        <v>106</v>
      </c>
    </row>
    <row r="1083" spans="1:19" ht="14.25" customHeight="1" x14ac:dyDescent="0.3">
      <c r="A1083" s="335" t="s">
        <v>2211</v>
      </c>
      <c r="B1083" s="335" t="s">
        <v>26</v>
      </c>
      <c r="C1083" s="335" t="s">
        <v>27</v>
      </c>
      <c r="D1083" s="335" t="s">
        <v>1008</v>
      </c>
      <c r="E1083" s="336" t="s">
        <v>1009</v>
      </c>
      <c r="F1083" s="336" t="s">
        <v>83</v>
      </c>
      <c r="G1083" s="337">
        <v>0.16500000000000001</v>
      </c>
      <c r="H1083" s="338">
        <v>0</v>
      </c>
      <c r="I1083" s="339">
        <v>5330</v>
      </c>
      <c r="J1083" s="340">
        <v>879.45</v>
      </c>
      <c r="K1083" s="335" t="s">
        <v>2218</v>
      </c>
      <c r="L1083" s="335">
        <v>2</v>
      </c>
      <c r="M1083" s="335" t="s">
        <v>2220</v>
      </c>
      <c r="N1083" s="339">
        <v>1</v>
      </c>
      <c r="O1083" s="341">
        <v>0.16500000000000001</v>
      </c>
      <c r="P1083" s="341">
        <v>200</v>
      </c>
      <c r="Q1083" s="341">
        <v>33</v>
      </c>
      <c r="R1083" s="342">
        <v>8.0399999999999991</v>
      </c>
      <c r="S1083" s="342" t="s">
        <v>106</v>
      </c>
    </row>
    <row r="1084" spans="1:19" ht="14.25" customHeight="1" x14ac:dyDescent="0.3">
      <c r="A1084" s="335" t="s">
        <v>2211</v>
      </c>
      <c r="B1084" s="335" t="s">
        <v>26</v>
      </c>
      <c r="C1084" s="335" t="s">
        <v>27</v>
      </c>
      <c r="D1084" s="335" t="s">
        <v>2186</v>
      </c>
      <c r="E1084" s="336" t="s">
        <v>2187</v>
      </c>
      <c r="F1084" s="336" t="s">
        <v>98</v>
      </c>
      <c r="G1084" s="337">
        <v>5.0000000000000001E-3</v>
      </c>
      <c r="H1084" s="338">
        <v>0</v>
      </c>
      <c r="I1084" s="339">
        <v>533000</v>
      </c>
      <c r="J1084" s="340">
        <v>2665</v>
      </c>
      <c r="K1084" s="335" t="s">
        <v>2218</v>
      </c>
      <c r="L1084" s="335">
        <v>3</v>
      </c>
      <c r="M1084" s="335" t="s">
        <v>2221</v>
      </c>
      <c r="N1084" s="339">
        <v>1</v>
      </c>
      <c r="O1084" s="341">
        <v>5.0000000000000001E-3</v>
      </c>
      <c r="P1084" s="341">
        <v>200</v>
      </c>
      <c r="Q1084" s="341">
        <v>1</v>
      </c>
      <c r="R1084" s="342">
        <v>8.0399999999999991</v>
      </c>
      <c r="S1084" s="342" t="s">
        <v>106</v>
      </c>
    </row>
    <row r="1085" spans="1:19" ht="14.25" customHeight="1" x14ac:dyDescent="0.3">
      <c r="A1085" s="335" t="s">
        <v>2211</v>
      </c>
      <c r="B1085" s="335" t="s">
        <v>26</v>
      </c>
      <c r="C1085" s="335" t="s">
        <v>27</v>
      </c>
      <c r="D1085" s="335" t="s">
        <v>2222</v>
      </c>
      <c r="E1085" s="336" t="s">
        <v>2223</v>
      </c>
      <c r="F1085" s="336" t="s">
        <v>83</v>
      </c>
      <c r="G1085" s="337">
        <v>0.16500000000000001</v>
      </c>
      <c r="H1085" s="338">
        <v>0</v>
      </c>
      <c r="I1085" s="339">
        <v>125000</v>
      </c>
      <c r="J1085" s="340">
        <v>20625</v>
      </c>
      <c r="K1085" s="335" t="s">
        <v>2218</v>
      </c>
      <c r="L1085" s="335">
        <v>4</v>
      </c>
      <c r="M1085" s="335" t="s">
        <v>2224</v>
      </c>
      <c r="N1085" s="339">
        <v>1</v>
      </c>
      <c r="O1085" s="341">
        <v>0.16500000000000001</v>
      </c>
      <c r="P1085" s="341">
        <v>200</v>
      </c>
      <c r="Q1085" s="341">
        <v>33</v>
      </c>
      <c r="R1085" s="342">
        <v>8.0399999999999991</v>
      </c>
      <c r="S1085" s="342" t="s">
        <v>106</v>
      </c>
    </row>
    <row r="1086" spans="1:19" ht="14.25" customHeight="1" x14ac:dyDescent="0.3">
      <c r="A1086" s="335" t="s">
        <v>2211</v>
      </c>
      <c r="B1086" s="335" t="s">
        <v>56</v>
      </c>
      <c r="C1086" s="335" t="s">
        <v>57</v>
      </c>
      <c r="D1086" s="335" t="s">
        <v>58</v>
      </c>
      <c r="E1086" s="336" t="s">
        <v>59</v>
      </c>
      <c r="F1086" s="336" t="s">
        <v>60</v>
      </c>
      <c r="G1086" s="337">
        <v>4.4999999999999998E-2</v>
      </c>
      <c r="H1086" s="338">
        <v>0</v>
      </c>
      <c r="I1086" s="339">
        <v>60860.580776572002</v>
      </c>
      <c r="J1086" s="340">
        <v>2738.7261349457399</v>
      </c>
      <c r="K1086" s="335" t="s">
        <v>2225</v>
      </c>
      <c r="L1086" s="335">
        <v>1</v>
      </c>
      <c r="M1086" s="335" t="s">
        <v>2226</v>
      </c>
      <c r="N1086" s="339">
        <v>1</v>
      </c>
      <c r="O1086" s="341">
        <v>4.4999999999999998E-2</v>
      </c>
      <c r="P1086" s="341">
        <v>200</v>
      </c>
      <c r="Q1086" s="341">
        <v>9</v>
      </c>
      <c r="R1086" s="342">
        <v>8.0399999999999991</v>
      </c>
      <c r="S1086" s="342" t="s">
        <v>106</v>
      </c>
    </row>
    <row r="1087" spans="1:19" ht="14.25" customHeight="1" x14ac:dyDescent="0.3">
      <c r="A1087" s="335" t="s">
        <v>2211</v>
      </c>
      <c r="B1087" s="335" t="s">
        <v>56</v>
      </c>
      <c r="C1087" s="335" t="s">
        <v>57</v>
      </c>
      <c r="D1087" s="343" t="s">
        <v>63</v>
      </c>
      <c r="E1087" s="336" t="s">
        <v>64</v>
      </c>
      <c r="F1087" s="336" t="s">
        <v>60</v>
      </c>
      <c r="G1087" s="337">
        <v>5.0000000000000001E-3</v>
      </c>
      <c r="H1087" s="338">
        <v>0</v>
      </c>
      <c r="I1087" s="339">
        <v>85927.097156571996</v>
      </c>
      <c r="J1087" s="340">
        <v>429.63548578285997</v>
      </c>
      <c r="K1087" s="335" t="s">
        <v>2225</v>
      </c>
      <c r="L1087" s="335">
        <v>2</v>
      </c>
      <c r="M1087" s="335" t="s">
        <v>2227</v>
      </c>
      <c r="N1087" s="339">
        <v>1</v>
      </c>
      <c r="O1087" s="341">
        <v>5.0000000000000001E-3</v>
      </c>
      <c r="P1087" s="341">
        <v>200</v>
      </c>
      <c r="Q1087" s="341">
        <v>1</v>
      </c>
      <c r="R1087" s="342">
        <v>8.0399999999999991</v>
      </c>
      <c r="S1087" s="342" t="s">
        <v>106</v>
      </c>
    </row>
    <row r="1088" spans="1:19" ht="14.25" customHeight="1" x14ac:dyDescent="0.3">
      <c r="A1088" s="335" t="s">
        <v>2211</v>
      </c>
      <c r="B1088" s="335" t="s">
        <v>56</v>
      </c>
      <c r="C1088" s="335" t="s">
        <v>57</v>
      </c>
      <c r="D1088" s="343" t="s">
        <v>413</v>
      </c>
      <c r="E1088" s="336" t="s">
        <v>414</v>
      </c>
      <c r="F1088" s="336" t="s">
        <v>60</v>
      </c>
      <c r="G1088" s="337">
        <v>0.01</v>
      </c>
      <c r="H1088" s="338">
        <v>0</v>
      </c>
      <c r="I1088" s="339">
        <v>65493.071636572</v>
      </c>
      <c r="J1088" s="340">
        <v>654.93071636571995</v>
      </c>
      <c r="K1088" s="335" t="s">
        <v>2225</v>
      </c>
      <c r="L1088" s="335">
        <v>3</v>
      </c>
      <c r="M1088" s="335" t="s">
        <v>2228</v>
      </c>
      <c r="N1088" s="339">
        <v>1</v>
      </c>
      <c r="O1088" s="341">
        <v>0.01</v>
      </c>
      <c r="P1088" s="341">
        <v>200</v>
      </c>
      <c r="Q1088" s="341">
        <v>2</v>
      </c>
      <c r="R1088" s="342">
        <v>8.0399999999999991</v>
      </c>
      <c r="S1088" s="342" t="s">
        <v>106</v>
      </c>
    </row>
    <row r="1089" spans="1:19" ht="14.25" customHeight="1" x14ac:dyDescent="0.3">
      <c r="A1089" s="335" t="s">
        <v>2211</v>
      </c>
      <c r="B1089" s="335" t="s">
        <v>56</v>
      </c>
      <c r="C1089" s="335" t="s">
        <v>57</v>
      </c>
      <c r="D1089" s="343" t="s">
        <v>497</v>
      </c>
      <c r="E1089" s="336" t="s">
        <v>498</v>
      </c>
      <c r="F1089" s="336" t="s">
        <v>60</v>
      </c>
      <c r="G1089" s="337">
        <v>0.02</v>
      </c>
      <c r="H1089" s="338">
        <v>0</v>
      </c>
      <c r="I1089" s="339">
        <v>76955.079706571996</v>
      </c>
      <c r="J1089" s="340">
        <v>1539.1015941314399</v>
      </c>
      <c r="K1089" s="335" t="s">
        <v>2225</v>
      </c>
      <c r="L1089" s="335">
        <v>4</v>
      </c>
      <c r="M1089" s="335" t="s">
        <v>2229</v>
      </c>
      <c r="N1089" s="339">
        <v>1</v>
      </c>
      <c r="O1089" s="341">
        <v>0.02</v>
      </c>
      <c r="P1089" s="341">
        <v>200</v>
      </c>
      <c r="Q1089" s="341">
        <v>4</v>
      </c>
      <c r="R1089" s="342">
        <v>8.0399999999999991</v>
      </c>
      <c r="S1089" s="342" t="s">
        <v>106</v>
      </c>
    </row>
    <row r="1090" spans="1:19" ht="14.25" customHeight="1" x14ac:dyDescent="0.3">
      <c r="A1090" s="335" t="s">
        <v>2230</v>
      </c>
      <c r="B1090" s="335" t="s">
        <v>20</v>
      </c>
      <c r="C1090" s="335"/>
      <c r="D1090" s="335" t="s">
        <v>2231</v>
      </c>
      <c r="E1090" s="336" t="s">
        <v>2232</v>
      </c>
      <c r="F1090" s="336"/>
      <c r="G1090" s="337">
        <v>1</v>
      </c>
      <c r="H1090" s="338">
        <v>0</v>
      </c>
      <c r="I1090" s="339">
        <v>349.45779149966802</v>
      </c>
      <c r="J1090" s="340">
        <v>349.45779149966802</v>
      </c>
      <c r="K1090" s="335" t="s">
        <v>2233</v>
      </c>
      <c r="L1090" s="335">
        <v>1</v>
      </c>
      <c r="M1090" s="335" t="s">
        <v>2234</v>
      </c>
      <c r="N1090" s="339">
        <v>1</v>
      </c>
      <c r="O1090" s="341">
        <v>1</v>
      </c>
      <c r="P1090" s="341">
        <v>77</v>
      </c>
      <c r="Q1090" s="341">
        <v>77</v>
      </c>
      <c r="R1090" s="342">
        <v>8.0500000000000007</v>
      </c>
      <c r="S1090" s="342" t="s">
        <v>106</v>
      </c>
    </row>
    <row r="1091" spans="1:19" ht="14.25" customHeight="1" x14ac:dyDescent="0.3">
      <c r="A1091" s="335" t="s">
        <v>2230</v>
      </c>
      <c r="B1091" s="335" t="s">
        <v>26</v>
      </c>
      <c r="C1091" s="335" t="s">
        <v>480</v>
      </c>
      <c r="D1091" s="335" t="s">
        <v>1536</v>
      </c>
      <c r="E1091" s="336" t="s">
        <v>1537</v>
      </c>
      <c r="F1091" s="336" t="s">
        <v>91</v>
      </c>
      <c r="G1091" s="337">
        <v>0.45454545454545497</v>
      </c>
      <c r="H1091" s="338">
        <v>0</v>
      </c>
      <c r="I1091" s="339">
        <v>7809.48</v>
      </c>
      <c r="J1091" s="340">
        <v>3549.7636363636402</v>
      </c>
      <c r="K1091" s="335" t="s">
        <v>2235</v>
      </c>
      <c r="L1091" s="335">
        <v>1</v>
      </c>
      <c r="M1091" s="335" t="s">
        <v>2236</v>
      </c>
      <c r="N1091" s="339">
        <v>1</v>
      </c>
      <c r="O1091" s="341">
        <v>0.45454545454545497</v>
      </c>
      <c r="P1091" s="341">
        <v>77</v>
      </c>
      <c r="Q1091" s="341">
        <v>35</v>
      </c>
      <c r="R1091" s="342">
        <v>8.0500000000000007</v>
      </c>
      <c r="S1091" s="342" t="s">
        <v>106</v>
      </c>
    </row>
    <row r="1092" spans="1:19" ht="14.25" customHeight="1" x14ac:dyDescent="0.3">
      <c r="A1092" s="335" t="s">
        <v>2230</v>
      </c>
      <c r="B1092" s="335" t="s">
        <v>26</v>
      </c>
      <c r="C1092" s="335" t="s">
        <v>480</v>
      </c>
      <c r="D1092" s="335" t="s">
        <v>2237</v>
      </c>
      <c r="E1092" s="336" t="s">
        <v>2238</v>
      </c>
      <c r="F1092" s="336" t="s">
        <v>98</v>
      </c>
      <c r="G1092" s="337">
        <v>5.1948051948052E-2</v>
      </c>
      <c r="H1092" s="338">
        <v>0</v>
      </c>
      <c r="I1092" s="339">
        <v>57771</v>
      </c>
      <c r="J1092" s="340">
        <v>3001.0909090909099</v>
      </c>
      <c r="K1092" s="335" t="s">
        <v>2235</v>
      </c>
      <c r="L1092" s="335">
        <v>2</v>
      </c>
      <c r="M1092" s="335" t="s">
        <v>2239</v>
      </c>
      <c r="N1092" s="339">
        <v>1</v>
      </c>
      <c r="O1092" s="341">
        <v>5.1948051948052E-2</v>
      </c>
      <c r="P1092" s="341">
        <v>77</v>
      </c>
      <c r="Q1092" s="341">
        <v>4</v>
      </c>
      <c r="R1092" s="342">
        <v>8.0500000000000007</v>
      </c>
      <c r="S1092" s="342" t="s">
        <v>106</v>
      </c>
    </row>
    <row r="1093" spans="1:19" ht="14.25" customHeight="1" x14ac:dyDescent="0.3">
      <c r="A1093" s="335" t="s">
        <v>2230</v>
      </c>
      <c r="B1093" s="335" t="s">
        <v>26</v>
      </c>
      <c r="C1093" s="335" t="s">
        <v>480</v>
      </c>
      <c r="D1093" s="335" t="s">
        <v>2240</v>
      </c>
      <c r="E1093" s="336" t="s">
        <v>2241</v>
      </c>
      <c r="F1093" s="336" t="s">
        <v>83</v>
      </c>
      <c r="G1093" s="337">
        <v>5.1948051948052E-2</v>
      </c>
      <c r="H1093" s="338">
        <v>0</v>
      </c>
      <c r="I1093" s="339">
        <v>32399.77</v>
      </c>
      <c r="J1093" s="340">
        <v>1683.10493506494</v>
      </c>
      <c r="K1093" s="335" t="s">
        <v>2235</v>
      </c>
      <c r="L1093" s="335">
        <v>3</v>
      </c>
      <c r="M1093" s="335" t="s">
        <v>2242</v>
      </c>
      <c r="N1093" s="339">
        <v>1</v>
      </c>
      <c r="O1093" s="341">
        <v>5.1948051948052E-2</v>
      </c>
      <c r="P1093" s="341">
        <v>77</v>
      </c>
      <c r="Q1093" s="341">
        <v>4</v>
      </c>
      <c r="R1093" s="342">
        <v>8.0500000000000007</v>
      </c>
      <c r="S1093" s="342" t="s">
        <v>106</v>
      </c>
    </row>
    <row r="1094" spans="1:19" ht="14.25" customHeight="1" x14ac:dyDescent="0.3">
      <c r="A1094" s="335" t="s">
        <v>2230</v>
      </c>
      <c r="B1094" s="335" t="s">
        <v>56</v>
      </c>
      <c r="C1094" s="335" t="s">
        <v>57</v>
      </c>
      <c r="D1094" s="335" t="s">
        <v>58</v>
      </c>
      <c r="E1094" s="336" t="s">
        <v>59</v>
      </c>
      <c r="F1094" s="336" t="s">
        <v>60</v>
      </c>
      <c r="G1094" s="337">
        <v>0.18181818181818199</v>
      </c>
      <c r="H1094" s="338">
        <v>0</v>
      </c>
      <c r="I1094" s="339">
        <v>60860.580776572002</v>
      </c>
      <c r="J1094" s="340">
        <v>11065.560141194899</v>
      </c>
      <c r="K1094" s="335" t="s">
        <v>2243</v>
      </c>
      <c r="L1094" s="335">
        <v>1</v>
      </c>
      <c r="M1094" s="335" t="s">
        <v>2244</v>
      </c>
      <c r="N1094" s="339">
        <v>1</v>
      </c>
      <c r="O1094" s="341">
        <v>0.18181818181818199</v>
      </c>
      <c r="P1094" s="341">
        <v>77</v>
      </c>
      <c r="Q1094" s="341">
        <v>14</v>
      </c>
      <c r="R1094" s="342">
        <v>8.0500000000000007</v>
      </c>
      <c r="S1094" s="342" t="s">
        <v>106</v>
      </c>
    </row>
    <row r="1095" spans="1:19" ht="14.25" customHeight="1" x14ac:dyDescent="0.3">
      <c r="A1095" s="335" t="s">
        <v>2230</v>
      </c>
      <c r="B1095" s="335" t="s">
        <v>56</v>
      </c>
      <c r="C1095" s="335" t="s">
        <v>57</v>
      </c>
      <c r="D1095" s="343" t="s">
        <v>497</v>
      </c>
      <c r="E1095" s="336" t="s">
        <v>498</v>
      </c>
      <c r="F1095" s="336" t="s">
        <v>60</v>
      </c>
      <c r="G1095" s="337">
        <v>5.1948051948052E-2</v>
      </c>
      <c r="H1095" s="338">
        <v>0</v>
      </c>
      <c r="I1095" s="339">
        <v>76955.079706571996</v>
      </c>
      <c r="J1095" s="340">
        <v>3997.6664782634798</v>
      </c>
      <c r="K1095" s="335" t="s">
        <v>2243</v>
      </c>
      <c r="L1095" s="335">
        <v>2</v>
      </c>
      <c r="M1095" s="335" t="s">
        <v>2245</v>
      </c>
      <c r="N1095" s="339">
        <v>1</v>
      </c>
      <c r="O1095" s="341">
        <v>5.1948051948052E-2</v>
      </c>
      <c r="P1095" s="341">
        <v>77</v>
      </c>
      <c r="Q1095" s="341">
        <v>4</v>
      </c>
      <c r="R1095" s="342">
        <v>8.0500000000000007</v>
      </c>
      <c r="S1095" s="342" t="s">
        <v>106</v>
      </c>
    </row>
    <row r="1096" spans="1:19" ht="14.25" customHeight="1" x14ac:dyDescent="0.3">
      <c r="A1096" s="335" t="s">
        <v>2246</v>
      </c>
      <c r="B1096" s="335" t="s">
        <v>20</v>
      </c>
      <c r="C1096" s="335"/>
      <c r="D1096" s="335" t="s">
        <v>2247</v>
      </c>
      <c r="E1096" s="336" t="s">
        <v>2248</v>
      </c>
      <c r="F1096" s="336"/>
      <c r="G1096" s="337">
        <v>1</v>
      </c>
      <c r="H1096" s="338">
        <v>0</v>
      </c>
      <c r="I1096" s="339">
        <v>218.25069175782201</v>
      </c>
      <c r="J1096" s="340">
        <v>218.25069175782201</v>
      </c>
      <c r="K1096" s="335" t="s">
        <v>2249</v>
      </c>
      <c r="L1096" s="335">
        <v>1</v>
      </c>
      <c r="M1096" s="335" t="s">
        <v>2250</v>
      </c>
      <c r="N1096" s="339">
        <v>1</v>
      </c>
      <c r="O1096" s="341">
        <v>1</v>
      </c>
      <c r="P1096" s="341">
        <v>77</v>
      </c>
      <c r="Q1096" s="341">
        <v>77</v>
      </c>
      <c r="R1096" s="342">
        <v>8.06</v>
      </c>
      <c r="S1096" s="342" t="s">
        <v>106</v>
      </c>
    </row>
    <row r="1097" spans="1:19" ht="14.25" customHeight="1" x14ac:dyDescent="0.3">
      <c r="A1097" s="335" t="s">
        <v>2246</v>
      </c>
      <c r="B1097" s="335" t="s">
        <v>26</v>
      </c>
      <c r="C1097" s="335" t="s">
        <v>480</v>
      </c>
      <c r="D1097" s="335" t="s">
        <v>96</v>
      </c>
      <c r="E1097" s="336" t="s">
        <v>97</v>
      </c>
      <c r="F1097" s="336" t="s">
        <v>98</v>
      </c>
      <c r="G1097" s="337">
        <v>671.89009338000005</v>
      </c>
      <c r="H1097" s="338">
        <v>0</v>
      </c>
      <c r="I1097" s="339">
        <v>1</v>
      </c>
      <c r="J1097" s="340">
        <v>671.89009338000005</v>
      </c>
      <c r="K1097" s="335" t="s">
        <v>2251</v>
      </c>
      <c r="L1097" s="335">
        <v>1</v>
      </c>
      <c r="M1097" s="335" t="s">
        <v>2252</v>
      </c>
      <c r="N1097" s="339">
        <v>1</v>
      </c>
      <c r="O1097" s="341">
        <v>671.89009338000005</v>
      </c>
      <c r="P1097" s="341">
        <v>77</v>
      </c>
      <c r="Q1097" s="341">
        <v>51735.537190260002</v>
      </c>
      <c r="R1097" s="342">
        <v>8.06</v>
      </c>
      <c r="S1097" s="342" t="s">
        <v>106</v>
      </c>
    </row>
    <row r="1098" spans="1:19" ht="14.25" customHeight="1" x14ac:dyDescent="0.3">
      <c r="A1098" s="335" t="s">
        <v>2246</v>
      </c>
      <c r="B1098" s="335" t="s">
        <v>26</v>
      </c>
      <c r="C1098" s="335" t="s">
        <v>27</v>
      </c>
      <c r="D1098" s="335" t="s">
        <v>2253</v>
      </c>
      <c r="E1098" s="336" t="s">
        <v>2254</v>
      </c>
      <c r="F1098" s="336" t="s">
        <v>91</v>
      </c>
      <c r="G1098" s="337">
        <v>0.662337662337662</v>
      </c>
      <c r="H1098" s="338">
        <v>0</v>
      </c>
      <c r="I1098" s="339">
        <v>4958.6776859504098</v>
      </c>
      <c r="J1098" s="340">
        <v>3284.3189867983201</v>
      </c>
      <c r="K1098" s="335" t="s">
        <v>2251</v>
      </c>
      <c r="L1098" s="335">
        <v>2</v>
      </c>
      <c r="M1098" s="335" t="s">
        <v>2255</v>
      </c>
      <c r="N1098" s="339">
        <v>1</v>
      </c>
      <c r="O1098" s="341">
        <v>0.662337662337662</v>
      </c>
      <c r="P1098" s="341">
        <v>77</v>
      </c>
      <c r="Q1098" s="341">
        <v>51</v>
      </c>
      <c r="R1098" s="342">
        <v>8.06</v>
      </c>
      <c r="S1098" s="342" t="s">
        <v>106</v>
      </c>
    </row>
    <row r="1099" spans="1:19" ht="14.25" customHeight="1" x14ac:dyDescent="0.3">
      <c r="A1099" s="335" t="s">
        <v>2246</v>
      </c>
      <c r="B1099" s="335" t="s">
        <v>26</v>
      </c>
      <c r="C1099" s="335" t="s">
        <v>27</v>
      </c>
      <c r="D1099" s="335" t="s">
        <v>2256</v>
      </c>
      <c r="E1099" s="336" t="s">
        <v>2257</v>
      </c>
      <c r="F1099" s="336" t="s">
        <v>2113</v>
      </c>
      <c r="G1099" s="337">
        <v>5.1948051948052E-2</v>
      </c>
      <c r="H1099" s="338">
        <v>0</v>
      </c>
      <c r="I1099" s="339">
        <v>66115.702479338797</v>
      </c>
      <c r="J1099" s="340">
        <v>3434.5819469786402</v>
      </c>
      <c r="K1099" s="335" t="s">
        <v>2251</v>
      </c>
      <c r="L1099" s="335">
        <v>3</v>
      </c>
      <c r="M1099" s="335" t="s">
        <v>2258</v>
      </c>
      <c r="N1099" s="339">
        <v>1</v>
      </c>
      <c r="O1099" s="341">
        <v>5.1948051948052E-2</v>
      </c>
      <c r="P1099" s="341">
        <v>77</v>
      </c>
      <c r="Q1099" s="341">
        <v>4</v>
      </c>
      <c r="R1099" s="342">
        <v>8.06</v>
      </c>
      <c r="S1099" s="342" t="s">
        <v>106</v>
      </c>
    </row>
    <row r="1100" spans="1:19" ht="14.25" customHeight="1" x14ac:dyDescent="0.3">
      <c r="A1100" s="335" t="s">
        <v>2246</v>
      </c>
      <c r="B1100" s="335" t="s">
        <v>56</v>
      </c>
      <c r="C1100" s="335" t="s">
        <v>57</v>
      </c>
      <c r="D1100" s="335" t="s">
        <v>58</v>
      </c>
      <c r="E1100" s="336" t="s">
        <v>59</v>
      </c>
      <c r="F1100" s="336" t="s">
        <v>60</v>
      </c>
      <c r="G1100" s="337">
        <v>5.1948051948052E-2</v>
      </c>
      <c r="H1100" s="338">
        <v>0</v>
      </c>
      <c r="I1100" s="339">
        <v>60860.580776572002</v>
      </c>
      <c r="J1100" s="340">
        <v>3161.5886117699802</v>
      </c>
      <c r="K1100" s="335" t="s">
        <v>2259</v>
      </c>
      <c r="L1100" s="335">
        <v>1</v>
      </c>
      <c r="M1100" s="335" t="s">
        <v>2260</v>
      </c>
      <c r="N1100" s="339">
        <v>1</v>
      </c>
      <c r="O1100" s="341">
        <v>5.1948051948052E-2</v>
      </c>
      <c r="P1100" s="341">
        <v>77</v>
      </c>
      <c r="Q1100" s="341">
        <v>4</v>
      </c>
      <c r="R1100" s="342">
        <v>8.06</v>
      </c>
      <c r="S1100" s="342" t="s">
        <v>106</v>
      </c>
    </row>
    <row r="1101" spans="1:19" ht="14.25" customHeight="1" x14ac:dyDescent="0.3">
      <c r="A1101" s="335" t="s">
        <v>2246</v>
      </c>
      <c r="B1101" s="335" t="s">
        <v>56</v>
      </c>
      <c r="C1101" s="335" t="s">
        <v>57</v>
      </c>
      <c r="D1101" s="343" t="s">
        <v>497</v>
      </c>
      <c r="E1101" s="336" t="s">
        <v>498</v>
      </c>
      <c r="F1101" s="336" t="s">
        <v>60</v>
      </c>
      <c r="G1101" s="337">
        <v>5.1948051948052E-2</v>
      </c>
      <c r="H1101" s="338">
        <v>0</v>
      </c>
      <c r="I1101" s="339">
        <v>76955.079706571996</v>
      </c>
      <c r="J1101" s="340">
        <v>3997.6664782634798</v>
      </c>
      <c r="K1101" s="335" t="s">
        <v>2259</v>
      </c>
      <c r="L1101" s="335">
        <v>2</v>
      </c>
      <c r="M1101" s="335" t="s">
        <v>2261</v>
      </c>
      <c r="N1101" s="339">
        <v>1</v>
      </c>
      <c r="O1101" s="341">
        <v>5.1948051948052E-2</v>
      </c>
      <c r="P1101" s="341">
        <v>77</v>
      </c>
      <c r="Q1101" s="341">
        <v>4</v>
      </c>
      <c r="R1101" s="342">
        <v>8.06</v>
      </c>
      <c r="S1101" s="342" t="s">
        <v>106</v>
      </c>
    </row>
    <row r="1102" spans="1:19" ht="14.25" customHeight="1" x14ac:dyDescent="0.3">
      <c r="A1102" s="335" t="s">
        <v>2262</v>
      </c>
      <c r="B1102" s="335" t="s">
        <v>20</v>
      </c>
      <c r="C1102" s="335"/>
      <c r="D1102" s="335" t="s">
        <v>71</v>
      </c>
      <c r="E1102" s="336" t="s">
        <v>72</v>
      </c>
      <c r="F1102" s="336"/>
      <c r="G1102" s="337">
        <v>1</v>
      </c>
      <c r="H1102" s="338">
        <v>0</v>
      </c>
      <c r="I1102" s="339">
        <v>2287.1357450968098</v>
      </c>
      <c r="J1102" s="340">
        <v>2287.1357450968098</v>
      </c>
      <c r="K1102" s="335" t="s">
        <v>2263</v>
      </c>
      <c r="L1102" s="335">
        <v>1</v>
      </c>
      <c r="M1102" s="335" t="s">
        <v>2264</v>
      </c>
      <c r="N1102" s="339">
        <v>14.5</v>
      </c>
      <c r="O1102" s="341">
        <v>1</v>
      </c>
      <c r="P1102" s="341" t="s">
        <v>25</v>
      </c>
      <c r="Q1102" s="341">
        <v>0</v>
      </c>
      <c r="R1102" s="342" t="s">
        <v>25</v>
      </c>
      <c r="S1102" s="342" t="s">
        <v>25</v>
      </c>
    </row>
    <row r="1103" spans="1:19" ht="14.25" customHeight="1" x14ac:dyDescent="0.3">
      <c r="A1103" s="335" t="s">
        <v>2262</v>
      </c>
      <c r="B1103" s="335" t="s">
        <v>20</v>
      </c>
      <c r="C1103" s="335"/>
      <c r="D1103" s="335" t="s">
        <v>74</v>
      </c>
      <c r="E1103" s="336" t="s">
        <v>75</v>
      </c>
      <c r="F1103" s="336"/>
      <c r="G1103" s="337">
        <v>1</v>
      </c>
      <c r="H1103" s="338">
        <v>0</v>
      </c>
      <c r="I1103" s="339">
        <v>957.25319614994703</v>
      </c>
      <c r="J1103" s="340">
        <v>957.25319614994703</v>
      </c>
      <c r="K1103" s="335" t="s">
        <v>2263</v>
      </c>
      <c r="L1103" s="335">
        <v>2</v>
      </c>
      <c r="M1103" s="335" t="s">
        <v>2265</v>
      </c>
      <c r="N1103" s="339">
        <v>14.5</v>
      </c>
      <c r="O1103" s="341">
        <v>1</v>
      </c>
      <c r="P1103" s="341" t="s">
        <v>25</v>
      </c>
      <c r="Q1103" s="341">
        <v>0</v>
      </c>
      <c r="R1103" s="342" t="s">
        <v>25</v>
      </c>
      <c r="S1103" s="342" t="s">
        <v>25</v>
      </c>
    </row>
    <row r="1104" spans="1:19" ht="14.25" customHeight="1" x14ac:dyDescent="0.3">
      <c r="A1104" s="335" t="s">
        <v>2262</v>
      </c>
      <c r="B1104" s="335" t="s">
        <v>26</v>
      </c>
      <c r="C1104" s="335" t="s">
        <v>27</v>
      </c>
      <c r="D1104" s="335" t="s">
        <v>81</v>
      </c>
      <c r="E1104" s="336" t="s">
        <v>82</v>
      </c>
      <c r="F1104" s="336" t="s">
        <v>83</v>
      </c>
      <c r="G1104" s="337">
        <v>0.03</v>
      </c>
      <c r="H1104" s="338">
        <v>0.1</v>
      </c>
      <c r="I1104" s="339">
        <v>32399.77</v>
      </c>
      <c r="J1104" s="340">
        <v>1069.1924100000001</v>
      </c>
      <c r="K1104" s="335" t="s">
        <v>2266</v>
      </c>
      <c r="L1104" s="335">
        <v>1</v>
      </c>
      <c r="M1104" s="335" t="s">
        <v>2267</v>
      </c>
      <c r="N1104" s="339">
        <v>14.5</v>
      </c>
      <c r="O1104" s="341">
        <v>0.03</v>
      </c>
      <c r="P1104" s="341" t="s">
        <v>25</v>
      </c>
      <c r="Q1104" s="341">
        <v>0</v>
      </c>
      <c r="R1104" s="342" t="s">
        <v>25</v>
      </c>
      <c r="S1104" s="342" t="s">
        <v>25</v>
      </c>
    </row>
    <row r="1105" spans="1:19" ht="14.25" customHeight="1" x14ac:dyDescent="0.3">
      <c r="A1105" s="335" t="s">
        <v>2262</v>
      </c>
      <c r="B1105" s="335" t="s">
        <v>26</v>
      </c>
      <c r="C1105" s="335" t="s">
        <v>27</v>
      </c>
      <c r="D1105" s="335" t="s">
        <v>85</v>
      </c>
      <c r="E1105" s="336" t="s">
        <v>86</v>
      </c>
      <c r="F1105" s="336" t="s">
        <v>87</v>
      </c>
      <c r="G1105" s="337">
        <v>7.0000000000000007E-2</v>
      </c>
      <c r="H1105" s="338">
        <v>0.1</v>
      </c>
      <c r="I1105" s="339">
        <v>7809.48</v>
      </c>
      <c r="J1105" s="340">
        <v>601.32996000000003</v>
      </c>
      <c r="K1105" s="335" t="s">
        <v>2266</v>
      </c>
      <c r="L1105" s="335">
        <v>2</v>
      </c>
      <c r="M1105" s="335" t="s">
        <v>2268</v>
      </c>
      <c r="N1105" s="339">
        <v>14.5</v>
      </c>
      <c r="O1105" s="341">
        <v>7.0000000000000007E-2</v>
      </c>
      <c r="P1105" s="341" t="s">
        <v>25</v>
      </c>
      <c r="Q1105" s="341">
        <v>0</v>
      </c>
      <c r="R1105" s="342" t="s">
        <v>25</v>
      </c>
      <c r="S1105" s="342" t="s">
        <v>25</v>
      </c>
    </row>
    <row r="1106" spans="1:19" ht="14.25" customHeight="1" x14ac:dyDescent="0.3">
      <c r="A1106" s="335" t="s">
        <v>2262</v>
      </c>
      <c r="B1106" s="335" t="s">
        <v>26</v>
      </c>
      <c r="C1106" s="335" t="s">
        <v>27</v>
      </c>
      <c r="D1106" s="335" t="s">
        <v>89</v>
      </c>
      <c r="E1106" s="336" t="s">
        <v>90</v>
      </c>
      <c r="F1106" s="336" t="s">
        <v>91</v>
      </c>
      <c r="G1106" s="337">
        <v>0.248</v>
      </c>
      <c r="H1106" s="338">
        <v>0.1</v>
      </c>
      <c r="I1106" s="339">
        <v>3837.96</v>
      </c>
      <c r="J1106" s="340">
        <v>1046.995488</v>
      </c>
      <c r="K1106" s="335" t="s">
        <v>2266</v>
      </c>
      <c r="L1106" s="335">
        <v>3</v>
      </c>
      <c r="M1106" s="335" t="s">
        <v>2269</v>
      </c>
      <c r="N1106" s="339">
        <v>14.5</v>
      </c>
      <c r="O1106" s="341">
        <v>0.248</v>
      </c>
      <c r="P1106" s="341" t="s">
        <v>25</v>
      </c>
      <c r="Q1106" s="341">
        <v>0</v>
      </c>
      <c r="R1106" s="342" t="s">
        <v>25</v>
      </c>
      <c r="S1106" s="342" t="s">
        <v>25</v>
      </c>
    </row>
    <row r="1107" spans="1:19" ht="14.25" customHeight="1" x14ac:dyDescent="0.3">
      <c r="A1107" s="335" t="s">
        <v>2262</v>
      </c>
      <c r="B1107" s="335" t="s">
        <v>56</v>
      </c>
      <c r="C1107" s="335" t="s">
        <v>57</v>
      </c>
      <c r="D1107" s="343" t="s">
        <v>58</v>
      </c>
      <c r="E1107" s="336" t="s">
        <v>59</v>
      </c>
      <c r="F1107" s="336" t="s">
        <v>60</v>
      </c>
      <c r="G1107" s="337">
        <v>0.45</v>
      </c>
      <c r="H1107" s="338">
        <v>0</v>
      </c>
      <c r="I1107" s="339">
        <v>60860.580776572002</v>
      </c>
      <c r="J1107" s="340">
        <v>27387.2613494574</v>
      </c>
      <c r="K1107" s="335" t="s">
        <v>2270</v>
      </c>
      <c r="L1107" s="335">
        <v>1</v>
      </c>
      <c r="M1107" s="335" t="s">
        <v>2271</v>
      </c>
      <c r="N1107" s="339">
        <v>14.5</v>
      </c>
      <c r="O1107" s="341">
        <v>3.10344827586207E-2</v>
      </c>
      <c r="P1107" s="341" t="s">
        <v>25</v>
      </c>
      <c r="Q1107" s="341">
        <v>0</v>
      </c>
      <c r="R1107" s="342" t="s">
        <v>25</v>
      </c>
      <c r="S1107" s="342" t="s">
        <v>25</v>
      </c>
    </row>
    <row r="1108" spans="1:19" ht="14.25" customHeight="1" x14ac:dyDescent="0.3">
      <c r="A1108" s="335" t="s">
        <v>2262</v>
      </c>
      <c r="B1108" s="335" t="s">
        <v>56</v>
      </c>
      <c r="C1108" s="335" t="s">
        <v>57</v>
      </c>
      <c r="D1108" s="343" t="s">
        <v>63</v>
      </c>
      <c r="E1108" s="336" t="s">
        <v>64</v>
      </c>
      <c r="F1108" s="336" t="s">
        <v>60</v>
      </c>
      <c r="G1108" s="337">
        <v>1</v>
      </c>
      <c r="H1108" s="338">
        <v>0</v>
      </c>
      <c r="I1108" s="339">
        <v>85927.097156571996</v>
      </c>
      <c r="J1108" s="340">
        <v>85927.097156571996</v>
      </c>
      <c r="K1108" s="335" t="s">
        <v>2270</v>
      </c>
      <c r="L1108" s="335">
        <v>2</v>
      </c>
      <c r="M1108" s="335" t="s">
        <v>2272</v>
      </c>
      <c r="N1108" s="339">
        <v>14.5</v>
      </c>
      <c r="O1108" s="341">
        <v>6.8965517241379296E-2</v>
      </c>
      <c r="P1108" s="341" t="s">
        <v>25</v>
      </c>
      <c r="Q1108" s="341">
        <v>0</v>
      </c>
      <c r="R1108" s="342" t="s">
        <v>25</v>
      </c>
      <c r="S1108" s="342" t="s">
        <v>25</v>
      </c>
    </row>
    <row r="1109" spans="1:19" ht="14.25" customHeight="1" x14ac:dyDescent="0.3">
      <c r="A1109" s="335" t="s">
        <v>2273</v>
      </c>
      <c r="B1109" s="335" t="s">
        <v>20</v>
      </c>
      <c r="C1109" s="335"/>
      <c r="D1109" s="335" t="s">
        <v>71</v>
      </c>
      <c r="E1109" s="336" t="s">
        <v>72</v>
      </c>
      <c r="F1109" s="336"/>
      <c r="G1109" s="337">
        <v>1</v>
      </c>
      <c r="H1109" s="338">
        <v>0</v>
      </c>
      <c r="I1109" s="339">
        <v>2287.1357450968098</v>
      </c>
      <c r="J1109" s="340">
        <v>2287.1357450968098</v>
      </c>
      <c r="K1109" s="335" t="s">
        <v>2274</v>
      </c>
      <c r="L1109" s="335">
        <v>1</v>
      </c>
      <c r="M1109" s="335" t="s">
        <v>2275</v>
      </c>
      <c r="N1109" s="339">
        <v>14.5</v>
      </c>
      <c r="O1109" s="341">
        <v>1</v>
      </c>
      <c r="P1109" s="341" t="s">
        <v>25</v>
      </c>
      <c r="Q1109" s="341">
        <v>0</v>
      </c>
      <c r="R1109" s="342" t="s">
        <v>25</v>
      </c>
      <c r="S1109" s="342" t="s">
        <v>25</v>
      </c>
    </row>
    <row r="1110" spans="1:19" ht="14.25" customHeight="1" x14ac:dyDescent="0.3">
      <c r="A1110" s="335" t="s">
        <v>2273</v>
      </c>
      <c r="B1110" s="335" t="s">
        <v>20</v>
      </c>
      <c r="C1110" s="335"/>
      <c r="D1110" s="335" t="s">
        <v>74</v>
      </c>
      <c r="E1110" s="336" t="s">
        <v>75</v>
      </c>
      <c r="F1110" s="336"/>
      <c r="G1110" s="337">
        <v>1</v>
      </c>
      <c r="H1110" s="338">
        <v>0</v>
      </c>
      <c r="I1110" s="339">
        <v>957.25319614994703</v>
      </c>
      <c r="J1110" s="340">
        <v>957.25319614994703</v>
      </c>
      <c r="K1110" s="335" t="s">
        <v>2274</v>
      </c>
      <c r="L1110" s="335">
        <v>2</v>
      </c>
      <c r="M1110" s="335" t="s">
        <v>2276</v>
      </c>
      <c r="N1110" s="339">
        <v>14.5</v>
      </c>
      <c r="O1110" s="341">
        <v>1</v>
      </c>
      <c r="P1110" s="341" t="s">
        <v>25</v>
      </c>
      <c r="Q1110" s="341">
        <v>0</v>
      </c>
      <c r="R1110" s="342" t="s">
        <v>25</v>
      </c>
      <c r="S1110" s="342" t="s">
        <v>25</v>
      </c>
    </row>
    <row r="1111" spans="1:19" ht="14.25" customHeight="1" x14ac:dyDescent="0.3">
      <c r="A1111" s="335" t="s">
        <v>2273</v>
      </c>
      <c r="B1111" s="335" t="s">
        <v>26</v>
      </c>
      <c r="C1111" s="335" t="s">
        <v>27</v>
      </c>
      <c r="D1111" s="335" t="s">
        <v>81</v>
      </c>
      <c r="E1111" s="336" t="s">
        <v>82</v>
      </c>
      <c r="F1111" s="336" t="s">
        <v>83</v>
      </c>
      <c r="G1111" s="337">
        <v>0.03</v>
      </c>
      <c r="H1111" s="338">
        <v>0.1</v>
      </c>
      <c r="I1111" s="339">
        <v>32399.77</v>
      </c>
      <c r="J1111" s="340">
        <v>1069.1924100000001</v>
      </c>
      <c r="K1111" s="335" t="s">
        <v>2277</v>
      </c>
      <c r="L1111" s="335">
        <v>1</v>
      </c>
      <c r="M1111" s="335" t="s">
        <v>2278</v>
      </c>
      <c r="N1111" s="339">
        <v>14.5</v>
      </c>
      <c r="O1111" s="341">
        <v>0.03</v>
      </c>
      <c r="P1111" s="341" t="s">
        <v>25</v>
      </c>
      <c r="Q1111" s="341">
        <v>0</v>
      </c>
      <c r="R1111" s="342" t="s">
        <v>25</v>
      </c>
      <c r="S1111" s="342" t="s">
        <v>25</v>
      </c>
    </row>
    <row r="1112" spans="1:19" ht="14.25" customHeight="1" x14ac:dyDescent="0.3">
      <c r="A1112" s="335" t="s">
        <v>2273</v>
      </c>
      <c r="B1112" s="335" t="s">
        <v>26</v>
      </c>
      <c r="C1112" s="335" t="s">
        <v>27</v>
      </c>
      <c r="D1112" s="335" t="s">
        <v>85</v>
      </c>
      <c r="E1112" s="336" t="s">
        <v>86</v>
      </c>
      <c r="F1112" s="336" t="s">
        <v>87</v>
      </c>
      <c r="G1112" s="337">
        <v>7.0000000000000007E-2</v>
      </c>
      <c r="H1112" s="338">
        <v>0.1</v>
      </c>
      <c r="I1112" s="339">
        <v>7809.48</v>
      </c>
      <c r="J1112" s="340">
        <v>601.32996000000003</v>
      </c>
      <c r="K1112" s="335" t="s">
        <v>2277</v>
      </c>
      <c r="L1112" s="335">
        <v>2</v>
      </c>
      <c r="M1112" s="335" t="s">
        <v>2279</v>
      </c>
      <c r="N1112" s="339">
        <v>14.5</v>
      </c>
      <c r="O1112" s="341">
        <v>7.0000000000000007E-2</v>
      </c>
      <c r="P1112" s="341" t="s">
        <v>25</v>
      </c>
      <c r="Q1112" s="341">
        <v>0</v>
      </c>
      <c r="R1112" s="342" t="s">
        <v>25</v>
      </c>
      <c r="S1112" s="342" t="s">
        <v>25</v>
      </c>
    </row>
    <row r="1113" spans="1:19" ht="14.25" customHeight="1" x14ac:dyDescent="0.3">
      <c r="A1113" s="335" t="s">
        <v>2273</v>
      </c>
      <c r="B1113" s="335" t="s">
        <v>26</v>
      </c>
      <c r="C1113" s="335" t="s">
        <v>27</v>
      </c>
      <c r="D1113" s="335" t="s">
        <v>89</v>
      </c>
      <c r="E1113" s="336" t="s">
        <v>90</v>
      </c>
      <c r="F1113" s="336" t="s">
        <v>91</v>
      </c>
      <c r="G1113" s="337">
        <v>0.248</v>
      </c>
      <c r="H1113" s="338">
        <v>0.1</v>
      </c>
      <c r="I1113" s="339">
        <v>3837.96</v>
      </c>
      <c r="J1113" s="340">
        <v>1046.995488</v>
      </c>
      <c r="K1113" s="335" t="s">
        <v>2277</v>
      </c>
      <c r="L1113" s="335">
        <v>3</v>
      </c>
      <c r="M1113" s="335" t="s">
        <v>2280</v>
      </c>
      <c r="N1113" s="339">
        <v>14.5</v>
      </c>
      <c r="O1113" s="341">
        <v>0.248</v>
      </c>
      <c r="P1113" s="341" t="s">
        <v>25</v>
      </c>
      <c r="Q1113" s="341">
        <v>0</v>
      </c>
      <c r="R1113" s="342" t="s">
        <v>25</v>
      </c>
      <c r="S1113" s="342" t="s">
        <v>25</v>
      </c>
    </row>
    <row r="1114" spans="1:19" ht="14.25" customHeight="1" x14ac:dyDescent="0.3">
      <c r="A1114" s="335" t="s">
        <v>2273</v>
      </c>
      <c r="B1114" s="335" t="s">
        <v>56</v>
      </c>
      <c r="C1114" s="335" t="s">
        <v>57</v>
      </c>
      <c r="D1114" s="343" t="s">
        <v>58</v>
      </c>
      <c r="E1114" s="336" t="s">
        <v>59</v>
      </c>
      <c r="F1114" s="336" t="s">
        <v>60</v>
      </c>
      <c r="G1114" s="337">
        <v>0.45</v>
      </c>
      <c r="H1114" s="338">
        <v>0</v>
      </c>
      <c r="I1114" s="339">
        <v>60860.580776572002</v>
      </c>
      <c r="J1114" s="340">
        <v>27387.2613494574</v>
      </c>
      <c r="K1114" s="335" t="s">
        <v>2281</v>
      </c>
      <c r="L1114" s="335">
        <v>1</v>
      </c>
      <c r="M1114" s="335" t="s">
        <v>2282</v>
      </c>
      <c r="N1114" s="339">
        <v>14.5</v>
      </c>
      <c r="O1114" s="341">
        <v>3.10344827586207E-2</v>
      </c>
      <c r="P1114" s="341" t="s">
        <v>25</v>
      </c>
      <c r="Q1114" s="341">
        <v>0</v>
      </c>
      <c r="R1114" s="342" t="s">
        <v>25</v>
      </c>
      <c r="S1114" s="342" t="s">
        <v>25</v>
      </c>
    </row>
    <row r="1115" spans="1:19" ht="14.25" customHeight="1" x14ac:dyDescent="0.3">
      <c r="A1115" s="335" t="s">
        <v>2273</v>
      </c>
      <c r="B1115" s="335" t="s">
        <v>56</v>
      </c>
      <c r="C1115" s="335" t="s">
        <v>57</v>
      </c>
      <c r="D1115" s="343" t="s">
        <v>63</v>
      </c>
      <c r="E1115" s="336" t="s">
        <v>64</v>
      </c>
      <c r="F1115" s="336" t="s">
        <v>60</v>
      </c>
      <c r="G1115" s="337">
        <v>1</v>
      </c>
      <c r="H1115" s="338">
        <v>0</v>
      </c>
      <c r="I1115" s="339">
        <v>85927.097156571996</v>
      </c>
      <c r="J1115" s="340">
        <v>85927.097156571996</v>
      </c>
      <c r="K1115" s="335" t="s">
        <v>2281</v>
      </c>
      <c r="L1115" s="335">
        <v>2</v>
      </c>
      <c r="M1115" s="335" t="s">
        <v>2283</v>
      </c>
      <c r="N1115" s="339">
        <v>14.5</v>
      </c>
      <c r="O1115" s="341">
        <v>6.8965517241379296E-2</v>
      </c>
      <c r="P1115" s="341" t="s">
        <v>25</v>
      </c>
      <c r="Q1115" s="341">
        <v>0</v>
      </c>
      <c r="R1115" s="342" t="s">
        <v>25</v>
      </c>
      <c r="S1115" s="342" t="s">
        <v>25</v>
      </c>
    </row>
    <row r="1116" spans="1:19" ht="14.25" customHeight="1" x14ac:dyDescent="0.3">
      <c r="A1116" s="335" t="s">
        <v>2284</v>
      </c>
      <c r="B1116" s="335" t="s">
        <v>20</v>
      </c>
      <c r="C1116" s="335"/>
      <c r="D1116" s="335" t="s">
        <v>2285</v>
      </c>
      <c r="E1116" s="336" t="s">
        <v>2286</v>
      </c>
      <c r="F1116" s="336"/>
      <c r="G1116" s="337">
        <v>1</v>
      </c>
      <c r="H1116" s="338">
        <v>0</v>
      </c>
      <c r="I1116" s="339">
        <v>23389.673803614602</v>
      </c>
      <c r="J1116" s="340">
        <v>23389.673803614602</v>
      </c>
      <c r="K1116" s="335" t="s">
        <v>2287</v>
      </c>
      <c r="L1116" s="335">
        <v>1</v>
      </c>
      <c r="M1116" s="335" t="s">
        <v>2288</v>
      </c>
      <c r="N1116" s="339">
        <v>1</v>
      </c>
      <c r="O1116" s="341">
        <v>1</v>
      </c>
      <c r="P1116" s="341">
        <v>1</v>
      </c>
      <c r="Q1116" s="341">
        <v>1</v>
      </c>
      <c r="R1116" s="342">
        <v>9.01</v>
      </c>
      <c r="S1116" s="342" t="s">
        <v>106</v>
      </c>
    </row>
    <row r="1117" spans="1:19" ht="14.25" customHeight="1" x14ac:dyDescent="0.3">
      <c r="A1117" s="335" t="s">
        <v>2284</v>
      </c>
      <c r="B1117" s="335" t="s">
        <v>26</v>
      </c>
      <c r="C1117" s="335" t="s">
        <v>480</v>
      </c>
      <c r="D1117" s="335" t="s">
        <v>2289</v>
      </c>
      <c r="E1117" s="336" t="s">
        <v>2290</v>
      </c>
      <c r="F1117" s="336" t="s">
        <v>988</v>
      </c>
      <c r="G1117" s="337">
        <v>44.55</v>
      </c>
      <c r="H1117" s="338">
        <v>0</v>
      </c>
      <c r="I1117" s="339">
        <v>4066.3295640000001</v>
      </c>
      <c r="J1117" s="340">
        <v>181154.98207619999</v>
      </c>
      <c r="K1117" s="335" t="s">
        <v>2291</v>
      </c>
      <c r="L1117" s="335">
        <v>1</v>
      </c>
      <c r="M1117" s="335" t="s">
        <v>2292</v>
      </c>
      <c r="N1117" s="339">
        <v>1</v>
      </c>
      <c r="O1117" s="341">
        <v>44.55</v>
      </c>
      <c r="P1117" s="341">
        <v>1</v>
      </c>
      <c r="Q1117" s="341">
        <v>44.55</v>
      </c>
      <c r="R1117" s="342">
        <v>9.01</v>
      </c>
      <c r="S1117" s="342" t="s">
        <v>106</v>
      </c>
    </row>
    <row r="1118" spans="1:19" ht="14.25" customHeight="1" x14ac:dyDescent="0.3">
      <c r="A1118" s="335" t="s">
        <v>2284</v>
      </c>
      <c r="B1118" s="335" t="s">
        <v>56</v>
      </c>
      <c r="C1118" s="335" t="s">
        <v>57</v>
      </c>
      <c r="D1118" s="335" t="s">
        <v>58</v>
      </c>
      <c r="E1118" s="336" t="s">
        <v>59</v>
      </c>
      <c r="F1118" s="336" t="s">
        <v>60</v>
      </c>
      <c r="G1118" s="337">
        <v>10</v>
      </c>
      <c r="H1118" s="338">
        <v>0</v>
      </c>
      <c r="I1118" s="339">
        <v>60860.580776572002</v>
      </c>
      <c r="J1118" s="340">
        <v>608605.80776571995</v>
      </c>
      <c r="K1118" s="335" t="s">
        <v>2293</v>
      </c>
      <c r="L1118" s="335">
        <v>1</v>
      </c>
      <c r="M1118" s="335" t="s">
        <v>2294</v>
      </c>
      <c r="N1118" s="339">
        <v>1</v>
      </c>
      <c r="O1118" s="341">
        <v>10</v>
      </c>
      <c r="P1118" s="341">
        <v>1</v>
      </c>
      <c r="Q1118" s="341">
        <v>10</v>
      </c>
      <c r="R1118" s="342">
        <v>9.01</v>
      </c>
      <c r="S1118" s="342" t="s">
        <v>106</v>
      </c>
    </row>
    <row r="1119" spans="1:19" ht="14.25" customHeight="1" x14ac:dyDescent="0.3">
      <c r="A1119" s="335" t="s">
        <v>2284</v>
      </c>
      <c r="B1119" s="335" t="s">
        <v>56</v>
      </c>
      <c r="C1119" s="335" t="s">
        <v>57</v>
      </c>
      <c r="D1119" s="343" t="s">
        <v>497</v>
      </c>
      <c r="E1119" s="336" t="s">
        <v>498</v>
      </c>
      <c r="F1119" s="336" t="s">
        <v>60</v>
      </c>
      <c r="G1119" s="337">
        <v>10</v>
      </c>
      <c r="H1119" s="338">
        <v>0</v>
      </c>
      <c r="I1119" s="339">
        <v>76955.079706571996</v>
      </c>
      <c r="J1119" s="340">
        <v>769550.79706571996</v>
      </c>
      <c r="K1119" s="335" t="s">
        <v>2293</v>
      </c>
      <c r="L1119" s="335">
        <v>2</v>
      </c>
      <c r="M1119" s="335" t="s">
        <v>2295</v>
      </c>
      <c r="N1119" s="339">
        <v>1</v>
      </c>
      <c r="O1119" s="341">
        <v>10</v>
      </c>
      <c r="P1119" s="341">
        <v>1</v>
      </c>
      <c r="Q1119" s="341">
        <v>10</v>
      </c>
      <c r="R1119" s="342">
        <v>9.01</v>
      </c>
      <c r="S1119" s="342" t="s">
        <v>106</v>
      </c>
    </row>
    <row r="1120" spans="1:19" ht="14.25" customHeight="1" x14ac:dyDescent="0.3">
      <c r="A1120" s="335" t="s">
        <v>2296</v>
      </c>
      <c r="B1120" s="335" t="s">
        <v>20</v>
      </c>
      <c r="C1120" s="335"/>
      <c r="D1120" s="335" t="s">
        <v>2297</v>
      </c>
      <c r="E1120" s="336" t="s">
        <v>2298</v>
      </c>
      <c r="F1120" s="336"/>
      <c r="G1120" s="337">
        <v>1</v>
      </c>
      <c r="H1120" s="338">
        <v>0</v>
      </c>
      <c r="I1120" s="339">
        <v>310.723693448277</v>
      </c>
      <c r="J1120" s="340">
        <v>310.723693448277</v>
      </c>
      <c r="K1120" s="335" t="s">
        <v>2299</v>
      </c>
      <c r="L1120" s="335">
        <v>1</v>
      </c>
      <c r="M1120" s="335" t="s">
        <v>2300</v>
      </c>
      <c r="N1120" s="339">
        <v>1</v>
      </c>
      <c r="O1120" s="341">
        <v>1</v>
      </c>
      <c r="P1120" s="341">
        <v>81</v>
      </c>
      <c r="Q1120" s="341">
        <v>81</v>
      </c>
      <c r="R1120" s="342">
        <v>9.02</v>
      </c>
      <c r="S1120" s="342" t="s">
        <v>106</v>
      </c>
    </row>
    <row r="1121" spans="1:19" ht="14.25" customHeight="1" x14ac:dyDescent="0.3">
      <c r="A1121" s="335" t="s">
        <v>2296</v>
      </c>
      <c r="B1121" s="335" t="s">
        <v>26</v>
      </c>
      <c r="C1121" s="335" t="s">
        <v>27</v>
      </c>
      <c r="D1121" s="335" t="s">
        <v>2301</v>
      </c>
      <c r="E1121" s="336" t="s">
        <v>2302</v>
      </c>
      <c r="F1121" s="336" t="s">
        <v>35</v>
      </c>
      <c r="G1121" s="337">
        <v>0.209876543209877</v>
      </c>
      <c r="H1121" s="338">
        <v>0</v>
      </c>
      <c r="I1121" s="339">
        <v>8951.7603305785105</v>
      </c>
      <c r="J1121" s="340">
        <v>1878.76451382512</v>
      </c>
      <c r="K1121" s="335" t="s">
        <v>2303</v>
      </c>
      <c r="L1121" s="335">
        <v>1</v>
      </c>
      <c r="M1121" s="335" t="s">
        <v>2304</v>
      </c>
      <c r="N1121" s="339">
        <v>1</v>
      </c>
      <c r="O1121" s="341">
        <v>0.209876543209877</v>
      </c>
      <c r="P1121" s="341">
        <v>81</v>
      </c>
      <c r="Q1121" s="341">
        <v>17</v>
      </c>
      <c r="R1121" s="342">
        <v>9.02</v>
      </c>
      <c r="S1121" s="342" t="s">
        <v>106</v>
      </c>
    </row>
    <row r="1122" spans="1:19" ht="14.25" customHeight="1" x14ac:dyDescent="0.3">
      <c r="A1122" s="335" t="s">
        <v>2296</v>
      </c>
      <c r="B1122" s="335" t="s">
        <v>26</v>
      </c>
      <c r="C1122" s="335" t="s">
        <v>27</v>
      </c>
      <c r="D1122" s="335" t="s">
        <v>2305</v>
      </c>
      <c r="E1122" s="336" t="s">
        <v>2306</v>
      </c>
      <c r="F1122" s="336" t="s">
        <v>2307</v>
      </c>
      <c r="G1122" s="337">
        <v>2.4691358024691398E-2</v>
      </c>
      <c r="H1122" s="338">
        <v>0</v>
      </c>
      <c r="I1122" s="339">
        <v>12396.694214876001</v>
      </c>
      <c r="J1122" s="340">
        <v>306.09121518212402</v>
      </c>
      <c r="K1122" s="335" t="s">
        <v>2303</v>
      </c>
      <c r="L1122" s="335">
        <v>2</v>
      </c>
      <c r="M1122" s="335" t="s">
        <v>2308</v>
      </c>
      <c r="N1122" s="339">
        <v>1</v>
      </c>
      <c r="O1122" s="341">
        <v>2.4691358024691398E-2</v>
      </c>
      <c r="P1122" s="341">
        <v>81</v>
      </c>
      <c r="Q1122" s="341">
        <v>2</v>
      </c>
      <c r="R1122" s="342">
        <v>9.02</v>
      </c>
      <c r="S1122" s="342" t="s">
        <v>106</v>
      </c>
    </row>
    <row r="1123" spans="1:19" ht="14.25" customHeight="1" x14ac:dyDescent="0.3">
      <c r="A1123" s="335" t="s">
        <v>2296</v>
      </c>
      <c r="B1123" s="335" t="s">
        <v>26</v>
      </c>
      <c r="C1123" s="335" t="s">
        <v>27</v>
      </c>
      <c r="D1123" s="335" t="s">
        <v>2309</v>
      </c>
      <c r="E1123" s="336" t="s">
        <v>2310</v>
      </c>
      <c r="F1123" s="336" t="s">
        <v>167</v>
      </c>
      <c r="G1123" s="337">
        <v>6.1728395061728399E-2</v>
      </c>
      <c r="H1123" s="338">
        <v>0</v>
      </c>
      <c r="I1123" s="339">
        <v>6611.5702479338797</v>
      </c>
      <c r="J1123" s="340">
        <v>408.12162024283202</v>
      </c>
      <c r="K1123" s="335" t="s">
        <v>2303</v>
      </c>
      <c r="L1123" s="335">
        <v>3</v>
      </c>
      <c r="M1123" s="335" t="s">
        <v>2311</v>
      </c>
      <c r="N1123" s="339">
        <v>1</v>
      </c>
      <c r="O1123" s="341">
        <v>6.1728395061728399E-2</v>
      </c>
      <c r="P1123" s="341">
        <v>81</v>
      </c>
      <c r="Q1123" s="341">
        <v>5</v>
      </c>
      <c r="R1123" s="342">
        <v>9.02</v>
      </c>
      <c r="S1123" s="342" t="s">
        <v>106</v>
      </c>
    </row>
    <row r="1124" spans="1:19" ht="14.25" customHeight="1" x14ac:dyDescent="0.3">
      <c r="A1124" s="335" t="s">
        <v>2296</v>
      </c>
      <c r="B1124" s="335" t="s">
        <v>56</v>
      </c>
      <c r="C1124" s="335" t="s">
        <v>57</v>
      </c>
      <c r="D1124" s="335" t="s">
        <v>58</v>
      </c>
      <c r="E1124" s="336" t="s">
        <v>59</v>
      </c>
      <c r="F1124" s="336" t="s">
        <v>60</v>
      </c>
      <c r="G1124" s="337">
        <v>0.12345679012345701</v>
      </c>
      <c r="H1124" s="338">
        <v>0</v>
      </c>
      <c r="I1124" s="339">
        <v>60860.580776572002</v>
      </c>
      <c r="J1124" s="340">
        <v>7513.6519477249503</v>
      </c>
      <c r="K1124" s="335" t="s">
        <v>2312</v>
      </c>
      <c r="L1124" s="335">
        <v>1</v>
      </c>
      <c r="M1124" s="335" t="s">
        <v>2313</v>
      </c>
      <c r="N1124" s="339">
        <v>1</v>
      </c>
      <c r="O1124" s="341">
        <v>0.12345679012345701</v>
      </c>
      <c r="P1124" s="341">
        <v>81</v>
      </c>
      <c r="Q1124" s="341">
        <v>10</v>
      </c>
      <c r="R1124" s="342">
        <v>9.02</v>
      </c>
      <c r="S1124" s="342" t="s">
        <v>106</v>
      </c>
    </row>
    <row r="1125" spans="1:19" ht="14.25" customHeight="1" x14ac:dyDescent="0.3">
      <c r="A1125" s="335" t="s">
        <v>2296</v>
      </c>
      <c r="B1125" s="335" t="s">
        <v>56</v>
      </c>
      <c r="C1125" s="335" t="s">
        <v>57</v>
      </c>
      <c r="D1125" s="343" t="s">
        <v>63</v>
      </c>
      <c r="E1125" s="336" t="s">
        <v>64</v>
      </c>
      <c r="F1125" s="336" t="s">
        <v>60</v>
      </c>
      <c r="G1125" s="337">
        <v>0.12345679012345701</v>
      </c>
      <c r="H1125" s="338">
        <v>0</v>
      </c>
      <c r="I1125" s="339">
        <v>85927.097156571996</v>
      </c>
      <c r="J1125" s="340">
        <v>10608.2835995768</v>
      </c>
      <c r="K1125" s="335" t="s">
        <v>2312</v>
      </c>
      <c r="L1125" s="335">
        <v>2</v>
      </c>
      <c r="M1125" s="335" t="s">
        <v>2314</v>
      </c>
      <c r="N1125" s="339">
        <v>1</v>
      </c>
      <c r="O1125" s="341">
        <v>0.12345679012345701</v>
      </c>
      <c r="P1125" s="341">
        <v>81</v>
      </c>
      <c r="Q1125" s="341">
        <v>10</v>
      </c>
      <c r="R1125" s="342">
        <v>9.02</v>
      </c>
      <c r="S1125" s="342" t="s">
        <v>106</v>
      </c>
    </row>
    <row r="1126" spans="1:19" ht="14.25" customHeight="1" x14ac:dyDescent="0.3">
      <c r="A1126" s="335" t="s">
        <v>2315</v>
      </c>
      <c r="B1126" s="335" t="s">
        <v>20</v>
      </c>
      <c r="C1126" s="335"/>
      <c r="D1126" s="335" t="s">
        <v>2316</v>
      </c>
      <c r="E1126" s="336" t="s">
        <v>2317</v>
      </c>
      <c r="F1126" s="336"/>
      <c r="G1126" s="337">
        <v>1</v>
      </c>
      <c r="H1126" s="338">
        <v>0</v>
      </c>
      <c r="I1126" s="339">
        <v>114.200147046578</v>
      </c>
      <c r="J1126" s="340">
        <v>114.200147046578</v>
      </c>
      <c r="K1126" s="335" t="s">
        <v>2318</v>
      </c>
      <c r="L1126" s="335">
        <v>1</v>
      </c>
      <c r="M1126" s="335" t="s">
        <v>2319</v>
      </c>
      <c r="N1126" s="339">
        <v>1</v>
      </c>
      <c r="O1126" s="341">
        <v>1</v>
      </c>
      <c r="P1126" s="341">
        <v>46</v>
      </c>
      <c r="Q1126" s="341">
        <v>46</v>
      </c>
      <c r="R1126" s="342">
        <v>9.0299999999999994</v>
      </c>
      <c r="S1126" s="342" t="s">
        <v>106</v>
      </c>
    </row>
    <row r="1127" spans="1:19" ht="14.25" customHeight="1" x14ac:dyDescent="0.3">
      <c r="A1127" s="335" t="s">
        <v>2315</v>
      </c>
      <c r="B1127" s="335" t="s">
        <v>26</v>
      </c>
      <c r="C1127" s="335" t="s">
        <v>480</v>
      </c>
      <c r="D1127" s="335" t="s">
        <v>2289</v>
      </c>
      <c r="E1127" s="336" t="s">
        <v>2290</v>
      </c>
      <c r="F1127" s="336" t="s">
        <v>988</v>
      </c>
      <c r="G1127" s="337">
        <v>0.15</v>
      </c>
      <c r="H1127" s="338">
        <v>0</v>
      </c>
      <c r="I1127" s="339">
        <v>4066.3295640000001</v>
      </c>
      <c r="J1127" s="340">
        <v>609.94943460000002</v>
      </c>
      <c r="K1127" s="335" t="s">
        <v>2320</v>
      </c>
      <c r="L1127" s="335">
        <v>1</v>
      </c>
      <c r="M1127" s="335" t="s">
        <v>2321</v>
      </c>
      <c r="N1127" s="339">
        <v>1</v>
      </c>
      <c r="O1127" s="341">
        <v>0.15</v>
      </c>
      <c r="P1127" s="341">
        <v>46</v>
      </c>
      <c r="Q1127" s="341">
        <v>6.9</v>
      </c>
      <c r="R1127" s="342">
        <v>9.0299999999999994</v>
      </c>
      <c r="S1127" s="342" t="s">
        <v>106</v>
      </c>
    </row>
    <row r="1128" spans="1:19" ht="14.25" customHeight="1" x14ac:dyDescent="0.3">
      <c r="A1128" s="335" t="s">
        <v>2315</v>
      </c>
      <c r="B1128" s="335" t="s">
        <v>56</v>
      </c>
      <c r="C1128" s="335" t="s">
        <v>57</v>
      </c>
      <c r="D1128" s="335" t="s">
        <v>58</v>
      </c>
      <c r="E1128" s="336" t="s">
        <v>59</v>
      </c>
      <c r="F1128" s="336" t="s">
        <v>60</v>
      </c>
      <c r="G1128" s="337">
        <v>3.2608695652173898E-2</v>
      </c>
      <c r="H1128" s="338">
        <v>0</v>
      </c>
      <c r="I1128" s="339">
        <v>60860.580776572002</v>
      </c>
      <c r="J1128" s="340">
        <v>1984.5841557577801</v>
      </c>
      <c r="K1128" s="335" t="s">
        <v>2322</v>
      </c>
      <c r="L1128" s="335">
        <v>1</v>
      </c>
      <c r="M1128" s="335" t="s">
        <v>2323</v>
      </c>
      <c r="N1128" s="339">
        <v>1</v>
      </c>
      <c r="O1128" s="341">
        <v>3.2608695652173898E-2</v>
      </c>
      <c r="P1128" s="341">
        <v>46</v>
      </c>
      <c r="Q1128" s="341">
        <v>1.5</v>
      </c>
      <c r="R1128" s="342">
        <v>9.0299999999999994</v>
      </c>
      <c r="S1128" s="342" t="s">
        <v>106</v>
      </c>
    </row>
    <row r="1129" spans="1:19" ht="14.25" customHeight="1" x14ac:dyDescent="0.3">
      <c r="A1129" s="335" t="s">
        <v>2315</v>
      </c>
      <c r="B1129" s="335" t="s">
        <v>56</v>
      </c>
      <c r="C1129" s="335" t="s">
        <v>57</v>
      </c>
      <c r="D1129" s="343" t="s">
        <v>497</v>
      </c>
      <c r="E1129" s="336" t="s">
        <v>498</v>
      </c>
      <c r="F1129" s="336" t="s">
        <v>60</v>
      </c>
      <c r="G1129" s="337">
        <v>6.5217391304347797E-2</v>
      </c>
      <c r="H1129" s="338">
        <v>0</v>
      </c>
      <c r="I1129" s="339">
        <v>76955.079706571996</v>
      </c>
      <c r="J1129" s="340">
        <v>5018.8095460807799</v>
      </c>
      <c r="K1129" s="335" t="s">
        <v>2322</v>
      </c>
      <c r="L1129" s="335">
        <v>2</v>
      </c>
      <c r="M1129" s="335" t="s">
        <v>2324</v>
      </c>
      <c r="N1129" s="339">
        <v>1</v>
      </c>
      <c r="O1129" s="341">
        <v>6.5217391304347797E-2</v>
      </c>
      <c r="P1129" s="341">
        <v>46</v>
      </c>
      <c r="Q1129" s="341">
        <v>3</v>
      </c>
      <c r="R1129" s="342">
        <v>9.0299999999999994</v>
      </c>
      <c r="S1129" s="342" t="s">
        <v>106</v>
      </c>
    </row>
    <row r="1130" spans="1:19" ht="14.25" customHeight="1" x14ac:dyDescent="0.3">
      <c r="A1130" s="335" t="s">
        <v>2325</v>
      </c>
      <c r="B1130" s="335" t="s">
        <v>20</v>
      </c>
      <c r="C1130" s="335"/>
      <c r="D1130" s="335" t="s">
        <v>2326</v>
      </c>
      <c r="E1130" s="336" t="s">
        <v>2327</v>
      </c>
      <c r="F1130" s="336"/>
      <c r="G1130" s="337">
        <v>1</v>
      </c>
      <c r="H1130" s="338">
        <v>0</v>
      </c>
      <c r="I1130" s="339">
        <v>20453.608131728699</v>
      </c>
      <c r="J1130" s="340">
        <v>20453.608131728699</v>
      </c>
      <c r="K1130" s="335" t="s">
        <v>2328</v>
      </c>
      <c r="L1130" s="335">
        <v>1</v>
      </c>
      <c r="M1130" s="335" t="s">
        <v>2329</v>
      </c>
      <c r="N1130" s="339">
        <v>1</v>
      </c>
      <c r="O1130" s="341">
        <v>1</v>
      </c>
      <c r="P1130" s="341">
        <v>1</v>
      </c>
      <c r="Q1130" s="341">
        <v>1</v>
      </c>
      <c r="R1130" s="342">
        <v>10.01</v>
      </c>
      <c r="S1130" s="342" t="s">
        <v>106</v>
      </c>
    </row>
    <row r="1131" spans="1:19" ht="14.25" customHeight="1" x14ac:dyDescent="0.3">
      <c r="A1131" s="335" t="s">
        <v>2325</v>
      </c>
      <c r="B1131" s="335" t="s">
        <v>26</v>
      </c>
      <c r="C1131" s="335" t="s">
        <v>27</v>
      </c>
      <c r="D1131" s="335" t="s">
        <v>96</v>
      </c>
      <c r="E1131" s="336" t="s">
        <v>97</v>
      </c>
      <c r="F1131" s="336" t="s">
        <v>98</v>
      </c>
      <c r="G1131" s="337">
        <v>200000</v>
      </c>
      <c r="H1131" s="338">
        <v>0</v>
      </c>
      <c r="I1131" s="339">
        <v>1</v>
      </c>
      <c r="J1131" s="340">
        <v>200000</v>
      </c>
      <c r="K1131" s="335" t="s">
        <v>2330</v>
      </c>
      <c r="L1131" s="335">
        <v>1</v>
      </c>
      <c r="M1131" s="335" t="s">
        <v>2331</v>
      </c>
      <c r="N1131" s="339">
        <v>1</v>
      </c>
      <c r="O1131" s="341">
        <v>200000</v>
      </c>
      <c r="P1131" s="341">
        <v>1</v>
      </c>
      <c r="Q1131" s="341">
        <v>200000</v>
      </c>
      <c r="R1131" s="342">
        <v>10.01</v>
      </c>
      <c r="S1131" s="342" t="s">
        <v>106</v>
      </c>
    </row>
    <row r="1132" spans="1:19" ht="14.25" customHeight="1" x14ac:dyDescent="0.3">
      <c r="A1132" s="335" t="s">
        <v>2325</v>
      </c>
      <c r="B1132" s="335" t="s">
        <v>56</v>
      </c>
      <c r="C1132" s="335" t="s">
        <v>57</v>
      </c>
      <c r="D1132" s="335" t="s">
        <v>58</v>
      </c>
      <c r="E1132" s="336" t="s">
        <v>59</v>
      </c>
      <c r="F1132" s="336" t="s">
        <v>60</v>
      </c>
      <c r="G1132" s="337">
        <v>5</v>
      </c>
      <c r="H1132" s="338">
        <v>0</v>
      </c>
      <c r="I1132" s="339">
        <v>60860.580776572002</v>
      </c>
      <c r="J1132" s="340">
        <v>304302.90388285997</v>
      </c>
      <c r="K1132" s="335" t="s">
        <v>2332</v>
      </c>
      <c r="L1132" s="335">
        <v>1</v>
      </c>
      <c r="M1132" s="335" t="s">
        <v>2333</v>
      </c>
      <c r="N1132" s="339">
        <v>1</v>
      </c>
      <c r="O1132" s="341">
        <v>5</v>
      </c>
      <c r="P1132" s="341">
        <v>1</v>
      </c>
      <c r="Q1132" s="341">
        <v>5</v>
      </c>
      <c r="R1132" s="342">
        <v>10.01</v>
      </c>
      <c r="S1132" s="342" t="s">
        <v>106</v>
      </c>
    </row>
    <row r="1133" spans="1:19" ht="14.25" customHeight="1" x14ac:dyDescent="0.3">
      <c r="A1133" s="335" t="s">
        <v>2325</v>
      </c>
      <c r="B1133" s="335" t="s">
        <v>56</v>
      </c>
      <c r="C1133" s="335" t="s">
        <v>57</v>
      </c>
      <c r="D1133" s="343" t="s">
        <v>63</v>
      </c>
      <c r="E1133" s="336" t="s">
        <v>64</v>
      </c>
      <c r="F1133" s="336" t="s">
        <v>60</v>
      </c>
      <c r="G1133" s="337">
        <v>10</v>
      </c>
      <c r="H1133" s="338">
        <v>0</v>
      </c>
      <c r="I1133" s="339">
        <v>85927.097156571996</v>
      </c>
      <c r="J1133" s="340">
        <v>859270.97156572004</v>
      </c>
      <c r="K1133" s="335" t="s">
        <v>2332</v>
      </c>
      <c r="L1133" s="335">
        <v>2</v>
      </c>
      <c r="M1133" s="335" t="s">
        <v>2334</v>
      </c>
      <c r="N1133" s="339">
        <v>1</v>
      </c>
      <c r="O1133" s="341">
        <v>10</v>
      </c>
      <c r="P1133" s="341">
        <v>1</v>
      </c>
      <c r="Q1133" s="341">
        <v>10</v>
      </c>
      <c r="R1133" s="342">
        <v>10.01</v>
      </c>
      <c r="S1133" s="342" t="s">
        <v>106</v>
      </c>
    </row>
    <row r="1134" spans="1:19" ht="14.25" customHeight="1" x14ac:dyDescent="0.3">
      <c r="A1134" s="335" t="s">
        <v>2335</v>
      </c>
      <c r="B1134" s="335" t="s">
        <v>20</v>
      </c>
      <c r="C1134" s="335"/>
      <c r="D1134" s="335" t="s">
        <v>2336</v>
      </c>
      <c r="E1134" s="336" t="s">
        <v>2337</v>
      </c>
      <c r="F1134" s="336"/>
      <c r="G1134" s="337">
        <v>1</v>
      </c>
      <c r="H1134" s="338">
        <v>0</v>
      </c>
      <c r="I1134" s="339">
        <v>13472.1648790372</v>
      </c>
      <c r="J1134" s="340">
        <v>13472.1648790372</v>
      </c>
      <c r="K1134" s="335" t="s">
        <v>2338</v>
      </c>
      <c r="L1134" s="335">
        <v>1</v>
      </c>
      <c r="M1134" s="335" t="s">
        <v>2339</v>
      </c>
      <c r="N1134" s="339">
        <v>1</v>
      </c>
      <c r="O1134" s="341">
        <v>1</v>
      </c>
      <c r="P1134" s="341">
        <v>1</v>
      </c>
      <c r="Q1134" s="341">
        <v>1</v>
      </c>
      <c r="R1134" s="342">
        <v>10.02</v>
      </c>
      <c r="S1134" s="342" t="s">
        <v>106</v>
      </c>
    </row>
    <row r="1135" spans="1:19" ht="14.25" customHeight="1" x14ac:dyDescent="0.3">
      <c r="A1135" s="335" t="s">
        <v>2335</v>
      </c>
      <c r="B1135" s="335" t="s">
        <v>26</v>
      </c>
      <c r="C1135" s="335" t="s">
        <v>27</v>
      </c>
      <c r="D1135" s="335" t="s">
        <v>96</v>
      </c>
      <c r="E1135" s="336" t="s">
        <v>97</v>
      </c>
      <c r="F1135" s="336" t="s">
        <v>98</v>
      </c>
      <c r="G1135" s="337">
        <v>200000</v>
      </c>
      <c r="H1135" s="338">
        <v>0</v>
      </c>
      <c r="I1135" s="339">
        <v>1</v>
      </c>
      <c r="J1135" s="340">
        <v>200000</v>
      </c>
      <c r="K1135" s="335" t="s">
        <v>2340</v>
      </c>
      <c r="L1135" s="335">
        <v>1</v>
      </c>
      <c r="M1135" s="335" t="s">
        <v>2341</v>
      </c>
      <c r="N1135" s="339">
        <v>1</v>
      </c>
      <c r="O1135" s="341">
        <v>200000</v>
      </c>
      <c r="P1135" s="341">
        <v>1</v>
      </c>
      <c r="Q1135" s="341">
        <v>200000</v>
      </c>
      <c r="R1135" s="342">
        <v>10.02</v>
      </c>
      <c r="S1135" s="342" t="s">
        <v>106</v>
      </c>
    </row>
    <row r="1136" spans="1:19" ht="14.25" customHeight="1" x14ac:dyDescent="0.3">
      <c r="A1136" s="335" t="s">
        <v>2335</v>
      </c>
      <c r="B1136" s="335" t="s">
        <v>56</v>
      </c>
      <c r="C1136" s="335" t="s">
        <v>57</v>
      </c>
      <c r="D1136" s="335" t="s">
        <v>58</v>
      </c>
      <c r="E1136" s="336" t="s">
        <v>59</v>
      </c>
      <c r="F1136" s="336" t="s">
        <v>60</v>
      </c>
      <c r="G1136" s="337">
        <v>3</v>
      </c>
      <c r="H1136" s="338">
        <v>0</v>
      </c>
      <c r="I1136" s="339">
        <v>60860.580776572002</v>
      </c>
      <c r="J1136" s="340">
        <v>182581.74232971601</v>
      </c>
      <c r="K1136" s="335" t="s">
        <v>2342</v>
      </c>
      <c r="L1136" s="335">
        <v>1</v>
      </c>
      <c r="M1136" s="335" t="s">
        <v>2343</v>
      </c>
      <c r="N1136" s="339">
        <v>1</v>
      </c>
      <c r="O1136" s="341">
        <v>3</v>
      </c>
      <c r="P1136" s="341">
        <v>1</v>
      </c>
      <c r="Q1136" s="341">
        <v>3</v>
      </c>
      <c r="R1136" s="342">
        <v>10.02</v>
      </c>
      <c r="S1136" s="342" t="s">
        <v>106</v>
      </c>
    </row>
    <row r="1137" spans="1:19" ht="14.25" customHeight="1" x14ac:dyDescent="0.3">
      <c r="A1137" s="335" t="s">
        <v>2335</v>
      </c>
      <c r="B1137" s="335" t="s">
        <v>56</v>
      </c>
      <c r="C1137" s="335" t="s">
        <v>57</v>
      </c>
      <c r="D1137" s="343" t="s">
        <v>63</v>
      </c>
      <c r="E1137" s="336" t="s">
        <v>64</v>
      </c>
      <c r="F1137" s="336" t="s">
        <v>60</v>
      </c>
      <c r="G1137" s="337">
        <v>6</v>
      </c>
      <c r="H1137" s="338">
        <v>0</v>
      </c>
      <c r="I1137" s="339">
        <v>85927.097156571996</v>
      </c>
      <c r="J1137" s="340">
        <v>515562.582939432</v>
      </c>
      <c r="K1137" s="335" t="s">
        <v>2342</v>
      </c>
      <c r="L1137" s="335">
        <v>2</v>
      </c>
      <c r="M1137" s="335" t="s">
        <v>2344</v>
      </c>
      <c r="N1137" s="339">
        <v>1</v>
      </c>
      <c r="O1137" s="341">
        <v>6</v>
      </c>
      <c r="P1137" s="341">
        <v>1</v>
      </c>
      <c r="Q1137" s="341">
        <v>6</v>
      </c>
      <c r="R1137" s="342">
        <v>10.02</v>
      </c>
      <c r="S1137" s="342" t="s">
        <v>106</v>
      </c>
    </row>
    <row r="1138" spans="1:19" ht="14.25" customHeight="1" x14ac:dyDescent="0.3">
      <c r="A1138" s="335" t="s">
        <v>2345</v>
      </c>
      <c r="B1138" s="335" t="s">
        <v>20</v>
      </c>
      <c r="C1138" s="335"/>
      <c r="D1138" s="335" t="s">
        <v>2346</v>
      </c>
      <c r="E1138" s="336" t="s">
        <v>2347</v>
      </c>
      <c r="F1138" s="336"/>
      <c r="G1138" s="337">
        <v>1</v>
      </c>
      <c r="H1138" s="338">
        <v>0</v>
      </c>
      <c r="I1138" s="339">
        <v>5986.08243951861</v>
      </c>
      <c r="J1138" s="340">
        <v>5986.08243951861</v>
      </c>
      <c r="K1138" s="335" t="s">
        <v>2348</v>
      </c>
      <c r="L1138" s="335">
        <v>1</v>
      </c>
      <c r="M1138" s="335" t="s">
        <v>2349</v>
      </c>
      <c r="N1138" s="339">
        <v>1</v>
      </c>
      <c r="O1138" s="341">
        <v>1</v>
      </c>
      <c r="P1138" s="341">
        <v>1</v>
      </c>
      <c r="Q1138" s="341">
        <v>1</v>
      </c>
      <c r="R1138" s="342">
        <v>10.029999999999999</v>
      </c>
      <c r="S1138" s="342" t="s">
        <v>106</v>
      </c>
    </row>
    <row r="1139" spans="1:19" ht="14.25" customHeight="1" x14ac:dyDescent="0.3">
      <c r="A1139" s="335" t="s">
        <v>2345</v>
      </c>
      <c r="B1139" s="335" t="s">
        <v>26</v>
      </c>
      <c r="C1139" s="335" t="s">
        <v>27</v>
      </c>
      <c r="D1139" s="335" t="s">
        <v>96</v>
      </c>
      <c r="E1139" s="336" t="s">
        <v>97</v>
      </c>
      <c r="F1139" s="336" t="s">
        <v>98</v>
      </c>
      <c r="G1139" s="337">
        <v>50000</v>
      </c>
      <c r="H1139" s="338">
        <v>0</v>
      </c>
      <c r="I1139" s="339">
        <v>1</v>
      </c>
      <c r="J1139" s="340">
        <v>50000</v>
      </c>
      <c r="K1139" s="335" t="s">
        <v>2350</v>
      </c>
      <c r="L1139" s="335">
        <v>1</v>
      </c>
      <c r="M1139" s="335" t="s">
        <v>2351</v>
      </c>
      <c r="N1139" s="339">
        <v>1</v>
      </c>
      <c r="O1139" s="341">
        <v>50000</v>
      </c>
      <c r="P1139" s="341">
        <v>1</v>
      </c>
      <c r="Q1139" s="341">
        <v>50000</v>
      </c>
      <c r="R1139" s="342">
        <v>10.029999999999999</v>
      </c>
      <c r="S1139" s="342" t="s">
        <v>106</v>
      </c>
    </row>
    <row r="1140" spans="1:19" ht="14.25" customHeight="1" x14ac:dyDescent="0.3">
      <c r="A1140" s="335" t="s">
        <v>2345</v>
      </c>
      <c r="B1140" s="335" t="s">
        <v>56</v>
      </c>
      <c r="C1140" s="335" t="s">
        <v>57</v>
      </c>
      <c r="D1140" s="335" t="s">
        <v>58</v>
      </c>
      <c r="E1140" s="336" t="s">
        <v>59</v>
      </c>
      <c r="F1140" s="336" t="s">
        <v>60</v>
      </c>
      <c r="G1140" s="337">
        <v>1.5</v>
      </c>
      <c r="H1140" s="338">
        <v>0</v>
      </c>
      <c r="I1140" s="339">
        <v>60860.580776572002</v>
      </c>
      <c r="J1140" s="340">
        <v>91290.871164858007</v>
      </c>
      <c r="K1140" s="335" t="s">
        <v>2352</v>
      </c>
      <c r="L1140" s="335">
        <v>1</v>
      </c>
      <c r="M1140" s="335" t="s">
        <v>2353</v>
      </c>
      <c r="N1140" s="339">
        <v>1</v>
      </c>
      <c r="O1140" s="341">
        <v>1.5</v>
      </c>
      <c r="P1140" s="341">
        <v>1</v>
      </c>
      <c r="Q1140" s="341">
        <v>1.5</v>
      </c>
      <c r="R1140" s="342">
        <v>10.029999999999999</v>
      </c>
      <c r="S1140" s="342" t="s">
        <v>106</v>
      </c>
    </row>
    <row r="1141" spans="1:19" ht="14.25" customHeight="1" x14ac:dyDescent="0.3">
      <c r="A1141" s="335" t="s">
        <v>2345</v>
      </c>
      <c r="B1141" s="335" t="s">
        <v>56</v>
      </c>
      <c r="C1141" s="335" t="s">
        <v>57</v>
      </c>
      <c r="D1141" s="343" t="s">
        <v>63</v>
      </c>
      <c r="E1141" s="336" t="s">
        <v>64</v>
      </c>
      <c r="F1141" s="336" t="s">
        <v>60</v>
      </c>
      <c r="G1141" s="337">
        <v>3</v>
      </c>
      <c r="H1141" s="338">
        <v>0</v>
      </c>
      <c r="I1141" s="339">
        <v>85927.097156571996</v>
      </c>
      <c r="J1141" s="340">
        <v>257781.291469716</v>
      </c>
      <c r="K1141" s="335" t="s">
        <v>2352</v>
      </c>
      <c r="L1141" s="335">
        <v>2</v>
      </c>
      <c r="M1141" s="335" t="s">
        <v>2354</v>
      </c>
      <c r="N1141" s="339">
        <v>1</v>
      </c>
      <c r="O1141" s="341">
        <v>3</v>
      </c>
      <c r="P1141" s="341">
        <v>1</v>
      </c>
      <c r="Q1141" s="341">
        <v>3</v>
      </c>
      <c r="R1141" s="342">
        <v>10.029999999999999</v>
      </c>
      <c r="S1141" s="342" t="s">
        <v>106</v>
      </c>
    </row>
    <row r="1142" spans="1:19" ht="14.25" customHeight="1" x14ac:dyDescent="0.3">
      <c r="A1142" s="335" t="s">
        <v>2355</v>
      </c>
      <c r="B1142" s="335" t="s">
        <v>20</v>
      </c>
      <c r="C1142" s="335"/>
      <c r="D1142" s="335" t="s">
        <v>2356</v>
      </c>
      <c r="E1142" s="336" t="s">
        <v>2357</v>
      </c>
      <c r="F1142" s="336"/>
      <c r="G1142" s="337">
        <v>1</v>
      </c>
      <c r="H1142" s="338">
        <v>0</v>
      </c>
      <c r="I1142" s="339">
        <v>649.07216263457406</v>
      </c>
      <c r="J1142" s="340">
        <v>649.07216263457406</v>
      </c>
      <c r="K1142" s="335" t="s">
        <v>2358</v>
      </c>
      <c r="L1142" s="335">
        <v>1</v>
      </c>
      <c r="M1142" s="335" t="s">
        <v>2359</v>
      </c>
      <c r="N1142" s="339">
        <v>1</v>
      </c>
      <c r="O1142" s="341">
        <v>1</v>
      </c>
      <c r="P1142" s="341">
        <v>10</v>
      </c>
      <c r="Q1142" s="341">
        <v>10</v>
      </c>
      <c r="R1142" s="342">
        <v>10.039999999999999</v>
      </c>
      <c r="S1142" s="342" t="s">
        <v>106</v>
      </c>
    </row>
    <row r="1143" spans="1:19" ht="14.25" customHeight="1" x14ac:dyDescent="0.3">
      <c r="A1143" s="335" t="s">
        <v>2355</v>
      </c>
      <c r="B1143" s="335" t="s">
        <v>26</v>
      </c>
      <c r="C1143" s="335" t="s">
        <v>27</v>
      </c>
      <c r="D1143" s="335" t="s">
        <v>96</v>
      </c>
      <c r="E1143" s="336" t="s">
        <v>97</v>
      </c>
      <c r="F1143" s="336" t="s">
        <v>98</v>
      </c>
      <c r="G1143" s="337">
        <v>20000</v>
      </c>
      <c r="H1143" s="338">
        <v>0</v>
      </c>
      <c r="I1143" s="339">
        <v>1</v>
      </c>
      <c r="J1143" s="340">
        <v>20000</v>
      </c>
      <c r="K1143" s="335" t="s">
        <v>2360</v>
      </c>
      <c r="L1143" s="335">
        <v>1</v>
      </c>
      <c r="M1143" s="335" t="s">
        <v>2361</v>
      </c>
      <c r="N1143" s="339">
        <v>1</v>
      </c>
      <c r="O1143" s="341">
        <v>20000</v>
      </c>
      <c r="P1143" s="341">
        <v>10</v>
      </c>
      <c r="Q1143" s="341">
        <v>200000</v>
      </c>
      <c r="R1143" s="342">
        <v>10.039999999999999</v>
      </c>
      <c r="S1143" s="342" t="s">
        <v>106</v>
      </c>
    </row>
    <row r="1144" spans="1:19" ht="14.25" customHeight="1" x14ac:dyDescent="0.3">
      <c r="A1144" s="335" t="s">
        <v>2355</v>
      </c>
      <c r="B1144" s="335" t="s">
        <v>56</v>
      </c>
      <c r="C1144" s="335" t="s">
        <v>57</v>
      </c>
      <c r="D1144" s="335" t="s">
        <v>58</v>
      </c>
      <c r="E1144" s="336" t="s">
        <v>59</v>
      </c>
      <c r="F1144" s="336" t="s">
        <v>60</v>
      </c>
      <c r="G1144" s="337">
        <v>0.1</v>
      </c>
      <c r="H1144" s="338">
        <v>0</v>
      </c>
      <c r="I1144" s="339">
        <v>60860.580776572002</v>
      </c>
      <c r="J1144" s="340">
        <v>6086.0580776571996</v>
      </c>
      <c r="K1144" s="335" t="s">
        <v>2362</v>
      </c>
      <c r="L1144" s="335">
        <v>1</v>
      </c>
      <c r="M1144" s="335" t="s">
        <v>2363</v>
      </c>
      <c r="N1144" s="339">
        <v>1</v>
      </c>
      <c r="O1144" s="341">
        <v>0.1</v>
      </c>
      <c r="P1144" s="341">
        <v>10</v>
      </c>
      <c r="Q1144" s="341">
        <v>1</v>
      </c>
      <c r="R1144" s="342">
        <v>10.039999999999999</v>
      </c>
      <c r="S1144" s="342" t="s">
        <v>106</v>
      </c>
    </row>
    <row r="1145" spans="1:19" ht="14.25" customHeight="1" x14ac:dyDescent="0.3">
      <c r="A1145" s="335" t="s">
        <v>2355</v>
      </c>
      <c r="B1145" s="335" t="s">
        <v>56</v>
      </c>
      <c r="C1145" s="335" t="s">
        <v>57</v>
      </c>
      <c r="D1145" s="343" t="s">
        <v>63</v>
      </c>
      <c r="E1145" s="336" t="s">
        <v>64</v>
      </c>
      <c r="F1145" s="336" t="s">
        <v>60</v>
      </c>
      <c r="G1145" s="337">
        <v>0.2</v>
      </c>
      <c r="H1145" s="338">
        <v>0</v>
      </c>
      <c r="I1145" s="339">
        <v>85927.097156571996</v>
      </c>
      <c r="J1145" s="340">
        <v>17185.4194313144</v>
      </c>
      <c r="K1145" s="335" t="s">
        <v>2362</v>
      </c>
      <c r="L1145" s="335">
        <v>2</v>
      </c>
      <c r="M1145" s="335" t="s">
        <v>2364</v>
      </c>
      <c r="N1145" s="339">
        <v>1</v>
      </c>
      <c r="O1145" s="341">
        <v>0.2</v>
      </c>
      <c r="P1145" s="341">
        <v>10</v>
      </c>
      <c r="Q1145" s="341">
        <v>2</v>
      </c>
      <c r="R1145" s="342">
        <v>10.039999999999999</v>
      </c>
      <c r="S1145" s="342" t="s">
        <v>106</v>
      </c>
    </row>
    <row r="1146" spans="1:19" ht="14.25" customHeight="1" x14ac:dyDescent="0.3">
      <c r="A1146" s="335" t="s">
        <v>2365</v>
      </c>
      <c r="B1146" s="335" t="s">
        <v>20</v>
      </c>
      <c r="C1146" s="335"/>
      <c r="D1146" s="335" t="s">
        <v>71</v>
      </c>
      <c r="E1146" s="336" t="s">
        <v>72</v>
      </c>
      <c r="F1146" s="336"/>
      <c r="G1146" s="337">
        <v>1</v>
      </c>
      <c r="H1146" s="338">
        <v>0</v>
      </c>
      <c r="I1146" s="339">
        <v>2287.1357450968098</v>
      </c>
      <c r="J1146" s="340">
        <v>2287.1357450968098</v>
      </c>
      <c r="K1146" s="335" t="s">
        <v>2366</v>
      </c>
      <c r="L1146" s="335">
        <v>1</v>
      </c>
      <c r="M1146" s="335" t="s">
        <v>2367</v>
      </c>
      <c r="N1146" s="339">
        <v>11.5</v>
      </c>
      <c r="O1146" s="341">
        <v>1</v>
      </c>
      <c r="P1146" s="341">
        <v>39</v>
      </c>
      <c r="Q1146" s="341">
        <v>39</v>
      </c>
      <c r="R1146" s="342">
        <v>11.02</v>
      </c>
      <c r="S1146" s="342" t="s">
        <v>476</v>
      </c>
    </row>
    <row r="1147" spans="1:19" ht="14.25" customHeight="1" x14ac:dyDescent="0.3">
      <c r="A1147" s="335" t="s">
        <v>2365</v>
      </c>
      <c r="B1147" s="335" t="s">
        <v>20</v>
      </c>
      <c r="C1147" s="335"/>
      <c r="D1147" s="335" t="s">
        <v>74</v>
      </c>
      <c r="E1147" s="336" t="s">
        <v>75</v>
      </c>
      <c r="F1147" s="336"/>
      <c r="G1147" s="337">
        <v>1</v>
      </c>
      <c r="H1147" s="338">
        <v>0</v>
      </c>
      <c r="I1147" s="339">
        <v>957.25319614994703</v>
      </c>
      <c r="J1147" s="340">
        <v>957.25319614994703</v>
      </c>
      <c r="K1147" s="335" t="s">
        <v>2366</v>
      </c>
      <c r="L1147" s="335">
        <v>2</v>
      </c>
      <c r="M1147" s="335" t="s">
        <v>2368</v>
      </c>
      <c r="N1147" s="339">
        <v>11.5</v>
      </c>
      <c r="O1147" s="341">
        <v>1</v>
      </c>
      <c r="P1147" s="341">
        <v>39</v>
      </c>
      <c r="Q1147" s="341">
        <v>39</v>
      </c>
      <c r="R1147" s="342">
        <v>11.02</v>
      </c>
      <c r="S1147" s="342" t="s">
        <v>476</v>
      </c>
    </row>
    <row r="1148" spans="1:19" ht="14.25" customHeight="1" x14ac:dyDescent="0.3">
      <c r="A1148" s="335" t="s">
        <v>2365</v>
      </c>
      <c r="B1148" s="335" t="s">
        <v>26</v>
      </c>
      <c r="C1148" s="335" t="s">
        <v>27</v>
      </c>
      <c r="D1148" s="335" t="s">
        <v>81</v>
      </c>
      <c r="E1148" s="336" t="s">
        <v>82</v>
      </c>
      <c r="F1148" s="336" t="s">
        <v>83</v>
      </c>
      <c r="G1148" s="337">
        <v>3.5999999999999997E-2</v>
      </c>
      <c r="H1148" s="338">
        <v>0.1</v>
      </c>
      <c r="I1148" s="339">
        <v>32399.77</v>
      </c>
      <c r="J1148" s="340">
        <v>1283.030892</v>
      </c>
      <c r="K1148" s="335" t="s">
        <v>2369</v>
      </c>
      <c r="L1148" s="335">
        <v>1</v>
      </c>
      <c r="M1148" s="335" t="s">
        <v>2370</v>
      </c>
      <c r="N1148" s="339">
        <v>11.5</v>
      </c>
      <c r="O1148" s="341">
        <v>3.5999999999999997E-2</v>
      </c>
      <c r="P1148" s="341">
        <v>39</v>
      </c>
      <c r="Q1148" s="341">
        <v>1.4039999999999999</v>
      </c>
      <c r="R1148" s="342">
        <v>11.02</v>
      </c>
      <c r="S1148" s="342" t="s">
        <v>476</v>
      </c>
    </row>
    <row r="1149" spans="1:19" ht="14.25" customHeight="1" x14ac:dyDescent="0.3">
      <c r="A1149" s="335" t="s">
        <v>2365</v>
      </c>
      <c r="B1149" s="335" t="s">
        <v>26</v>
      </c>
      <c r="C1149" s="335" t="s">
        <v>27</v>
      </c>
      <c r="D1149" s="335" t="s">
        <v>85</v>
      </c>
      <c r="E1149" s="336" t="s">
        <v>86</v>
      </c>
      <c r="F1149" s="336" t="s">
        <v>87</v>
      </c>
      <c r="G1149" s="337">
        <v>0.32400000000000001</v>
      </c>
      <c r="H1149" s="338">
        <v>0.1</v>
      </c>
      <c r="I1149" s="339">
        <v>7809.48</v>
      </c>
      <c r="J1149" s="340">
        <v>2783.2986719999999</v>
      </c>
      <c r="K1149" s="335" t="s">
        <v>2369</v>
      </c>
      <c r="L1149" s="335">
        <v>2</v>
      </c>
      <c r="M1149" s="335" t="s">
        <v>2371</v>
      </c>
      <c r="N1149" s="339">
        <v>11.5</v>
      </c>
      <c r="O1149" s="341">
        <v>0.32400000000000001</v>
      </c>
      <c r="P1149" s="341">
        <v>39</v>
      </c>
      <c r="Q1149" s="341">
        <v>12.635999999999999</v>
      </c>
      <c r="R1149" s="342">
        <v>11.02</v>
      </c>
      <c r="S1149" s="342" t="s">
        <v>476</v>
      </c>
    </row>
    <row r="1150" spans="1:19" ht="14.25" customHeight="1" x14ac:dyDescent="0.3">
      <c r="A1150" s="335" t="s">
        <v>2365</v>
      </c>
      <c r="B1150" s="335" t="s">
        <v>56</v>
      </c>
      <c r="C1150" s="335" t="s">
        <v>57</v>
      </c>
      <c r="D1150" s="343" t="s">
        <v>58</v>
      </c>
      <c r="E1150" s="336" t="s">
        <v>59</v>
      </c>
      <c r="F1150" s="336" t="s">
        <v>60</v>
      </c>
      <c r="G1150" s="337">
        <v>0.5</v>
      </c>
      <c r="H1150" s="338">
        <v>0</v>
      </c>
      <c r="I1150" s="339">
        <v>60860.580776572002</v>
      </c>
      <c r="J1150" s="340">
        <v>30430.290388286001</v>
      </c>
      <c r="K1150" s="335" t="s">
        <v>2372</v>
      </c>
      <c r="L1150" s="335">
        <v>1</v>
      </c>
      <c r="M1150" s="335" t="s">
        <v>2373</v>
      </c>
      <c r="N1150" s="339">
        <v>11.5</v>
      </c>
      <c r="O1150" s="341">
        <v>4.3478260869565202E-2</v>
      </c>
      <c r="P1150" s="341">
        <v>39</v>
      </c>
      <c r="Q1150" s="341">
        <v>1.6956521739130399</v>
      </c>
      <c r="R1150" s="342">
        <v>11.02</v>
      </c>
      <c r="S1150" s="342" t="s">
        <v>476</v>
      </c>
    </row>
    <row r="1151" spans="1:19" ht="14.25" customHeight="1" x14ac:dyDescent="0.3">
      <c r="A1151" s="335" t="s">
        <v>2365</v>
      </c>
      <c r="B1151" s="335" t="s">
        <v>56</v>
      </c>
      <c r="C1151" s="335" t="s">
        <v>57</v>
      </c>
      <c r="D1151" s="343" t="s">
        <v>63</v>
      </c>
      <c r="E1151" s="336" t="s">
        <v>64</v>
      </c>
      <c r="F1151" s="336" t="s">
        <v>60</v>
      </c>
      <c r="G1151" s="337">
        <v>1</v>
      </c>
      <c r="H1151" s="338">
        <v>0</v>
      </c>
      <c r="I1151" s="339">
        <v>85927.097156571996</v>
      </c>
      <c r="J1151" s="340">
        <v>85927.097156571996</v>
      </c>
      <c r="K1151" s="335" t="s">
        <v>2372</v>
      </c>
      <c r="L1151" s="335">
        <v>2</v>
      </c>
      <c r="M1151" s="335" t="s">
        <v>2374</v>
      </c>
      <c r="N1151" s="339">
        <v>11.5</v>
      </c>
      <c r="O1151" s="341">
        <v>8.6956521739130405E-2</v>
      </c>
      <c r="P1151" s="341">
        <v>39</v>
      </c>
      <c r="Q1151" s="341">
        <v>3.39130434782609</v>
      </c>
      <c r="R1151" s="342">
        <v>11.02</v>
      </c>
      <c r="S1151" s="342" t="s">
        <v>476</v>
      </c>
    </row>
    <row r="1152" spans="1:19" ht="14.25" customHeight="1" x14ac:dyDescent="0.3">
      <c r="A1152" s="335" t="s">
        <v>2375</v>
      </c>
      <c r="B1152" s="335" t="s">
        <v>20</v>
      </c>
      <c r="C1152" s="335"/>
      <c r="D1152" s="335" t="s">
        <v>472</v>
      </c>
      <c r="E1152" s="336" t="s">
        <v>473</v>
      </c>
      <c r="F1152" s="336"/>
      <c r="G1152" s="337">
        <v>1</v>
      </c>
      <c r="H1152" s="338">
        <v>0</v>
      </c>
      <c r="I1152" s="339">
        <v>298.42384358082802</v>
      </c>
      <c r="J1152" s="340">
        <v>298.42384358082802</v>
      </c>
      <c r="K1152" s="335" t="s">
        <v>2376</v>
      </c>
      <c r="L1152" s="335">
        <v>1</v>
      </c>
      <c r="M1152" s="335" t="s">
        <v>2377</v>
      </c>
      <c r="N1152" s="339">
        <v>13</v>
      </c>
      <c r="O1152" s="341">
        <v>1</v>
      </c>
      <c r="P1152" s="341" t="s">
        <v>25</v>
      </c>
      <c r="Q1152" s="341">
        <v>0</v>
      </c>
      <c r="R1152" s="342" t="s">
        <v>25</v>
      </c>
      <c r="S1152" s="342" t="s">
        <v>25</v>
      </c>
    </row>
    <row r="1153" spans="1:19" ht="14.25" customHeight="1" x14ac:dyDescent="0.3">
      <c r="A1153" s="335" t="s">
        <v>2375</v>
      </c>
      <c r="B1153" s="335" t="s">
        <v>20</v>
      </c>
      <c r="C1153" s="335"/>
      <c r="D1153" s="335" t="s">
        <v>477</v>
      </c>
      <c r="E1153" s="336" t="s">
        <v>478</v>
      </c>
      <c r="F1153" s="336"/>
      <c r="G1153" s="337">
        <v>1</v>
      </c>
      <c r="H1153" s="338">
        <v>0</v>
      </c>
      <c r="I1153" s="339">
        <v>2637.14184448991</v>
      </c>
      <c r="J1153" s="340">
        <v>2637.14184448991</v>
      </c>
      <c r="K1153" s="335" t="s">
        <v>2376</v>
      </c>
      <c r="L1153" s="335">
        <v>2</v>
      </c>
      <c r="M1153" s="335" t="s">
        <v>2378</v>
      </c>
      <c r="N1153" s="339">
        <v>13</v>
      </c>
      <c r="O1153" s="341">
        <v>1</v>
      </c>
      <c r="P1153" s="341" t="s">
        <v>25</v>
      </c>
      <c r="Q1153" s="341">
        <v>0</v>
      </c>
      <c r="R1153" s="342" t="s">
        <v>25</v>
      </c>
      <c r="S1153" s="342" t="s">
        <v>25</v>
      </c>
    </row>
    <row r="1154" spans="1:19" ht="14.25" customHeight="1" x14ac:dyDescent="0.3">
      <c r="A1154" s="335" t="s">
        <v>2375</v>
      </c>
      <c r="B1154" s="335" t="s">
        <v>26</v>
      </c>
      <c r="C1154" s="335" t="s">
        <v>27</v>
      </c>
      <c r="D1154" s="335" t="s">
        <v>89</v>
      </c>
      <c r="E1154" s="336" t="s">
        <v>90</v>
      </c>
      <c r="F1154" s="336" t="s">
        <v>91</v>
      </c>
      <c r="G1154" s="337">
        <v>0.4</v>
      </c>
      <c r="H1154" s="338">
        <v>0.2</v>
      </c>
      <c r="I1154" s="339">
        <v>3837.96</v>
      </c>
      <c r="J1154" s="340">
        <v>1842.2208000000001</v>
      </c>
      <c r="K1154" s="335" t="s">
        <v>2379</v>
      </c>
      <c r="L1154" s="335">
        <v>1</v>
      </c>
      <c r="M1154" s="335" t="s">
        <v>2380</v>
      </c>
      <c r="N1154" s="339">
        <v>13</v>
      </c>
      <c r="O1154" s="341">
        <v>0.4</v>
      </c>
      <c r="P1154" s="341" t="s">
        <v>25</v>
      </c>
      <c r="Q1154" s="341">
        <v>0</v>
      </c>
      <c r="R1154" s="342" t="s">
        <v>25</v>
      </c>
      <c r="S1154" s="342" t="s">
        <v>25</v>
      </c>
    </row>
    <row r="1155" spans="1:19" ht="14.25" customHeight="1" x14ac:dyDescent="0.3">
      <c r="A1155" s="335" t="s">
        <v>2375</v>
      </c>
      <c r="B1155" s="335" t="s">
        <v>26</v>
      </c>
      <c r="C1155" s="335" t="s">
        <v>27</v>
      </c>
      <c r="D1155" s="335" t="s">
        <v>33</v>
      </c>
      <c r="E1155" s="336" t="s">
        <v>34</v>
      </c>
      <c r="F1155" s="336" t="s">
        <v>35</v>
      </c>
      <c r="G1155" s="337">
        <v>0.01</v>
      </c>
      <c r="H1155" s="338">
        <v>0.03</v>
      </c>
      <c r="I1155" s="339">
        <v>735.06</v>
      </c>
      <c r="J1155" s="340">
        <v>7.5711180000000002</v>
      </c>
      <c r="K1155" s="335" t="s">
        <v>2379</v>
      </c>
      <c r="L1155" s="335">
        <v>2</v>
      </c>
      <c r="M1155" s="335" t="s">
        <v>2381</v>
      </c>
      <c r="N1155" s="339">
        <v>13</v>
      </c>
      <c r="O1155" s="341">
        <v>0.01</v>
      </c>
      <c r="P1155" s="341" t="s">
        <v>25</v>
      </c>
      <c r="Q1155" s="341">
        <v>0</v>
      </c>
      <c r="R1155" s="342" t="s">
        <v>25</v>
      </c>
      <c r="S1155" s="342" t="s">
        <v>25</v>
      </c>
    </row>
    <row r="1156" spans="1:19" ht="14.25" customHeight="1" x14ac:dyDescent="0.3">
      <c r="A1156" s="335" t="s">
        <v>2375</v>
      </c>
      <c r="B1156" s="335" t="s">
        <v>26</v>
      </c>
      <c r="C1156" s="335" t="s">
        <v>27</v>
      </c>
      <c r="D1156" s="335" t="s">
        <v>489</v>
      </c>
      <c r="E1156" s="336" t="s">
        <v>490</v>
      </c>
      <c r="F1156" s="336" t="s">
        <v>35</v>
      </c>
      <c r="G1156" s="337">
        <v>4.0000000000000001E-3</v>
      </c>
      <c r="H1156" s="338">
        <v>0.05</v>
      </c>
      <c r="I1156" s="339">
        <v>20237</v>
      </c>
      <c r="J1156" s="340">
        <v>84.995400000000004</v>
      </c>
      <c r="K1156" s="335" t="s">
        <v>2379</v>
      </c>
      <c r="L1156" s="335">
        <v>3</v>
      </c>
      <c r="M1156" s="335" t="s">
        <v>2382</v>
      </c>
      <c r="N1156" s="339">
        <v>13</v>
      </c>
      <c r="O1156" s="341">
        <v>4.0000000000000001E-3</v>
      </c>
      <c r="P1156" s="341" t="s">
        <v>25</v>
      </c>
      <c r="Q1156" s="341">
        <v>0</v>
      </c>
      <c r="R1156" s="342" t="s">
        <v>25</v>
      </c>
      <c r="S1156" s="342" t="s">
        <v>25</v>
      </c>
    </row>
    <row r="1157" spans="1:19" ht="14.25" customHeight="1" x14ac:dyDescent="0.3">
      <c r="A1157" s="335" t="s">
        <v>2375</v>
      </c>
      <c r="B1157" s="335" t="s">
        <v>26</v>
      </c>
      <c r="C1157" s="335" t="s">
        <v>27</v>
      </c>
      <c r="D1157" s="335" t="s">
        <v>492</v>
      </c>
      <c r="E1157" s="336" t="s">
        <v>493</v>
      </c>
      <c r="F1157" s="336" t="s">
        <v>30</v>
      </c>
      <c r="G1157" s="337">
        <v>0.04</v>
      </c>
      <c r="H1157" s="338">
        <v>0.05</v>
      </c>
      <c r="I1157" s="339">
        <v>44669.4214876033</v>
      </c>
      <c r="J1157" s="340">
        <v>1876.1157024793399</v>
      </c>
      <c r="K1157" s="335" t="s">
        <v>2379</v>
      </c>
      <c r="L1157" s="335">
        <v>4</v>
      </c>
      <c r="M1157" s="335" t="s">
        <v>2383</v>
      </c>
      <c r="N1157" s="339">
        <v>13</v>
      </c>
      <c r="O1157" s="341">
        <v>0.04</v>
      </c>
      <c r="P1157" s="341" t="s">
        <v>25</v>
      </c>
      <c r="Q1157" s="341">
        <v>0</v>
      </c>
      <c r="R1157" s="342" t="s">
        <v>25</v>
      </c>
      <c r="S1157" s="342" t="s">
        <v>25</v>
      </c>
    </row>
    <row r="1158" spans="1:19" ht="14.25" customHeight="1" x14ac:dyDescent="0.3">
      <c r="A1158" s="335" t="s">
        <v>2375</v>
      </c>
      <c r="B1158" s="335" t="s">
        <v>56</v>
      </c>
      <c r="C1158" s="335" t="s">
        <v>57</v>
      </c>
      <c r="D1158" s="343" t="s">
        <v>63</v>
      </c>
      <c r="E1158" s="336" t="s">
        <v>64</v>
      </c>
      <c r="F1158" s="336" t="s">
        <v>60</v>
      </c>
      <c r="G1158" s="337">
        <v>1</v>
      </c>
      <c r="H1158" s="338">
        <v>0</v>
      </c>
      <c r="I1158" s="339">
        <v>85927.097156571996</v>
      </c>
      <c r="J1158" s="340">
        <v>85927.097156571996</v>
      </c>
      <c r="K1158" s="335" t="s">
        <v>2384</v>
      </c>
      <c r="L1158" s="335">
        <v>1</v>
      </c>
      <c r="M1158" s="335" t="s">
        <v>2385</v>
      </c>
      <c r="N1158" s="339">
        <v>13</v>
      </c>
      <c r="O1158" s="341">
        <v>7.69230769230769E-2</v>
      </c>
      <c r="P1158" s="341" t="s">
        <v>25</v>
      </c>
      <c r="Q1158" s="341">
        <v>0</v>
      </c>
      <c r="R1158" s="342" t="s">
        <v>25</v>
      </c>
      <c r="S1158" s="342" t="s">
        <v>25</v>
      </c>
    </row>
    <row r="1159" spans="1:19" ht="14.25" customHeight="1" x14ac:dyDescent="0.3">
      <c r="A1159" s="335" t="s">
        <v>2375</v>
      </c>
      <c r="B1159" s="335" t="s">
        <v>56</v>
      </c>
      <c r="C1159" s="335" t="s">
        <v>57</v>
      </c>
      <c r="D1159" s="343" t="s">
        <v>497</v>
      </c>
      <c r="E1159" s="336" t="s">
        <v>498</v>
      </c>
      <c r="F1159" s="336" t="s">
        <v>60</v>
      </c>
      <c r="G1159" s="337">
        <v>1</v>
      </c>
      <c r="H1159" s="338">
        <v>0</v>
      </c>
      <c r="I1159" s="339">
        <v>76955.079706571996</v>
      </c>
      <c r="J1159" s="340">
        <v>76955.079706571996</v>
      </c>
      <c r="K1159" s="335" t="s">
        <v>2384</v>
      </c>
      <c r="L1159" s="335">
        <v>2</v>
      </c>
      <c r="M1159" s="335" t="s">
        <v>2386</v>
      </c>
      <c r="N1159" s="339">
        <v>13</v>
      </c>
      <c r="O1159" s="341">
        <v>7.69230769230769E-2</v>
      </c>
      <c r="P1159" s="341" t="s">
        <v>25</v>
      </c>
      <c r="Q1159" s="341">
        <v>0</v>
      </c>
      <c r="R1159" s="342" t="s">
        <v>25</v>
      </c>
      <c r="S1159" s="342" t="s">
        <v>25</v>
      </c>
    </row>
    <row r="1160" spans="1:19" ht="14.25" customHeight="1" x14ac:dyDescent="0.3">
      <c r="A1160" s="335" t="s">
        <v>2387</v>
      </c>
      <c r="B1160" s="335" t="s">
        <v>20</v>
      </c>
      <c r="C1160" s="335"/>
      <c r="D1160" s="335" t="s">
        <v>2388</v>
      </c>
      <c r="E1160" s="336" t="s">
        <v>2389</v>
      </c>
      <c r="F1160" s="336"/>
      <c r="G1160" s="337">
        <v>1</v>
      </c>
      <c r="H1160" s="338">
        <v>0</v>
      </c>
      <c r="I1160" s="339">
        <v>212.50168340278501</v>
      </c>
      <c r="J1160" s="340">
        <v>212.50168340278501</v>
      </c>
      <c r="K1160" s="335" t="s">
        <v>2390</v>
      </c>
      <c r="L1160" s="335">
        <v>1</v>
      </c>
      <c r="M1160" s="335" t="s">
        <v>2391</v>
      </c>
      <c r="N1160" s="339">
        <v>1</v>
      </c>
      <c r="O1160" s="341">
        <v>1</v>
      </c>
      <c r="P1160" s="341">
        <v>174</v>
      </c>
      <c r="Q1160" s="341">
        <v>174</v>
      </c>
      <c r="R1160" s="342">
        <v>11.04</v>
      </c>
      <c r="S1160" s="342" t="s">
        <v>476</v>
      </c>
    </row>
    <row r="1161" spans="1:19" ht="14.25" customHeight="1" x14ac:dyDescent="0.3">
      <c r="A1161" s="335" t="s">
        <v>2387</v>
      </c>
      <c r="B1161" s="335" t="s">
        <v>26</v>
      </c>
      <c r="C1161" s="335" t="s">
        <v>480</v>
      </c>
      <c r="D1161" s="335" t="s">
        <v>2240</v>
      </c>
      <c r="E1161" s="336" t="s">
        <v>2241</v>
      </c>
      <c r="F1161" s="336" t="s">
        <v>83</v>
      </c>
      <c r="G1161" s="337">
        <v>4.0229885057471299E-2</v>
      </c>
      <c r="H1161" s="338">
        <v>0</v>
      </c>
      <c r="I1161" s="339">
        <v>32399.77</v>
      </c>
      <c r="J1161" s="340">
        <v>1303.43902298851</v>
      </c>
      <c r="K1161" s="335" t="s">
        <v>2392</v>
      </c>
      <c r="L1161" s="335">
        <v>1</v>
      </c>
      <c r="M1161" s="335" t="s">
        <v>2393</v>
      </c>
      <c r="N1161" s="339">
        <v>1</v>
      </c>
      <c r="O1161" s="341">
        <v>4.0229885057471299E-2</v>
      </c>
      <c r="P1161" s="341">
        <v>174</v>
      </c>
      <c r="Q1161" s="341">
        <v>7.0000000000000098</v>
      </c>
      <c r="R1161" s="342">
        <v>11.04</v>
      </c>
      <c r="S1161" s="342" t="s">
        <v>476</v>
      </c>
    </row>
    <row r="1162" spans="1:19" ht="14.25" customHeight="1" x14ac:dyDescent="0.3">
      <c r="A1162" s="335" t="s">
        <v>2387</v>
      </c>
      <c r="B1162" s="335" t="s">
        <v>56</v>
      </c>
      <c r="C1162" s="335" t="s">
        <v>57</v>
      </c>
      <c r="D1162" s="335" t="s">
        <v>58</v>
      </c>
      <c r="E1162" s="336" t="s">
        <v>59</v>
      </c>
      <c r="F1162" s="336" t="s">
        <v>60</v>
      </c>
      <c r="G1162" s="337">
        <v>8.9080459770114903E-2</v>
      </c>
      <c r="H1162" s="338">
        <v>0</v>
      </c>
      <c r="I1162" s="339">
        <v>60860.580776572002</v>
      </c>
      <c r="J1162" s="340">
        <v>5421.4885174532501</v>
      </c>
      <c r="K1162" s="335" t="s">
        <v>2394</v>
      </c>
      <c r="L1162" s="335">
        <v>1</v>
      </c>
      <c r="M1162" s="335" t="s">
        <v>2395</v>
      </c>
      <c r="N1162" s="339">
        <v>1</v>
      </c>
      <c r="O1162" s="341">
        <v>8.9080459770114903E-2</v>
      </c>
      <c r="P1162" s="341">
        <v>174</v>
      </c>
      <c r="Q1162" s="341">
        <v>15.5</v>
      </c>
      <c r="R1162" s="342">
        <v>11.04</v>
      </c>
      <c r="S1162" s="342" t="s">
        <v>476</v>
      </c>
    </row>
    <row r="1163" spans="1:19" ht="14.25" customHeight="1" x14ac:dyDescent="0.3">
      <c r="A1163" s="335" t="s">
        <v>2387</v>
      </c>
      <c r="B1163" s="335" t="s">
        <v>56</v>
      </c>
      <c r="C1163" s="335" t="s">
        <v>57</v>
      </c>
      <c r="D1163" s="343" t="s">
        <v>63</v>
      </c>
      <c r="E1163" s="336" t="s">
        <v>64</v>
      </c>
      <c r="F1163" s="336" t="s">
        <v>60</v>
      </c>
      <c r="G1163" s="337">
        <v>4.5977011494252901E-2</v>
      </c>
      <c r="H1163" s="338">
        <v>0</v>
      </c>
      <c r="I1163" s="339">
        <v>85927.097156571996</v>
      </c>
      <c r="J1163" s="340">
        <v>3950.6711336355002</v>
      </c>
      <c r="K1163" s="335" t="s">
        <v>2394</v>
      </c>
      <c r="L1163" s="335">
        <v>2</v>
      </c>
      <c r="M1163" s="335" t="s">
        <v>2396</v>
      </c>
      <c r="N1163" s="339">
        <v>1</v>
      </c>
      <c r="O1163" s="341">
        <v>4.5977011494252901E-2</v>
      </c>
      <c r="P1163" s="341">
        <v>174</v>
      </c>
      <c r="Q1163" s="341">
        <v>8.0000000000000107</v>
      </c>
      <c r="R1163" s="342">
        <v>11.04</v>
      </c>
      <c r="S1163" s="342" t="s">
        <v>476</v>
      </c>
    </row>
    <row r="1164" spans="1:19" ht="14.25" customHeight="1" x14ac:dyDescent="0.3">
      <c r="A1164" s="335" t="s">
        <v>2387</v>
      </c>
      <c r="B1164" s="335" t="s">
        <v>56</v>
      </c>
      <c r="C1164" s="335" t="s">
        <v>57</v>
      </c>
      <c r="D1164" s="343" t="s">
        <v>413</v>
      </c>
      <c r="E1164" s="336" t="s">
        <v>414</v>
      </c>
      <c r="F1164" s="336" t="s">
        <v>60</v>
      </c>
      <c r="G1164" s="337">
        <v>2.8735632183908101E-2</v>
      </c>
      <c r="H1164" s="338">
        <v>0</v>
      </c>
      <c r="I1164" s="339">
        <v>65493.071636572</v>
      </c>
      <c r="J1164" s="340">
        <v>1881.98481714288</v>
      </c>
      <c r="K1164" s="335" t="s">
        <v>2394</v>
      </c>
      <c r="L1164" s="335">
        <v>3</v>
      </c>
      <c r="M1164" s="335" t="s">
        <v>2397</v>
      </c>
      <c r="N1164" s="339">
        <v>1</v>
      </c>
      <c r="O1164" s="341">
        <v>2.8735632183908101E-2</v>
      </c>
      <c r="P1164" s="341">
        <v>174</v>
      </c>
      <c r="Q1164" s="341">
        <v>5.0000000000000098</v>
      </c>
      <c r="R1164" s="342">
        <v>11.04</v>
      </c>
      <c r="S1164" s="342" t="s">
        <v>476</v>
      </c>
    </row>
    <row r="1165" spans="1:19" ht="14.25" customHeight="1" x14ac:dyDescent="0.3">
      <c r="A1165" s="335" t="s">
        <v>2387</v>
      </c>
      <c r="B1165" s="335" t="s">
        <v>56</v>
      </c>
      <c r="C1165" s="335" t="s">
        <v>27</v>
      </c>
      <c r="D1165" s="335" t="s">
        <v>2398</v>
      </c>
      <c r="E1165" s="336" t="s">
        <v>1490</v>
      </c>
      <c r="F1165" s="336" t="s">
        <v>60</v>
      </c>
      <c r="G1165" s="337">
        <v>5.74712643678161E-3</v>
      </c>
      <c r="H1165" s="338">
        <v>0</v>
      </c>
      <c r="I1165" s="339">
        <v>250000</v>
      </c>
      <c r="J1165" s="340">
        <v>1436.7816091954001</v>
      </c>
      <c r="K1165" s="335" t="s">
        <v>2394</v>
      </c>
      <c r="L1165" s="335">
        <v>4</v>
      </c>
      <c r="M1165" s="335" t="s">
        <v>2399</v>
      </c>
      <c r="N1165" s="339">
        <v>1</v>
      </c>
      <c r="O1165" s="341">
        <v>5.74712643678161E-3</v>
      </c>
      <c r="P1165" s="341">
        <v>174</v>
      </c>
      <c r="Q1165" s="341">
        <v>1</v>
      </c>
      <c r="R1165" s="342">
        <v>11.04</v>
      </c>
      <c r="S1165" s="342" t="s">
        <v>476</v>
      </c>
    </row>
    <row r="1166" spans="1:19" ht="14.25" customHeight="1" x14ac:dyDescent="0.3">
      <c r="A1166" s="335" t="s">
        <v>2387</v>
      </c>
      <c r="B1166" s="335" t="s">
        <v>56</v>
      </c>
      <c r="C1166" s="335" t="s">
        <v>27</v>
      </c>
      <c r="D1166" s="335" t="s">
        <v>2400</v>
      </c>
      <c r="E1166" s="336" t="s">
        <v>2401</v>
      </c>
      <c r="F1166" s="336" t="s">
        <v>60</v>
      </c>
      <c r="G1166" s="337">
        <v>0.114942528735632</v>
      </c>
      <c r="H1166" s="338">
        <v>0</v>
      </c>
      <c r="I1166" s="339">
        <v>1500</v>
      </c>
      <c r="J1166" s="340">
        <v>172.413793103448</v>
      </c>
      <c r="K1166" s="335" t="s">
        <v>2394</v>
      </c>
      <c r="L1166" s="335">
        <v>5</v>
      </c>
      <c r="M1166" s="335" t="s">
        <v>2402</v>
      </c>
      <c r="N1166" s="339">
        <v>1</v>
      </c>
      <c r="O1166" s="341">
        <v>0.114942528735632</v>
      </c>
      <c r="P1166" s="341">
        <v>174</v>
      </c>
      <c r="Q1166" s="341">
        <v>20</v>
      </c>
      <c r="R1166" s="342">
        <v>11.04</v>
      </c>
      <c r="S1166" s="342" t="s">
        <v>476</v>
      </c>
    </row>
    <row r="1167" spans="1:19" ht="14.25" customHeight="1" x14ac:dyDescent="0.3">
      <c r="A1167" s="335" t="s">
        <v>2403</v>
      </c>
      <c r="B1167" s="335" t="s">
        <v>20</v>
      </c>
      <c r="C1167" s="335"/>
      <c r="D1167" s="335" t="s">
        <v>2404</v>
      </c>
      <c r="E1167" s="336" t="s">
        <v>2405</v>
      </c>
      <c r="F1167" s="336"/>
      <c r="G1167" s="337">
        <v>1</v>
      </c>
      <c r="H1167" s="338">
        <v>0</v>
      </c>
      <c r="I1167" s="339">
        <v>212.50168340278501</v>
      </c>
      <c r="J1167" s="340">
        <v>212.50168340278501</v>
      </c>
      <c r="K1167" s="335" t="s">
        <v>2406</v>
      </c>
      <c r="L1167" s="335">
        <v>1</v>
      </c>
      <c r="M1167" s="335" t="s">
        <v>2407</v>
      </c>
      <c r="N1167" s="339">
        <v>1</v>
      </c>
      <c r="O1167" s="341">
        <v>1</v>
      </c>
      <c r="P1167" s="341" t="s">
        <v>25</v>
      </c>
      <c r="Q1167" s="341">
        <v>0</v>
      </c>
      <c r="R1167" s="342" t="s">
        <v>25</v>
      </c>
      <c r="S1167" s="342" t="s">
        <v>25</v>
      </c>
    </row>
    <row r="1168" spans="1:19" ht="14.25" customHeight="1" x14ac:dyDescent="0.3">
      <c r="A1168" s="335" t="s">
        <v>2403</v>
      </c>
      <c r="B1168" s="335" t="s">
        <v>26</v>
      </c>
      <c r="C1168" s="335" t="s">
        <v>480</v>
      </c>
      <c r="D1168" s="335" t="s">
        <v>2240</v>
      </c>
      <c r="E1168" s="336" t="s">
        <v>2241</v>
      </c>
      <c r="F1168" s="336" t="s">
        <v>83</v>
      </c>
      <c r="G1168" s="337">
        <v>4.0229885057471299E-2</v>
      </c>
      <c r="H1168" s="338">
        <v>0</v>
      </c>
      <c r="I1168" s="339">
        <v>32399.77</v>
      </c>
      <c r="J1168" s="340">
        <v>1303.43902298851</v>
      </c>
      <c r="K1168" s="335" t="s">
        <v>2408</v>
      </c>
      <c r="L1168" s="335">
        <v>1</v>
      </c>
      <c r="M1168" s="335" t="s">
        <v>2409</v>
      </c>
      <c r="N1168" s="339">
        <v>1</v>
      </c>
      <c r="O1168" s="341">
        <v>4.0229885057471299E-2</v>
      </c>
      <c r="P1168" s="341" t="s">
        <v>25</v>
      </c>
      <c r="Q1168" s="341">
        <v>0</v>
      </c>
      <c r="R1168" s="342" t="s">
        <v>25</v>
      </c>
      <c r="S1168" s="342" t="s">
        <v>25</v>
      </c>
    </row>
    <row r="1169" spans="1:19" ht="14.25" customHeight="1" x14ac:dyDescent="0.3">
      <c r="A1169" s="335" t="s">
        <v>2403</v>
      </c>
      <c r="B1169" s="335" t="s">
        <v>56</v>
      </c>
      <c r="C1169" s="335" t="s">
        <v>57</v>
      </c>
      <c r="D1169" s="335" t="s">
        <v>58</v>
      </c>
      <c r="E1169" s="336" t="s">
        <v>59</v>
      </c>
      <c r="F1169" s="336" t="s">
        <v>60</v>
      </c>
      <c r="G1169" s="337">
        <v>8.9080459770114903E-2</v>
      </c>
      <c r="H1169" s="338">
        <v>0</v>
      </c>
      <c r="I1169" s="339">
        <v>60860.580776572002</v>
      </c>
      <c r="J1169" s="340">
        <v>5421.4885174532501</v>
      </c>
      <c r="K1169" s="335" t="s">
        <v>2410</v>
      </c>
      <c r="L1169" s="335">
        <v>1</v>
      </c>
      <c r="M1169" s="335" t="s">
        <v>2411</v>
      </c>
      <c r="N1169" s="339">
        <v>1</v>
      </c>
      <c r="O1169" s="341">
        <v>8.9080459770114903E-2</v>
      </c>
      <c r="P1169" s="341" t="s">
        <v>25</v>
      </c>
      <c r="Q1169" s="341">
        <v>0</v>
      </c>
      <c r="R1169" s="342" t="s">
        <v>25</v>
      </c>
      <c r="S1169" s="342" t="s">
        <v>25</v>
      </c>
    </row>
    <row r="1170" spans="1:19" ht="14.25" customHeight="1" x14ac:dyDescent="0.3">
      <c r="A1170" s="335" t="s">
        <v>2403</v>
      </c>
      <c r="B1170" s="335" t="s">
        <v>56</v>
      </c>
      <c r="C1170" s="335" t="s">
        <v>57</v>
      </c>
      <c r="D1170" s="343" t="s">
        <v>63</v>
      </c>
      <c r="E1170" s="336" t="s">
        <v>64</v>
      </c>
      <c r="F1170" s="336" t="s">
        <v>60</v>
      </c>
      <c r="G1170" s="337">
        <v>4.5977011494252901E-2</v>
      </c>
      <c r="H1170" s="338">
        <v>0</v>
      </c>
      <c r="I1170" s="339">
        <v>85927.097156571996</v>
      </c>
      <c r="J1170" s="340">
        <v>3950.6711336355002</v>
      </c>
      <c r="K1170" s="335" t="s">
        <v>2410</v>
      </c>
      <c r="L1170" s="335">
        <v>2</v>
      </c>
      <c r="M1170" s="335" t="s">
        <v>2412</v>
      </c>
      <c r="N1170" s="339">
        <v>1</v>
      </c>
      <c r="O1170" s="341">
        <v>4.5977011494252901E-2</v>
      </c>
      <c r="P1170" s="341" t="s">
        <v>25</v>
      </c>
      <c r="Q1170" s="341">
        <v>0</v>
      </c>
      <c r="R1170" s="342" t="s">
        <v>25</v>
      </c>
      <c r="S1170" s="342" t="s">
        <v>25</v>
      </c>
    </row>
    <row r="1171" spans="1:19" ht="14.25" customHeight="1" x14ac:dyDescent="0.3">
      <c r="A1171" s="335" t="s">
        <v>2403</v>
      </c>
      <c r="B1171" s="335" t="s">
        <v>56</v>
      </c>
      <c r="C1171" s="335" t="s">
        <v>57</v>
      </c>
      <c r="D1171" s="343" t="s">
        <v>413</v>
      </c>
      <c r="E1171" s="336" t="s">
        <v>414</v>
      </c>
      <c r="F1171" s="336" t="s">
        <v>60</v>
      </c>
      <c r="G1171" s="337">
        <v>2.8735632183908101E-2</v>
      </c>
      <c r="H1171" s="338">
        <v>0</v>
      </c>
      <c r="I1171" s="339">
        <v>65493.071636572</v>
      </c>
      <c r="J1171" s="340">
        <v>1881.98481714288</v>
      </c>
      <c r="K1171" s="335" t="s">
        <v>2410</v>
      </c>
      <c r="L1171" s="335">
        <v>3</v>
      </c>
      <c r="M1171" s="335" t="s">
        <v>2413</v>
      </c>
      <c r="N1171" s="339">
        <v>1</v>
      </c>
      <c r="O1171" s="341">
        <v>2.8735632183908101E-2</v>
      </c>
      <c r="P1171" s="341" t="s">
        <v>25</v>
      </c>
      <c r="Q1171" s="341">
        <v>0</v>
      </c>
      <c r="R1171" s="342" t="s">
        <v>25</v>
      </c>
      <c r="S1171" s="342" t="s">
        <v>25</v>
      </c>
    </row>
    <row r="1172" spans="1:19" ht="14.25" customHeight="1" x14ac:dyDescent="0.3">
      <c r="A1172" s="335" t="s">
        <v>2403</v>
      </c>
      <c r="B1172" s="335" t="s">
        <v>56</v>
      </c>
      <c r="C1172" s="335" t="s">
        <v>27</v>
      </c>
      <c r="D1172" s="335" t="s">
        <v>2398</v>
      </c>
      <c r="E1172" s="336" t="s">
        <v>1490</v>
      </c>
      <c r="F1172" s="336" t="s">
        <v>60</v>
      </c>
      <c r="G1172" s="337">
        <v>5.74712643678161E-3</v>
      </c>
      <c r="H1172" s="338">
        <v>0</v>
      </c>
      <c r="I1172" s="339">
        <v>250000</v>
      </c>
      <c r="J1172" s="340">
        <v>1436.7816091954001</v>
      </c>
      <c r="K1172" s="335" t="s">
        <v>2410</v>
      </c>
      <c r="L1172" s="335">
        <v>4</v>
      </c>
      <c r="M1172" s="335" t="s">
        <v>2414</v>
      </c>
      <c r="N1172" s="339">
        <v>1</v>
      </c>
      <c r="O1172" s="341">
        <v>5.74712643678161E-3</v>
      </c>
      <c r="P1172" s="341" t="s">
        <v>25</v>
      </c>
      <c r="Q1172" s="341">
        <v>0</v>
      </c>
      <c r="R1172" s="342" t="s">
        <v>25</v>
      </c>
      <c r="S1172" s="342" t="s">
        <v>25</v>
      </c>
    </row>
    <row r="1173" spans="1:19" ht="14.25" customHeight="1" x14ac:dyDescent="0.3">
      <c r="A1173" s="335" t="s">
        <v>2403</v>
      </c>
      <c r="B1173" s="335" t="s">
        <v>56</v>
      </c>
      <c r="C1173" s="335" t="s">
        <v>27</v>
      </c>
      <c r="D1173" s="335" t="s">
        <v>2400</v>
      </c>
      <c r="E1173" s="336" t="s">
        <v>2401</v>
      </c>
      <c r="F1173" s="336" t="s">
        <v>60</v>
      </c>
      <c r="G1173" s="337">
        <v>0.114942528735632</v>
      </c>
      <c r="H1173" s="338">
        <v>0</v>
      </c>
      <c r="I1173" s="339">
        <v>1500</v>
      </c>
      <c r="J1173" s="340">
        <v>172.413793103448</v>
      </c>
      <c r="K1173" s="335" t="s">
        <v>2410</v>
      </c>
      <c r="L1173" s="335">
        <v>5</v>
      </c>
      <c r="M1173" s="335" t="s">
        <v>2415</v>
      </c>
      <c r="N1173" s="339">
        <v>1</v>
      </c>
      <c r="O1173" s="341">
        <v>0.114942528735632</v>
      </c>
      <c r="P1173" s="341" t="s">
        <v>25</v>
      </c>
      <c r="Q1173" s="341">
        <v>0</v>
      </c>
      <c r="R1173" s="342" t="s">
        <v>25</v>
      </c>
      <c r="S1173" s="342" t="s">
        <v>25</v>
      </c>
    </row>
    <row r="1174" spans="1:19" ht="14.25" customHeight="1" x14ac:dyDescent="0.3">
      <c r="A1174" s="335" t="s">
        <v>2416</v>
      </c>
      <c r="B1174" s="335" t="s">
        <v>20</v>
      </c>
      <c r="C1174" s="335"/>
      <c r="D1174" s="335" t="s">
        <v>2417</v>
      </c>
      <c r="E1174" s="336" t="s">
        <v>2418</v>
      </c>
      <c r="F1174" s="336"/>
      <c r="G1174" s="337">
        <v>1</v>
      </c>
      <c r="H1174" s="338">
        <v>0</v>
      </c>
      <c r="I1174" s="339">
        <v>155.708708956072</v>
      </c>
      <c r="J1174" s="340">
        <v>155.708708956072</v>
      </c>
      <c r="K1174" s="335" t="s">
        <v>2419</v>
      </c>
      <c r="L1174" s="335">
        <v>1</v>
      </c>
      <c r="M1174" s="335" t="s">
        <v>2420</v>
      </c>
      <c r="N1174" s="339">
        <v>1</v>
      </c>
      <c r="O1174" s="341">
        <v>1</v>
      </c>
      <c r="P1174" s="341">
        <v>8</v>
      </c>
      <c r="Q1174" s="341">
        <v>8</v>
      </c>
      <c r="R1174" s="342">
        <v>11.06</v>
      </c>
      <c r="S1174" s="342" t="s">
        <v>476</v>
      </c>
    </row>
    <row r="1175" spans="1:19" ht="14.25" customHeight="1" x14ac:dyDescent="0.3">
      <c r="A1175" s="335" t="s">
        <v>2416</v>
      </c>
      <c r="B1175" s="335" t="s">
        <v>26</v>
      </c>
      <c r="C1175" s="335" t="s">
        <v>480</v>
      </c>
      <c r="D1175" s="335" t="s">
        <v>2237</v>
      </c>
      <c r="E1175" s="336" t="s">
        <v>2238</v>
      </c>
      <c r="F1175" s="336" t="s">
        <v>98</v>
      </c>
      <c r="G1175" s="337">
        <v>4.8000000000000001E-2</v>
      </c>
      <c r="H1175" s="338">
        <v>0</v>
      </c>
      <c r="I1175" s="339">
        <v>57771</v>
      </c>
      <c r="J1175" s="340">
        <v>2773.0079999999998</v>
      </c>
      <c r="K1175" s="335" t="s">
        <v>2421</v>
      </c>
      <c r="L1175" s="335">
        <v>1</v>
      </c>
      <c r="M1175" s="335" t="s">
        <v>2422</v>
      </c>
      <c r="N1175" s="339">
        <v>1</v>
      </c>
      <c r="O1175" s="341">
        <v>4.8000000000000001E-2</v>
      </c>
      <c r="P1175" s="341">
        <v>8</v>
      </c>
      <c r="Q1175" s="341">
        <v>0.38400000000000001</v>
      </c>
      <c r="R1175" s="342">
        <v>11.06</v>
      </c>
      <c r="S1175" s="342" t="s">
        <v>476</v>
      </c>
    </row>
    <row r="1176" spans="1:19" ht="14.25" customHeight="1" x14ac:dyDescent="0.3">
      <c r="A1176" s="335" t="s">
        <v>2416</v>
      </c>
      <c r="B1176" s="335" t="s">
        <v>56</v>
      </c>
      <c r="C1176" s="335" t="s">
        <v>57</v>
      </c>
      <c r="D1176" s="335" t="s">
        <v>58</v>
      </c>
      <c r="E1176" s="336" t="s">
        <v>59</v>
      </c>
      <c r="F1176" s="336" t="s">
        <v>60</v>
      </c>
      <c r="G1176" s="337">
        <v>0.125</v>
      </c>
      <c r="H1176" s="338">
        <v>0</v>
      </c>
      <c r="I1176" s="339">
        <v>60860.580776572002</v>
      </c>
      <c r="J1176" s="340">
        <v>7607.5725970715002</v>
      </c>
      <c r="K1176" s="335" t="s">
        <v>2423</v>
      </c>
      <c r="L1176" s="335">
        <v>1</v>
      </c>
      <c r="M1176" s="335" t="s">
        <v>2424</v>
      </c>
      <c r="N1176" s="339">
        <v>1</v>
      </c>
      <c r="O1176" s="341">
        <v>0.125</v>
      </c>
      <c r="P1176" s="341">
        <v>8</v>
      </c>
      <c r="Q1176" s="341">
        <v>1</v>
      </c>
      <c r="R1176" s="342">
        <v>11.06</v>
      </c>
      <c r="S1176" s="342" t="s">
        <v>476</v>
      </c>
    </row>
    <row r="1177" spans="1:19" ht="14.25" customHeight="1" x14ac:dyDescent="0.3">
      <c r="A1177" s="335" t="s">
        <v>2425</v>
      </c>
      <c r="B1177" s="335" t="s">
        <v>20</v>
      </c>
      <c r="C1177" s="335"/>
      <c r="D1177" s="335" t="s">
        <v>2426</v>
      </c>
      <c r="E1177" s="336" t="s">
        <v>2427</v>
      </c>
      <c r="F1177" s="336"/>
      <c r="G1177" s="337">
        <v>1</v>
      </c>
      <c r="H1177" s="338">
        <v>0</v>
      </c>
      <c r="I1177" s="339">
        <v>295.286480531927</v>
      </c>
      <c r="J1177" s="340">
        <v>295.286480531927</v>
      </c>
      <c r="K1177" s="335" t="s">
        <v>2428</v>
      </c>
      <c r="L1177" s="335">
        <v>1</v>
      </c>
      <c r="M1177" s="335" t="s">
        <v>2429</v>
      </c>
      <c r="N1177" s="339">
        <v>1</v>
      </c>
      <c r="O1177" s="341">
        <v>1</v>
      </c>
      <c r="P1177" s="341">
        <v>46</v>
      </c>
      <c r="Q1177" s="341">
        <v>46</v>
      </c>
      <c r="R1177" s="342">
        <v>11.07</v>
      </c>
      <c r="S1177" s="342" t="s">
        <v>476</v>
      </c>
    </row>
    <row r="1178" spans="1:19" ht="14.25" customHeight="1" x14ac:dyDescent="0.3">
      <c r="A1178" s="335" t="s">
        <v>2425</v>
      </c>
      <c r="B1178" s="335" t="s">
        <v>26</v>
      </c>
      <c r="C1178" s="335" t="s">
        <v>480</v>
      </c>
      <c r="D1178" s="335" t="s">
        <v>96</v>
      </c>
      <c r="E1178" s="336" t="s">
        <v>97</v>
      </c>
      <c r="F1178" s="336" t="s">
        <v>98</v>
      </c>
      <c r="G1178" s="337">
        <v>1283.632482</v>
      </c>
      <c r="H1178" s="338">
        <v>0</v>
      </c>
      <c r="I1178" s="339">
        <v>1</v>
      </c>
      <c r="J1178" s="340">
        <v>1283.632482</v>
      </c>
      <c r="K1178" s="335" t="s">
        <v>2430</v>
      </c>
      <c r="L1178" s="335">
        <v>1</v>
      </c>
      <c r="M1178" s="335" t="s">
        <v>2431</v>
      </c>
      <c r="N1178" s="339">
        <v>1</v>
      </c>
      <c r="O1178" s="341">
        <v>1283.632482</v>
      </c>
      <c r="P1178" s="341">
        <v>46</v>
      </c>
      <c r="Q1178" s="341">
        <v>59047.094171999997</v>
      </c>
      <c r="R1178" s="342">
        <v>11.07</v>
      </c>
      <c r="S1178" s="342" t="s">
        <v>476</v>
      </c>
    </row>
    <row r="1179" spans="1:19" ht="14.25" customHeight="1" x14ac:dyDescent="0.3">
      <c r="A1179" s="335" t="s">
        <v>2425</v>
      </c>
      <c r="B1179" s="335" t="s">
        <v>26</v>
      </c>
      <c r="C1179" s="335" t="s">
        <v>480</v>
      </c>
      <c r="D1179" s="335" t="s">
        <v>1536</v>
      </c>
      <c r="E1179" s="336" t="s">
        <v>1537</v>
      </c>
      <c r="F1179" s="336" t="s">
        <v>91</v>
      </c>
      <c r="G1179" s="337">
        <v>8.6956521739130405E-2</v>
      </c>
      <c r="H1179" s="338">
        <v>0</v>
      </c>
      <c r="I1179" s="339">
        <v>7809.48</v>
      </c>
      <c r="J1179" s="340">
        <v>679.08521739130401</v>
      </c>
      <c r="K1179" s="335" t="s">
        <v>2430</v>
      </c>
      <c r="L1179" s="335">
        <v>2</v>
      </c>
      <c r="M1179" s="335" t="s">
        <v>2432</v>
      </c>
      <c r="N1179" s="339">
        <v>1</v>
      </c>
      <c r="O1179" s="341">
        <v>8.6956521739130405E-2</v>
      </c>
      <c r="P1179" s="341">
        <v>46</v>
      </c>
      <c r="Q1179" s="341">
        <v>4</v>
      </c>
      <c r="R1179" s="342">
        <v>11.07</v>
      </c>
      <c r="S1179" s="342" t="s">
        <v>476</v>
      </c>
    </row>
    <row r="1180" spans="1:19" ht="14.25" customHeight="1" x14ac:dyDescent="0.3">
      <c r="A1180" s="335" t="s">
        <v>2425</v>
      </c>
      <c r="B1180" s="335" t="s">
        <v>26</v>
      </c>
      <c r="C1180" s="335" t="s">
        <v>480</v>
      </c>
      <c r="D1180" s="335" t="s">
        <v>2240</v>
      </c>
      <c r="E1180" s="336" t="s">
        <v>2241</v>
      </c>
      <c r="F1180" s="336" t="s">
        <v>83</v>
      </c>
      <c r="G1180" s="337">
        <v>3.3000000000000002E-2</v>
      </c>
      <c r="H1180" s="338">
        <v>0</v>
      </c>
      <c r="I1180" s="339">
        <v>32399.77</v>
      </c>
      <c r="J1180" s="340">
        <v>1069.1924100000001</v>
      </c>
      <c r="K1180" s="335" t="s">
        <v>2430</v>
      </c>
      <c r="L1180" s="335">
        <v>3</v>
      </c>
      <c r="M1180" s="335" t="s">
        <v>2433</v>
      </c>
      <c r="N1180" s="339">
        <v>1</v>
      </c>
      <c r="O1180" s="341">
        <v>3.3000000000000002E-2</v>
      </c>
      <c r="P1180" s="341">
        <v>46</v>
      </c>
      <c r="Q1180" s="341">
        <v>1.518</v>
      </c>
      <c r="R1180" s="342">
        <v>11.07</v>
      </c>
      <c r="S1180" s="342" t="s">
        <v>476</v>
      </c>
    </row>
    <row r="1181" spans="1:19" ht="14.25" customHeight="1" x14ac:dyDescent="0.3">
      <c r="A1181" s="335" t="s">
        <v>2425</v>
      </c>
      <c r="B1181" s="335" t="s">
        <v>26</v>
      </c>
      <c r="C1181" s="335" t="s">
        <v>480</v>
      </c>
      <c r="D1181" s="335" t="s">
        <v>2434</v>
      </c>
      <c r="E1181" s="336" t="s">
        <v>2435</v>
      </c>
      <c r="F1181" s="336" t="s">
        <v>91</v>
      </c>
      <c r="G1181" s="337">
        <v>0.26086956521739102</v>
      </c>
      <c r="H1181" s="338">
        <v>0</v>
      </c>
      <c r="I1181" s="339">
        <v>10936.8</v>
      </c>
      <c r="J1181" s="340">
        <v>2853.0782608695599</v>
      </c>
      <c r="K1181" s="335" t="s">
        <v>2430</v>
      </c>
      <c r="L1181" s="335">
        <v>4</v>
      </c>
      <c r="M1181" s="335" t="s">
        <v>2436</v>
      </c>
      <c r="N1181" s="339">
        <v>1</v>
      </c>
      <c r="O1181" s="341">
        <v>0.26086956521739102</v>
      </c>
      <c r="P1181" s="341">
        <v>46</v>
      </c>
      <c r="Q1181" s="341">
        <v>12</v>
      </c>
      <c r="R1181" s="342">
        <v>11.07</v>
      </c>
      <c r="S1181" s="342" t="s">
        <v>476</v>
      </c>
    </row>
    <row r="1182" spans="1:19" ht="14.25" customHeight="1" x14ac:dyDescent="0.3">
      <c r="A1182" s="335" t="s">
        <v>2425</v>
      </c>
      <c r="B1182" s="335" t="s">
        <v>26</v>
      </c>
      <c r="C1182" s="335" t="s">
        <v>480</v>
      </c>
      <c r="D1182" s="335" t="s">
        <v>2437</v>
      </c>
      <c r="E1182" s="336" t="s">
        <v>2438</v>
      </c>
      <c r="F1182" s="336" t="s">
        <v>91</v>
      </c>
      <c r="G1182" s="337">
        <v>0.282608695652174</v>
      </c>
      <c r="H1182" s="338">
        <v>0</v>
      </c>
      <c r="I1182" s="339">
        <v>6428.7</v>
      </c>
      <c r="J1182" s="340">
        <v>1816.8065217391299</v>
      </c>
      <c r="K1182" s="335" t="s">
        <v>2430</v>
      </c>
      <c r="L1182" s="335">
        <v>5</v>
      </c>
      <c r="M1182" s="335" t="s">
        <v>2439</v>
      </c>
      <c r="N1182" s="339">
        <v>1</v>
      </c>
      <c r="O1182" s="341">
        <v>0.282608695652174</v>
      </c>
      <c r="P1182" s="341">
        <v>46</v>
      </c>
      <c r="Q1182" s="341">
        <v>13</v>
      </c>
      <c r="R1182" s="342">
        <v>11.07</v>
      </c>
      <c r="S1182" s="342" t="s">
        <v>476</v>
      </c>
    </row>
    <row r="1183" spans="1:19" ht="14.25" customHeight="1" x14ac:dyDescent="0.3">
      <c r="A1183" s="335" t="s">
        <v>2425</v>
      </c>
      <c r="B1183" s="335" t="s">
        <v>56</v>
      </c>
      <c r="C1183" s="335" t="s">
        <v>57</v>
      </c>
      <c r="D1183" s="335" t="s">
        <v>58</v>
      </c>
      <c r="E1183" s="336" t="s">
        <v>59</v>
      </c>
      <c r="F1183" s="336" t="s">
        <v>60</v>
      </c>
      <c r="G1183" s="337">
        <v>8.6956521739130405E-2</v>
      </c>
      <c r="H1183" s="338">
        <v>0</v>
      </c>
      <c r="I1183" s="339">
        <v>60860.580776572002</v>
      </c>
      <c r="J1183" s="340">
        <v>5292.2244153540896</v>
      </c>
      <c r="K1183" s="335" t="s">
        <v>2440</v>
      </c>
      <c r="L1183" s="335">
        <v>1</v>
      </c>
      <c r="M1183" s="335" t="s">
        <v>2441</v>
      </c>
      <c r="N1183" s="339">
        <v>1</v>
      </c>
      <c r="O1183" s="341">
        <v>8.6956521739130405E-2</v>
      </c>
      <c r="P1183" s="341">
        <v>46</v>
      </c>
      <c r="Q1183" s="341">
        <v>4</v>
      </c>
      <c r="R1183" s="342">
        <v>11.07</v>
      </c>
      <c r="S1183" s="342" t="s">
        <v>476</v>
      </c>
    </row>
    <row r="1184" spans="1:19" ht="14.25" customHeight="1" x14ac:dyDescent="0.3">
      <c r="A1184" s="335" t="s">
        <v>2425</v>
      </c>
      <c r="B1184" s="335" t="s">
        <v>56</v>
      </c>
      <c r="C1184" s="335" t="s">
        <v>57</v>
      </c>
      <c r="D1184" s="343" t="s">
        <v>497</v>
      </c>
      <c r="E1184" s="336" t="s">
        <v>498</v>
      </c>
      <c r="F1184" s="336" t="s">
        <v>60</v>
      </c>
      <c r="G1184" s="337">
        <v>8.6956521739130405E-2</v>
      </c>
      <c r="H1184" s="338">
        <v>0</v>
      </c>
      <c r="I1184" s="339">
        <v>76955.079706571996</v>
      </c>
      <c r="J1184" s="340">
        <v>6691.7460614410402</v>
      </c>
      <c r="K1184" s="335" t="s">
        <v>2440</v>
      </c>
      <c r="L1184" s="335">
        <v>2</v>
      </c>
      <c r="M1184" s="335" t="s">
        <v>2442</v>
      </c>
      <c r="N1184" s="339">
        <v>1</v>
      </c>
      <c r="O1184" s="341">
        <v>8.6956521739130405E-2</v>
      </c>
      <c r="P1184" s="341">
        <v>46</v>
      </c>
      <c r="Q1184" s="341">
        <v>4</v>
      </c>
      <c r="R1184" s="342">
        <v>11.07</v>
      </c>
      <c r="S1184" s="342" t="s">
        <v>476</v>
      </c>
    </row>
    <row r="1185" spans="1:19" ht="14.25" customHeight="1" x14ac:dyDescent="0.3">
      <c r="A1185" s="335" t="s">
        <v>2443</v>
      </c>
      <c r="B1185" s="335" t="s">
        <v>20</v>
      </c>
      <c r="C1185" s="335"/>
      <c r="D1185" s="335" t="s">
        <v>472</v>
      </c>
      <c r="E1185" s="336" t="s">
        <v>473</v>
      </c>
      <c r="F1185" s="336"/>
      <c r="G1185" s="337">
        <v>1</v>
      </c>
      <c r="H1185" s="338">
        <v>0</v>
      </c>
      <c r="I1185" s="339">
        <v>298.42384358082802</v>
      </c>
      <c r="J1185" s="340">
        <v>298.42384358082802</v>
      </c>
      <c r="K1185" s="335" t="s">
        <v>2444</v>
      </c>
      <c r="L1185" s="335">
        <v>1</v>
      </c>
      <c r="M1185" s="335" t="s">
        <v>2445</v>
      </c>
      <c r="N1185" s="339">
        <v>13</v>
      </c>
      <c r="O1185" s="341">
        <v>1</v>
      </c>
      <c r="P1185" s="341" t="s">
        <v>25</v>
      </c>
      <c r="Q1185" s="341">
        <v>0</v>
      </c>
      <c r="R1185" s="342" t="s">
        <v>25</v>
      </c>
      <c r="S1185" s="342" t="s">
        <v>25</v>
      </c>
    </row>
    <row r="1186" spans="1:19" ht="14.25" customHeight="1" x14ac:dyDescent="0.3">
      <c r="A1186" s="335" t="s">
        <v>2443</v>
      </c>
      <c r="B1186" s="335" t="s">
        <v>20</v>
      </c>
      <c r="C1186" s="335"/>
      <c r="D1186" s="335" t="s">
        <v>477</v>
      </c>
      <c r="E1186" s="336" t="s">
        <v>478</v>
      </c>
      <c r="F1186" s="336"/>
      <c r="G1186" s="337">
        <v>1</v>
      </c>
      <c r="H1186" s="338">
        <v>0</v>
      </c>
      <c r="I1186" s="339">
        <v>2637.14184448991</v>
      </c>
      <c r="J1186" s="340">
        <v>2637.14184448991</v>
      </c>
      <c r="K1186" s="335" t="s">
        <v>2444</v>
      </c>
      <c r="L1186" s="335">
        <v>2</v>
      </c>
      <c r="M1186" s="335" t="s">
        <v>2446</v>
      </c>
      <c r="N1186" s="339">
        <v>13</v>
      </c>
      <c r="O1186" s="341">
        <v>1</v>
      </c>
      <c r="P1186" s="341" t="s">
        <v>25</v>
      </c>
      <c r="Q1186" s="341">
        <v>0</v>
      </c>
      <c r="R1186" s="342" t="s">
        <v>25</v>
      </c>
      <c r="S1186" s="342" t="s">
        <v>25</v>
      </c>
    </row>
    <row r="1187" spans="1:19" ht="14.25" customHeight="1" x14ac:dyDescent="0.3">
      <c r="A1187" s="335" t="s">
        <v>2443</v>
      </c>
      <c r="B1187" s="335" t="s">
        <v>26</v>
      </c>
      <c r="C1187" s="335" t="s">
        <v>27</v>
      </c>
      <c r="D1187" s="335" t="s">
        <v>89</v>
      </c>
      <c r="E1187" s="336" t="s">
        <v>90</v>
      </c>
      <c r="F1187" s="336" t="s">
        <v>91</v>
      </c>
      <c r="G1187" s="337">
        <v>0.4</v>
      </c>
      <c r="H1187" s="338">
        <v>0.2</v>
      </c>
      <c r="I1187" s="339">
        <v>3837.96</v>
      </c>
      <c r="J1187" s="340">
        <v>1842.2208000000001</v>
      </c>
      <c r="K1187" s="335" t="s">
        <v>2447</v>
      </c>
      <c r="L1187" s="335">
        <v>1</v>
      </c>
      <c r="M1187" s="335" t="s">
        <v>2448</v>
      </c>
      <c r="N1187" s="339">
        <v>13</v>
      </c>
      <c r="O1187" s="341">
        <v>0.4</v>
      </c>
      <c r="P1187" s="341" t="s">
        <v>25</v>
      </c>
      <c r="Q1187" s="341">
        <v>0</v>
      </c>
      <c r="R1187" s="342" t="s">
        <v>25</v>
      </c>
      <c r="S1187" s="342" t="s">
        <v>25</v>
      </c>
    </row>
    <row r="1188" spans="1:19" ht="14.25" customHeight="1" x14ac:dyDescent="0.3">
      <c r="A1188" s="335" t="s">
        <v>2443</v>
      </c>
      <c r="B1188" s="335" t="s">
        <v>26</v>
      </c>
      <c r="C1188" s="335" t="s">
        <v>27</v>
      </c>
      <c r="D1188" s="335" t="s">
        <v>33</v>
      </c>
      <c r="E1188" s="336" t="s">
        <v>34</v>
      </c>
      <c r="F1188" s="336" t="s">
        <v>35</v>
      </c>
      <c r="G1188" s="337">
        <v>0.01</v>
      </c>
      <c r="H1188" s="338">
        <v>0.03</v>
      </c>
      <c r="I1188" s="339">
        <v>735.06</v>
      </c>
      <c r="J1188" s="340">
        <v>7.5711180000000002</v>
      </c>
      <c r="K1188" s="335" t="s">
        <v>2447</v>
      </c>
      <c r="L1188" s="335">
        <v>2</v>
      </c>
      <c r="M1188" s="335" t="s">
        <v>2449</v>
      </c>
      <c r="N1188" s="339">
        <v>13</v>
      </c>
      <c r="O1188" s="341">
        <v>0.01</v>
      </c>
      <c r="P1188" s="341" t="s">
        <v>25</v>
      </c>
      <c r="Q1188" s="341">
        <v>0</v>
      </c>
      <c r="R1188" s="342" t="s">
        <v>25</v>
      </c>
      <c r="S1188" s="342" t="s">
        <v>25</v>
      </c>
    </row>
    <row r="1189" spans="1:19" ht="14.25" customHeight="1" x14ac:dyDescent="0.3">
      <c r="A1189" s="335" t="s">
        <v>2443</v>
      </c>
      <c r="B1189" s="335" t="s">
        <v>26</v>
      </c>
      <c r="C1189" s="335" t="s">
        <v>27</v>
      </c>
      <c r="D1189" s="335" t="s">
        <v>489</v>
      </c>
      <c r="E1189" s="336" t="s">
        <v>490</v>
      </c>
      <c r="F1189" s="336" t="s">
        <v>35</v>
      </c>
      <c r="G1189" s="337">
        <v>4.0000000000000001E-3</v>
      </c>
      <c r="H1189" s="338">
        <v>0.05</v>
      </c>
      <c r="I1189" s="339">
        <v>20237</v>
      </c>
      <c r="J1189" s="340">
        <v>84.995400000000004</v>
      </c>
      <c r="K1189" s="335" t="s">
        <v>2447</v>
      </c>
      <c r="L1189" s="335">
        <v>3</v>
      </c>
      <c r="M1189" s="335" t="s">
        <v>2450</v>
      </c>
      <c r="N1189" s="339">
        <v>13</v>
      </c>
      <c r="O1189" s="341">
        <v>4.0000000000000001E-3</v>
      </c>
      <c r="P1189" s="341" t="s">
        <v>25</v>
      </c>
      <c r="Q1189" s="341">
        <v>0</v>
      </c>
      <c r="R1189" s="342" t="s">
        <v>25</v>
      </c>
      <c r="S1189" s="342" t="s">
        <v>25</v>
      </c>
    </row>
    <row r="1190" spans="1:19" ht="14.25" customHeight="1" x14ac:dyDescent="0.3">
      <c r="A1190" s="335" t="s">
        <v>2443</v>
      </c>
      <c r="B1190" s="335" t="s">
        <v>26</v>
      </c>
      <c r="C1190" s="335" t="s">
        <v>27</v>
      </c>
      <c r="D1190" s="335" t="s">
        <v>492</v>
      </c>
      <c r="E1190" s="336" t="s">
        <v>493</v>
      </c>
      <c r="F1190" s="336" t="s">
        <v>30</v>
      </c>
      <c r="G1190" s="337">
        <v>0.04</v>
      </c>
      <c r="H1190" s="338">
        <v>0.05</v>
      </c>
      <c r="I1190" s="339">
        <v>44669.4214876033</v>
      </c>
      <c r="J1190" s="340">
        <v>1876.1157024793399</v>
      </c>
      <c r="K1190" s="335" t="s">
        <v>2447</v>
      </c>
      <c r="L1190" s="335">
        <v>4</v>
      </c>
      <c r="M1190" s="335" t="s">
        <v>2451</v>
      </c>
      <c r="N1190" s="339">
        <v>13</v>
      </c>
      <c r="O1190" s="341">
        <v>0.04</v>
      </c>
      <c r="P1190" s="341" t="s">
        <v>25</v>
      </c>
      <c r="Q1190" s="341">
        <v>0</v>
      </c>
      <c r="R1190" s="342" t="s">
        <v>25</v>
      </c>
      <c r="S1190" s="342" t="s">
        <v>25</v>
      </c>
    </row>
    <row r="1191" spans="1:19" ht="14.25" customHeight="1" x14ac:dyDescent="0.3">
      <c r="A1191" s="335" t="s">
        <v>2443</v>
      </c>
      <c r="B1191" s="335" t="s">
        <v>56</v>
      </c>
      <c r="C1191" s="335" t="s">
        <v>57</v>
      </c>
      <c r="D1191" s="343" t="s">
        <v>63</v>
      </c>
      <c r="E1191" s="336" t="s">
        <v>64</v>
      </c>
      <c r="F1191" s="336" t="s">
        <v>60</v>
      </c>
      <c r="G1191" s="337">
        <v>1</v>
      </c>
      <c r="H1191" s="338">
        <v>0</v>
      </c>
      <c r="I1191" s="339">
        <v>85927.097156571996</v>
      </c>
      <c r="J1191" s="340">
        <v>85927.097156571996</v>
      </c>
      <c r="K1191" s="335" t="s">
        <v>2452</v>
      </c>
      <c r="L1191" s="335">
        <v>1</v>
      </c>
      <c r="M1191" s="335" t="s">
        <v>2453</v>
      </c>
      <c r="N1191" s="339">
        <v>13</v>
      </c>
      <c r="O1191" s="341">
        <v>7.69230769230769E-2</v>
      </c>
      <c r="P1191" s="341" t="s">
        <v>25</v>
      </c>
      <c r="Q1191" s="341">
        <v>0</v>
      </c>
      <c r="R1191" s="342" t="s">
        <v>25</v>
      </c>
      <c r="S1191" s="342" t="s">
        <v>25</v>
      </c>
    </row>
    <row r="1192" spans="1:19" ht="14.25" customHeight="1" x14ac:dyDescent="0.3">
      <c r="A1192" s="335" t="s">
        <v>2443</v>
      </c>
      <c r="B1192" s="335" t="s">
        <v>56</v>
      </c>
      <c r="C1192" s="335" t="s">
        <v>57</v>
      </c>
      <c r="D1192" s="343" t="s">
        <v>497</v>
      </c>
      <c r="E1192" s="336" t="s">
        <v>498</v>
      </c>
      <c r="F1192" s="336" t="s">
        <v>60</v>
      </c>
      <c r="G1192" s="337">
        <v>1</v>
      </c>
      <c r="H1192" s="338">
        <v>0</v>
      </c>
      <c r="I1192" s="339">
        <v>76955.079706571996</v>
      </c>
      <c r="J1192" s="340">
        <v>76955.079706571996</v>
      </c>
      <c r="K1192" s="335" t="s">
        <v>2452</v>
      </c>
      <c r="L1192" s="335">
        <v>2</v>
      </c>
      <c r="M1192" s="335" t="s">
        <v>2454</v>
      </c>
      <c r="N1192" s="339">
        <v>13</v>
      </c>
      <c r="O1192" s="341">
        <v>7.69230769230769E-2</v>
      </c>
      <c r="P1192" s="341" t="s">
        <v>25</v>
      </c>
      <c r="Q1192" s="341">
        <v>0</v>
      </c>
      <c r="R1192" s="342" t="s">
        <v>25</v>
      </c>
      <c r="S1192" s="342" t="s">
        <v>25</v>
      </c>
    </row>
    <row r="1193" spans="1:19" ht="14.25" customHeight="1" x14ac:dyDescent="0.3">
      <c r="A1193" s="335" t="s">
        <v>2455</v>
      </c>
      <c r="B1193" s="335" t="s">
        <v>20</v>
      </c>
      <c r="C1193" s="335"/>
      <c r="D1193" s="335" t="s">
        <v>472</v>
      </c>
      <c r="E1193" s="336" t="s">
        <v>473</v>
      </c>
      <c r="F1193" s="336"/>
      <c r="G1193" s="337">
        <v>1</v>
      </c>
      <c r="H1193" s="338">
        <v>0</v>
      </c>
      <c r="I1193" s="339">
        <v>298.42384358082802</v>
      </c>
      <c r="J1193" s="340">
        <v>298.42384358082802</v>
      </c>
      <c r="K1193" s="335" t="s">
        <v>2456</v>
      </c>
      <c r="L1193" s="335">
        <v>1</v>
      </c>
      <c r="M1193" s="335" t="s">
        <v>2457</v>
      </c>
      <c r="N1193" s="339">
        <v>10</v>
      </c>
      <c r="O1193" s="341">
        <v>1</v>
      </c>
      <c r="P1193" s="341" t="s">
        <v>25</v>
      </c>
      <c r="Q1193" s="341">
        <v>0</v>
      </c>
      <c r="R1193" s="342" t="s">
        <v>25</v>
      </c>
      <c r="S1193" s="342" t="s">
        <v>25</v>
      </c>
    </row>
    <row r="1194" spans="1:19" ht="14.25" customHeight="1" x14ac:dyDescent="0.3">
      <c r="A1194" s="335" t="s">
        <v>2455</v>
      </c>
      <c r="B1194" s="335" t="s">
        <v>20</v>
      </c>
      <c r="C1194" s="335"/>
      <c r="D1194" s="335" t="s">
        <v>477</v>
      </c>
      <c r="E1194" s="336" t="s">
        <v>478</v>
      </c>
      <c r="F1194" s="336"/>
      <c r="G1194" s="337">
        <v>1</v>
      </c>
      <c r="H1194" s="338">
        <v>0</v>
      </c>
      <c r="I1194" s="339">
        <v>2637.14184448991</v>
      </c>
      <c r="J1194" s="340">
        <v>2637.14184448991</v>
      </c>
      <c r="K1194" s="335" t="s">
        <v>2456</v>
      </c>
      <c r="L1194" s="335">
        <v>2</v>
      </c>
      <c r="M1194" s="335" t="s">
        <v>2458</v>
      </c>
      <c r="N1194" s="339">
        <v>10</v>
      </c>
      <c r="O1194" s="341">
        <v>1</v>
      </c>
      <c r="P1194" s="341" t="s">
        <v>25</v>
      </c>
      <c r="Q1194" s="341">
        <v>0</v>
      </c>
      <c r="R1194" s="342" t="s">
        <v>25</v>
      </c>
      <c r="S1194" s="342" t="s">
        <v>25</v>
      </c>
    </row>
    <row r="1195" spans="1:19" ht="14.25" customHeight="1" x14ac:dyDescent="0.3">
      <c r="A1195" s="335" t="s">
        <v>2455</v>
      </c>
      <c r="B1195" s="335" t="s">
        <v>26</v>
      </c>
      <c r="C1195" s="335" t="s">
        <v>27</v>
      </c>
      <c r="D1195" s="335" t="s">
        <v>89</v>
      </c>
      <c r="E1195" s="336" t="s">
        <v>90</v>
      </c>
      <c r="F1195" s="336" t="s">
        <v>91</v>
      </c>
      <c r="G1195" s="337">
        <v>0.4</v>
      </c>
      <c r="H1195" s="338">
        <v>0.2</v>
      </c>
      <c r="I1195" s="339">
        <v>3837.96</v>
      </c>
      <c r="J1195" s="340">
        <v>1842.2208000000001</v>
      </c>
      <c r="K1195" s="335" t="s">
        <v>2459</v>
      </c>
      <c r="L1195" s="335">
        <v>1</v>
      </c>
      <c r="M1195" s="335" t="s">
        <v>2460</v>
      </c>
      <c r="N1195" s="339">
        <v>10</v>
      </c>
      <c r="O1195" s="341">
        <v>0.4</v>
      </c>
      <c r="P1195" s="341" t="s">
        <v>25</v>
      </c>
      <c r="Q1195" s="341">
        <v>0</v>
      </c>
      <c r="R1195" s="342" t="s">
        <v>25</v>
      </c>
      <c r="S1195" s="342" t="s">
        <v>25</v>
      </c>
    </row>
    <row r="1196" spans="1:19" ht="14.25" customHeight="1" x14ac:dyDescent="0.3">
      <c r="A1196" s="335" t="s">
        <v>2455</v>
      </c>
      <c r="B1196" s="335" t="s">
        <v>26</v>
      </c>
      <c r="C1196" s="335" t="s">
        <v>27</v>
      </c>
      <c r="D1196" s="335" t="s">
        <v>33</v>
      </c>
      <c r="E1196" s="336" t="s">
        <v>34</v>
      </c>
      <c r="F1196" s="336" t="s">
        <v>35</v>
      </c>
      <c r="G1196" s="337">
        <v>0.01</v>
      </c>
      <c r="H1196" s="338">
        <v>0.03</v>
      </c>
      <c r="I1196" s="339">
        <v>735.06</v>
      </c>
      <c r="J1196" s="340">
        <v>7.5711180000000002</v>
      </c>
      <c r="K1196" s="335" t="s">
        <v>2459</v>
      </c>
      <c r="L1196" s="335">
        <v>2</v>
      </c>
      <c r="M1196" s="335" t="s">
        <v>2461</v>
      </c>
      <c r="N1196" s="339">
        <v>10</v>
      </c>
      <c r="O1196" s="341">
        <v>0.01</v>
      </c>
      <c r="P1196" s="341" t="s">
        <v>25</v>
      </c>
      <c r="Q1196" s="341">
        <v>0</v>
      </c>
      <c r="R1196" s="342" t="s">
        <v>25</v>
      </c>
      <c r="S1196" s="342" t="s">
        <v>25</v>
      </c>
    </row>
    <row r="1197" spans="1:19" ht="14.25" customHeight="1" x14ac:dyDescent="0.3">
      <c r="A1197" s="335" t="s">
        <v>2455</v>
      </c>
      <c r="B1197" s="335" t="s">
        <v>26</v>
      </c>
      <c r="C1197" s="335" t="s">
        <v>27</v>
      </c>
      <c r="D1197" s="335" t="s">
        <v>489</v>
      </c>
      <c r="E1197" s="336" t="s">
        <v>490</v>
      </c>
      <c r="F1197" s="336" t="s">
        <v>35</v>
      </c>
      <c r="G1197" s="337">
        <v>4.0000000000000001E-3</v>
      </c>
      <c r="H1197" s="338">
        <v>0.05</v>
      </c>
      <c r="I1197" s="339">
        <v>20237</v>
      </c>
      <c r="J1197" s="340">
        <v>84.995400000000004</v>
      </c>
      <c r="K1197" s="335" t="s">
        <v>2459</v>
      </c>
      <c r="L1197" s="335">
        <v>3</v>
      </c>
      <c r="M1197" s="335" t="s">
        <v>2462</v>
      </c>
      <c r="N1197" s="339">
        <v>10</v>
      </c>
      <c r="O1197" s="341">
        <v>4.0000000000000001E-3</v>
      </c>
      <c r="P1197" s="341" t="s">
        <v>25</v>
      </c>
      <c r="Q1197" s="341">
        <v>0</v>
      </c>
      <c r="R1197" s="342" t="s">
        <v>25</v>
      </c>
      <c r="S1197" s="342" t="s">
        <v>25</v>
      </c>
    </row>
    <row r="1198" spans="1:19" ht="14.25" customHeight="1" x14ac:dyDescent="0.3">
      <c r="A1198" s="335" t="s">
        <v>2455</v>
      </c>
      <c r="B1198" s="335" t="s">
        <v>26</v>
      </c>
      <c r="C1198" s="335" t="s">
        <v>27</v>
      </c>
      <c r="D1198" s="335" t="s">
        <v>492</v>
      </c>
      <c r="E1198" s="336" t="s">
        <v>493</v>
      </c>
      <c r="F1198" s="336" t="s">
        <v>30</v>
      </c>
      <c r="G1198" s="337">
        <v>0.04</v>
      </c>
      <c r="H1198" s="338">
        <v>0.05</v>
      </c>
      <c r="I1198" s="339">
        <v>44669.4214876033</v>
      </c>
      <c r="J1198" s="340">
        <v>1876.1157024793399</v>
      </c>
      <c r="K1198" s="335" t="s">
        <v>2459</v>
      </c>
      <c r="L1198" s="335">
        <v>4</v>
      </c>
      <c r="M1198" s="335" t="s">
        <v>2463</v>
      </c>
      <c r="N1198" s="339">
        <v>10</v>
      </c>
      <c r="O1198" s="341">
        <v>0.04</v>
      </c>
      <c r="P1198" s="341" t="s">
        <v>25</v>
      </c>
      <c r="Q1198" s="341">
        <v>0</v>
      </c>
      <c r="R1198" s="342" t="s">
        <v>25</v>
      </c>
      <c r="S1198" s="342" t="s">
        <v>25</v>
      </c>
    </row>
    <row r="1199" spans="1:19" ht="14.25" customHeight="1" x14ac:dyDescent="0.3">
      <c r="A1199" s="335" t="s">
        <v>2455</v>
      </c>
      <c r="B1199" s="335" t="s">
        <v>56</v>
      </c>
      <c r="C1199" s="335" t="s">
        <v>57</v>
      </c>
      <c r="D1199" s="343" t="s">
        <v>63</v>
      </c>
      <c r="E1199" s="336" t="s">
        <v>64</v>
      </c>
      <c r="F1199" s="336" t="s">
        <v>60</v>
      </c>
      <c r="G1199" s="337">
        <v>1</v>
      </c>
      <c r="H1199" s="338">
        <v>0</v>
      </c>
      <c r="I1199" s="339">
        <v>85927.097156571996</v>
      </c>
      <c r="J1199" s="340">
        <v>85927.097156571996</v>
      </c>
      <c r="K1199" s="335" t="s">
        <v>2464</v>
      </c>
      <c r="L1199" s="335">
        <v>1</v>
      </c>
      <c r="M1199" s="335" t="s">
        <v>2465</v>
      </c>
      <c r="N1199" s="339">
        <v>10</v>
      </c>
      <c r="O1199" s="341">
        <v>0.1</v>
      </c>
      <c r="P1199" s="341" t="s">
        <v>25</v>
      </c>
      <c r="Q1199" s="341">
        <v>0</v>
      </c>
      <c r="R1199" s="342" t="s">
        <v>25</v>
      </c>
      <c r="S1199" s="342" t="s">
        <v>25</v>
      </c>
    </row>
    <row r="1200" spans="1:19" ht="14.25" customHeight="1" x14ac:dyDescent="0.3">
      <c r="A1200" s="335" t="s">
        <v>2455</v>
      </c>
      <c r="B1200" s="335" t="s">
        <v>56</v>
      </c>
      <c r="C1200" s="335" t="s">
        <v>57</v>
      </c>
      <c r="D1200" s="343" t="s">
        <v>497</v>
      </c>
      <c r="E1200" s="336" t="s">
        <v>498</v>
      </c>
      <c r="F1200" s="336" t="s">
        <v>60</v>
      </c>
      <c r="G1200" s="337">
        <v>1</v>
      </c>
      <c r="H1200" s="338">
        <v>0</v>
      </c>
      <c r="I1200" s="339">
        <v>76955.079706571996</v>
      </c>
      <c r="J1200" s="340">
        <v>76955.079706571996</v>
      </c>
      <c r="K1200" s="335" t="s">
        <v>2464</v>
      </c>
      <c r="L1200" s="335">
        <v>2</v>
      </c>
      <c r="M1200" s="335" t="s">
        <v>2466</v>
      </c>
      <c r="N1200" s="339">
        <v>10</v>
      </c>
      <c r="O1200" s="341">
        <v>0.1</v>
      </c>
      <c r="P1200" s="341" t="s">
        <v>25</v>
      </c>
      <c r="Q1200" s="341">
        <v>0</v>
      </c>
      <c r="R1200" s="342" t="s">
        <v>25</v>
      </c>
      <c r="S1200" s="342" t="s">
        <v>25</v>
      </c>
    </row>
    <row r="1201" spans="1:19" ht="14.25" customHeight="1" x14ac:dyDescent="0.3">
      <c r="A1201" s="335" t="s">
        <v>2467</v>
      </c>
      <c r="B1201" s="335" t="s">
        <v>20</v>
      </c>
      <c r="C1201" s="335"/>
      <c r="D1201" s="335" t="s">
        <v>472</v>
      </c>
      <c r="E1201" s="336" t="s">
        <v>473</v>
      </c>
      <c r="F1201" s="336"/>
      <c r="G1201" s="337">
        <v>1</v>
      </c>
      <c r="H1201" s="338">
        <v>0</v>
      </c>
      <c r="I1201" s="339">
        <v>298.42384358082802</v>
      </c>
      <c r="J1201" s="340">
        <v>298.42384358082802</v>
      </c>
      <c r="K1201" s="335" t="s">
        <v>2468</v>
      </c>
      <c r="L1201" s="335">
        <v>1</v>
      </c>
      <c r="M1201" s="335" t="s">
        <v>2469</v>
      </c>
      <c r="N1201" s="339">
        <v>13</v>
      </c>
      <c r="O1201" s="341">
        <v>1</v>
      </c>
      <c r="P1201" s="341" t="s">
        <v>25</v>
      </c>
      <c r="Q1201" s="341">
        <v>0</v>
      </c>
      <c r="R1201" s="342" t="s">
        <v>25</v>
      </c>
      <c r="S1201" s="342" t="s">
        <v>25</v>
      </c>
    </row>
    <row r="1202" spans="1:19" ht="14.25" customHeight="1" x14ac:dyDescent="0.3">
      <c r="A1202" s="335" t="s">
        <v>2467</v>
      </c>
      <c r="B1202" s="335" t="s">
        <v>20</v>
      </c>
      <c r="C1202" s="335"/>
      <c r="D1202" s="335" t="s">
        <v>477</v>
      </c>
      <c r="E1202" s="336" t="s">
        <v>478</v>
      </c>
      <c r="F1202" s="336"/>
      <c r="G1202" s="337">
        <v>1</v>
      </c>
      <c r="H1202" s="338">
        <v>0</v>
      </c>
      <c r="I1202" s="339">
        <v>2637.14184448991</v>
      </c>
      <c r="J1202" s="340">
        <v>2637.14184448991</v>
      </c>
      <c r="K1202" s="335" t="s">
        <v>2468</v>
      </c>
      <c r="L1202" s="335">
        <v>2</v>
      </c>
      <c r="M1202" s="335" t="s">
        <v>2470</v>
      </c>
      <c r="N1202" s="339">
        <v>13</v>
      </c>
      <c r="O1202" s="341">
        <v>1</v>
      </c>
      <c r="P1202" s="341" t="s">
        <v>25</v>
      </c>
      <c r="Q1202" s="341">
        <v>0</v>
      </c>
      <c r="R1202" s="342" t="s">
        <v>25</v>
      </c>
      <c r="S1202" s="342" t="s">
        <v>25</v>
      </c>
    </row>
    <row r="1203" spans="1:19" ht="14.25" customHeight="1" x14ac:dyDescent="0.3">
      <c r="A1203" s="335" t="s">
        <v>2467</v>
      </c>
      <c r="B1203" s="335" t="s">
        <v>26</v>
      </c>
      <c r="C1203" s="335" t="s">
        <v>27</v>
      </c>
      <c r="D1203" s="335" t="s">
        <v>89</v>
      </c>
      <c r="E1203" s="336" t="s">
        <v>90</v>
      </c>
      <c r="F1203" s="336" t="s">
        <v>91</v>
      </c>
      <c r="G1203" s="337">
        <v>0.4</v>
      </c>
      <c r="H1203" s="338">
        <v>0.2</v>
      </c>
      <c r="I1203" s="339">
        <v>3837.96</v>
      </c>
      <c r="J1203" s="340">
        <v>1842.2208000000001</v>
      </c>
      <c r="K1203" s="335" t="s">
        <v>2471</v>
      </c>
      <c r="L1203" s="335">
        <v>1</v>
      </c>
      <c r="M1203" s="335" t="s">
        <v>2472</v>
      </c>
      <c r="N1203" s="339">
        <v>13</v>
      </c>
      <c r="O1203" s="341">
        <v>0.4</v>
      </c>
      <c r="P1203" s="341" t="s">
        <v>25</v>
      </c>
      <c r="Q1203" s="341">
        <v>0</v>
      </c>
      <c r="R1203" s="342" t="s">
        <v>25</v>
      </c>
      <c r="S1203" s="342" t="s">
        <v>25</v>
      </c>
    </row>
    <row r="1204" spans="1:19" ht="14.25" customHeight="1" x14ac:dyDescent="0.3">
      <c r="A1204" s="335" t="s">
        <v>2467</v>
      </c>
      <c r="B1204" s="335" t="s">
        <v>26</v>
      </c>
      <c r="C1204" s="335" t="s">
        <v>27</v>
      </c>
      <c r="D1204" s="335" t="s">
        <v>33</v>
      </c>
      <c r="E1204" s="336" t="s">
        <v>34</v>
      </c>
      <c r="F1204" s="336" t="s">
        <v>35</v>
      </c>
      <c r="G1204" s="337">
        <v>0.01</v>
      </c>
      <c r="H1204" s="338">
        <v>0.03</v>
      </c>
      <c r="I1204" s="339">
        <v>735.06</v>
      </c>
      <c r="J1204" s="340">
        <v>7.5711180000000002</v>
      </c>
      <c r="K1204" s="335" t="s">
        <v>2471</v>
      </c>
      <c r="L1204" s="335">
        <v>2</v>
      </c>
      <c r="M1204" s="335" t="s">
        <v>2473</v>
      </c>
      <c r="N1204" s="339">
        <v>13</v>
      </c>
      <c r="O1204" s="341">
        <v>0.01</v>
      </c>
      <c r="P1204" s="341" t="s">
        <v>25</v>
      </c>
      <c r="Q1204" s="341">
        <v>0</v>
      </c>
      <c r="R1204" s="342" t="s">
        <v>25</v>
      </c>
      <c r="S1204" s="342" t="s">
        <v>25</v>
      </c>
    </row>
    <row r="1205" spans="1:19" ht="14.25" customHeight="1" x14ac:dyDescent="0.3">
      <c r="A1205" s="335" t="s">
        <v>2467</v>
      </c>
      <c r="B1205" s="335" t="s">
        <v>26</v>
      </c>
      <c r="C1205" s="335" t="s">
        <v>27</v>
      </c>
      <c r="D1205" s="335" t="s">
        <v>489</v>
      </c>
      <c r="E1205" s="336" t="s">
        <v>490</v>
      </c>
      <c r="F1205" s="336" t="s">
        <v>35</v>
      </c>
      <c r="G1205" s="337">
        <v>4.0000000000000001E-3</v>
      </c>
      <c r="H1205" s="338">
        <v>0.05</v>
      </c>
      <c r="I1205" s="339">
        <v>20237</v>
      </c>
      <c r="J1205" s="340">
        <v>84.995400000000004</v>
      </c>
      <c r="K1205" s="335" t="s">
        <v>2471</v>
      </c>
      <c r="L1205" s="335">
        <v>3</v>
      </c>
      <c r="M1205" s="335" t="s">
        <v>2474</v>
      </c>
      <c r="N1205" s="339">
        <v>13</v>
      </c>
      <c r="O1205" s="341">
        <v>4.0000000000000001E-3</v>
      </c>
      <c r="P1205" s="341" t="s">
        <v>25</v>
      </c>
      <c r="Q1205" s="341">
        <v>0</v>
      </c>
      <c r="R1205" s="342" t="s">
        <v>25</v>
      </c>
      <c r="S1205" s="342" t="s">
        <v>25</v>
      </c>
    </row>
    <row r="1206" spans="1:19" ht="14.25" customHeight="1" x14ac:dyDescent="0.3">
      <c r="A1206" s="335" t="s">
        <v>2467</v>
      </c>
      <c r="B1206" s="335" t="s">
        <v>26</v>
      </c>
      <c r="C1206" s="335" t="s">
        <v>27</v>
      </c>
      <c r="D1206" s="335" t="s">
        <v>492</v>
      </c>
      <c r="E1206" s="336" t="s">
        <v>493</v>
      </c>
      <c r="F1206" s="336" t="s">
        <v>30</v>
      </c>
      <c r="G1206" s="337">
        <v>0.04</v>
      </c>
      <c r="H1206" s="338">
        <v>0.05</v>
      </c>
      <c r="I1206" s="339">
        <v>44669.4214876033</v>
      </c>
      <c r="J1206" s="340">
        <v>1876.1157024793399</v>
      </c>
      <c r="K1206" s="335" t="s">
        <v>2471</v>
      </c>
      <c r="L1206" s="335">
        <v>4</v>
      </c>
      <c r="M1206" s="335" t="s">
        <v>2475</v>
      </c>
      <c r="N1206" s="339">
        <v>13</v>
      </c>
      <c r="O1206" s="341">
        <v>0.04</v>
      </c>
      <c r="P1206" s="341" t="s">
        <v>25</v>
      </c>
      <c r="Q1206" s="341">
        <v>0</v>
      </c>
      <c r="R1206" s="342" t="s">
        <v>25</v>
      </c>
      <c r="S1206" s="342" t="s">
        <v>25</v>
      </c>
    </row>
    <row r="1207" spans="1:19" ht="14.25" customHeight="1" x14ac:dyDescent="0.3">
      <c r="A1207" s="335" t="s">
        <v>2467</v>
      </c>
      <c r="B1207" s="335" t="s">
        <v>56</v>
      </c>
      <c r="C1207" s="335" t="s">
        <v>57</v>
      </c>
      <c r="D1207" s="343" t="s">
        <v>63</v>
      </c>
      <c r="E1207" s="336" t="s">
        <v>64</v>
      </c>
      <c r="F1207" s="336" t="s">
        <v>60</v>
      </c>
      <c r="G1207" s="337">
        <v>1</v>
      </c>
      <c r="H1207" s="338">
        <v>0</v>
      </c>
      <c r="I1207" s="339">
        <v>85927.097156571996</v>
      </c>
      <c r="J1207" s="340">
        <v>85927.097156571996</v>
      </c>
      <c r="K1207" s="335" t="s">
        <v>2476</v>
      </c>
      <c r="L1207" s="335">
        <v>1</v>
      </c>
      <c r="M1207" s="335" t="s">
        <v>2477</v>
      </c>
      <c r="N1207" s="339">
        <v>13</v>
      </c>
      <c r="O1207" s="341">
        <v>7.69230769230769E-2</v>
      </c>
      <c r="P1207" s="341" t="s">
        <v>25</v>
      </c>
      <c r="Q1207" s="341">
        <v>0</v>
      </c>
      <c r="R1207" s="342" t="s">
        <v>25</v>
      </c>
      <c r="S1207" s="342" t="s">
        <v>25</v>
      </c>
    </row>
    <row r="1208" spans="1:19" ht="14.25" customHeight="1" x14ac:dyDescent="0.3">
      <c r="A1208" s="335" t="s">
        <v>2467</v>
      </c>
      <c r="B1208" s="335" t="s">
        <v>56</v>
      </c>
      <c r="C1208" s="335" t="s">
        <v>57</v>
      </c>
      <c r="D1208" s="343" t="s">
        <v>497</v>
      </c>
      <c r="E1208" s="336" t="s">
        <v>498</v>
      </c>
      <c r="F1208" s="336" t="s">
        <v>60</v>
      </c>
      <c r="G1208" s="337">
        <v>1</v>
      </c>
      <c r="H1208" s="338">
        <v>0</v>
      </c>
      <c r="I1208" s="339">
        <v>76955.079706571996</v>
      </c>
      <c r="J1208" s="340">
        <v>76955.079706571996</v>
      </c>
      <c r="K1208" s="335" t="s">
        <v>2476</v>
      </c>
      <c r="L1208" s="335">
        <v>2</v>
      </c>
      <c r="M1208" s="335" t="s">
        <v>2478</v>
      </c>
      <c r="N1208" s="339">
        <v>13</v>
      </c>
      <c r="O1208" s="341">
        <v>7.69230769230769E-2</v>
      </c>
      <c r="P1208" s="341" t="s">
        <v>25</v>
      </c>
      <c r="Q1208" s="341">
        <v>0</v>
      </c>
      <c r="R1208" s="342" t="s">
        <v>25</v>
      </c>
      <c r="S1208" s="342" t="s">
        <v>25</v>
      </c>
    </row>
    <row r="1209" spans="1:19" ht="14.25" customHeight="1" x14ac:dyDescent="0.3">
      <c r="A1209" s="335" t="s">
        <v>2479</v>
      </c>
      <c r="B1209" s="335" t="s">
        <v>20</v>
      </c>
      <c r="C1209" s="335"/>
      <c r="D1209" s="335" t="s">
        <v>472</v>
      </c>
      <c r="E1209" s="336" t="s">
        <v>473</v>
      </c>
      <c r="F1209" s="336"/>
      <c r="G1209" s="337">
        <v>1</v>
      </c>
      <c r="H1209" s="338">
        <v>0</v>
      </c>
      <c r="I1209" s="339">
        <v>298.42384358082802</v>
      </c>
      <c r="J1209" s="340">
        <v>298.42384358082802</v>
      </c>
      <c r="K1209" s="335" t="s">
        <v>2480</v>
      </c>
      <c r="L1209" s="335">
        <v>1</v>
      </c>
      <c r="M1209" s="335" t="s">
        <v>2481</v>
      </c>
      <c r="N1209" s="339">
        <v>13</v>
      </c>
      <c r="O1209" s="341">
        <v>1</v>
      </c>
      <c r="P1209" s="341" t="s">
        <v>25</v>
      </c>
      <c r="Q1209" s="341">
        <v>0</v>
      </c>
      <c r="R1209" s="342" t="s">
        <v>25</v>
      </c>
      <c r="S1209" s="342" t="s">
        <v>25</v>
      </c>
    </row>
    <row r="1210" spans="1:19" ht="14.25" customHeight="1" x14ac:dyDescent="0.3">
      <c r="A1210" s="335" t="s">
        <v>2479</v>
      </c>
      <c r="B1210" s="335" t="s">
        <v>20</v>
      </c>
      <c r="C1210" s="335"/>
      <c r="D1210" s="335" t="s">
        <v>477</v>
      </c>
      <c r="E1210" s="336" t="s">
        <v>478</v>
      </c>
      <c r="F1210" s="336"/>
      <c r="G1210" s="337">
        <v>1</v>
      </c>
      <c r="H1210" s="338">
        <v>0</v>
      </c>
      <c r="I1210" s="339">
        <v>2637.14184448991</v>
      </c>
      <c r="J1210" s="340">
        <v>2637.14184448991</v>
      </c>
      <c r="K1210" s="335" t="s">
        <v>2480</v>
      </c>
      <c r="L1210" s="335">
        <v>2</v>
      </c>
      <c r="M1210" s="335" t="s">
        <v>2482</v>
      </c>
      <c r="N1210" s="339">
        <v>13</v>
      </c>
      <c r="O1210" s="341">
        <v>1</v>
      </c>
      <c r="P1210" s="341" t="s">
        <v>25</v>
      </c>
      <c r="Q1210" s="341">
        <v>0</v>
      </c>
      <c r="R1210" s="342" t="s">
        <v>25</v>
      </c>
      <c r="S1210" s="342" t="s">
        <v>25</v>
      </c>
    </row>
    <row r="1211" spans="1:19" ht="14.25" customHeight="1" x14ac:dyDescent="0.3">
      <c r="A1211" s="335" t="s">
        <v>2479</v>
      </c>
      <c r="B1211" s="335" t="s">
        <v>26</v>
      </c>
      <c r="C1211" s="335" t="s">
        <v>27</v>
      </c>
      <c r="D1211" s="335" t="s">
        <v>89</v>
      </c>
      <c r="E1211" s="336" t="s">
        <v>90</v>
      </c>
      <c r="F1211" s="336" t="s">
        <v>91</v>
      </c>
      <c r="G1211" s="337">
        <v>0.4</v>
      </c>
      <c r="H1211" s="338">
        <v>0.2</v>
      </c>
      <c r="I1211" s="339">
        <v>3837.96</v>
      </c>
      <c r="J1211" s="340">
        <v>1842.2208000000001</v>
      </c>
      <c r="K1211" s="335" t="s">
        <v>2483</v>
      </c>
      <c r="L1211" s="335">
        <v>1</v>
      </c>
      <c r="M1211" s="335" t="s">
        <v>2484</v>
      </c>
      <c r="N1211" s="339">
        <v>13</v>
      </c>
      <c r="O1211" s="341">
        <v>0.4</v>
      </c>
      <c r="P1211" s="341" t="s">
        <v>25</v>
      </c>
      <c r="Q1211" s="341">
        <v>0</v>
      </c>
      <c r="R1211" s="342" t="s">
        <v>25</v>
      </c>
      <c r="S1211" s="342" t="s">
        <v>25</v>
      </c>
    </row>
    <row r="1212" spans="1:19" ht="14.25" customHeight="1" x14ac:dyDescent="0.3">
      <c r="A1212" s="335" t="s">
        <v>2479</v>
      </c>
      <c r="B1212" s="335" t="s">
        <v>26</v>
      </c>
      <c r="C1212" s="335" t="s">
        <v>27</v>
      </c>
      <c r="D1212" s="335" t="s">
        <v>33</v>
      </c>
      <c r="E1212" s="336" t="s">
        <v>34</v>
      </c>
      <c r="F1212" s="336" t="s">
        <v>35</v>
      </c>
      <c r="G1212" s="337">
        <v>0.01</v>
      </c>
      <c r="H1212" s="338">
        <v>0.03</v>
      </c>
      <c r="I1212" s="339">
        <v>735.06</v>
      </c>
      <c r="J1212" s="340">
        <v>7.5711180000000002</v>
      </c>
      <c r="K1212" s="335" t="s">
        <v>2483</v>
      </c>
      <c r="L1212" s="335">
        <v>2</v>
      </c>
      <c r="M1212" s="335" t="s">
        <v>2485</v>
      </c>
      <c r="N1212" s="339">
        <v>13</v>
      </c>
      <c r="O1212" s="341">
        <v>0.01</v>
      </c>
      <c r="P1212" s="341" t="s">
        <v>25</v>
      </c>
      <c r="Q1212" s="341">
        <v>0</v>
      </c>
      <c r="R1212" s="342" t="s">
        <v>25</v>
      </c>
      <c r="S1212" s="342" t="s">
        <v>25</v>
      </c>
    </row>
    <row r="1213" spans="1:19" ht="14.25" customHeight="1" x14ac:dyDescent="0.3">
      <c r="A1213" s="335" t="s">
        <v>2479</v>
      </c>
      <c r="B1213" s="335" t="s">
        <v>26</v>
      </c>
      <c r="C1213" s="335" t="s">
        <v>27</v>
      </c>
      <c r="D1213" s="335" t="s">
        <v>489</v>
      </c>
      <c r="E1213" s="336" t="s">
        <v>490</v>
      </c>
      <c r="F1213" s="336" t="s">
        <v>35</v>
      </c>
      <c r="G1213" s="337">
        <v>4.0000000000000001E-3</v>
      </c>
      <c r="H1213" s="338">
        <v>0.05</v>
      </c>
      <c r="I1213" s="339">
        <v>20237</v>
      </c>
      <c r="J1213" s="340">
        <v>84.995400000000004</v>
      </c>
      <c r="K1213" s="335" t="s">
        <v>2483</v>
      </c>
      <c r="L1213" s="335">
        <v>3</v>
      </c>
      <c r="M1213" s="335" t="s">
        <v>2486</v>
      </c>
      <c r="N1213" s="339">
        <v>13</v>
      </c>
      <c r="O1213" s="341">
        <v>4.0000000000000001E-3</v>
      </c>
      <c r="P1213" s="341" t="s">
        <v>25</v>
      </c>
      <c r="Q1213" s="341">
        <v>0</v>
      </c>
      <c r="R1213" s="342" t="s">
        <v>25</v>
      </c>
      <c r="S1213" s="342" t="s">
        <v>25</v>
      </c>
    </row>
    <row r="1214" spans="1:19" ht="14.25" customHeight="1" x14ac:dyDescent="0.3">
      <c r="A1214" s="335" t="s">
        <v>2479</v>
      </c>
      <c r="B1214" s="335" t="s">
        <v>26</v>
      </c>
      <c r="C1214" s="335" t="s">
        <v>27</v>
      </c>
      <c r="D1214" s="335" t="s">
        <v>492</v>
      </c>
      <c r="E1214" s="336" t="s">
        <v>493</v>
      </c>
      <c r="F1214" s="336" t="s">
        <v>30</v>
      </c>
      <c r="G1214" s="337">
        <v>0.04</v>
      </c>
      <c r="H1214" s="338">
        <v>0.05</v>
      </c>
      <c r="I1214" s="339">
        <v>44669.4214876033</v>
      </c>
      <c r="J1214" s="340">
        <v>1876.1157024793399</v>
      </c>
      <c r="K1214" s="335" t="s">
        <v>2483</v>
      </c>
      <c r="L1214" s="335">
        <v>4</v>
      </c>
      <c r="M1214" s="335" t="s">
        <v>2487</v>
      </c>
      <c r="N1214" s="339">
        <v>13</v>
      </c>
      <c r="O1214" s="341">
        <v>0.04</v>
      </c>
      <c r="P1214" s="341" t="s">
        <v>25</v>
      </c>
      <c r="Q1214" s="341">
        <v>0</v>
      </c>
      <c r="R1214" s="342" t="s">
        <v>25</v>
      </c>
      <c r="S1214" s="342" t="s">
        <v>25</v>
      </c>
    </row>
    <row r="1215" spans="1:19" ht="14.25" customHeight="1" x14ac:dyDescent="0.3">
      <c r="A1215" s="335" t="s">
        <v>2479</v>
      </c>
      <c r="B1215" s="335" t="s">
        <v>56</v>
      </c>
      <c r="C1215" s="335" t="s">
        <v>57</v>
      </c>
      <c r="D1215" s="343" t="s">
        <v>63</v>
      </c>
      <c r="E1215" s="336" t="s">
        <v>64</v>
      </c>
      <c r="F1215" s="336" t="s">
        <v>60</v>
      </c>
      <c r="G1215" s="337">
        <v>1</v>
      </c>
      <c r="H1215" s="338">
        <v>0</v>
      </c>
      <c r="I1215" s="339">
        <v>85927.097156571996</v>
      </c>
      <c r="J1215" s="340">
        <v>85927.097156571996</v>
      </c>
      <c r="K1215" s="335" t="s">
        <v>2488</v>
      </c>
      <c r="L1215" s="335">
        <v>1</v>
      </c>
      <c r="M1215" s="335" t="s">
        <v>2489</v>
      </c>
      <c r="N1215" s="339">
        <v>13</v>
      </c>
      <c r="O1215" s="341">
        <v>7.69230769230769E-2</v>
      </c>
      <c r="P1215" s="341" t="s">
        <v>25</v>
      </c>
      <c r="Q1215" s="341">
        <v>0</v>
      </c>
      <c r="R1215" s="342" t="s">
        <v>25</v>
      </c>
      <c r="S1215" s="342" t="s">
        <v>25</v>
      </c>
    </row>
    <row r="1216" spans="1:19" ht="14.25" customHeight="1" x14ac:dyDescent="0.3">
      <c r="A1216" s="335" t="s">
        <v>2479</v>
      </c>
      <c r="B1216" s="335" t="s">
        <v>56</v>
      </c>
      <c r="C1216" s="335" t="s">
        <v>57</v>
      </c>
      <c r="D1216" s="343" t="s">
        <v>497</v>
      </c>
      <c r="E1216" s="336" t="s">
        <v>498</v>
      </c>
      <c r="F1216" s="336" t="s">
        <v>60</v>
      </c>
      <c r="G1216" s="337">
        <v>1</v>
      </c>
      <c r="H1216" s="338">
        <v>0</v>
      </c>
      <c r="I1216" s="339">
        <v>76955.079706571996</v>
      </c>
      <c r="J1216" s="340">
        <v>76955.079706571996</v>
      </c>
      <c r="K1216" s="335" t="s">
        <v>2488</v>
      </c>
      <c r="L1216" s="335">
        <v>2</v>
      </c>
      <c r="M1216" s="335" t="s">
        <v>2490</v>
      </c>
      <c r="N1216" s="339">
        <v>13</v>
      </c>
      <c r="O1216" s="341">
        <v>7.69230769230769E-2</v>
      </c>
      <c r="P1216" s="341" t="s">
        <v>25</v>
      </c>
      <c r="Q1216" s="341">
        <v>0</v>
      </c>
      <c r="R1216" s="342" t="s">
        <v>25</v>
      </c>
      <c r="S1216" s="342" t="s">
        <v>25</v>
      </c>
    </row>
    <row r="1217" spans="1:19" ht="14.25" customHeight="1" x14ac:dyDescent="0.3">
      <c r="A1217" s="335" t="s">
        <v>2491</v>
      </c>
      <c r="B1217" s="335" t="s">
        <v>20</v>
      </c>
      <c r="C1217" s="335"/>
      <c r="D1217" s="335" t="s">
        <v>67</v>
      </c>
      <c r="E1217" s="336" t="s">
        <v>68</v>
      </c>
      <c r="F1217" s="336"/>
      <c r="G1217" s="337">
        <v>0.5</v>
      </c>
      <c r="H1217" s="338">
        <v>0</v>
      </c>
      <c r="I1217" s="339">
        <v>571.17949098076099</v>
      </c>
      <c r="J1217" s="340">
        <v>285.58974549038101</v>
      </c>
      <c r="K1217" s="335" t="s">
        <v>2492</v>
      </c>
      <c r="L1217" s="335">
        <v>1</v>
      </c>
      <c r="M1217" s="335" t="s">
        <v>2493</v>
      </c>
      <c r="N1217" s="339">
        <v>28</v>
      </c>
      <c r="O1217" s="341">
        <v>0.5</v>
      </c>
      <c r="P1217" s="341">
        <v>19</v>
      </c>
      <c r="Q1217" s="341">
        <v>9.5</v>
      </c>
      <c r="R1217" s="342">
        <v>12.01</v>
      </c>
      <c r="S1217" s="342" t="s">
        <v>476</v>
      </c>
    </row>
    <row r="1218" spans="1:19" ht="14.25" customHeight="1" x14ac:dyDescent="0.3">
      <c r="A1218" s="335" t="s">
        <v>2491</v>
      </c>
      <c r="B1218" s="335" t="s">
        <v>20</v>
      </c>
      <c r="C1218" s="335"/>
      <c r="D1218" s="335" t="s">
        <v>71</v>
      </c>
      <c r="E1218" s="336" t="s">
        <v>72</v>
      </c>
      <c r="F1218" s="336"/>
      <c r="G1218" s="337">
        <v>1</v>
      </c>
      <c r="H1218" s="338">
        <v>0</v>
      </c>
      <c r="I1218" s="339">
        <v>2287.1357450968098</v>
      </c>
      <c r="J1218" s="340">
        <v>2287.1357450968098</v>
      </c>
      <c r="K1218" s="335" t="s">
        <v>2492</v>
      </c>
      <c r="L1218" s="335">
        <v>2</v>
      </c>
      <c r="M1218" s="335" t="s">
        <v>2494</v>
      </c>
      <c r="N1218" s="339">
        <v>28</v>
      </c>
      <c r="O1218" s="341">
        <v>1</v>
      </c>
      <c r="P1218" s="341">
        <v>19</v>
      </c>
      <c r="Q1218" s="341">
        <v>19</v>
      </c>
      <c r="R1218" s="342">
        <v>12.01</v>
      </c>
      <c r="S1218" s="342" t="s">
        <v>476</v>
      </c>
    </row>
    <row r="1219" spans="1:19" ht="14.25" customHeight="1" x14ac:dyDescent="0.3">
      <c r="A1219" s="335" t="s">
        <v>2491</v>
      </c>
      <c r="B1219" s="335" t="s">
        <v>20</v>
      </c>
      <c r="C1219" s="335"/>
      <c r="D1219" s="335" t="s">
        <v>74</v>
      </c>
      <c r="E1219" s="336" t="s">
        <v>75</v>
      </c>
      <c r="F1219" s="336"/>
      <c r="G1219" s="337">
        <v>1</v>
      </c>
      <c r="H1219" s="338">
        <v>0</v>
      </c>
      <c r="I1219" s="339">
        <v>957.25319614994703</v>
      </c>
      <c r="J1219" s="340">
        <v>957.25319614994703</v>
      </c>
      <c r="K1219" s="335" t="s">
        <v>2492</v>
      </c>
      <c r="L1219" s="335">
        <v>3</v>
      </c>
      <c r="M1219" s="335" t="s">
        <v>2495</v>
      </c>
      <c r="N1219" s="339">
        <v>28</v>
      </c>
      <c r="O1219" s="341">
        <v>1</v>
      </c>
      <c r="P1219" s="341">
        <v>19</v>
      </c>
      <c r="Q1219" s="341">
        <v>19</v>
      </c>
      <c r="R1219" s="342">
        <v>12.01</v>
      </c>
      <c r="S1219" s="342" t="s">
        <v>476</v>
      </c>
    </row>
    <row r="1220" spans="1:19" ht="14.25" customHeight="1" x14ac:dyDescent="0.3">
      <c r="A1220" s="335" t="s">
        <v>2491</v>
      </c>
      <c r="B1220" s="335" t="s">
        <v>26</v>
      </c>
      <c r="C1220" s="335" t="s">
        <v>27</v>
      </c>
      <c r="D1220" s="335" t="s">
        <v>81</v>
      </c>
      <c r="E1220" s="336" t="s">
        <v>82</v>
      </c>
      <c r="F1220" s="336" t="s">
        <v>83</v>
      </c>
      <c r="G1220" s="337">
        <v>6.0000000000000001E-3</v>
      </c>
      <c r="H1220" s="338">
        <v>0.1</v>
      </c>
      <c r="I1220" s="339">
        <v>32399.77</v>
      </c>
      <c r="J1220" s="340">
        <v>213.838482</v>
      </c>
      <c r="K1220" s="335" t="s">
        <v>2496</v>
      </c>
      <c r="L1220" s="335">
        <v>1</v>
      </c>
      <c r="M1220" s="335" t="s">
        <v>2497</v>
      </c>
      <c r="N1220" s="339">
        <v>28</v>
      </c>
      <c r="O1220" s="341">
        <v>6.0000000000000001E-3</v>
      </c>
      <c r="P1220" s="341">
        <v>19</v>
      </c>
      <c r="Q1220" s="341">
        <v>0.114</v>
      </c>
      <c r="R1220" s="342">
        <v>12.01</v>
      </c>
      <c r="S1220" s="342" t="s">
        <v>476</v>
      </c>
    </row>
    <row r="1221" spans="1:19" ht="14.25" customHeight="1" x14ac:dyDescent="0.3">
      <c r="A1221" s="335" t="s">
        <v>2491</v>
      </c>
      <c r="B1221" s="335" t="s">
        <v>26</v>
      </c>
      <c r="C1221" s="335" t="s">
        <v>27</v>
      </c>
      <c r="D1221" s="335" t="s">
        <v>85</v>
      </c>
      <c r="E1221" s="336" t="s">
        <v>86</v>
      </c>
      <c r="F1221" s="336" t="s">
        <v>87</v>
      </c>
      <c r="G1221" s="337">
        <v>5.3999999999999999E-2</v>
      </c>
      <c r="H1221" s="338">
        <v>0.1</v>
      </c>
      <c r="I1221" s="339">
        <v>7809.48</v>
      </c>
      <c r="J1221" s="340">
        <v>463.88311199999998</v>
      </c>
      <c r="K1221" s="335" t="s">
        <v>2496</v>
      </c>
      <c r="L1221" s="335">
        <v>2</v>
      </c>
      <c r="M1221" s="335" t="s">
        <v>2498</v>
      </c>
      <c r="N1221" s="339">
        <v>28</v>
      </c>
      <c r="O1221" s="341">
        <v>5.3999999999999999E-2</v>
      </c>
      <c r="P1221" s="341">
        <v>19</v>
      </c>
      <c r="Q1221" s="341">
        <v>1.026</v>
      </c>
      <c r="R1221" s="342">
        <v>12.01</v>
      </c>
      <c r="S1221" s="342" t="s">
        <v>476</v>
      </c>
    </row>
    <row r="1222" spans="1:19" ht="14.25" customHeight="1" x14ac:dyDescent="0.3">
      <c r="A1222" s="335" t="s">
        <v>2491</v>
      </c>
      <c r="B1222" s="335" t="s">
        <v>26</v>
      </c>
      <c r="C1222" s="335" t="s">
        <v>27</v>
      </c>
      <c r="D1222" s="335" t="s">
        <v>165</v>
      </c>
      <c r="E1222" s="336" t="s">
        <v>166</v>
      </c>
      <c r="F1222" s="336" t="s">
        <v>167</v>
      </c>
      <c r="G1222" s="337">
        <v>0.1</v>
      </c>
      <c r="H1222" s="338">
        <v>0.05</v>
      </c>
      <c r="I1222" s="339">
        <v>1256.1279999999999</v>
      </c>
      <c r="J1222" s="340">
        <v>131.89344</v>
      </c>
      <c r="K1222" s="335" t="s">
        <v>2496</v>
      </c>
      <c r="L1222" s="335">
        <v>3</v>
      </c>
      <c r="M1222" s="335" t="s">
        <v>2499</v>
      </c>
      <c r="N1222" s="339">
        <v>28</v>
      </c>
      <c r="O1222" s="341">
        <v>0.1</v>
      </c>
      <c r="P1222" s="341">
        <v>19</v>
      </c>
      <c r="Q1222" s="341">
        <v>1.9</v>
      </c>
      <c r="R1222" s="342">
        <v>12.01</v>
      </c>
      <c r="S1222" s="342" t="s">
        <v>476</v>
      </c>
    </row>
    <row r="1223" spans="1:19" ht="14.25" customHeight="1" x14ac:dyDescent="0.3">
      <c r="A1223" s="335" t="s">
        <v>2491</v>
      </c>
      <c r="B1223" s="335" t="s">
        <v>56</v>
      </c>
      <c r="C1223" s="335" t="s">
        <v>57</v>
      </c>
      <c r="D1223" s="343" t="s">
        <v>58</v>
      </c>
      <c r="E1223" s="336" t="s">
        <v>59</v>
      </c>
      <c r="F1223" s="336" t="s">
        <v>60</v>
      </c>
      <c r="G1223" s="337">
        <v>0.4</v>
      </c>
      <c r="H1223" s="338">
        <v>0</v>
      </c>
      <c r="I1223" s="339">
        <v>60860.580776572002</v>
      </c>
      <c r="J1223" s="340">
        <v>24344.232310628799</v>
      </c>
      <c r="K1223" s="335" t="s">
        <v>2500</v>
      </c>
      <c r="L1223" s="335">
        <v>1</v>
      </c>
      <c r="M1223" s="335" t="s">
        <v>2501</v>
      </c>
      <c r="N1223" s="339">
        <v>28</v>
      </c>
      <c r="O1223" s="341">
        <v>1.4285714285714299E-2</v>
      </c>
      <c r="P1223" s="341">
        <v>19</v>
      </c>
      <c r="Q1223" s="341">
        <v>0.27142857142857202</v>
      </c>
      <c r="R1223" s="342">
        <v>12.01</v>
      </c>
      <c r="S1223" s="342" t="s">
        <v>476</v>
      </c>
    </row>
    <row r="1224" spans="1:19" ht="14.25" customHeight="1" x14ac:dyDescent="0.3">
      <c r="A1224" s="335" t="s">
        <v>2491</v>
      </c>
      <c r="B1224" s="335" t="s">
        <v>56</v>
      </c>
      <c r="C1224" s="335" t="s">
        <v>57</v>
      </c>
      <c r="D1224" s="343" t="s">
        <v>63</v>
      </c>
      <c r="E1224" s="336" t="s">
        <v>64</v>
      </c>
      <c r="F1224" s="336" t="s">
        <v>60</v>
      </c>
      <c r="G1224" s="337">
        <v>1</v>
      </c>
      <c r="H1224" s="338">
        <v>0</v>
      </c>
      <c r="I1224" s="339">
        <v>85927.097156571996</v>
      </c>
      <c r="J1224" s="340">
        <v>85927.097156571996</v>
      </c>
      <c r="K1224" s="335" t="s">
        <v>2500</v>
      </c>
      <c r="L1224" s="335">
        <v>2</v>
      </c>
      <c r="M1224" s="335" t="s">
        <v>2502</v>
      </c>
      <c r="N1224" s="339">
        <v>28</v>
      </c>
      <c r="O1224" s="341">
        <v>3.5714285714285698E-2</v>
      </c>
      <c r="P1224" s="341">
        <v>19</v>
      </c>
      <c r="Q1224" s="341">
        <v>0.67857142857142905</v>
      </c>
      <c r="R1224" s="342">
        <v>12.01</v>
      </c>
      <c r="S1224" s="342" t="s">
        <v>476</v>
      </c>
    </row>
    <row r="1225" spans="1:19" ht="14.25" customHeight="1" x14ac:dyDescent="0.3">
      <c r="A1225" s="335" t="s">
        <v>2503</v>
      </c>
      <c r="B1225" s="335" t="s">
        <v>20</v>
      </c>
      <c r="C1225" s="335"/>
      <c r="D1225" s="335" t="s">
        <v>2504</v>
      </c>
      <c r="E1225" s="336" t="s">
        <v>2505</v>
      </c>
      <c r="F1225" s="336"/>
      <c r="G1225" s="337">
        <v>1</v>
      </c>
      <c r="H1225" s="338">
        <v>0</v>
      </c>
      <c r="I1225" s="339">
        <v>100.443260520069</v>
      </c>
      <c r="J1225" s="340">
        <v>100.443260520069</v>
      </c>
      <c r="K1225" s="335" t="s">
        <v>2506</v>
      </c>
      <c r="L1225" s="335">
        <v>1</v>
      </c>
      <c r="M1225" s="335" t="s">
        <v>2507</v>
      </c>
      <c r="N1225" s="339">
        <v>1</v>
      </c>
      <c r="O1225" s="341">
        <v>1</v>
      </c>
      <c r="P1225" s="341">
        <v>626</v>
      </c>
      <c r="Q1225" s="341">
        <v>626</v>
      </c>
      <c r="R1225" s="342">
        <v>12.02</v>
      </c>
      <c r="S1225" s="342" t="s">
        <v>476</v>
      </c>
    </row>
    <row r="1226" spans="1:19" ht="14.25" customHeight="1" x14ac:dyDescent="0.3">
      <c r="A1226" s="335" t="s">
        <v>2503</v>
      </c>
      <c r="B1226" s="335" t="s">
        <v>26</v>
      </c>
      <c r="C1226" s="335" t="s">
        <v>27</v>
      </c>
      <c r="D1226" s="335" t="s">
        <v>2070</v>
      </c>
      <c r="E1226" s="336" t="s">
        <v>2071</v>
      </c>
      <c r="F1226" s="336" t="s">
        <v>35</v>
      </c>
      <c r="G1226" s="337">
        <v>0.2</v>
      </c>
      <c r="H1226" s="338">
        <v>0</v>
      </c>
      <c r="I1226" s="339">
        <v>25454.5454545455</v>
      </c>
      <c r="J1226" s="340">
        <v>5090.9090909091001</v>
      </c>
      <c r="K1226" s="335" t="s">
        <v>2508</v>
      </c>
      <c r="L1226" s="335">
        <v>1</v>
      </c>
      <c r="M1226" s="335" t="s">
        <v>2509</v>
      </c>
      <c r="N1226" s="339">
        <v>1</v>
      </c>
      <c r="O1226" s="341">
        <v>0.2</v>
      </c>
      <c r="P1226" s="341">
        <v>626</v>
      </c>
      <c r="Q1226" s="341">
        <v>125.2</v>
      </c>
      <c r="R1226" s="342">
        <v>12.02</v>
      </c>
      <c r="S1226" s="342" t="s">
        <v>476</v>
      </c>
    </row>
    <row r="1227" spans="1:19" ht="14.25" customHeight="1" x14ac:dyDescent="0.3">
      <c r="A1227" s="335" t="s">
        <v>2503</v>
      </c>
      <c r="B1227" s="335" t="s">
        <v>26</v>
      </c>
      <c r="C1227" s="335" t="s">
        <v>27</v>
      </c>
      <c r="D1227" s="335" t="s">
        <v>2510</v>
      </c>
      <c r="E1227" s="336" t="s">
        <v>2511</v>
      </c>
      <c r="F1227" s="336" t="s">
        <v>744</v>
      </c>
      <c r="G1227" s="337">
        <v>1</v>
      </c>
      <c r="H1227" s="338">
        <v>0</v>
      </c>
      <c r="I1227" s="339">
        <v>2000</v>
      </c>
      <c r="J1227" s="340">
        <v>2000</v>
      </c>
      <c r="K1227" s="335" t="s">
        <v>2508</v>
      </c>
      <c r="L1227" s="335">
        <v>2</v>
      </c>
      <c r="M1227" s="335" t="s">
        <v>2512</v>
      </c>
      <c r="N1227" s="339">
        <v>1</v>
      </c>
      <c r="O1227" s="341">
        <v>1</v>
      </c>
      <c r="P1227" s="341">
        <v>626</v>
      </c>
      <c r="Q1227" s="341">
        <v>626</v>
      </c>
      <c r="R1227" s="342">
        <v>12.02</v>
      </c>
      <c r="S1227" s="342" t="s">
        <v>476</v>
      </c>
    </row>
    <row r="1228" spans="1:19" ht="14.25" customHeight="1" x14ac:dyDescent="0.3">
      <c r="A1228" s="335" t="s">
        <v>2503</v>
      </c>
      <c r="B1228" s="335" t="s">
        <v>56</v>
      </c>
      <c r="C1228" s="335" t="s">
        <v>57</v>
      </c>
      <c r="D1228" s="343" t="s">
        <v>497</v>
      </c>
      <c r="E1228" s="336" t="s">
        <v>498</v>
      </c>
      <c r="F1228" s="336" t="s">
        <v>60</v>
      </c>
      <c r="G1228" s="337">
        <v>4.1533546325878599E-2</v>
      </c>
      <c r="H1228" s="338">
        <v>0</v>
      </c>
      <c r="I1228" s="339">
        <v>76955.079706571996</v>
      </c>
      <c r="J1228" s="340">
        <v>3196.2173680045898</v>
      </c>
      <c r="K1228" s="335" t="s">
        <v>2513</v>
      </c>
      <c r="L1228" s="335">
        <v>1</v>
      </c>
      <c r="M1228" s="335" t="s">
        <v>2514</v>
      </c>
      <c r="N1228" s="339">
        <v>1</v>
      </c>
      <c r="O1228" s="341">
        <v>4.1533546325878599E-2</v>
      </c>
      <c r="P1228" s="341">
        <v>626</v>
      </c>
      <c r="Q1228" s="341">
        <v>26</v>
      </c>
      <c r="R1228" s="342">
        <v>12.02</v>
      </c>
      <c r="S1228" s="342" t="s">
        <v>476</v>
      </c>
    </row>
    <row r="1229" spans="1:19" ht="14.25" customHeight="1" x14ac:dyDescent="0.3">
      <c r="A1229" s="335" t="s">
        <v>2515</v>
      </c>
      <c r="B1229" s="335" t="s">
        <v>20</v>
      </c>
      <c r="C1229" s="335"/>
      <c r="D1229" s="335" t="s">
        <v>472</v>
      </c>
      <c r="E1229" s="336" t="s">
        <v>473</v>
      </c>
      <c r="F1229" s="336"/>
      <c r="G1229" s="337">
        <v>1</v>
      </c>
      <c r="H1229" s="338">
        <v>0</v>
      </c>
      <c r="I1229" s="339">
        <v>298.42384358082802</v>
      </c>
      <c r="J1229" s="340">
        <v>298.42384358082802</v>
      </c>
      <c r="K1229" s="335" t="s">
        <v>2516</v>
      </c>
      <c r="L1229" s="335">
        <v>1</v>
      </c>
      <c r="M1229" s="335" t="s">
        <v>2517</v>
      </c>
      <c r="N1229" s="339">
        <v>30</v>
      </c>
      <c r="O1229" s="341">
        <v>1</v>
      </c>
      <c r="P1229" s="341" t="s">
        <v>25</v>
      </c>
      <c r="Q1229" s="341">
        <v>0</v>
      </c>
      <c r="R1229" s="342" t="s">
        <v>25</v>
      </c>
      <c r="S1229" s="342" t="s">
        <v>25</v>
      </c>
    </row>
    <row r="1230" spans="1:19" ht="14.25" customHeight="1" x14ac:dyDescent="0.3">
      <c r="A1230" s="335" t="s">
        <v>2515</v>
      </c>
      <c r="B1230" s="335" t="s">
        <v>20</v>
      </c>
      <c r="C1230" s="335"/>
      <c r="D1230" s="335" t="s">
        <v>477</v>
      </c>
      <c r="E1230" s="336" t="s">
        <v>478</v>
      </c>
      <c r="F1230" s="336"/>
      <c r="G1230" s="337">
        <v>1</v>
      </c>
      <c r="H1230" s="338">
        <v>0</v>
      </c>
      <c r="I1230" s="339">
        <v>2637.14184448991</v>
      </c>
      <c r="J1230" s="340">
        <v>2637.14184448991</v>
      </c>
      <c r="K1230" s="335" t="s">
        <v>2516</v>
      </c>
      <c r="L1230" s="335">
        <v>2</v>
      </c>
      <c r="M1230" s="335" t="s">
        <v>2518</v>
      </c>
      <c r="N1230" s="339">
        <v>30</v>
      </c>
      <c r="O1230" s="341">
        <v>1</v>
      </c>
      <c r="P1230" s="341" t="s">
        <v>25</v>
      </c>
      <c r="Q1230" s="341">
        <v>0</v>
      </c>
      <c r="R1230" s="342" t="s">
        <v>25</v>
      </c>
      <c r="S1230" s="342" t="s">
        <v>25</v>
      </c>
    </row>
    <row r="1231" spans="1:19" ht="14.25" customHeight="1" x14ac:dyDescent="0.3">
      <c r="A1231" s="335" t="s">
        <v>2515</v>
      </c>
      <c r="B1231" s="335" t="s">
        <v>26</v>
      </c>
      <c r="C1231" s="335" t="s">
        <v>27</v>
      </c>
      <c r="D1231" s="335" t="s">
        <v>89</v>
      </c>
      <c r="E1231" s="336" t="s">
        <v>90</v>
      </c>
      <c r="F1231" s="336" t="s">
        <v>91</v>
      </c>
      <c r="G1231" s="337">
        <v>0.08</v>
      </c>
      <c r="H1231" s="338">
        <v>0.2</v>
      </c>
      <c r="I1231" s="339">
        <v>3837.96</v>
      </c>
      <c r="J1231" s="340">
        <v>368.44416000000001</v>
      </c>
      <c r="K1231" s="335" t="s">
        <v>2519</v>
      </c>
      <c r="L1231" s="335">
        <v>1</v>
      </c>
      <c r="M1231" s="335" t="s">
        <v>2520</v>
      </c>
      <c r="N1231" s="339">
        <v>30</v>
      </c>
      <c r="O1231" s="341">
        <v>0.08</v>
      </c>
      <c r="P1231" s="341" t="s">
        <v>25</v>
      </c>
      <c r="Q1231" s="341">
        <v>0</v>
      </c>
      <c r="R1231" s="342" t="s">
        <v>25</v>
      </c>
      <c r="S1231" s="342" t="s">
        <v>25</v>
      </c>
    </row>
    <row r="1232" spans="1:19" ht="14.25" customHeight="1" x14ac:dyDescent="0.3">
      <c r="A1232" s="335" t="s">
        <v>2515</v>
      </c>
      <c r="B1232" s="335" t="s">
        <v>26</v>
      </c>
      <c r="C1232" s="335" t="s">
        <v>27</v>
      </c>
      <c r="D1232" s="335" t="s">
        <v>33</v>
      </c>
      <c r="E1232" s="336" t="s">
        <v>34</v>
      </c>
      <c r="F1232" s="336" t="s">
        <v>35</v>
      </c>
      <c r="G1232" s="337">
        <v>0.01</v>
      </c>
      <c r="H1232" s="338">
        <v>0.03</v>
      </c>
      <c r="I1232" s="339">
        <v>735.06</v>
      </c>
      <c r="J1232" s="340">
        <v>7.5711180000000002</v>
      </c>
      <c r="K1232" s="335" t="s">
        <v>2519</v>
      </c>
      <c r="L1232" s="335">
        <v>2</v>
      </c>
      <c r="M1232" s="335" t="s">
        <v>2521</v>
      </c>
      <c r="N1232" s="339">
        <v>30</v>
      </c>
      <c r="O1232" s="341">
        <v>0.01</v>
      </c>
      <c r="P1232" s="341" t="s">
        <v>25</v>
      </c>
      <c r="Q1232" s="341">
        <v>0</v>
      </c>
      <c r="R1232" s="342" t="s">
        <v>25</v>
      </c>
      <c r="S1232" s="342" t="s">
        <v>25</v>
      </c>
    </row>
    <row r="1233" spans="1:19" ht="14.25" customHeight="1" x14ac:dyDescent="0.3">
      <c r="A1233" s="335" t="s">
        <v>2515</v>
      </c>
      <c r="B1233" s="335" t="s">
        <v>26</v>
      </c>
      <c r="C1233" s="335" t="s">
        <v>27</v>
      </c>
      <c r="D1233" s="335" t="s">
        <v>489</v>
      </c>
      <c r="E1233" s="336" t="s">
        <v>490</v>
      </c>
      <c r="F1233" s="336" t="s">
        <v>35</v>
      </c>
      <c r="G1233" s="337">
        <v>1E-3</v>
      </c>
      <c r="H1233" s="338">
        <v>0.05</v>
      </c>
      <c r="I1233" s="339">
        <v>20237</v>
      </c>
      <c r="J1233" s="340">
        <v>21.248850000000001</v>
      </c>
      <c r="K1233" s="335" t="s">
        <v>2519</v>
      </c>
      <c r="L1233" s="335">
        <v>3</v>
      </c>
      <c r="M1233" s="335" t="s">
        <v>2522</v>
      </c>
      <c r="N1233" s="339">
        <v>30</v>
      </c>
      <c r="O1233" s="341">
        <v>1E-3</v>
      </c>
      <c r="P1233" s="341" t="s">
        <v>25</v>
      </c>
      <c r="Q1233" s="341">
        <v>0</v>
      </c>
      <c r="R1233" s="342" t="s">
        <v>25</v>
      </c>
      <c r="S1233" s="342" t="s">
        <v>25</v>
      </c>
    </row>
    <row r="1234" spans="1:19" ht="14.25" customHeight="1" x14ac:dyDescent="0.3">
      <c r="A1234" s="335" t="s">
        <v>2515</v>
      </c>
      <c r="B1234" s="335" t="s">
        <v>56</v>
      </c>
      <c r="C1234" s="335" t="s">
        <v>57</v>
      </c>
      <c r="D1234" s="343" t="s">
        <v>63</v>
      </c>
      <c r="E1234" s="336" t="s">
        <v>64</v>
      </c>
      <c r="F1234" s="336" t="s">
        <v>60</v>
      </c>
      <c r="G1234" s="337">
        <v>1</v>
      </c>
      <c r="H1234" s="338">
        <v>0</v>
      </c>
      <c r="I1234" s="339">
        <v>85927.097156571996</v>
      </c>
      <c r="J1234" s="340">
        <v>85927.097156571996</v>
      </c>
      <c r="K1234" s="335" t="s">
        <v>2523</v>
      </c>
      <c r="L1234" s="335">
        <v>1</v>
      </c>
      <c r="M1234" s="335" t="s">
        <v>2524</v>
      </c>
      <c r="N1234" s="339">
        <v>30</v>
      </c>
      <c r="O1234" s="341">
        <v>3.3333333333333298E-2</v>
      </c>
      <c r="P1234" s="341" t="s">
        <v>25</v>
      </c>
      <c r="Q1234" s="341">
        <v>0</v>
      </c>
      <c r="R1234" s="342" t="s">
        <v>25</v>
      </c>
      <c r="S1234" s="342" t="s">
        <v>25</v>
      </c>
    </row>
    <row r="1235" spans="1:19" ht="14.25" customHeight="1" x14ac:dyDescent="0.3">
      <c r="A1235" s="335" t="s">
        <v>2515</v>
      </c>
      <c r="B1235" s="335" t="s">
        <v>56</v>
      </c>
      <c r="C1235" s="335" t="s">
        <v>57</v>
      </c>
      <c r="D1235" s="343" t="s">
        <v>497</v>
      </c>
      <c r="E1235" s="336" t="s">
        <v>498</v>
      </c>
      <c r="F1235" s="336" t="s">
        <v>60</v>
      </c>
      <c r="G1235" s="337">
        <v>1</v>
      </c>
      <c r="H1235" s="338">
        <v>0</v>
      </c>
      <c r="I1235" s="339">
        <v>76955.079706571996</v>
      </c>
      <c r="J1235" s="340">
        <v>76955.079706571996</v>
      </c>
      <c r="K1235" s="335" t="s">
        <v>2523</v>
      </c>
      <c r="L1235" s="335">
        <v>2</v>
      </c>
      <c r="M1235" s="335" t="s">
        <v>2525</v>
      </c>
      <c r="N1235" s="339">
        <v>30</v>
      </c>
      <c r="O1235" s="341">
        <v>3.3333333333333298E-2</v>
      </c>
      <c r="P1235" s="341" t="s">
        <v>25</v>
      </c>
      <c r="Q1235" s="341">
        <v>0</v>
      </c>
      <c r="R1235" s="342" t="s">
        <v>25</v>
      </c>
      <c r="S1235" s="342" t="s">
        <v>25</v>
      </c>
    </row>
    <row r="1236" spans="1:19" ht="14.25" customHeight="1" x14ac:dyDescent="0.3">
      <c r="A1236" s="335" t="s">
        <v>2526</v>
      </c>
      <c r="B1236" s="335" t="s">
        <v>20</v>
      </c>
      <c r="C1236" s="335"/>
      <c r="D1236" s="335" t="s">
        <v>472</v>
      </c>
      <c r="E1236" s="336" t="s">
        <v>473</v>
      </c>
      <c r="F1236" s="336"/>
      <c r="G1236" s="337">
        <v>1</v>
      </c>
      <c r="H1236" s="338">
        <v>0</v>
      </c>
      <c r="I1236" s="339">
        <v>298.42384358082802</v>
      </c>
      <c r="J1236" s="340">
        <v>298.42384358082802</v>
      </c>
      <c r="K1236" s="335" t="s">
        <v>2527</v>
      </c>
      <c r="L1236" s="335">
        <v>1</v>
      </c>
      <c r="M1236" s="335" t="s">
        <v>2528</v>
      </c>
      <c r="N1236" s="339">
        <v>10</v>
      </c>
      <c r="O1236" s="341">
        <v>1</v>
      </c>
      <c r="P1236" s="341" t="s">
        <v>25</v>
      </c>
      <c r="Q1236" s="341">
        <v>0</v>
      </c>
      <c r="R1236" s="342" t="s">
        <v>25</v>
      </c>
      <c r="S1236" s="342" t="s">
        <v>25</v>
      </c>
    </row>
    <row r="1237" spans="1:19" ht="14.25" customHeight="1" x14ac:dyDescent="0.3">
      <c r="A1237" s="335" t="s">
        <v>2526</v>
      </c>
      <c r="B1237" s="335" t="s">
        <v>20</v>
      </c>
      <c r="C1237" s="335"/>
      <c r="D1237" s="335" t="s">
        <v>477</v>
      </c>
      <c r="E1237" s="336" t="s">
        <v>478</v>
      </c>
      <c r="F1237" s="336"/>
      <c r="G1237" s="337">
        <v>1</v>
      </c>
      <c r="H1237" s="338">
        <v>0</v>
      </c>
      <c r="I1237" s="339">
        <v>2637.14184448991</v>
      </c>
      <c r="J1237" s="340">
        <v>2637.14184448991</v>
      </c>
      <c r="K1237" s="335" t="s">
        <v>2527</v>
      </c>
      <c r="L1237" s="335">
        <v>2</v>
      </c>
      <c r="M1237" s="335" t="s">
        <v>2529</v>
      </c>
      <c r="N1237" s="339">
        <v>10</v>
      </c>
      <c r="O1237" s="341">
        <v>1</v>
      </c>
      <c r="P1237" s="341" t="s">
        <v>25</v>
      </c>
      <c r="Q1237" s="341">
        <v>0</v>
      </c>
      <c r="R1237" s="342" t="s">
        <v>25</v>
      </c>
      <c r="S1237" s="342" t="s">
        <v>25</v>
      </c>
    </row>
    <row r="1238" spans="1:19" ht="14.25" customHeight="1" x14ac:dyDescent="0.3">
      <c r="A1238" s="335" t="s">
        <v>2526</v>
      </c>
      <c r="B1238" s="335" t="s">
        <v>26</v>
      </c>
      <c r="C1238" s="335" t="s">
        <v>27</v>
      </c>
      <c r="D1238" s="335" t="s">
        <v>89</v>
      </c>
      <c r="E1238" s="336" t="s">
        <v>90</v>
      </c>
      <c r="F1238" s="336" t="s">
        <v>91</v>
      </c>
      <c r="G1238" s="337">
        <v>0.4</v>
      </c>
      <c r="H1238" s="338">
        <v>0.2</v>
      </c>
      <c r="I1238" s="339">
        <v>3837.96</v>
      </c>
      <c r="J1238" s="340">
        <v>1842.2208000000001</v>
      </c>
      <c r="K1238" s="335" t="s">
        <v>2530</v>
      </c>
      <c r="L1238" s="335">
        <v>1</v>
      </c>
      <c r="M1238" s="335" t="s">
        <v>2531</v>
      </c>
      <c r="N1238" s="339">
        <v>10</v>
      </c>
      <c r="O1238" s="341">
        <v>0.4</v>
      </c>
      <c r="P1238" s="341" t="s">
        <v>25</v>
      </c>
      <c r="Q1238" s="341">
        <v>0</v>
      </c>
      <c r="R1238" s="342" t="s">
        <v>25</v>
      </c>
      <c r="S1238" s="342" t="s">
        <v>25</v>
      </c>
    </row>
    <row r="1239" spans="1:19" ht="14.25" customHeight="1" x14ac:dyDescent="0.3">
      <c r="A1239" s="335" t="s">
        <v>2526</v>
      </c>
      <c r="B1239" s="335" t="s">
        <v>26</v>
      </c>
      <c r="C1239" s="335" t="s">
        <v>27</v>
      </c>
      <c r="D1239" s="335" t="s">
        <v>33</v>
      </c>
      <c r="E1239" s="336" t="s">
        <v>34</v>
      </c>
      <c r="F1239" s="336" t="s">
        <v>35</v>
      </c>
      <c r="G1239" s="337">
        <v>0.01</v>
      </c>
      <c r="H1239" s="338">
        <v>0.03</v>
      </c>
      <c r="I1239" s="339">
        <v>735.06</v>
      </c>
      <c r="J1239" s="340">
        <v>7.5711180000000002</v>
      </c>
      <c r="K1239" s="335" t="s">
        <v>2530</v>
      </c>
      <c r="L1239" s="335">
        <v>2</v>
      </c>
      <c r="M1239" s="335" t="s">
        <v>2532</v>
      </c>
      <c r="N1239" s="339">
        <v>10</v>
      </c>
      <c r="O1239" s="341">
        <v>0.01</v>
      </c>
      <c r="P1239" s="341" t="s">
        <v>25</v>
      </c>
      <c r="Q1239" s="341">
        <v>0</v>
      </c>
      <c r="R1239" s="342" t="s">
        <v>25</v>
      </c>
      <c r="S1239" s="342" t="s">
        <v>25</v>
      </c>
    </row>
    <row r="1240" spans="1:19" ht="14.25" customHeight="1" x14ac:dyDescent="0.3">
      <c r="A1240" s="335" t="s">
        <v>2526</v>
      </c>
      <c r="B1240" s="335" t="s">
        <v>26</v>
      </c>
      <c r="C1240" s="335" t="s">
        <v>27</v>
      </c>
      <c r="D1240" s="335" t="s">
        <v>489</v>
      </c>
      <c r="E1240" s="336" t="s">
        <v>490</v>
      </c>
      <c r="F1240" s="336" t="s">
        <v>35</v>
      </c>
      <c r="G1240" s="337">
        <v>4.0000000000000001E-3</v>
      </c>
      <c r="H1240" s="338">
        <v>0.05</v>
      </c>
      <c r="I1240" s="339">
        <v>20237</v>
      </c>
      <c r="J1240" s="340">
        <v>84.995400000000004</v>
      </c>
      <c r="K1240" s="335" t="s">
        <v>2530</v>
      </c>
      <c r="L1240" s="335">
        <v>3</v>
      </c>
      <c r="M1240" s="335" t="s">
        <v>2533</v>
      </c>
      <c r="N1240" s="339">
        <v>10</v>
      </c>
      <c r="O1240" s="341">
        <v>4.0000000000000001E-3</v>
      </c>
      <c r="P1240" s="341" t="s">
        <v>25</v>
      </c>
      <c r="Q1240" s="341">
        <v>0</v>
      </c>
      <c r="R1240" s="342" t="s">
        <v>25</v>
      </c>
      <c r="S1240" s="342" t="s">
        <v>25</v>
      </c>
    </row>
    <row r="1241" spans="1:19" ht="14.25" customHeight="1" x14ac:dyDescent="0.3">
      <c r="A1241" s="335" t="s">
        <v>2526</v>
      </c>
      <c r="B1241" s="335" t="s">
        <v>26</v>
      </c>
      <c r="C1241" s="335" t="s">
        <v>27</v>
      </c>
      <c r="D1241" s="335" t="s">
        <v>492</v>
      </c>
      <c r="E1241" s="336" t="s">
        <v>493</v>
      </c>
      <c r="F1241" s="336" t="s">
        <v>30</v>
      </c>
      <c r="G1241" s="337">
        <v>0.04</v>
      </c>
      <c r="H1241" s="338">
        <v>0.05</v>
      </c>
      <c r="I1241" s="339">
        <v>44669.4214876033</v>
      </c>
      <c r="J1241" s="340">
        <v>1876.1157024793399</v>
      </c>
      <c r="K1241" s="335" t="s">
        <v>2530</v>
      </c>
      <c r="L1241" s="335">
        <v>4</v>
      </c>
      <c r="M1241" s="335" t="s">
        <v>2534</v>
      </c>
      <c r="N1241" s="339">
        <v>10</v>
      </c>
      <c r="O1241" s="341">
        <v>0.04</v>
      </c>
      <c r="P1241" s="341" t="s">
        <v>25</v>
      </c>
      <c r="Q1241" s="341">
        <v>0</v>
      </c>
      <c r="R1241" s="342" t="s">
        <v>25</v>
      </c>
      <c r="S1241" s="342" t="s">
        <v>25</v>
      </c>
    </row>
    <row r="1242" spans="1:19" ht="14.25" customHeight="1" x14ac:dyDescent="0.3">
      <c r="A1242" s="335" t="s">
        <v>2526</v>
      </c>
      <c r="B1242" s="335" t="s">
        <v>56</v>
      </c>
      <c r="C1242" s="335" t="s">
        <v>57</v>
      </c>
      <c r="D1242" s="343" t="s">
        <v>63</v>
      </c>
      <c r="E1242" s="336" t="s">
        <v>64</v>
      </c>
      <c r="F1242" s="336" t="s">
        <v>60</v>
      </c>
      <c r="G1242" s="337">
        <v>1</v>
      </c>
      <c r="H1242" s="338">
        <v>0</v>
      </c>
      <c r="I1242" s="339">
        <v>85927.097156571996</v>
      </c>
      <c r="J1242" s="340">
        <v>85927.097156571996</v>
      </c>
      <c r="K1242" s="335" t="s">
        <v>2535</v>
      </c>
      <c r="L1242" s="335">
        <v>1</v>
      </c>
      <c r="M1242" s="335" t="s">
        <v>2536</v>
      </c>
      <c r="N1242" s="339">
        <v>10</v>
      </c>
      <c r="O1242" s="341">
        <v>0.1</v>
      </c>
      <c r="P1242" s="341" t="s">
        <v>25</v>
      </c>
      <c r="Q1242" s="341">
        <v>0</v>
      </c>
      <c r="R1242" s="342" t="s">
        <v>25</v>
      </c>
      <c r="S1242" s="342" t="s">
        <v>25</v>
      </c>
    </row>
    <row r="1243" spans="1:19" ht="14.25" customHeight="1" x14ac:dyDescent="0.3">
      <c r="A1243" s="335" t="s">
        <v>2526</v>
      </c>
      <c r="B1243" s="335" t="s">
        <v>56</v>
      </c>
      <c r="C1243" s="335" t="s">
        <v>57</v>
      </c>
      <c r="D1243" s="343" t="s">
        <v>497</v>
      </c>
      <c r="E1243" s="336" t="s">
        <v>498</v>
      </c>
      <c r="F1243" s="336" t="s">
        <v>60</v>
      </c>
      <c r="G1243" s="337">
        <v>1</v>
      </c>
      <c r="H1243" s="338">
        <v>0</v>
      </c>
      <c r="I1243" s="339">
        <v>76955.079706571996</v>
      </c>
      <c r="J1243" s="340">
        <v>76955.079706571996</v>
      </c>
      <c r="K1243" s="335" t="s">
        <v>2535</v>
      </c>
      <c r="L1243" s="335">
        <v>2</v>
      </c>
      <c r="M1243" s="335" t="s">
        <v>2537</v>
      </c>
      <c r="N1243" s="339">
        <v>10</v>
      </c>
      <c r="O1243" s="341">
        <v>0.1</v>
      </c>
      <c r="P1243" s="341" t="s">
        <v>25</v>
      </c>
      <c r="Q1243" s="341">
        <v>0</v>
      </c>
      <c r="R1243" s="342" t="s">
        <v>25</v>
      </c>
      <c r="S1243" s="342" t="s">
        <v>25</v>
      </c>
    </row>
    <row r="1244" spans="1:19" ht="14.25" customHeight="1" x14ac:dyDescent="0.3">
      <c r="A1244" s="335" t="s">
        <v>2538</v>
      </c>
      <c r="B1244" s="335" t="s">
        <v>20</v>
      </c>
      <c r="C1244" s="335"/>
      <c r="D1244" s="335" t="s">
        <v>472</v>
      </c>
      <c r="E1244" s="336" t="s">
        <v>473</v>
      </c>
      <c r="F1244" s="336"/>
      <c r="G1244" s="337">
        <v>1</v>
      </c>
      <c r="H1244" s="338">
        <v>0</v>
      </c>
      <c r="I1244" s="339">
        <v>298.42384358082802</v>
      </c>
      <c r="J1244" s="340">
        <v>298.42384358082802</v>
      </c>
      <c r="K1244" s="335" t="s">
        <v>2539</v>
      </c>
      <c r="L1244" s="335">
        <v>1</v>
      </c>
      <c r="M1244" s="335" t="s">
        <v>2540</v>
      </c>
      <c r="N1244" s="339">
        <v>10</v>
      </c>
      <c r="O1244" s="341">
        <v>1</v>
      </c>
      <c r="P1244" s="341" t="s">
        <v>25</v>
      </c>
      <c r="Q1244" s="341">
        <v>0</v>
      </c>
      <c r="R1244" s="342" t="s">
        <v>25</v>
      </c>
      <c r="S1244" s="342" t="s">
        <v>25</v>
      </c>
    </row>
    <row r="1245" spans="1:19" ht="14.25" customHeight="1" x14ac:dyDescent="0.3">
      <c r="A1245" s="335" t="s">
        <v>2538</v>
      </c>
      <c r="B1245" s="335" t="s">
        <v>20</v>
      </c>
      <c r="C1245" s="335"/>
      <c r="D1245" s="335" t="s">
        <v>477</v>
      </c>
      <c r="E1245" s="336" t="s">
        <v>478</v>
      </c>
      <c r="F1245" s="336"/>
      <c r="G1245" s="337">
        <v>1</v>
      </c>
      <c r="H1245" s="338">
        <v>0</v>
      </c>
      <c r="I1245" s="339">
        <v>2637.14184448991</v>
      </c>
      <c r="J1245" s="340">
        <v>2637.14184448991</v>
      </c>
      <c r="K1245" s="335" t="s">
        <v>2539</v>
      </c>
      <c r="L1245" s="335">
        <v>2</v>
      </c>
      <c r="M1245" s="335" t="s">
        <v>2541</v>
      </c>
      <c r="N1245" s="339">
        <v>10</v>
      </c>
      <c r="O1245" s="341">
        <v>1</v>
      </c>
      <c r="P1245" s="341" t="s">
        <v>25</v>
      </c>
      <c r="Q1245" s="341">
        <v>0</v>
      </c>
      <c r="R1245" s="342" t="s">
        <v>25</v>
      </c>
      <c r="S1245" s="342" t="s">
        <v>25</v>
      </c>
    </row>
    <row r="1246" spans="1:19" ht="14.25" customHeight="1" x14ac:dyDescent="0.3">
      <c r="A1246" s="335" t="s">
        <v>2538</v>
      </c>
      <c r="B1246" s="335" t="s">
        <v>26</v>
      </c>
      <c r="C1246" s="335" t="s">
        <v>27</v>
      </c>
      <c r="D1246" s="335" t="s">
        <v>89</v>
      </c>
      <c r="E1246" s="336" t="s">
        <v>90</v>
      </c>
      <c r="F1246" s="336" t="s">
        <v>91</v>
      </c>
      <c r="G1246" s="337">
        <v>0.4</v>
      </c>
      <c r="H1246" s="338">
        <v>0.2</v>
      </c>
      <c r="I1246" s="339">
        <v>3837.96</v>
      </c>
      <c r="J1246" s="340">
        <v>1842.2208000000001</v>
      </c>
      <c r="K1246" s="335" t="s">
        <v>2542</v>
      </c>
      <c r="L1246" s="335">
        <v>1</v>
      </c>
      <c r="M1246" s="335" t="s">
        <v>2543</v>
      </c>
      <c r="N1246" s="339">
        <v>10</v>
      </c>
      <c r="O1246" s="341">
        <v>0.4</v>
      </c>
      <c r="P1246" s="341" t="s">
        <v>25</v>
      </c>
      <c r="Q1246" s="341">
        <v>0</v>
      </c>
      <c r="R1246" s="342" t="s">
        <v>25</v>
      </c>
      <c r="S1246" s="342" t="s">
        <v>25</v>
      </c>
    </row>
    <row r="1247" spans="1:19" ht="14.25" customHeight="1" x14ac:dyDescent="0.3">
      <c r="A1247" s="335" t="s">
        <v>2538</v>
      </c>
      <c r="B1247" s="335" t="s">
        <v>26</v>
      </c>
      <c r="C1247" s="335" t="s">
        <v>27</v>
      </c>
      <c r="D1247" s="335" t="s">
        <v>33</v>
      </c>
      <c r="E1247" s="336" t="s">
        <v>34</v>
      </c>
      <c r="F1247" s="336" t="s">
        <v>35</v>
      </c>
      <c r="G1247" s="337">
        <v>0.01</v>
      </c>
      <c r="H1247" s="338">
        <v>0.03</v>
      </c>
      <c r="I1247" s="339">
        <v>735.06</v>
      </c>
      <c r="J1247" s="340">
        <v>7.5711180000000002</v>
      </c>
      <c r="K1247" s="335" t="s">
        <v>2542</v>
      </c>
      <c r="L1247" s="335">
        <v>2</v>
      </c>
      <c r="M1247" s="335" t="s">
        <v>2544</v>
      </c>
      <c r="N1247" s="339">
        <v>10</v>
      </c>
      <c r="O1247" s="341">
        <v>0.01</v>
      </c>
      <c r="P1247" s="341" t="s">
        <v>25</v>
      </c>
      <c r="Q1247" s="341">
        <v>0</v>
      </c>
      <c r="R1247" s="342" t="s">
        <v>25</v>
      </c>
      <c r="S1247" s="342" t="s">
        <v>25</v>
      </c>
    </row>
    <row r="1248" spans="1:19" ht="14.25" customHeight="1" x14ac:dyDescent="0.3">
      <c r="A1248" s="335" t="s">
        <v>2538</v>
      </c>
      <c r="B1248" s="335" t="s">
        <v>26</v>
      </c>
      <c r="C1248" s="335" t="s">
        <v>27</v>
      </c>
      <c r="D1248" s="335" t="s">
        <v>489</v>
      </c>
      <c r="E1248" s="336" t="s">
        <v>490</v>
      </c>
      <c r="F1248" s="336" t="s">
        <v>35</v>
      </c>
      <c r="G1248" s="337">
        <v>4.0000000000000001E-3</v>
      </c>
      <c r="H1248" s="338">
        <v>0.05</v>
      </c>
      <c r="I1248" s="339">
        <v>20237</v>
      </c>
      <c r="J1248" s="340">
        <v>84.995400000000004</v>
      </c>
      <c r="K1248" s="335" t="s">
        <v>2542</v>
      </c>
      <c r="L1248" s="335">
        <v>3</v>
      </c>
      <c r="M1248" s="335" t="s">
        <v>2545</v>
      </c>
      <c r="N1248" s="339">
        <v>10</v>
      </c>
      <c r="O1248" s="341">
        <v>4.0000000000000001E-3</v>
      </c>
      <c r="P1248" s="341" t="s">
        <v>25</v>
      </c>
      <c r="Q1248" s="341">
        <v>0</v>
      </c>
      <c r="R1248" s="342" t="s">
        <v>25</v>
      </c>
      <c r="S1248" s="342" t="s">
        <v>25</v>
      </c>
    </row>
    <row r="1249" spans="1:19" ht="14.25" customHeight="1" x14ac:dyDescent="0.3">
      <c r="A1249" s="335" t="s">
        <v>2538</v>
      </c>
      <c r="B1249" s="335" t="s">
        <v>26</v>
      </c>
      <c r="C1249" s="335" t="s">
        <v>27</v>
      </c>
      <c r="D1249" s="335" t="s">
        <v>492</v>
      </c>
      <c r="E1249" s="336" t="s">
        <v>493</v>
      </c>
      <c r="F1249" s="336" t="s">
        <v>30</v>
      </c>
      <c r="G1249" s="337">
        <v>0.04</v>
      </c>
      <c r="H1249" s="338">
        <v>0.05</v>
      </c>
      <c r="I1249" s="339">
        <v>44669.4214876033</v>
      </c>
      <c r="J1249" s="340">
        <v>1876.1157024793399</v>
      </c>
      <c r="K1249" s="335" t="s">
        <v>2542</v>
      </c>
      <c r="L1249" s="335">
        <v>4</v>
      </c>
      <c r="M1249" s="335" t="s">
        <v>2546</v>
      </c>
      <c r="N1249" s="339">
        <v>10</v>
      </c>
      <c r="O1249" s="341">
        <v>0.04</v>
      </c>
      <c r="P1249" s="341" t="s">
        <v>25</v>
      </c>
      <c r="Q1249" s="341">
        <v>0</v>
      </c>
      <c r="R1249" s="342" t="s">
        <v>25</v>
      </c>
      <c r="S1249" s="342" t="s">
        <v>25</v>
      </c>
    </row>
    <row r="1250" spans="1:19" ht="14.25" customHeight="1" x14ac:dyDescent="0.3">
      <c r="A1250" s="335" t="s">
        <v>2538</v>
      </c>
      <c r="B1250" s="335" t="s">
        <v>56</v>
      </c>
      <c r="C1250" s="335" t="s">
        <v>57</v>
      </c>
      <c r="D1250" s="343" t="s">
        <v>63</v>
      </c>
      <c r="E1250" s="336" t="s">
        <v>64</v>
      </c>
      <c r="F1250" s="336" t="s">
        <v>60</v>
      </c>
      <c r="G1250" s="337">
        <v>1</v>
      </c>
      <c r="H1250" s="338">
        <v>0</v>
      </c>
      <c r="I1250" s="339">
        <v>85927.097156571996</v>
      </c>
      <c r="J1250" s="340">
        <v>85927.097156571996</v>
      </c>
      <c r="K1250" s="335" t="s">
        <v>2547</v>
      </c>
      <c r="L1250" s="335">
        <v>1</v>
      </c>
      <c r="M1250" s="335" t="s">
        <v>2548</v>
      </c>
      <c r="N1250" s="339">
        <v>10</v>
      </c>
      <c r="O1250" s="341">
        <v>0.1</v>
      </c>
      <c r="P1250" s="341" t="s">
        <v>25</v>
      </c>
      <c r="Q1250" s="341">
        <v>0</v>
      </c>
      <c r="R1250" s="342" t="s">
        <v>25</v>
      </c>
      <c r="S1250" s="342" t="s">
        <v>25</v>
      </c>
    </row>
    <row r="1251" spans="1:19" ht="14.25" customHeight="1" x14ac:dyDescent="0.3">
      <c r="A1251" s="335" t="s">
        <v>2538</v>
      </c>
      <c r="B1251" s="335" t="s">
        <v>56</v>
      </c>
      <c r="C1251" s="335" t="s">
        <v>57</v>
      </c>
      <c r="D1251" s="343" t="s">
        <v>497</v>
      </c>
      <c r="E1251" s="336" t="s">
        <v>498</v>
      </c>
      <c r="F1251" s="336" t="s">
        <v>60</v>
      </c>
      <c r="G1251" s="337">
        <v>1</v>
      </c>
      <c r="H1251" s="338">
        <v>0</v>
      </c>
      <c r="I1251" s="339">
        <v>76955.079706571996</v>
      </c>
      <c r="J1251" s="340">
        <v>76955.079706571996</v>
      </c>
      <c r="K1251" s="335" t="s">
        <v>2547</v>
      </c>
      <c r="L1251" s="335">
        <v>2</v>
      </c>
      <c r="M1251" s="335" t="s">
        <v>2549</v>
      </c>
      <c r="N1251" s="339">
        <v>10</v>
      </c>
      <c r="O1251" s="341">
        <v>0.1</v>
      </c>
      <c r="P1251" s="341" t="s">
        <v>25</v>
      </c>
      <c r="Q1251" s="341">
        <v>0</v>
      </c>
      <c r="R1251" s="342" t="s">
        <v>25</v>
      </c>
      <c r="S1251" s="342" t="s">
        <v>25</v>
      </c>
    </row>
    <row r="1252" spans="1:19" ht="14.25" customHeight="1" x14ac:dyDescent="0.3">
      <c r="A1252" s="335" t="s">
        <v>2550</v>
      </c>
      <c r="B1252" s="335" t="s">
        <v>20</v>
      </c>
      <c r="C1252" s="335"/>
      <c r="D1252" s="335" t="s">
        <v>2551</v>
      </c>
      <c r="E1252" s="336" t="s">
        <v>2552</v>
      </c>
      <c r="F1252" s="336"/>
      <c r="G1252" s="337">
        <v>1</v>
      </c>
      <c r="H1252" s="338">
        <v>0</v>
      </c>
      <c r="I1252" s="339">
        <v>1030.8586054268601</v>
      </c>
      <c r="J1252" s="340">
        <v>1030.8586054268601</v>
      </c>
      <c r="K1252" s="335" t="s">
        <v>2553</v>
      </c>
      <c r="L1252" s="335">
        <v>1</v>
      </c>
      <c r="M1252" s="335" t="s">
        <v>2554</v>
      </c>
      <c r="N1252" s="339">
        <v>1</v>
      </c>
      <c r="O1252" s="341">
        <v>1</v>
      </c>
      <c r="P1252" s="341">
        <v>20</v>
      </c>
      <c r="Q1252" s="341">
        <v>20</v>
      </c>
      <c r="R1252" s="342">
        <v>13.03</v>
      </c>
      <c r="S1252" s="342" t="s">
        <v>476</v>
      </c>
    </row>
    <row r="1253" spans="1:19" ht="14.25" customHeight="1" x14ac:dyDescent="0.3">
      <c r="A1253" s="335" t="s">
        <v>2550</v>
      </c>
      <c r="B1253" s="335" t="s">
        <v>26</v>
      </c>
      <c r="C1253" s="335" t="s">
        <v>480</v>
      </c>
      <c r="D1253" s="335" t="s">
        <v>2555</v>
      </c>
      <c r="E1253" s="336" t="s">
        <v>2556</v>
      </c>
      <c r="F1253" s="336" t="s">
        <v>91</v>
      </c>
      <c r="G1253" s="337">
        <v>2</v>
      </c>
      <c r="H1253" s="338">
        <v>0</v>
      </c>
      <c r="I1253" s="339">
        <v>16594.68</v>
      </c>
      <c r="J1253" s="340">
        <v>33189.360000000001</v>
      </c>
      <c r="K1253" s="335" t="s">
        <v>2557</v>
      </c>
      <c r="L1253" s="335">
        <v>1</v>
      </c>
      <c r="M1253" s="335" t="s">
        <v>2558</v>
      </c>
      <c r="N1253" s="339">
        <v>1</v>
      </c>
      <c r="O1253" s="341">
        <v>2</v>
      </c>
      <c r="P1253" s="341">
        <v>20</v>
      </c>
      <c r="Q1253" s="341">
        <v>40</v>
      </c>
      <c r="R1253" s="342">
        <v>13.03</v>
      </c>
      <c r="S1253" s="342" t="s">
        <v>476</v>
      </c>
    </row>
    <row r="1254" spans="1:19" ht="14.25" customHeight="1" x14ac:dyDescent="0.3">
      <c r="A1254" s="335" t="s">
        <v>2550</v>
      </c>
      <c r="B1254" s="335" t="s">
        <v>26</v>
      </c>
      <c r="C1254" s="335" t="s">
        <v>27</v>
      </c>
      <c r="D1254" s="335" t="s">
        <v>96</v>
      </c>
      <c r="E1254" s="336" t="s">
        <v>97</v>
      </c>
      <c r="F1254" s="336" t="s">
        <v>98</v>
      </c>
      <c r="G1254" s="337">
        <v>3318.9360000000001</v>
      </c>
      <c r="H1254" s="338">
        <v>0</v>
      </c>
      <c r="I1254" s="339">
        <v>1</v>
      </c>
      <c r="J1254" s="340">
        <v>3318.9360000000001</v>
      </c>
      <c r="K1254" s="335" t="s">
        <v>2557</v>
      </c>
      <c r="L1254" s="335">
        <v>2</v>
      </c>
      <c r="M1254" s="335" t="s">
        <v>2559</v>
      </c>
      <c r="N1254" s="339">
        <v>1</v>
      </c>
      <c r="O1254" s="341">
        <v>3318.9360000000001</v>
      </c>
      <c r="P1254" s="341">
        <v>20</v>
      </c>
      <c r="Q1254" s="341">
        <v>66378.720000000001</v>
      </c>
      <c r="R1254" s="342">
        <v>13.03</v>
      </c>
      <c r="S1254" s="342" t="s">
        <v>476</v>
      </c>
    </row>
    <row r="1255" spans="1:19" ht="14.25" customHeight="1" x14ac:dyDescent="0.3">
      <c r="A1255" s="335" t="s">
        <v>2550</v>
      </c>
      <c r="B1255" s="335" t="s">
        <v>56</v>
      </c>
      <c r="C1255" s="335" t="s">
        <v>57</v>
      </c>
      <c r="D1255" s="335" t="s">
        <v>58</v>
      </c>
      <c r="E1255" s="336" t="s">
        <v>59</v>
      </c>
      <c r="F1255" s="336" t="s">
        <v>60</v>
      </c>
      <c r="G1255" s="337">
        <v>0.15</v>
      </c>
      <c r="H1255" s="338">
        <v>0</v>
      </c>
      <c r="I1255" s="339">
        <v>60860.580776572002</v>
      </c>
      <c r="J1255" s="340">
        <v>9129.0871164857999</v>
      </c>
      <c r="K1255" s="335" t="s">
        <v>2560</v>
      </c>
      <c r="L1255" s="335">
        <v>1</v>
      </c>
      <c r="M1255" s="335" t="s">
        <v>2561</v>
      </c>
      <c r="N1255" s="339">
        <v>1</v>
      </c>
      <c r="O1255" s="341">
        <v>0.15</v>
      </c>
      <c r="P1255" s="341">
        <v>20</v>
      </c>
      <c r="Q1255" s="341">
        <v>3</v>
      </c>
      <c r="R1255" s="342">
        <v>13.03</v>
      </c>
      <c r="S1255" s="342" t="s">
        <v>476</v>
      </c>
    </row>
    <row r="1256" spans="1:19" ht="14.25" customHeight="1" x14ac:dyDescent="0.3">
      <c r="A1256" s="335" t="s">
        <v>2550</v>
      </c>
      <c r="B1256" s="335" t="s">
        <v>56</v>
      </c>
      <c r="C1256" s="335" t="s">
        <v>57</v>
      </c>
      <c r="D1256" s="343" t="s">
        <v>497</v>
      </c>
      <c r="E1256" s="336" t="s">
        <v>498</v>
      </c>
      <c r="F1256" s="336" t="s">
        <v>60</v>
      </c>
      <c r="G1256" s="337">
        <v>0.3</v>
      </c>
      <c r="H1256" s="338">
        <v>0</v>
      </c>
      <c r="I1256" s="339">
        <v>76955.079706571996</v>
      </c>
      <c r="J1256" s="340">
        <v>23086.523911971599</v>
      </c>
      <c r="K1256" s="335" t="s">
        <v>2560</v>
      </c>
      <c r="L1256" s="335">
        <v>2</v>
      </c>
      <c r="M1256" s="335" t="s">
        <v>2562</v>
      </c>
      <c r="N1256" s="339">
        <v>1</v>
      </c>
      <c r="O1256" s="341">
        <v>0.3</v>
      </c>
      <c r="P1256" s="341">
        <v>20</v>
      </c>
      <c r="Q1256" s="341">
        <v>6</v>
      </c>
      <c r="R1256" s="342">
        <v>13.03</v>
      </c>
      <c r="S1256" s="342" t="s">
        <v>476</v>
      </c>
    </row>
    <row r="1257" spans="1:19" ht="14.25" customHeight="1" x14ac:dyDescent="0.3">
      <c r="A1257" s="335" t="s">
        <v>2563</v>
      </c>
      <c r="B1257" s="335" t="s">
        <v>20</v>
      </c>
      <c r="C1257" s="335"/>
      <c r="D1257" s="335" t="s">
        <v>2564</v>
      </c>
      <c r="E1257" s="336" t="s">
        <v>2565</v>
      </c>
      <c r="F1257" s="336"/>
      <c r="G1257" s="337">
        <v>1</v>
      </c>
      <c r="H1257" s="338">
        <v>0</v>
      </c>
      <c r="I1257" s="339">
        <v>261.95176772476799</v>
      </c>
      <c r="J1257" s="340">
        <v>261.95176772476799</v>
      </c>
      <c r="K1257" s="335" t="s">
        <v>2566</v>
      </c>
      <c r="L1257" s="335">
        <v>1</v>
      </c>
      <c r="M1257" s="335" t="s">
        <v>2567</v>
      </c>
      <c r="N1257" s="339">
        <v>1</v>
      </c>
      <c r="O1257" s="341">
        <v>1</v>
      </c>
      <c r="P1257" s="341">
        <v>460</v>
      </c>
      <c r="Q1257" s="341">
        <v>460</v>
      </c>
      <c r="R1257" s="342">
        <v>14.01</v>
      </c>
      <c r="S1257" s="342" t="s">
        <v>25</v>
      </c>
    </row>
    <row r="1258" spans="1:19" ht="14.25" customHeight="1" x14ac:dyDescent="0.3">
      <c r="A1258" s="335" t="s">
        <v>2563</v>
      </c>
      <c r="B1258" s="335" t="s">
        <v>26</v>
      </c>
      <c r="C1258" s="335" t="s">
        <v>480</v>
      </c>
      <c r="D1258" s="335" t="s">
        <v>2107</v>
      </c>
      <c r="E1258" s="336" t="s">
        <v>2108</v>
      </c>
      <c r="F1258" s="336" t="s">
        <v>91</v>
      </c>
      <c r="G1258" s="337">
        <v>0.71521739130434803</v>
      </c>
      <c r="H1258" s="338">
        <v>0</v>
      </c>
      <c r="I1258" s="339">
        <v>6965.28</v>
      </c>
      <c r="J1258" s="340">
        <v>4981.6893913043496</v>
      </c>
      <c r="K1258" s="335" t="s">
        <v>2568</v>
      </c>
      <c r="L1258" s="335">
        <v>1</v>
      </c>
      <c r="M1258" s="335" t="s">
        <v>2569</v>
      </c>
      <c r="N1258" s="339">
        <v>1</v>
      </c>
      <c r="O1258" s="341">
        <v>0.71521739130434803</v>
      </c>
      <c r="P1258" s="341">
        <v>460</v>
      </c>
      <c r="Q1258" s="341">
        <v>329</v>
      </c>
      <c r="R1258" s="342">
        <v>14.01</v>
      </c>
      <c r="S1258" s="342" t="s">
        <v>25</v>
      </c>
    </row>
    <row r="1259" spans="1:19" ht="14.25" customHeight="1" x14ac:dyDescent="0.3">
      <c r="A1259" s="335" t="s">
        <v>2563</v>
      </c>
      <c r="B1259" s="335" t="s">
        <v>26</v>
      </c>
      <c r="C1259" s="335" t="s">
        <v>480</v>
      </c>
      <c r="D1259" s="335" t="s">
        <v>2570</v>
      </c>
      <c r="E1259" s="336" t="s">
        <v>2571</v>
      </c>
      <c r="F1259" s="336" t="s">
        <v>2113</v>
      </c>
      <c r="G1259" s="337">
        <v>6.5217391304347797E-3</v>
      </c>
      <c r="H1259" s="338">
        <v>0</v>
      </c>
      <c r="I1259" s="339">
        <v>127350</v>
      </c>
      <c r="J1259" s="340">
        <v>830.54347826086905</v>
      </c>
      <c r="K1259" s="335" t="s">
        <v>2568</v>
      </c>
      <c r="L1259" s="335">
        <v>2</v>
      </c>
      <c r="M1259" s="335" t="s">
        <v>2572</v>
      </c>
      <c r="N1259" s="339">
        <v>1</v>
      </c>
      <c r="O1259" s="341">
        <v>6.5217391304347797E-3</v>
      </c>
      <c r="P1259" s="341">
        <v>460</v>
      </c>
      <c r="Q1259" s="341">
        <v>3</v>
      </c>
      <c r="R1259" s="342">
        <v>14.01</v>
      </c>
      <c r="S1259" s="342" t="s">
        <v>25</v>
      </c>
    </row>
    <row r="1260" spans="1:19" ht="14.25" customHeight="1" x14ac:dyDescent="0.3">
      <c r="A1260" s="335" t="s">
        <v>2563</v>
      </c>
      <c r="B1260" s="335" t="s">
        <v>56</v>
      </c>
      <c r="C1260" s="335" t="s">
        <v>27</v>
      </c>
      <c r="D1260" s="335" t="s">
        <v>2118</v>
      </c>
      <c r="E1260" s="336" t="s">
        <v>2119</v>
      </c>
      <c r="F1260" s="336" t="s">
        <v>60</v>
      </c>
      <c r="G1260" s="337">
        <v>1</v>
      </c>
      <c r="H1260" s="338">
        <v>0</v>
      </c>
      <c r="I1260" s="339">
        <v>11651.218312086001</v>
      </c>
      <c r="J1260" s="340">
        <v>11651.218312086001</v>
      </c>
      <c r="K1260" s="335" t="s">
        <v>2573</v>
      </c>
      <c r="L1260" s="335">
        <v>1</v>
      </c>
      <c r="M1260" s="335" t="s">
        <v>2574</v>
      </c>
      <c r="N1260" s="339">
        <v>1</v>
      </c>
      <c r="O1260" s="341">
        <v>1</v>
      </c>
      <c r="P1260" s="341">
        <v>460</v>
      </c>
      <c r="Q1260" s="341">
        <v>460</v>
      </c>
      <c r="R1260" s="342">
        <v>14.01</v>
      </c>
      <c r="S1260" s="342" t="s">
        <v>25</v>
      </c>
    </row>
    <row r="1261" spans="1:19" ht="14.25" customHeight="1" x14ac:dyDescent="0.3">
      <c r="A1261" s="335" t="s">
        <v>2575</v>
      </c>
      <c r="B1261" s="335" t="s">
        <v>56</v>
      </c>
      <c r="C1261" s="335" t="s">
        <v>27</v>
      </c>
      <c r="D1261" s="335" t="s">
        <v>2576</v>
      </c>
      <c r="E1261" s="336" t="s">
        <v>2577</v>
      </c>
      <c r="F1261" s="336" t="s">
        <v>60</v>
      </c>
      <c r="G1261" s="337">
        <v>1</v>
      </c>
      <c r="H1261" s="338">
        <v>0</v>
      </c>
      <c r="I1261" s="339">
        <v>12499.4731571067</v>
      </c>
      <c r="J1261" s="340">
        <v>12499.4731571067</v>
      </c>
      <c r="K1261" s="335" t="s">
        <v>2578</v>
      </c>
      <c r="L1261" s="335">
        <v>1</v>
      </c>
      <c r="M1261" s="335" t="s">
        <v>2579</v>
      </c>
      <c r="N1261" s="339">
        <v>1</v>
      </c>
      <c r="O1261" s="341">
        <v>1</v>
      </c>
      <c r="P1261" s="341">
        <v>434</v>
      </c>
      <c r="Q1261" s="341">
        <v>434</v>
      </c>
      <c r="R1261" s="342">
        <v>14.02</v>
      </c>
      <c r="S1261" s="342" t="s">
        <v>25</v>
      </c>
    </row>
    <row r="1262" spans="1:19" ht="14.25" customHeight="1" x14ac:dyDescent="0.3">
      <c r="A1262" s="335" t="s">
        <v>2580</v>
      </c>
      <c r="B1262" s="335" t="s">
        <v>20</v>
      </c>
      <c r="C1262" s="335"/>
      <c r="D1262" s="335" t="s">
        <v>578</v>
      </c>
      <c r="E1262" s="336" t="s">
        <v>579</v>
      </c>
      <c r="F1262" s="336"/>
      <c r="G1262" s="337">
        <v>1</v>
      </c>
      <c r="H1262" s="338">
        <v>0</v>
      </c>
      <c r="I1262" s="339">
        <v>140.198092594309</v>
      </c>
      <c r="J1262" s="340">
        <v>140.198092594309</v>
      </c>
      <c r="K1262" s="335" t="s">
        <v>2581</v>
      </c>
      <c r="L1262" s="335">
        <v>1</v>
      </c>
      <c r="M1262" s="335" t="s">
        <v>2582</v>
      </c>
      <c r="N1262" s="339">
        <v>9.5</v>
      </c>
      <c r="O1262" s="341">
        <v>1</v>
      </c>
      <c r="P1262" s="341">
        <v>115</v>
      </c>
      <c r="Q1262" s="341">
        <v>115</v>
      </c>
      <c r="R1262" s="342">
        <v>14.03</v>
      </c>
      <c r="S1262" s="342" t="s">
        <v>25</v>
      </c>
    </row>
    <row r="1263" spans="1:19" ht="14.25" customHeight="1" x14ac:dyDescent="0.3">
      <c r="A1263" s="335" t="s">
        <v>2580</v>
      </c>
      <c r="B1263" s="335" t="s">
        <v>20</v>
      </c>
      <c r="C1263" s="335"/>
      <c r="D1263" s="335" t="s">
        <v>582</v>
      </c>
      <c r="E1263" s="336" t="s">
        <v>583</v>
      </c>
      <c r="F1263" s="336"/>
      <c r="G1263" s="337">
        <v>1</v>
      </c>
      <c r="H1263" s="338">
        <v>0</v>
      </c>
      <c r="I1263" s="339">
        <v>2365.2381485799501</v>
      </c>
      <c r="J1263" s="340">
        <v>2365.2381485799501</v>
      </c>
      <c r="K1263" s="335" t="s">
        <v>2581</v>
      </c>
      <c r="L1263" s="335">
        <v>2</v>
      </c>
      <c r="M1263" s="335" t="s">
        <v>2583</v>
      </c>
      <c r="N1263" s="339">
        <v>9.5</v>
      </c>
      <c r="O1263" s="341">
        <v>1</v>
      </c>
      <c r="P1263" s="341">
        <v>115</v>
      </c>
      <c r="Q1263" s="341">
        <v>115</v>
      </c>
      <c r="R1263" s="342">
        <v>14.03</v>
      </c>
      <c r="S1263" s="342" t="s">
        <v>25</v>
      </c>
    </row>
    <row r="1264" spans="1:19" ht="14.25" customHeight="1" x14ac:dyDescent="0.3">
      <c r="A1264" s="335" t="s">
        <v>2580</v>
      </c>
      <c r="B1264" s="335" t="s">
        <v>26</v>
      </c>
      <c r="C1264" s="335" t="s">
        <v>27</v>
      </c>
      <c r="D1264" s="335" t="s">
        <v>585</v>
      </c>
      <c r="E1264" s="336" t="s">
        <v>586</v>
      </c>
      <c r="F1264" s="336" t="s">
        <v>35</v>
      </c>
      <c r="G1264" s="337">
        <v>0.507692307692308</v>
      </c>
      <c r="H1264" s="338">
        <v>0.1</v>
      </c>
      <c r="I1264" s="339">
        <v>2147.85</v>
      </c>
      <c r="J1264" s="340">
        <v>1199.49161538462</v>
      </c>
      <c r="K1264" s="335" t="s">
        <v>2584</v>
      </c>
      <c r="L1264" s="335">
        <v>1</v>
      </c>
      <c r="M1264" s="335" t="s">
        <v>2585</v>
      </c>
      <c r="N1264" s="339">
        <v>9.5</v>
      </c>
      <c r="O1264" s="341">
        <v>0.507692307692308</v>
      </c>
      <c r="P1264" s="341">
        <v>115</v>
      </c>
      <c r="Q1264" s="341">
        <v>58.384615384615401</v>
      </c>
      <c r="R1264" s="342">
        <v>14.03</v>
      </c>
      <c r="S1264" s="342" t="s">
        <v>25</v>
      </c>
    </row>
    <row r="1265" spans="1:19" ht="14.25" customHeight="1" x14ac:dyDescent="0.3">
      <c r="A1265" s="335" t="s">
        <v>2580</v>
      </c>
      <c r="B1265" s="335" t="s">
        <v>26</v>
      </c>
      <c r="C1265" s="335" t="s">
        <v>27</v>
      </c>
      <c r="D1265" s="335" t="s">
        <v>589</v>
      </c>
      <c r="E1265" s="336" t="s">
        <v>590</v>
      </c>
      <c r="F1265" s="336" t="s">
        <v>35</v>
      </c>
      <c r="G1265" s="337">
        <v>1.2307692307692299</v>
      </c>
      <c r="H1265" s="338">
        <v>0.1</v>
      </c>
      <c r="I1265" s="339">
        <v>2468.66</v>
      </c>
      <c r="J1265" s="340">
        <v>3342.18584615384</v>
      </c>
      <c r="K1265" s="335" t="s">
        <v>2584</v>
      </c>
      <c r="L1265" s="335">
        <v>2</v>
      </c>
      <c r="M1265" s="335" t="s">
        <v>2586</v>
      </c>
      <c r="N1265" s="339">
        <v>9.5</v>
      </c>
      <c r="O1265" s="341">
        <v>1.2307692307692299</v>
      </c>
      <c r="P1265" s="341">
        <v>115</v>
      </c>
      <c r="Q1265" s="341">
        <v>141.53846153846101</v>
      </c>
      <c r="R1265" s="342">
        <v>14.03</v>
      </c>
      <c r="S1265" s="342" t="s">
        <v>25</v>
      </c>
    </row>
    <row r="1266" spans="1:19" ht="14.25" customHeight="1" x14ac:dyDescent="0.3">
      <c r="A1266" s="335" t="s">
        <v>2580</v>
      </c>
      <c r="B1266" s="335" t="s">
        <v>26</v>
      </c>
      <c r="C1266" s="335" t="s">
        <v>27</v>
      </c>
      <c r="D1266" s="335" t="s">
        <v>592</v>
      </c>
      <c r="E1266" s="336" t="s">
        <v>593</v>
      </c>
      <c r="F1266" s="336" t="s">
        <v>35</v>
      </c>
      <c r="G1266" s="337">
        <v>2.8125000000000001E-2</v>
      </c>
      <c r="H1266" s="338">
        <v>0.05</v>
      </c>
      <c r="I1266" s="339">
        <v>26872.02</v>
      </c>
      <c r="J1266" s="340">
        <v>793.564340625</v>
      </c>
      <c r="K1266" s="335" t="s">
        <v>2584</v>
      </c>
      <c r="L1266" s="335">
        <v>3</v>
      </c>
      <c r="M1266" s="335" t="s">
        <v>2587</v>
      </c>
      <c r="N1266" s="339">
        <v>9.5</v>
      </c>
      <c r="O1266" s="341">
        <v>2.8125000000000001E-2</v>
      </c>
      <c r="P1266" s="341">
        <v>115</v>
      </c>
      <c r="Q1266" s="341">
        <v>3.234375</v>
      </c>
      <c r="R1266" s="342">
        <v>14.03</v>
      </c>
      <c r="S1266" s="342" t="s">
        <v>25</v>
      </c>
    </row>
    <row r="1267" spans="1:19" ht="14.25" customHeight="1" x14ac:dyDescent="0.3">
      <c r="A1267" s="335" t="s">
        <v>2580</v>
      </c>
      <c r="B1267" s="335" t="s">
        <v>26</v>
      </c>
      <c r="C1267" s="335" t="s">
        <v>27</v>
      </c>
      <c r="D1267" s="335" t="s">
        <v>595</v>
      </c>
      <c r="E1267" s="336" t="s">
        <v>596</v>
      </c>
      <c r="F1267" s="336" t="s">
        <v>35</v>
      </c>
      <c r="G1267" s="337">
        <v>16</v>
      </c>
      <c r="H1267" s="338">
        <v>0.05</v>
      </c>
      <c r="I1267" s="339">
        <v>32.707173553719002</v>
      </c>
      <c r="J1267" s="340">
        <v>549.48051570247901</v>
      </c>
      <c r="K1267" s="335" t="s">
        <v>2584</v>
      </c>
      <c r="L1267" s="335">
        <v>4</v>
      </c>
      <c r="M1267" s="335" t="s">
        <v>2588</v>
      </c>
      <c r="N1267" s="339">
        <v>9.5</v>
      </c>
      <c r="O1267" s="341">
        <v>16</v>
      </c>
      <c r="P1267" s="341">
        <v>115</v>
      </c>
      <c r="Q1267" s="341">
        <v>1840</v>
      </c>
      <c r="R1267" s="342">
        <v>14.03</v>
      </c>
      <c r="S1267" s="342" t="s">
        <v>25</v>
      </c>
    </row>
    <row r="1268" spans="1:19" ht="14.25" customHeight="1" x14ac:dyDescent="0.3">
      <c r="A1268" s="335" t="s">
        <v>2580</v>
      </c>
      <c r="B1268" s="335" t="s">
        <v>26</v>
      </c>
      <c r="C1268" s="335" t="s">
        <v>27</v>
      </c>
      <c r="D1268" s="335" t="s">
        <v>598</v>
      </c>
      <c r="E1268" s="336" t="s">
        <v>599</v>
      </c>
      <c r="F1268" s="336" t="s">
        <v>35</v>
      </c>
      <c r="G1268" s="337">
        <v>18</v>
      </c>
      <c r="H1268" s="338">
        <v>0.05</v>
      </c>
      <c r="I1268" s="339">
        <v>17.1963177226814</v>
      </c>
      <c r="J1268" s="340">
        <v>325.01040495867898</v>
      </c>
      <c r="K1268" s="335" t="s">
        <v>2584</v>
      </c>
      <c r="L1268" s="335">
        <v>5</v>
      </c>
      <c r="M1268" s="335" t="s">
        <v>2589</v>
      </c>
      <c r="N1268" s="339">
        <v>9.5</v>
      </c>
      <c r="O1268" s="341">
        <v>18</v>
      </c>
      <c r="P1268" s="341">
        <v>115</v>
      </c>
      <c r="Q1268" s="341">
        <v>2070</v>
      </c>
      <c r="R1268" s="342">
        <v>14.03</v>
      </c>
      <c r="S1268" s="342" t="s">
        <v>25</v>
      </c>
    </row>
    <row r="1269" spans="1:19" ht="14.25" customHeight="1" x14ac:dyDescent="0.3">
      <c r="A1269" s="335" t="s">
        <v>2580</v>
      </c>
      <c r="B1269" s="335" t="s">
        <v>26</v>
      </c>
      <c r="C1269" s="335" t="s">
        <v>27</v>
      </c>
      <c r="D1269" s="335" t="s">
        <v>601</v>
      </c>
      <c r="E1269" s="336" t="s">
        <v>602</v>
      </c>
      <c r="F1269" s="336" t="s">
        <v>35</v>
      </c>
      <c r="G1269" s="337">
        <v>6</v>
      </c>
      <c r="H1269" s="338">
        <v>0.05</v>
      </c>
      <c r="I1269" s="339">
        <v>65.919008264462803</v>
      </c>
      <c r="J1269" s="340">
        <v>415.28975206611602</v>
      </c>
      <c r="K1269" s="335" t="s">
        <v>2584</v>
      </c>
      <c r="L1269" s="335">
        <v>6</v>
      </c>
      <c r="M1269" s="335" t="s">
        <v>2590</v>
      </c>
      <c r="N1269" s="339">
        <v>9.5</v>
      </c>
      <c r="O1269" s="341">
        <v>6</v>
      </c>
      <c r="P1269" s="341">
        <v>115</v>
      </c>
      <c r="Q1269" s="341">
        <v>690</v>
      </c>
      <c r="R1269" s="342">
        <v>14.03</v>
      </c>
      <c r="S1269" s="342" t="s">
        <v>25</v>
      </c>
    </row>
    <row r="1270" spans="1:19" ht="14.25" customHeight="1" x14ac:dyDescent="0.3">
      <c r="A1270" s="335" t="s">
        <v>2580</v>
      </c>
      <c r="B1270" s="335" t="s">
        <v>26</v>
      </c>
      <c r="C1270" s="335" t="s">
        <v>27</v>
      </c>
      <c r="D1270" s="335" t="s">
        <v>604</v>
      </c>
      <c r="E1270" s="336" t="s">
        <v>605</v>
      </c>
      <c r="F1270" s="336" t="s">
        <v>35</v>
      </c>
      <c r="G1270" s="337">
        <v>1.8333333333333299E-2</v>
      </c>
      <c r="H1270" s="338">
        <v>0.05</v>
      </c>
      <c r="I1270" s="339">
        <v>4042.71</v>
      </c>
      <c r="J1270" s="340">
        <v>77.822167499999907</v>
      </c>
      <c r="K1270" s="335" t="s">
        <v>2584</v>
      </c>
      <c r="L1270" s="335">
        <v>7</v>
      </c>
      <c r="M1270" s="335" t="s">
        <v>2591</v>
      </c>
      <c r="N1270" s="339">
        <v>9.5</v>
      </c>
      <c r="O1270" s="341">
        <v>1.8333333333333299E-2</v>
      </c>
      <c r="P1270" s="341">
        <v>115</v>
      </c>
      <c r="Q1270" s="341">
        <v>2.1083333333333298</v>
      </c>
      <c r="R1270" s="342">
        <v>14.03</v>
      </c>
      <c r="S1270" s="342" t="s">
        <v>25</v>
      </c>
    </row>
    <row r="1271" spans="1:19" ht="14.25" customHeight="1" x14ac:dyDescent="0.3">
      <c r="A1271" s="335" t="s">
        <v>2580</v>
      </c>
      <c r="B1271" s="335" t="s">
        <v>26</v>
      </c>
      <c r="C1271" s="335" t="s">
        <v>27</v>
      </c>
      <c r="D1271" s="335" t="s">
        <v>607</v>
      </c>
      <c r="E1271" s="336" t="s">
        <v>608</v>
      </c>
      <c r="F1271" s="336" t="s">
        <v>35</v>
      </c>
      <c r="G1271" s="337">
        <v>0.36</v>
      </c>
      <c r="H1271" s="338">
        <v>0.1</v>
      </c>
      <c r="I1271" s="339">
        <v>10022.959999999999</v>
      </c>
      <c r="J1271" s="340">
        <v>3969.0921600000001</v>
      </c>
      <c r="K1271" s="335" t="s">
        <v>2584</v>
      </c>
      <c r="L1271" s="335">
        <v>8</v>
      </c>
      <c r="M1271" s="335" t="s">
        <v>2592</v>
      </c>
      <c r="N1271" s="339">
        <v>9.5</v>
      </c>
      <c r="O1271" s="341">
        <v>0.36</v>
      </c>
      <c r="P1271" s="341">
        <v>115</v>
      </c>
      <c r="Q1271" s="341">
        <v>41.4</v>
      </c>
      <c r="R1271" s="342">
        <v>14.03</v>
      </c>
      <c r="S1271" s="342" t="s">
        <v>25</v>
      </c>
    </row>
    <row r="1272" spans="1:19" ht="14.25" customHeight="1" x14ac:dyDescent="0.3">
      <c r="A1272" s="335" t="s">
        <v>2580</v>
      </c>
      <c r="B1272" s="335" t="s">
        <v>56</v>
      </c>
      <c r="C1272" s="335" t="s">
        <v>57</v>
      </c>
      <c r="D1272" s="343" t="s">
        <v>413</v>
      </c>
      <c r="E1272" s="336" t="s">
        <v>414</v>
      </c>
      <c r="F1272" s="336" t="s">
        <v>60</v>
      </c>
      <c r="G1272" s="337">
        <v>1</v>
      </c>
      <c r="H1272" s="338">
        <v>0</v>
      </c>
      <c r="I1272" s="339">
        <v>65493.071636572</v>
      </c>
      <c r="J1272" s="340">
        <v>65493.071636572</v>
      </c>
      <c r="K1272" s="335" t="s">
        <v>2593</v>
      </c>
      <c r="L1272" s="335">
        <v>1</v>
      </c>
      <c r="M1272" s="335" t="s">
        <v>2594</v>
      </c>
      <c r="N1272" s="339">
        <v>9.5</v>
      </c>
      <c r="O1272" s="341">
        <v>0.105263157894737</v>
      </c>
      <c r="P1272" s="341">
        <v>115</v>
      </c>
      <c r="Q1272" s="341">
        <v>12.105263157894701</v>
      </c>
      <c r="R1272" s="342">
        <v>14.03</v>
      </c>
      <c r="S1272" s="342" t="s">
        <v>25</v>
      </c>
    </row>
    <row r="1273" spans="1:19" ht="14.25" customHeight="1" x14ac:dyDescent="0.3">
      <c r="A1273" s="335" t="s">
        <v>2580</v>
      </c>
      <c r="B1273" s="335" t="s">
        <v>56</v>
      </c>
      <c r="C1273" s="335" t="s">
        <v>57</v>
      </c>
      <c r="D1273" s="343" t="s">
        <v>63</v>
      </c>
      <c r="E1273" s="336" t="s">
        <v>64</v>
      </c>
      <c r="F1273" s="336" t="s">
        <v>60</v>
      </c>
      <c r="G1273" s="337">
        <v>1</v>
      </c>
      <c r="H1273" s="338">
        <v>0</v>
      </c>
      <c r="I1273" s="339">
        <v>85927.097156571996</v>
      </c>
      <c r="J1273" s="340">
        <v>85927.097156571996</v>
      </c>
      <c r="K1273" s="335" t="s">
        <v>2593</v>
      </c>
      <c r="L1273" s="335">
        <v>2</v>
      </c>
      <c r="M1273" s="335" t="s">
        <v>2595</v>
      </c>
      <c r="N1273" s="339">
        <v>9.5</v>
      </c>
      <c r="O1273" s="341">
        <v>0.105263157894737</v>
      </c>
      <c r="P1273" s="341">
        <v>115</v>
      </c>
      <c r="Q1273" s="341">
        <v>12.105263157894701</v>
      </c>
      <c r="R1273" s="342">
        <v>14.03</v>
      </c>
      <c r="S1273" s="342" t="s">
        <v>25</v>
      </c>
    </row>
    <row r="1274" spans="1:19" ht="14.25" customHeight="1" x14ac:dyDescent="0.3">
      <c r="A1274" s="335" t="s">
        <v>2596</v>
      </c>
      <c r="B1274" s="335" t="s">
        <v>20</v>
      </c>
      <c r="C1274" s="335"/>
      <c r="D1274" s="335" t="s">
        <v>578</v>
      </c>
      <c r="E1274" s="336" t="s">
        <v>579</v>
      </c>
      <c r="F1274" s="336"/>
      <c r="G1274" s="337">
        <v>1</v>
      </c>
      <c r="H1274" s="338">
        <v>0</v>
      </c>
      <c r="I1274" s="339">
        <v>140.198092594309</v>
      </c>
      <c r="J1274" s="340">
        <v>140.198092594309</v>
      </c>
      <c r="K1274" s="335" t="s">
        <v>2597</v>
      </c>
      <c r="L1274" s="335">
        <v>1</v>
      </c>
      <c r="M1274" s="335" t="s">
        <v>2598</v>
      </c>
      <c r="N1274" s="339">
        <v>9.5</v>
      </c>
      <c r="O1274" s="341">
        <v>1</v>
      </c>
      <c r="P1274" s="341">
        <v>89</v>
      </c>
      <c r="Q1274" s="341">
        <v>89</v>
      </c>
      <c r="R1274" s="342">
        <v>14.04</v>
      </c>
      <c r="S1274" s="342" t="s">
        <v>25</v>
      </c>
    </row>
    <row r="1275" spans="1:19" ht="14.25" customHeight="1" x14ac:dyDescent="0.3">
      <c r="A1275" s="335" t="s">
        <v>2596</v>
      </c>
      <c r="B1275" s="335" t="s">
        <v>20</v>
      </c>
      <c r="C1275" s="335"/>
      <c r="D1275" s="335" t="s">
        <v>582</v>
      </c>
      <c r="E1275" s="336" t="s">
        <v>583</v>
      </c>
      <c r="F1275" s="336"/>
      <c r="G1275" s="337">
        <v>1</v>
      </c>
      <c r="H1275" s="338">
        <v>0</v>
      </c>
      <c r="I1275" s="339">
        <v>2365.2381485799501</v>
      </c>
      <c r="J1275" s="340">
        <v>2365.2381485799501</v>
      </c>
      <c r="K1275" s="335" t="s">
        <v>2597</v>
      </c>
      <c r="L1275" s="335">
        <v>2</v>
      </c>
      <c r="M1275" s="335" t="s">
        <v>2599</v>
      </c>
      <c r="N1275" s="339">
        <v>9.5</v>
      </c>
      <c r="O1275" s="341">
        <v>1</v>
      </c>
      <c r="P1275" s="341">
        <v>89</v>
      </c>
      <c r="Q1275" s="341">
        <v>89</v>
      </c>
      <c r="R1275" s="342">
        <v>14.04</v>
      </c>
      <c r="S1275" s="342" t="s">
        <v>25</v>
      </c>
    </row>
    <row r="1276" spans="1:19" ht="14.25" customHeight="1" x14ac:dyDescent="0.3">
      <c r="A1276" s="335" t="s">
        <v>2596</v>
      </c>
      <c r="B1276" s="335" t="s">
        <v>26</v>
      </c>
      <c r="C1276" s="335" t="s">
        <v>27</v>
      </c>
      <c r="D1276" s="335" t="s">
        <v>617</v>
      </c>
      <c r="E1276" s="336" t="s">
        <v>618</v>
      </c>
      <c r="F1276" s="336" t="s">
        <v>35</v>
      </c>
      <c r="G1276" s="337">
        <v>0.507692307692308</v>
      </c>
      <c r="H1276" s="338">
        <v>0.1</v>
      </c>
      <c r="I1276" s="339">
        <v>2932.93</v>
      </c>
      <c r="J1276" s="340">
        <v>1637.9286</v>
      </c>
      <c r="K1276" s="335" t="s">
        <v>2600</v>
      </c>
      <c r="L1276" s="335">
        <v>1</v>
      </c>
      <c r="M1276" s="335" t="s">
        <v>2601</v>
      </c>
      <c r="N1276" s="339">
        <v>9.5</v>
      </c>
      <c r="O1276" s="341">
        <v>0.507692307692308</v>
      </c>
      <c r="P1276" s="341">
        <v>89</v>
      </c>
      <c r="Q1276" s="341">
        <v>45.184615384615398</v>
      </c>
      <c r="R1276" s="342">
        <v>14.04</v>
      </c>
      <c r="S1276" s="342" t="s">
        <v>25</v>
      </c>
    </row>
    <row r="1277" spans="1:19" ht="14.25" customHeight="1" x14ac:dyDescent="0.3">
      <c r="A1277" s="335" t="s">
        <v>2596</v>
      </c>
      <c r="B1277" s="335" t="s">
        <v>26</v>
      </c>
      <c r="C1277" s="335" t="s">
        <v>27</v>
      </c>
      <c r="D1277" s="335" t="s">
        <v>621</v>
      </c>
      <c r="E1277" s="336" t="s">
        <v>622</v>
      </c>
      <c r="F1277" s="336" t="s">
        <v>35</v>
      </c>
      <c r="G1277" s="337">
        <v>1.2307692307692299</v>
      </c>
      <c r="H1277" s="338">
        <v>0.1</v>
      </c>
      <c r="I1277" s="339">
        <v>3295.47</v>
      </c>
      <c r="J1277" s="340">
        <v>4461.5593846153797</v>
      </c>
      <c r="K1277" s="335" t="s">
        <v>2600</v>
      </c>
      <c r="L1277" s="335">
        <v>2</v>
      </c>
      <c r="M1277" s="335" t="s">
        <v>2602</v>
      </c>
      <c r="N1277" s="339">
        <v>9.5</v>
      </c>
      <c r="O1277" s="341">
        <v>1.2307692307692299</v>
      </c>
      <c r="P1277" s="341">
        <v>89</v>
      </c>
      <c r="Q1277" s="341">
        <v>109.538461538462</v>
      </c>
      <c r="R1277" s="342">
        <v>14.04</v>
      </c>
      <c r="S1277" s="342" t="s">
        <v>25</v>
      </c>
    </row>
    <row r="1278" spans="1:19" ht="14.25" customHeight="1" x14ac:dyDescent="0.3">
      <c r="A1278" s="335" t="s">
        <v>2596</v>
      </c>
      <c r="B1278" s="335" t="s">
        <v>26</v>
      </c>
      <c r="C1278" s="335" t="s">
        <v>27</v>
      </c>
      <c r="D1278" s="335" t="s">
        <v>592</v>
      </c>
      <c r="E1278" s="336" t="s">
        <v>593</v>
      </c>
      <c r="F1278" s="336" t="s">
        <v>35</v>
      </c>
      <c r="G1278" s="337">
        <v>2.8125000000000001E-2</v>
      </c>
      <c r="H1278" s="338">
        <v>0.05</v>
      </c>
      <c r="I1278" s="339">
        <v>26872.02</v>
      </c>
      <c r="J1278" s="340">
        <v>793.564340625</v>
      </c>
      <c r="K1278" s="335" t="s">
        <v>2600</v>
      </c>
      <c r="L1278" s="335">
        <v>3</v>
      </c>
      <c r="M1278" s="335" t="s">
        <v>2603</v>
      </c>
      <c r="N1278" s="339">
        <v>9.5</v>
      </c>
      <c r="O1278" s="341">
        <v>2.8125000000000001E-2</v>
      </c>
      <c r="P1278" s="341">
        <v>89</v>
      </c>
      <c r="Q1278" s="341">
        <v>2.5031249999999998</v>
      </c>
      <c r="R1278" s="342">
        <v>14.04</v>
      </c>
      <c r="S1278" s="342" t="s">
        <v>25</v>
      </c>
    </row>
    <row r="1279" spans="1:19" ht="14.25" customHeight="1" x14ac:dyDescent="0.3">
      <c r="A1279" s="335" t="s">
        <v>2596</v>
      </c>
      <c r="B1279" s="335" t="s">
        <v>26</v>
      </c>
      <c r="C1279" s="335" t="s">
        <v>27</v>
      </c>
      <c r="D1279" s="335" t="s">
        <v>595</v>
      </c>
      <c r="E1279" s="336" t="s">
        <v>596</v>
      </c>
      <c r="F1279" s="336" t="s">
        <v>35</v>
      </c>
      <c r="G1279" s="337">
        <v>16</v>
      </c>
      <c r="H1279" s="338">
        <v>0.05</v>
      </c>
      <c r="I1279" s="339">
        <v>32.707173553719002</v>
      </c>
      <c r="J1279" s="340">
        <v>549.48051570247901</v>
      </c>
      <c r="K1279" s="335" t="s">
        <v>2600</v>
      </c>
      <c r="L1279" s="335">
        <v>4</v>
      </c>
      <c r="M1279" s="335" t="s">
        <v>2604</v>
      </c>
      <c r="N1279" s="339">
        <v>9.5</v>
      </c>
      <c r="O1279" s="341">
        <v>16</v>
      </c>
      <c r="P1279" s="341">
        <v>89</v>
      </c>
      <c r="Q1279" s="341">
        <v>1424</v>
      </c>
      <c r="R1279" s="342">
        <v>14.04</v>
      </c>
      <c r="S1279" s="342" t="s">
        <v>25</v>
      </c>
    </row>
    <row r="1280" spans="1:19" ht="14.25" customHeight="1" x14ac:dyDescent="0.3">
      <c r="A1280" s="335" t="s">
        <v>2596</v>
      </c>
      <c r="B1280" s="335" t="s">
        <v>26</v>
      </c>
      <c r="C1280" s="335" t="s">
        <v>27</v>
      </c>
      <c r="D1280" s="335" t="s">
        <v>598</v>
      </c>
      <c r="E1280" s="336" t="s">
        <v>599</v>
      </c>
      <c r="F1280" s="336" t="s">
        <v>35</v>
      </c>
      <c r="G1280" s="337">
        <v>18</v>
      </c>
      <c r="H1280" s="338">
        <v>0.05</v>
      </c>
      <c r="I1280" s="339">
        <v>17.1963177226814</v>
      </c>
      <c r="J1280" s="340">
        <v>325.01040495867898</v>
      </c>
      <c r="K1280" s="335" t="s">
        <v>2600</v>
      </c>
      <c r="L1280" s="335">
        <v>5</v>
      </c>
      <c r="M1280" s="335" t="s">
        <v>2605</v>
      </c>
      <c r="N1280" s="339">
        <v>9.5</v>
      </c>
      <c r="O1280" s="341">
        <v>18</v>
      </c>
      <c r="P1280" s="341">
        <v>89</v>
      </c>
      <c r="Q1280" s="341">
        <v>1602</v>
      </c>
      <c r="R1280" s="342">
        <v>14.04</v>
      </c>
      <c r="S1280" s="342" t="s">
        <v>25</v>
      </c>
    </row>
    <row r="1281" spans="1:19" ht="14.25" customHeight="1" x14ac:dyDescent="0.3">
      <c r="A1281" s="335" t="s">
        <v>2596</v>
      </c>
      <c r="B1281" s="335" t="s">
        <v>26</v>
      </c>
      <c r="C1281" s="335" t="s">
        <v>27</v>
      </c>
      <c r="D1281" s="335" t="s">
        <v>601</v>
      </c>
      <c r="E1281" s="336" t="s">
        <v>602</v>
      </c>
      <c r="F1281" s="336" t="s">
        <v>35</v>
      </c>
      <c r="G1281" s="337">
        <v>6</v>
      </c>
      <c r="H1281" s="338">
        <v>0.05</v>
      </c>
      <c r="I1281" s="339">
        <v>65.919008264462803</v>
      </c>
      <c r="J1281" s="340">
        <v>415.28975206611602</v>
      </c>
      <c r="K1281" s="335" t="s">
        <v>2600</v>
      </c>
      <c r="L1281" s="335">
        <v>6</v>
      </c>
      <c r="M1281" s="335" t="s">
        <v>2606</v>
      </c>
      <c r="N1281" s="339">
        <v>9.5</v>
      </c>
      <c r="O1281" s="341">
        <v>6</v>
      </c>
      <c r="P1281" s="341">
        <v>89</v>
      </c>
      <c r="Q1281" s="341">
        <v>534</v>
      </c>
      <c r="R1281" s="342">
        <v>14.04</v>
      </c>
      <c r="S1281" s="342" t="s">
        <v>25</v>
      </c>
    </row>
    <row r="1282" spans="1:19" ht="14.25" customHeight="1" x14ac:dyDescent="0.3">
      <c r="A1282" s="335" t="s">
        <v>2596</v>
      </c>
      <c r="B1282" s="335" t="s">
        <v>26</v>
      </c>
      <c r="C1282" s="335" t="s">
        <v>27</v>
      </c>
      <c r="D1282" s="335" t="s">
        <v>604</v>
      </c>
      <c r="E1282" s="336" t="s">
        <v>605</v>
      </c>
      <c r="F1282" s="336" t="s">
        <v>35</v>
      </c>
      <c r="G1282" s="337">
        <v>1.8333333333333299E-2</v>
      </c>
      <c r="H1282" s="338">
        <v>0.05</v>
      </c>
      <c r="I1282" s="339">
        <v>4042.71</v>
      </c>
      <c r="J1282" s="340">
        <v>77.822167499999907</v>
      </c>
      <c r="K1282" s="335" t="s">
        <v>2600</v>
      </c>
      <c r="L1282" s="335">
        <v>7</v>
      </c>
      <c r="M1282" s="335" t="s">
        <v>2607</v>
      </c>
      <c r="N1282" s="339">
        <v>9.5</v>
      </c>
      <c r="O1282" s="341">
        <v>1.8333333333333299E-2</v>
      </c>
      <c r="P1282" s="341">
        <v>89</v>
      </c>
      <c r="Q1282" s="341">
        <v>1.6316666666666599</v>
      </c>
      <c r="R1282" s="342">
        <v>14.04</v>
      </c>
      <c r="S1282" s="342" t="s">
        <v>25</v>
      </c>
    </row>
    <row r="1283" spans="1:19" ht="14.25" customHeight="1" x14ac:dyDescent="0.3">
      <c r="A1283" s="335" t="s">
        <v>2596</v>
      </c>
      <c r="B1283" s="335" t="s">
        <v>26</v>
      </c>
      <c r="C1283" s="335" t="s">
        <v>27</v>
      </c>
      <c r="D1283" s="335" t="s">
        <v>629</v>
      </c>
      <c r="E1283" s="336" t="s">
        <v>630</v>
      </c>
      <c r="F1283" s="336" t="s">
        <v>35</v>
      </c>
      <c r="G1283" s="337">
        <v>0.36</v>
      </c>
      <c r="H1283" s="338">
        <v>0.1</v>
      </c>
      <c r="I1283" s="339">
        <v>16160.1</v>
      </c>
      <c r="J1283" s="340">
        <v>6399.3995999999997</v>
      </c>
      <c r="K1283" s="335" t="s">
        <v>2600</v>
      </c>
      <c r="L1283" s="335">
        <v>8</v>
      </c>
      <c r="M1283" s="335" t="s">
        <v>2608</v>
      </c>
      <c r="N1283" s="339">
        <v>9.5</v>
      </c>
      <c r="O1283" s="341">
        <v>0.36</v>
      </c>
      <c r="P1283" s="341">
        <v>89</v>
      </c>
      <c r="Q1283" s="341">
        <v>32.04</v>
      </c>
      <c r="R1283" s="342">
        <v>14.04</v>
      </c>
      <c r="S1283" s="342" t="s">
        <v>25</v>
      </c>
    </row>
    <row r="1284" spans="1:19" ht="14.25" customHeight="1" x14ac:dyDescent="0.3">
      <c r="A1284" s="335" t="s">
        <v>2596</v>
      </c>
      <c r="B1284" s="335" t="s">
        <v>56</v>
      </c>
      <c r="C1284" s="335" t="s">
        <v>57</v>
      </c>
      <c r="D1284" s="343" t="s">
        <v>413</v>
      </c>
      <c r="E1284" s="336" t="s">
        <v>414</v>
      </c>
      <c r="F1284" s="336" t="s">
        <v>60</v>
      </c>
      <c r="G1284" s="337">
        <v>1</v>
      </c>
      <c r="H1284" s="338">
        <v>0</v>
      </c>
      <c r="I1284" s="339">
        <v>65493.071636572</v>
      </c>
      <c r="J1284" s="340">
        <v>65493.071636572</v>
      </c>
      <c r="K1284" s="335" t="s">
        <v>2609</v>
      </c>
      <c r="L1284" s="335">
        <v>1</v>
      </c>
      <c r="M1284" s="335" t="s">
        <v>2610</v>
      </c>
      <c r="N1284" s="339">
        <v>9.5</v>
      </c>
      <c r="O1284" s="341">
        <v>0.105263157894737</v>
      </c>
      <c r="P1284" s="341">
        <v>89</v>
      </c>
      <c r="Q1284" s="341">
        <v>9.3684210526315805</v>
      </c>
      <c r="R1284" s="342">
        <v>14.04</v>
      </c>
      <c r="S1284" s="342" t="s">
        <v>25</v>
      </c>
    </row>
    <row r="1285" spans="1:19" ht="14.25" customHeight="1" x14ac:dyDescent="0.3">
      <c r="A1285" s="335" t="s">
        <v>2596</v>
      </c>
      <c r="B1285" s="335" t="s">
        <v>56</v>
      </c>
      <c r="C1285" s="335" t="s">
        <v>57</v>
      </c>
      <c r="D1285" s="343" t="s">
        <v>63</v>
      </c>
      <c r="E1285" s="336" t="s">
        <v>64</v>
      </c>
      <c r="F1285" s="336" t="s">
        <v>60</v>
      </c>
      <c r="G1285" s="337">
        <v>1</v>
      </c>
      <c r="H1285" s="338">
        <v>0</v>
      </c>
      <c r="I1285" s="339">
        <v>85927.097156571996</v>
      </c>
      <c r="J1285" s="340">
        <v>85927.097156571996</v>
      </c>
      <c r="K1285" s="335" t="s">
        <v>2609</v>
      </c>
      <c r="L1285" s="335">
        <v>2</v>
      </c>
      <c r="M1285" s="335" t="s">
        <v>2611</v>
      </c>
      <c r="N1285" s="339">
        <v>9.5</v>
      </c>
      <c r="O1285" s="341">
        <v>0.105263157894737</v>
      </c>
      <c r="P1285" s="341">
        <v>89</v>
      </c>
      <c r="Q1285" s="341">
        <v>9.3684210526315805</v>
      </c>
      <c r="R1285" s="342">
        <v>14.04</v>
      </c>
      <c r="S1285" s="342" t="s">
        <v>25</v>
      </c>
    </row>
    <row r="1286" spans="1:19" ht="14.25" customHeight="1" x14ac:dyDescent="0.3">
      <c r="A1286" s="335" t="s">
        <v>2612</v>
      </c>
      <c r="B1286" s="335" t="s">
        <v>20</v>
      </c>
      <c r="C1286" s="335"/>
      <c r="D1286" s="335" t="s">
        <v>578</v>
      </c>
      <c r="E1286" s="336" t="s">
        <v>579</v>
      </c>
      <c r="F1286" s="336"/>
      <c r="G1286" s="337">
        <v>1</v>
      </c>
      <c r="H1286" s="338">
        <v>0</v>
      </c>
      <c r="I1286" s="339">
        <v>140.198092594309</v>
      </c>
      <c r="J1286" s="340">
        <v>140.198092594309</v>
      </c>
      <c r="K1286" s="335" t="s">
        <v>2613</v>
      </c>
      <c r="L1286" s="335">
        <v>1</v>
      </c>
      <c r="M1286" s="335" t="s">
        <v>2614</v>
      </c>
      <c r="N1286" s="339">
        <v>15</v>
      </c>
      <c r="O1286" s="341">
        <v>1</v>
      </c>
      <c r="P1286" s="341">
        <v>530</v>
      </c>
      <c r="Q1286" s="341">
        <v>530</v>
      </c>
      <c r="R1286" s="342">
        <v>14.05</v>
      </c>
      <c r="S1286" s="342" t="s">
        <v>25</v>
      </c>
    </row>
    <row r="1287" spans="1:19" ht="14.25" customHeight="1" x14ac:dyDescent="0.3">
      <c r="A1287" s="335" t="s">
        <v>2612</v>
      </c>
      <c r="B1287" s="335" t="s">
        <v>20</v>
      </c>
      <c r="C1287" s="335"/>
      <c r="D1287" s="335" t="s">
        <v>582</v>
      </c>
      <c r="E1287" s="336" t="s">
        <v>583</v>
      </c>
      <c r="F1287" s="336"/>
      <c r="G1287" s="337">
        <v>1</v>
      </c>
      <c r="H1287" s="338">
        <v>0</v>
      </c>
      <c r="I1287" s="339">
        <v>2365.2381485799501</v>
      </c>
      <c r="J1287" s="340">
        <v>2365.2381485799501</v>
      </c>
      <c r="K1287" s="335" t="s">
        <v>2613</v>
      </c>
      <c r="L1287" s="335">
        <v>2</v>
      </c>
      <c r="M1287" s="335" t="s">
        <v>2615</v>
      </c>
      <c r="N1287" s="339">
        <v>15</v>
      </c>
      <c r="O1287" s="341">
        <v>1</v>
      </c>
      <c r="P1287" s="341">
        <v>530</v>
      </c>
      <c r="Q1287" s="341">
        <v>530</v>
      </c>
      <c r="R1287" s="342">
        <v>14.05</v>
      </c>
      <c r="S1287" s="342" t="s">
        <v>25</v>
      </c>
    </row>
    <row r="1288" spans="1:19" ht="14.25" customHeight="1" x14ac:dyDescent="0.3">
      <c r="A1288" s="335" t="s">
        <v>2612</v>
      </c>
      <c r="B1288" s="335" t="s">
        <v>26</v>
      </c>
      <c r="C1288" s="335" t="s">
        <v>27</v>
      </c>
      <c r="D1288" s="335" t="s">
        <v>598</v>
      </c>
      <c r="E1288" s="336" t="s">
        <v>599</v>
      </c>
      <c r="F1288" s="336" t="s">
        <v>35</v>
      </c>
      <c r="G1288" s="337">
        <v>3</v>
      </c>
      <c r="H1288" s="338">
        <v>0.05</v>
      </c>
      <c r="I1288" s="339">
        <v>17.1963177226814</v>
      </c>
      <c r="J1288" s="340">
        <v>54.168400826446401</v>
      </c>
      <c r="K1288" s="335" t="s">
        <v>2616</v>
      </c>
      <c r="L1288" s="335">
        <v>1</v>
      </c>
      <c r="M1288" s="335" t="s">
        <v>2617</v>
      </c>
      <c r="N1288" s="339">
        <v>15</v>
      </c>
      <c r="O1288" s="341">
        <v>3</v>
      </c>
      <c r="P1288" s="341">
        <v>530</v>
      </c>
      <c r="Q1288" s="341">
        <v>1590</v>
      </c>
      <c r="R1288" s="342">
        <v>14.05</v>
      </c>
      <c r="S1288" s="342" t="s">
        <v>25</v>
      </c>
    </row>
    <row r="1289" spans="1:19" ht="14.25" customHeight="1" x14ac:dyDescent="0.3">
      <c r="A1289" s="335" t="s">
        <v>2612</v>
      </c>
      <c r="B1289" s="335" t="s">
        <v>26</v>
      </c>
      <c r="C1289" s="335" t="s">
        <v>27</v>
      </c>
      <c r="D1289" s="335" t="s">
        <v>2618</v>
      </c>
      <c r="E1289" s="336" t="s">
        <v>2619</v>
      </c>
      <c r="F1289" s="336" t="s">
        <v>35</v>
      </c>
      <c r="G1289" s="337">
        <v>0.39</v>
      </c>
      <c r="H1289" s="338">
        <v>0.1</v>
      </c>
      <c r="I1289" s="339">
        <v>2351.29</v>
      </c>
      <c r="J1289" s="340">
        <v>1008.70341</v>
      </c>
      <c r="K1289" s="335" t="s">
        <v>2616</v>
      </c>
      <c r="L1289" s="335">
        <v>2</v>
      </c>
      <c r="M1289" s="335" t="s">
        <v>2620</v>
      </c>
      <c r="N1289" s="339">
        <v>15</v>
      </c>
      <c r="O1289" s="341">
        <v>0.39</v>
      </c>
      <c r="P1289" s="341">
        <v>530</v>
      </c>
      <c r="Q1289" s="341">
        <v>206.7</v>
      </c>
      <c r="R1289" s="342">
        <v>14.05</v>
      </c>
      <c r="S1289" s="342" t="s">
        <v>25</v>
      </c>
    </row>
    <row r="1290" spans="1:19" ht="14.25" customHeight="1" x14ac:dyDescent="0.3">
      <c r="A1290" s="335" t="s">
        <v>2612</v>
      </c>
      <c r="B1290" s="335" t="s">
        <v>56</v>
      </c>
      <c r="C1290" s="335" t="s">
        <v>57</v>
      </c>
      <c r="D1290" s="343" t="s">
        <v>63</v>
      </c>
      <c r="E1290" s="336" t="s">
        <v>64</v>
      </c>
      <c r="F1290" s="336" t="s">
        <v>60</v>
      </c>
      <c r="G1290" s="337">
        <v>1</v>
      </c>
      <c r="H1290" s="338">
        <v>0</v>
      </c>
      <c r="I1290" s="339">
        <v>85927.097156571996</v>
      </c>
      <c r="J1290" s="340">
        <v>85927.097156571996</v>
      </c>
      <c r="K1290" s="335" t="s">
        <v>2621</v>
      </c>
      <c r="L1290" s="335">
        <v>1</v>
      </c>
      <c r="M1290" s="335" t="s">
        <v>2622</v>
      </c>
      <c r="N1290" s="339">
        <v>15</v>
      </c>
      <c r="O1290" s="341">
        <v>6.6666666666666693E-2</v>
      </c>
      <c r="P1290" s="341">
        <v>530</v>
      </c>
      <c r="Q1290" s="341">
        <v>35.3333333333333</v>
      </c>
      <c r="R1290" s="342">
        <v>14.05</v>
      </c>
      <c r="S1290" s="342" t="s">
        <v>25</v>
      </c>
    </row>
    <row r="1291" spans="1:19" ht="14.25" customHeight="1" x14ac:dyDescent="0.3">
      <c r="A1291" s="335" t="s">
        <v>2623</v>
      </c>
      <c r="B1291" s="335" t="s">
        <v>20</v>
      </c>
      <c r="C1291" s="335"/>
      <c r="D1291" s="335" t="s">
        <v>2624</v>
      </c>
      <c r="E1291" s="336" t="s">
        <v>2625</v>
      </c>
      <c r="F1291" s="336"/>
      <c r="G1291" s="337">
        <v>1</v>
      </c>
      <c r="H1291" s="338">
        <v>0</v>
      </c>
      <c r="I1291" s="339">
        <v>167.02908274495101</v>
      </c>
      <c r="J1291" s="340">
        <v>167.02908274495101</v>
      </c>
      <c r="K1291" s="335" t="s">
        <v>2626</v>
      </c>
      <c r="L1291" s="335">
        <v>1</v>
      </c>
      <c r="M1291" s="335" t="s">
        <v>2627</v>
      </c>
      <c r="N1291" s="339">
        <v>15</v>
      </c>
      <c r="O1291" s="341">
        <v>1</v>
      </c>
      <c r="P1291" s="341" t="s">
        <v>25</v>
      </c>
      <c r="Q1291" s="341">
        <v>0</v>
      </c>
      <c r="R1291" s="342" t="s">
        <v>25</v>
      </c>
      <c r="S1291" s="342" t="s">
        <v>25</v>
      </c>
    </row>
    <row r="1292" spans="1:19" ht="14.25" customHeight="1" x14ac:dyDescent="0.3">
      <c r="A1292" s="335" t="s">
        <v>2628</v>
      </c>
      <c r="B1292" s="335" t="s">
        <v>20</v>
      </c>
      <c r="C1292" s="335"/>
      <c r="D1292" s="335" t="s">
        <v>2629</v>
      </c>
      <c r="E1292" s="336" t="s">
        <v>2630</v>
      </c>
      <c r="F1292" s="336"/>
      <c r="G1292" s="337">
        <v>1</v>
      </c>
      <c r="H1292" s="338">
        <v>0</v>
      </c>
      <c r="I1292" s="339">
        <v>59.159286192318298</v>
      </c>
      <c r="J1292" s="340">
        <v>59.159286192318298</v>
      </c>
      <c r="K1292" s="335" t="s">
        <v>2631</v>
      </c>
      <c r="L1292" s="335">
        <v>1</v>
      </c>
      <c r="M1292" s="335" t="s">
        <v>2632</v>
      </c>
      <c r="N1292" s="339">
        <v>1</v>
      </c>
      <c r="O1292" s="341">
        <v>1</v>
      </c>
      <c r="P1292" s="341">
        <v>469</v>
      </c>
      <c r="Q1292" s="341">
        <v>469</v>
      </c>
      <c r="R1292" s="342">
        <v>14.07</v>
      </c>
      <c r="S1292" s="342" t="s">
        <v>106</v>
      </c>
    </row>
    <row r="1293" spans="1:19" ht="14.25" customHeight="1" x14ac:dyDescent="0.3">
      <c r="A1293" s="335" t="s">
        <v>2628</v>
      </c>
      <c r="B1293" s="335" t="s">
        <v>26</v>
      </c>
      <c r="C1293" s="335" t="s">
        <v>480</v>
      </c>
      <c r="D1293" s="335" t="s">
        <v>1333</v>
      </c>
      <c r="E1293" s="336" t="s">
        <v>1334</v>
      </c>
      <c r="F1293" s="336" t="s">
        <v>98</v>
      </c>
      <c r="G1293" s="337">
        <v>533.04904051172696</v>
      </c>
      <c r="H1293" s="338">
        <v>0</v>
      </c>
      <c r="I1293" s="339">
        <v>1</v>
      </c>
      <c r="J1293" s="340">
        <v>533.04904051172696</v>
      </c>
      <c r="K1293" s="335" t="s">
        <v>2633</v>
      </c>
      <c r="L1293" s="335">
        <v>1</v>
      </c>
      <c r="M1293" s="335" t="s">
        <v>2634</v>
      </c>
      <c r="N1293" s="339">
        <v>1</v>
      </c>
      <c r="O1293" s="341">
        <v>533.04904051172696</v>
      </c>
      <c r="P1293" s="341">
        <v>469</v>
      </c>
      <c r="Q1293" s="341">
        <v>250000</v>
      </c>
      <c r="R1293" s="342">
        <v>14.07</v>
      </c>
      <c r="S1293" s="342" t="s">
        <v>106</v>
      </c>
    </row>
    <row r="1294" spans="1:19" ht="14.25" customHeight="1" x14ac:dyDescent="0.3">
      <c r="A1294" s="335" t="s">
        <v>2628</v>
      </c>
      <c r="B1294" s="335" t="s">
        <v>26</v>
      </c>
      <c r="C1294" s="335" t="s">
        <v>27</v>
      </c>
      <c r="D1294" s="335" t="s">
        <v>1333</v>
      </c>
      <c r="E1294" s="336" t="s">
        <v>1334</v>
      </c>
      <c r="F1294" s="336" t="s">
        <v>98</v>
      </c>
      <c r="G1294" s="337">
        <v>533.04904051172696</v>
      </c>
      <c r="H1294" s="338">
        <v>0</v>
      </c>
      <c r="I1294" s="339">
        <v>1</v>
      </c>
      <c r="J1294" s="340">
        <v>533.04904051172696</v>
      </c>
      <c r="K1294" s="335" t="s">
        <v>2633</v>
      </c>
      <c r="L1294" s="335">
        <v>2</v>
      </c>
      <c r="M1294" s="335" t="s">
        <v>2635</v>
      </c>
      <c r="N1294" s="339">
        <v>1</v>
      </c>
      <c r="O1294" s="341">
        <v>533.04904051172696</v>
      </c>
      <c r="P1294" s="341">
        <v>469</v>
      </c>
      <c r="Q1294" s="341">
        <v>250000</v>
      </c>
      <c r="R1294" s="342">
        <v>14.07</v>
      </c>
      <c r="S1294" s="342" t="s">
        <v>106</v>
      </c>
    </row>
    <row r="1295" spans="1:19" ht="14.25" customHeight="1" x14ac:dyDescent="0.3">
      <c r="A1295" s="335" t="s">
        <v>2628</v>
      </c>
      <c r="B1295" s="335" t="s">
        <v>56</v>
      </c>
      <c r="C1295" s="335" t="s">
        <v>57</v>
      </c>
      <c r="D1295" s="335" t="s">
        <v>58</v>
      </c>
      <c r="E1295" s="336" t="s">
        <v>59</v>
      </c>
      <c r="F1295" s="336" t="s">
        <v>60</v>
      </c>
      <c r="G1295" s="337">
        <v>2.7718550106609799E-2</v>
      </c>
      <c r="H1295" s="338">
        <v>0</v>
      </c>
      <c r="I1295" s="339">
        <v>60860.580776572002</v>
      </c>
      <c r="J1295" s="340">
        <v>1686.96705777278</v>
      </c>
      <c r="K1295" s="335" t="s">
        <v>2636</v>
      </c>
      <c r="L1295" s="335">
        <v>1</v>
      </c>
      <c r="M1295" s="335" t="s">
        <v>2637</v>
      </c>
      <c r="N1295" s="339">
        <v>1</v>
      </c>
      <c r="O1295" s="341">
        <v>2.7718550106609799E-2</v>
      </c>
      <c r="P1295" s="341">
        <v>469</v>
      </c>
      <c r="Q1295" s="341">
        <v>13</v>
      </c>
      <c r="R1295" s="342">
        <v>14.07</v>
      </c>
      <c r="S1295" s="342" t="s">
        <v>106</v>
      </c>
    </row>
    <row r="1296" spans="1:19" ht="14.25" customHeight="1" x14ac:dyDescent="0.3">
      <c r="A1296" s="335" t="s">
        <v>2628</v>
      </c>
      <c r="B1296" s="335" t="s">
        <v>56</v>
      </c>
      <c r="C1296" s="335" t="s">
        <v>57</v>
      </c>
      <c r="D1296" s="343" t="s">
        <v>63</v>
      </c>
      <c r="E1296" s="336" t="s">
        <v>64</v>
      </c>
      <c r="F1296" s="336" t="s">
        <v>60</v>
      </c>
      <c r="G1296" s="337">
        <v>1.3859275053304899E-2</v>
      </c>
      <c r="H1296" s="338">
        <v>0</v>
      </c>
      <c r="I1296" s="339">
        <v>85927.097156571996</v>
      </c>
      <c r="J1296" s="340">
        <v>1190.8872740249899</v>
      </c>
      <c r="K1296" s="335" t="s">
        <v>2636</v>
      </c>
      <c r="L1296" s="335">
        <v>2</v>
      </c>
      <c r="M1296" s="335" t="s">
        <v>2638</v>
      </c>
      <c r="N1296" s="339">
        <v>1</v>
      </c>
      <c r="O1296" s="341">
        <v>1.3859275053304899E-2</v>
      </c>
      <c r="P1296" s="341">
        <v>469</v>
      </c>
      <c r="Q1296" s="341">
        <v>6.5</v>
      </c>
      <c r="R1296" s="342">
        <v>14.07</v>
      </c>
      <c r="S1296" s="342" t="s">
        <v>106</v>
      </c>
    </row>
    <row r="1297" spans="1:19" ht="14.25" customHeight="1" x14ac:dyDescent="0.3">
      <c r="A1297" s="335" t="s">
        <v>2639</v>
      </c>
      <c r="B1297" s="335" t="s">
        <v>20</v>
      </c>
      <c r="C1297" s="335"/>
      <c r="D1297" s="335" t="s">
        <v>2640</v>
      </c>
      <c r="E1297" s="336" t="s">
        <v>2641</v>
      </c>
      <c r="F1297" s="336"/>
      <c r="G1297" s="337">
        <v>1</v>
      </c>
      <c r="H1297" s="338">
        <v>0</v>
      </c>
      <c r="I1297" s="339">
        <v>234.442307493812</v>
      </c>
      <c r="J1297" s="340">
        <v>234.442307493812</v>
      </c>
      <c r="K1297" s="335" t="s">
        <v>2642</v>
      </c>
      <c r="L1297" s="335">
        <v>1</v>
      </c>
      <c r="M1297" s="335" t="s">
        <v>2643</v>
      </c>
      <c r="N1297" s="339">
        <v>1</v>
      </c>
      <c r="O1297" s="341">
        <v>1</v>
      </c>
      <c r="P1297" s="341" t="s">
        <v>25</v>
      </c>
      <c r="Q1297" s="341">
        <v>0</v>
      </c>
      <c r="R1297" s="342" t="s">
        <v>25</v>
      </c>
      <c r="S1297" s="342" t="s">
        <v>25</v>
      </c>
    </row>
    <row r="1298" spans="1:19" ht="14.25" customHeight="1" x14ac:dyDescent="0.3">
      <c r="A1298" s="335" t="s">
        <v>2639</v>
      </c>
      <c r="B1298" s="335" t="s">
        <v>26</v>
      </c>
      <c r="C1298" s="335" t="s">
        <v>27</v>
      </c>
      <c r="D1298" s="335" t="s">
        <v>2644</v>
      </c>
      <c r="E1298" s="336" t="s">
        <v>2645</v>
      </c>
      <c r="F1298" s="336" t="s">
        <v>988</v>
      </c>
      <c r="G1298" s="337">
        <v>1</v>
      </c>
      <c r="H1298" s="338">
        <v>0</v>
      </c>
      <c r="I1298" s="339">
        <v>1824.926273</v>
      </c>
      <c r="J1298" s="340">
        <v>1824.926273</v>
      </c>
      <c r="K1298" s="335" t="s">
        <v>2646</v>
      </c>
      <c r="L1298" s="335">
        <v>1</v>
      </c>
      <c r="M1298" s="335" t="s">
        <v>2647</v>
      </c>
      <c r="N1298" s="339">
        <v>1</v>
      </c>
      <c r="O1298" s="341">
        <v>1</v>
      </c>
      <c r="P1298" s="341" t="s">
        <v>25</v>
      </c>
      <c r="Q1298" s="341">
        <v>0</v>
      </c>
      <c r="R1298" s="342" t="s">
        <v>25</v>
      </c>
      <c r="S1298" s="342" t="s">
        <v>25</v>
      </c>
    </row>
    <row r="1299" spans="1:19" ht="14.25" customHeight="1" x14ac:dyDescent="0.3">
      <c r="A1299" s="335" t="s">
        <v>2639</v>
      </c>
      <c r="B1299" s="335" t="s">
        <v>56</v>
      </c>
      <c r="C1299" s="335" t="s">
        <v>27</v>
      </c>
      <c r="D1299" s="335" t="s">
        <v>2648</v>
      </c>
      <c r="E1299" s="336" t="s">
        <v>2649</v>
      </c>
      <c r="F1299" s="336" t="s">
        <v>60</v>
      </c>
      <c r="G1299" s="337">
        <v>1</v>
      </c>
      <c r="H1299" s="338">
        <v>0</v>
      </c>
      <c r="I1299" s="339">
        <v>14504.129532884899</v>
      </c>
      <c r="J1299" s="340">
        <v>14504.129532884899</v>
      </c>
      <c r="K1299" s="335" t="s">
        <v>2650</v>
      </c>
      <c r="L1299" s="335">
        <v>1</v>
      </c>
      <c r="M1299" s="335" t="s">
        <v>2651</v>
      </c>
      <c r="N1299" s="339">
        <v>1</v>
      </c>
      <c r="O1299" s="341">
        <v>1</v>
      </c>
      <c r="P1299" s="341" t="s">
        <v>25</v>
      </c>
      <c r="Q1299" s="341">
        <v>0</v>
      </c>
      <c r="R1299" s="342" t="s">
        <v>25</v>
      </c>
      <c r="S1299" s="342" t="s">
        <v>25</v>
      </c>
    </row>
    <row r="1300" spans="1:19" ht="14.25" customHeight="1" x14ac:dyDescent="0.3">
      <c r="A1300" s="335" t="s">
        <v>2652</v>
      </c>
      <c r="B1300" s="335" t="s">
        <v>20</v>
      </c>
      <c r="C1300" s="335"/>
      <c r="D1300" s="335" t="s">
        <v>372</v>
      </c>
      <c r="E1300" s="336" t="s">
        <v>373</v>
      </c>
      <c r="F1300" s="336"/>
      <c r="G1300" s="337">
        <v>1</v>
      </c>
      <c r="H1300" s="338">
        <v>0</v>
      </c>
      <c r="I1300" s="339">
        <v>1723.6259595547101</v>
      </c>
      <c r="J1300" s="340">
        <v>1723.6259595547101</v>
      </c>
      <c r="K1300" s="335" t="s">
        <v>2653</v>
      </c>
      <c r="L1300" s="335">
        <v>1</v>
      </c>
      <c r="M1300" s="335" t="s">
        <v>2654</v>
      </c>
      <c r="N1300" s="339">
        <v>20</v>
      </c>
      <c r="O1300" s="341">
        <v>1</v>
      </c>
      <c r="P1300" s="341" t="s">
        <v>25</v>
      </c>
      <c r="Q1300" s="341">
        <v>0</v>
      </c>
      <c r="R1300" s="342" t="s">
        <v>25</v>
      </c>
      <c r="S1300" s="342" t="s">
        <v>25</v>
      </c>
    </row>
    <row r="1301" spans="1:19" ht="14.25" customHeight="1" x14ac:dyDescent="0.3">
      <c r="A1301" s="335" t="s">
        <v>2652</v>
      </c>
      <c r="B1301" s="335" t="s">
        <v>20</v>
      </c>
      <c r="C1301" s="335"/>
      <c r="D1301" s="335" t="s">
        <v>376</v>
      </c>
      <c r="E1301" s="336" t="s">
        <v>377</v>
      </c>
      <c r="F1301" s="336"/>
      <c r="G1301" s="337">
        <v>1</v>
      </c>
      <c r="H1301" s="338">
        <v>0</v>
      </c>
      <c r="I1301" s="339">
        <v>200.25307946474501</v>
      </c>
      <c r="J1301" s="340">
        <v>200.25307946474501</v>
      </c>
      <c r="K1301" s="335" t="s">
        <v>2653</v>
      </c>
      <c r="L1301" s="335">
        <v>2</v>
      </c>
      <c r="M1301" s="335" t="s">
        <v>2655</v>
      </c>
      <c r="N1301" s="339">
        <v>20</v>
      </c>
      <c r="O1301" s="341">
        <v>1</v>
      </c>
      <c r="P1301" s="341" t="s">
        <v>25</v>
      </c>
      <c r="Q1301" s="341">
        <v>0</v>
      </c>
      <c r="R1301" s="342" t="s">
        <v>25</v>
      </c>
      <c r="S1301" s="342" t="s">
        <v>25</v>
      </c>
    </row>
    <row r="1302" spans="1:19" ht="14.25" customHeight="1" x14ac:dyDescent="0.3">
      <c r="A1302" s="335" t="s">
        <v>2652</v>
      </c>
      <c r="B1302" s="335" t="s">
        <v>26</v>
      </c>
      <c r="C1302" s="335" t="s">
        <v>27</v>
      </c>
      <c r="D1302" s="335" t="s">
        <v>379</v>
      </c>
      <c r="E1302" s="336" t="s">
        <v>380</v>
      </c>
      <c r="F1302" s="336" t="s">
        <v>30</v>
      </c>
      <c r="G1302" s="337">
        <v>4.0000000000000001E-3</v>
      </c>
      <c r="H1302" s="338">
        <v>0.05</v>
      </c>
      <c r="I1302" s="339">
        <v>30467.49</v>
      </c>
      <c r="J1302" s="340">
        <v>127.963458</v>
      </c>
      <c r="K1302" s="335" t="s">
        <v>2656</v>
      </c>
      <c r="L1302" s="335">
        <v>1</v>
      </c>
      <c r="M1302" s="335" t="s">
        <v>2657</v>
      </c>
      <c r="N1302" s="339">
        <v>20</v>
      </c>
      <c r="O1302" s="341">
        <v>4.0000000000000001E-3</v>
      </c>
      <c r="P1302" s="341" t="s">
        <v>25</v>
      </c>
      <c r="Q1302" s="341">
        <v>0</v>
      </c>
      <c r="R1302" s="342" t="s">
        <v>25</v>
      </c>
      <c r="S1302" s="342" t="s">
        <v>25</v>
      </c>
    </row>
    <row r="1303" spans="1:19" ht="14.25" customHeight="1" x14ac:dyDescent="0.3">
      <c r="A1303" s="335" t="s">
        <v>2652</v>
      </c>
      <c r="B1303" s="335" t="s">
        <v>26</v>
      </c>
      <c r="C1303" s="335" t="s">
        <v>27</v>
      </c>
      <c r="D1303" s="335" t="s">
        <v>383</v>
      </c>
      <c r="E1303" s="336" t="s">
        <v>384</v>
      </c>
      <c r="F1303" s="336" t="s">
        <v>35</v>
      </c>
      <c r="G1303" s="337">
        <v>1.4999999999999999E-2</v>
      </c>
      <c r="H1303" s="338">
        <v>0.05</v>
      </c>
      <c r="I1303" s="339">
        <v>5661.4</v>
      </c>
      <c r="J1303" s="340">
        <v>89.167050000000003</v>
      </c>
      <c r="K1303" s="335" t="s">
        <v>2656</v>
      </c>
      <c r="L1303" s="335">
        <v>2</v>
      </c>
      <c r="M1303" s="335" t="s">
        <v>2658</v>
      </c>
      <c r="N1303" s="339">
        <v>20</v>
      </c>
      <c r="O1303" s="341">
        <v>1.4999999999999999E-2</v>
      </c>
      <c r="P1303" s="341" t="s">
        <v>25</v>
      </c>
      <c r="Q1303" s="341">
        <v>0</v>
      </c>
      <c r="R1303" s="342" t="s">
        <v>25</v>
      </c>
      <c r="S1303" s="342" t="s">
        <v>25</v>
      </c>
    </row>
    <row r="1304" spans="1:19" ht="14.25" customHeight="1" x14ac:dyDescent="0.3">
      <c r="A1304" s="335" t="s">
        <v>2652</v>
      </c>
      <c r="B1304" s="335" t="s">
        <v>26</v>
      </c>
      <c r="C1304" s="335" t="s">
        <v>27</v>
      </c>
      <c r="D1304" s="335" t="s">
        <v>386</v>
      </c>
      <c r="E1304" s="336" t="s">
        <v>387</v>
      </c>
      <c r="F1304" s="336" t="s">
        <v>35</v>
      </c>
      <c r="G1304" s="337">
        <v>0.05</v>
      </c>
      <c r="H1304" s="338">
        <v>0.1</v>
      </c>
      <c r="I1304" s="339">
        <v>3293.01</v>
      </c>
      <c r="J1304" s="340">
        <v>181.11555000000001</v>
      </c>
      <c r="K1304" s="335" t="s">
        <v>2656</v>
      </c>
      <c r="L1304" s="335">
        <v>3</v>
      </c>
      <c r="M1304" s="335" t="s">
        <v>2659</v>
      </c>
      <c r="N1304" s="339">
        <v>20</v>
      </c>
      <c r="O1304" s="341">
        <v>0.05</v>
      </c>
      <c r="P1304" s="341" t="s">
        <v>25</v>
      </c>
      <c r="Q1304" s="341">
        <v>0</v>
      </c>
      <c r="R1304" s="342" t="s">
        <v>25</v>
      </c>
      <c r="S1304" s="342" t="s">
        <v>25</v>
      </c>
    </row>
    <row r="1305" spans="1:19" ht="14.25" customHeight="1" x14ac:dyDescent="0.3">
      <c r="A1305" s="335" t="s">
        <v>2652</v>
      </c>
      <c r="B1305" s="335" t="s">
        <v>26</v>
      </c>
      <c r="C1305" s="335" t="s">
        <v>27</v>
      </c>
      <c r="D1305" s="335" t="s">
        <v>33</v>
      </c>
      <c r="E1305" s="336" t="s">
        <v>34</v>
      </c>
      <c r="F1305" s="336" t="s">
        <v>35</v>
      </c>
      <c r="G1305" s="337">
        <v>0.03</v>
      </c>
      <c r="H1305" s="338">
        <v>0.05</v>
      </c>
      <c r="I1305" s="339">
        <v>735.06</v>
      </c>
      <c r="J1305" s="340">
        <v>23.154389999999999</v>
      </c>
      <c r="K1305" s="335" t="s">
        <v>2656</v>
      </c>
      <c r="L1305" s="335">
        <v>4</v>
      </c>
      <c r="M1305" s="335" t="s">
        <v>2660</v>
      </c>
      <c r="N1305" s="339">
        <v>20</v>
      </c>
      <c r="O1305" s="341">
        <v>0.03</v>
      </c>
      <c r="P1305" s="341" t="s">
        <v>25</v>
      </c>
      <c r="Q1305" s="341">
        <v>0</v>
      </c>
      <c r="R1305" s="342" t="s">
        <v>25</v>
      </c>
      <c r="S1305" s="342" t="s">
        <v>25</v>
      </c>
    </row>
    <row r="1306" spans="1:19" ht="14.25" customHeight="1" x14ac:dyDescent="0.3">
      <c r="A1306" s="335" t="s">
        <v>2652</v>
      </c>
      <c r="B1306" s="335" t="s">
        <v>26</v>
      </c>
      <c r="C1306" s="335" t="s">
        <v>27</v>
      </c>
      <c r="D1306" s="335" t="s">
        <v>1023</v>
      </c>
      <c r="E1306" s="336" t="s">
        <v>1024</v>
      </c>
      <c r="F1306" s="336" t="s">
        <v>35</v>
      </c>
      <c r="G1306" s="337">
        <v>5.0000000000000001E-3</v>
      </c>
      <c r="H1306" s="338">
        <v>0.05</v>
      </c>
      <c r="I1306" s="339">
        <v>6678.36</v>
      </c>
      <c r="J1306" s="340">
        <v>35.061390000000003</v>
      </c>
      <c r="K1306" s="335" t="s">
        <v>2656</v>
      </c>
      <c r="L1306" s="335">
        <v>5</v>
      </c>
      <c r="M1306" s="335" t="s">
        <v>2661</v>
      </c>
      <c r="N1306" s="339">
        <v>20</v>
      </c>
      <c r="O1306" s="341">
        <v>5.0000000000000001E-3</v>
      </c>
      <c r="P1306" s="341" t="s">
        <v>25</v>
      </c>
      <c r="Q1306" s="341">
        <v>0</v>
      </c>
      <c r="R1306" s="342" t="s">
        <v>25</v>
      </c>
      <c r="S1306" s="342" t="s">
        <v>25</v>
      </c>
    </row>
    <row r="1307" spans="1:19" ht="14.25" customHeight="1" x14ac:dyDescent="0.3">
      <c r="A1307" s="335" t="s">
        <v>2652</v>
      </c>
      <c r="B1307" s="335" t="s">
        <v>26</v>
      </c>
      <c r="C1307" s="335" t="s">
        <v>27</v>
      </c>
      <c r="D1307" s="335" t="s">
        <v>40</v>
      </c>
      <c r="E1307" s="336" t="s">
        <v>41</v>
      </c>
      <c r="F1307" s="336" t="s">
        <v>35</v>
      </c>
      <c r="G1307" s="337">
        <v>5.0000000000000001E-3</v>
      </c>
      <c r="H1307" s="338">
        <v>0.05</v>
      </c>
      <c r="I1307" s="339">
        <v>5282.24</v>
      </c>
      <c r="J1307" s="340">
        <v>27.731760000000001</v>
      </c>
      <c r="K1307" s="335" t="s">
        <v>2656</v>
      </c>
      <c r="L1307" s="335">
        <v>6</v>
      </c>
      <c r="M1307" s="335" t="s">
        <v>2662</v>
      </c>
      <c r="N1307" s="339">
        <v>20</v>
      </c>
      <c r="O1307" s="341">
        <v>5.0000000000000001E-3</v>
      </c>
      <c r="P1307" s="341" t="s">
        <v>25</v>
      </c>
      <c r="Q1307" s="341">
        <v>0</v>
      </c>
      <c r="R1307" s="342" t="s">
        <v>25</v>
      </c>
      <c r="S1307" s="342" t="s">
        <v>25</v>
      </c>
    </row>
    <row r="1308" spans="1:19" ht="14.25" customHeight="1" x14ac:dyDescent="0.3">
      <c r="A1308" s="335" t="s">
        <v>2652</v>
      </c>
      <c r="B1308" s="335" t="s">
        <v>26</v>
      </c>
      <c r="C1308" s="335" t="s">
        <v>27</v>
      </c>
      <c r="D1308" s="335" t="s">
        <v>392</v>
      </c>
      <c r="E1308" s="336" t="s">
        <v>393</v>
      </c>
      <c r="F1308" s="336" t="s">
        <v>35</v>
      </c>
      <c r="G1308" s="337">
        <v>0.01</v>
      </c>
      <c r="H1308" s="338">
        <v>0.05</v>
      </c>
      <c r="I1308" s="339">
        <v>7427.6</v>
      </c>
      <c r="J1308" s="340">
        <v>77.989800000000002</v>
      </c>
      <c r="K1308" s="335" t="s">
        <v>2656</v>
      </c>
      <c r="L1308" s="335">
        <v>7</v>
      </c>
      <c r="M1308" s="335" t="s">
        <v>2663</v>
      </c>
      <c r="N1308" s="339">
        <v>20</v>
      </c>
      <c r="O1308" s="341">
        <v>0.01</v>
      </c>
      <c r="P1308" s="341" t="s">
        <v>25</v>
      </c>
      <c r="Q1308" s="341">
        <v>0</v>
      </c>
      <c r="R1308" s="342" t="s">
        <v>25</v>
      </c>
      <c r="S1308" s="342" t="s">
        <v>25</v>
      </c>
    </row>
    <row r="1309" spans="1:19" ht="14.25" customHeight="1" x14ac:dyDescent="0.3">
      <c r="A1309" s="335" t="s">
        <v>2652</v>
      </c>
      <c r="B1309" s="335" t="s">
        <v>26</v>
      </c>
      <c r="C1309" s="335" t="s">
        <v>27</v>
      </c>
      <c r="D1309" s="335" t="s">
        <v>395</v>
      </c>
      <c r="E1309" s="336" t="s">
        <v>396</v>
      </c>
      <c r="F1309" s="336" t="s">
        <v>397</v>
      </c>
      <c r="G1309" s="337">
        <v>1.2500000000000001E-2</v>
      </c>
      <c r="H1309" s="338">
        <v>0.1</v>
      </c>
      <c r="I1309" s="339">
        <v>120622.23</v>
      </c>
      <c r="J1309" s="340">
        <v>1658.5556624999999</v>
      </c>
      <c r="K1309" s="335" t="s">
        <v>2656</v>
      </c>
      <c r="L1309" s="335">
        <v>8</v>
      </c>
      <c r="M1309" s="335" t="s">
        <v>2664</v>
      </c>
      <c r="N1309" s="339">
        <v>20</v>
      </c>
      <c r="O1309" s="341">
        <v>1.2500000000000001E-2</v>
      </c>
      <c r="P1309" s="341" t="s">
        <v>25</v>
      </c>
      <c r="Q1309" s="341">
        <v>0</v>
      </c>
      <c r="R1309" s="342" t="s">
        <v>25</v>
      </c>
      <c r="S1309" s="342" t="s">
        <v>25</v>
      </c>
    </row>
    <row r="1310" spans="1:19" ht="14.25" customHeight="1" x14ac:dyDescent="0.3">
      <c r="A1310" s="335" t="s">
        <v>2652</v>
      </c>
      <c r="B1310" s="335" t="s">
        <v>26</v>
      </c>
      <c r="C1310" s="335" t="s">
        <v>27</v>
      </c>
      <c r="D1310" s="335" t="s">
        <v>1029</v>
      </c>
      <c r="E1310" s="336" t="s">
        <v>1030</v>
      </c>
      <c r="F1310" s="336" t="s">
        <v>397</v>
      </c>
      <c r="G1310" s="337">
        <v>2E-3</v>
      </c>
      <c r="H1310" s="338">
        <v>0.1</v>
      </c>
      <c r="I1310" s="339">
        <v>18735.77</v>
      </c>
      <c r="J1310" s="340">
        <v>41.218693999999999</v>
      </c>
      <c r="K1310" s="335" t="s">
        <v>2656</v>
      </c>
      <c r="L1310" s="335">
        <v>9</v>
      </c>
      <c r="M1310" s="335" t="s">
        <v>2665</v>
      </c>
      <c r="N1310" s="339">
        <v>20</v>
      </c>
      <c r="O1310" s="341">
        <v>2E-3</v>
      </c>
      <c r="P1310" s="341" t="s">
        <v>25</v>
      </c>
      <c r="Q1310" s="341">
        <v>0</v>
      </c>
      <c r="R1310" s="342" t="s">
        <v>25</v>
      </c>
      <c r="S1310" s="342" t="s">
        <v>25</v>
      </c>
    </row>
    <row r="1311" spans="1:19" ht="14.25" customHeight="1" x14ac:dyDescent="0.3">
      <c r="A1311" s="335" t="s">
        <v>2652</v>
      </c>
      <c r="B1311" s="335" t="s">
        <v>26</v>
      </c>
      <c r="C1311" s="335" t="s">
        <v>27</v>
      </c>
      <c r="D1311" s="335" t="s">
        <v>1032</v>
      </c>
      <c r="E1311" s="336" t="s">
        <v>1033</v>
      </c>
      <c r="F1311" s="336" t="s">
        <v>30</v>
      </c>
      <c r="G1311" s="337">
        <v>1E-3</v>
      </c>
      <c r="H1311" s="338">
        <v>0.05</v>
      </c>
      <c r="I1311" s="339">
        <v>9639</v>
      </c>
      <c r="J1311" s="340">
        <v>10.120950000000001</v>
      </c>
      <c r="K1311" s="335" t="s">
        <v>2656</v>
      </c>
      <c r="L1311" s="335">
        <v>10</v>
      </c>
      <c r="M1311" s="335" t="s">
        <v>2666</v>
      </c>
      <c r="N1311" s="339">
        <v>20</v>
      </c>
      <c r="O1311" s="341">
        <v>1E-3</v>
      </c>
      <c r="P1311" s="341" t="s">
        <v>25</v>
      </c>
      <c r="Q1311" s="341">
        <v>0</v>
      </c>
      <c r="R1311" s="342" t="s">
        <v>25</v>
      </c>
      <c r="S1311" s="342" t="s">
        <v>25</v>
      </c>
    </row>
    <row r="1312" spans="1:19" ht="14.25" customHeight="1" x14ac:dyDescent="0.3">
      <c r="A1312" s="335" t="s">
        <v>2652</v>
      </c>
      <c r="B1312" s="335" t="s">
        <v>56</v>
      </c>
      <c r="C1312" s="335" t="s">
        <v>57</v>
      </c>
      <c r="D1312" s="343" t="s">
        <v>63</v>
      </c>
      <c r="E1312" s="336" t="s">
        <v>64</v>
      </c>
      <c r="F1312" s="336" t="s">
        <v>60</v>
      </c>
      <c r="G1312" s="337">
        <v>1</v>
      </c>
      <c r="H1312" s="338">
        <v>0</v>
      </c>
      <c r="I1312" s="339">
        <v>85927.097156571996</v>
      </c>
      <c r="J1312" s="340">
        <v>85927.097156571996</v>
      </c>
      <c r="K1312" s="335" t="s">
        <v>2667</v>
      </c>
      <c r="L1312" s="335">
        <v>1</v>
      </c>
      <c r="M1312" s="335" t="s">
        <v>2668</v>
      </c>
      <c r="N1312" s="339">
        <v>20</v>
      </c>
      <c r="O1312" s="341">
        <v>0.05</v>
      </c>
      <c r="P1312" s="341" t="s">
        <v>25</v>
      </c>
      <c r="Q1312" s="341">
        <v>0</v>
      </c>
      <c r="R1312" s="342" t="s">
        <v>25</v>
      </c>
      <c r="S1312" s="342" t="s">
        <v>25</v>
      </c>
    </row>
    <row r="1313" spans="1:19" ht="14.25" customHeight="1" x14ac:dyDescent="0.3">
      <c r="A1313" s="335" t="s">
        <v>2669</v>
      </c>
      <c r="B1313" s="335" t="s">
        <v>20</v>
      </c>
      <c r="C1313" s="335"/>
      <c r="D1313" s="335" t="s">
        <v>372</v>
      </c>
      <c r="E1313" s="336" t="s">
        <v>373</v>
      </c>
      <c r="F1313" s="336"/>
      <c r="G1313" s="337">
        <v>2</v>
      </c>
      <c r="H1313" s="338">
        <v>0</v>
      </c>
      <c r="I1313" s="339">
        <v>1723.6259595547101</v>
      </c>
      <c r="J1313" s="340">
        <v>3447.2519191094202</v>
      </c>
      <c r="K1313" s="335" t="s">
        <v>2670</v>
      </c>
      <c r="L1313" s="335">
        <v>1</v>
      </c>
      <c r="M1313" s="335" t="s">
        <v>2671</v>
      </c>
      <c r="N1313" s="339">
        <v>22</v>
      </c>
      <c r="O1313" s="341">
        <v>2</v>
      </c>
      <c r="P1313" s="341">
        <v>462</v>
      </c>
      <c r="Q1313" s="341">
        <v>924</v>
      </c>
      <c r="R1313" s="342">
        <v>15.03</v>
      </c>
      <c r="S1313" s="342" t="s">
        <v>25</v>
      </c>
    </row>
    <row r="1314" spans="1:19" ht="14.25" customHeight="1" x14ac:dyDescent="0.3">
      <c r="A1314" s="335" t="s">
        <v>2669</v>
      </c>
      <c r="B1314" s="335" t="s">
        <v>20</v>
      </c>
      <c r="C1314" s="335"/>
      <c r="D1314" s="335" t="s">
        <v>376</v>
      </c>
      <c r="E1314" s="336" t="s">
        <v>377</v>
      </c>
      <c r="F1314" s="336"/>
      <c r="G1314" s="337">
        <v>2</v>
      </c>
      <c r="H1314" s="338">
        <v>0</v>
      </c>
      <c r="I1314" s="339">
        <v>200.25307946474501</v>
      </c>
      <c r="J1314" s="340">
        <v>400.50615892949003</v>
      </c>
      <c r="K1314" s="335" t="s">
        <v>2670</v>
      </c>
      <c r="L1314" s="335">
        <v>2</v>
      </c>
      <c r="M1314" s="335" t="s">
        <v>2672</v>
      </c>
      <c r="N1314" s="339">
        <v>22</v>
      </c>
      <c r="O1314" s="341">
        <v>2</v>
      </c>
      <c r="P1314" s="341">
        <v>462</v>
      </c>
      <c r="Q1314" s="341">
        <v>924</v>
      </c>
      <c r="R1314" s="342">
        <v>15.03</v>
      </c>
      <c r="S1314" s="342" t="s">
        <v>25</v>
      </c>
    </row>
    <row r="1315" spans="1:19" ht="14.25" customHeight="1" x14ac:dyDescent="0.3">
      <c r="A1315" s="335" t="s">
        <v>2669</v>
      </c>
      <c r="B1315" s="335" t="s">
        <v>26</v>
      </c>
      <c r="C1315" s="335" t="s">
        <v>27</v>
      </c>
      <c r="D1315" s="335" t="s">
        <v>379</v>
      </c>
      <c r="E1315" s="336" t="s">
        <v>380</v>
      </c>
      <c r="F1315" s="336" t="s">
        <v>30</v>
      </c>
      <c r="G1315" s="337">
        <v>4.0000000000000001E-3</v>
      </c>
      <c r="H1315" s="338">
        <v>0.05</v>
      </c>
      <c r="I1315" s="339">
        <v>30467.49</v>
      </c>
      <c r="J1315" s="340">
        <v>127.963458</v>
      </c>
      <c r="K1315" s="335" t="s">
        <v>2673</v>
      </c>
      <c r="L1315" s="335">
        <v>1</v>
      </c>
      <c r="M1315" s="335" t="s">
        <v>2674</v>
      </c>
      <c r="N1315" s="339">
        <v>22</v>
      </c>
      <c r="O1315" s="341">
        <v>4.0000000000000001E-3</v>
      </c>
      <c r="P1315" s="341">
        <v>462</v>
      </c>
      <c r="Q1315" s="341">
        <v>1.8480000000000001</v>
      </c>
      <c r="R1315" s="342">
        <v>15.03</v>
      </c>
      <c r="S1315" s="342" t="s">
        <v>25</v>
      </c>
    </row>
    <row r="1316" spans="1:19" ht="14.25" customHeight="1" x14ac:dyDescent="0.3">
      <c r="A1316" s="335" t="s">
        <v>2669</v>
      </c>
      <c r="B1316" s="335" t="s">
        <v>26</v>
      </c>
      <c r="C1316" s="335" t="s">
        <v>27</v>
      </c>
      <c r="D1316" s="335" t="s">
        <v>383</v>
      </c>
      <c r="E1316" s="336" t="s">
        <v>384</v>
      </c>
      <c r="F1316" s="336" t="s">
        <v>35</v>
      </c>
      <c r="G1316" s="337">
        <v>2.5000000000000001E-2</v>
      </c>
      <c r="H1316" s="338">
        <v>0.05</v>
      </c>
      <c r="I1316" s="339">
        <v>5661.4</v>
      </c>
      <c r="J1316" s="340">
        <v>148.61175</v>
      </c>
      <c r="K1316" s="335" t="s">
        <v>2673</v>
      </c>
      <c r="L1316" s="335">
        <v>2</v>
      </c>
      <c r="M1316" s="335" t="s">
        <v>2675</v>
      </c>
      <c r="N1316" s="339">
        <v>22</v>
      </c>
      <c r="O1316" s="341">
        <v>2.5000000000000001E-2</v>
      </c>
      <c r="P1316" s="341">
        <v>462</v>
      </c>
      <c r="Q1316" s="341">
        <v>11.55</v>
      </c>
      <c r="R1316" s="342">
        <v>15.03</v>
      </c>
      <c r="S1316" s="342" t="s">
        <v>25</v>
      </c>
    </row>
    <row r="1317" spans="1:19" ht="14.25" customHeight="1" x14ac:dyDescent="0.3">
      <c r="A1317" s="335" t="s">
        <v>2669</v>
      </c>
      <c r="B1317" s="335" t="s">
        <v>26</v>
      </c>
      <c r="C1317" s="335" t="s">
        <v>27</v>
      </c>
      <c r="D1317" s="335" t="s">
        <v>386</v>
      </c>
      <c r="E1317" s="336" t="s">
        <v>387</v>
      </c>
      <c r="F1317" s="336" t="s">
        <v>35</v>
      </c>
      <c r="G1317" s="337">
        <v>0.05</v>
      </c>
      <c r="H1317" s="338">
        <v>0.1</v>
      </c>
      <c r="I1317" s="339">
        <v>3293.01</v>
      </c>
      <c r="J1317" s="340">
        <v>181.11555000000001</v>
      </c>
      <c r="K1317" s="335" t="s">
        <v>2673</v>
      </c>
      <c r="L1317" s="335">
        <v>3</v>
      </c>
      <c r="M1317" s="335" t="s">
        <v>2676</v>
      </c>
      <c r="N1317" s="339">
        <v>22</v>
      </c>
      <c r="O1317" s="341">
        <v>0.05</v>
      </c>
      <c r="P1317" s="341">
        <v>462</v>
      </c>
      <c r="Q1317" s="341">
        <v>23.1</v>
      </c>
      <c r="R1317" s="342">
        <v>15.03</v>
      </c>
      <c r="S1317" s="342" t="s">
        <v>25</v>
      </c>
    </row>
    <row r="1318" spans="1:19" ht="14.25" customHeight="1" x14ac:dyDescent="0.3">
      <c r="A1318" s="335" t="s">
        <v>2669</v>
      </c>
      <c r="B1318" s="335" t="s">
        <v>26</v>
      </c>
      <c r="C1318" s="335" t="s">
        <v>27</v>
      </c>
      <c r="D1318" s="335" t="s">
        <v>33</v>
      </c>
      <c r="E1318" s="336" t="s">
        <v>34</v>
      </c>
      <c r="F1318" s="336" t="s">
        <v>35</v>
      </c>
      <c r="G1318" s="337">
        <v>0.03</v>
      </c>
      <c r="H1318" s="338">
        <v>0.05</v>
      </c>
      <c r="I1318" s="339">
        <v>735.06</v>
      </c>
      <c r="J1318" s="340">
        <v>23.154389999999999</v>
      </c>
      <c r="K1318" s="335" t="s">
        <v>2673</v>
      </c>
      <c r="L1318" s="335">
        <v>4</v>
      </c>
      <c r="M1318" s="335" t="s">
        <v>2677</v>
      </c>
      <c r="N1318" s="339">
        <v>22</v>
      </c>
      <c r="O1318" s="341">
        <v>0.03</v>
      </c>
      <c r="P1318" s="341">
        <v>462</v>
      </c>
      <c r="Q1318" s="341">
        <v>13.86</v>
      </c>
      <c r="R1318" s="342">
        <v>15.03</v>
      </c>
      <c r="S1318" s="342" t="s">
        <v>25</v>
      </c>
    </row>
    <row r="1319" spans="1:19" ht="14.25" customHeight="1" x14ac:dyDescent="0.3">
      <c r="A1319" s="335" t="s">
        <v>2669</v>
      </c>
      <c r="B1319" s="335" t="s">
        <v>26</v>
      </c>
      <c r="C1319" s="335" t="s">
        <v>27</v>
      </c>
      <c r="D1319" s="335" t="s">
        <v>1023</v>
      </c>
      <c r="E1319" s="336" t="s">
        <v>1024</v>
      </c>
      <c r="F1319" s="336" t="s">
        <v>35</v>
      </c>
      <c r="G1319" s="337">
        <v>5.0000000000000001E-3</v>
      </c>
      <c r="H1319" s="338">
        <v>0.05</v>
      </c>
      <c r="I1319" s="339">
        <v>6678.36</v>
      </c>
      <c r="J1319" s="340">
        <v>35.061390000000003</v>
      </c>
      <c r="K1319" s="335" t="s">
        <v>2673</v>
      </c>
      <c r="L1319" s="335">
        <v>5</v>
      </c>
      <c r="M1319" s="335" t="s">
        <v>2678</v>
      </c>
      <c r="N1319" s="339">
        <v>22</v>
      </c>
      <c r="O1319" s="341">
        <v>5.0000000000000001E-3</v>
      </c>
      <c r="P1319" s="341">
        <v>462</v>
      </c>
      <c r="Q1319" s="341">
        <v>2.31</v>
      </c>
      <c r="R1319" s="342">
        <v>15.03</v>
      </c>
      <c r="S1319" s="342" t="s">
        <v>25</v>
      </c>
    </row>
    <row r="1320" spans="1:19" ht="14.25" customHeight="1" x14ac:dyDescent="0.3">
      <c r="A1320" s="335" t="s">
        <v>2669</v>
      </c>
      <c r="B1320" s="335" t="s">
        <v>26</v>
      </c>
      <c r="C1320" s="335" t="s">
        <v>27</v>
      </c>
      <c r="D1320" s="335" t="s">
        <v>40</v>
      </c>
      <c r="E1320" s="336" t="s">
        <v>41</v>
      </c>
      <c r="F1320" s="336" t="s">
        <v>35</v>
      </c>
      <c r="G1320" s="337">
        <v>5.0000000000000001E-3</v>
      </c>
      <c r="H1320" s="338">
        <v>0.05</v>
      </c>
      <c r="I1320" s="339">
        <v>5282.24</v>
      </c>
      <c r="J1320" s="340">
        <v>27.731760000000001</v>
      </c>
      <c r="K1320" s="335" t="s">
        <v>2673</v>
      </c>
      <c r="L1320" s="335">
        <v>6</v>
      </c>
      <c r="M1320" s="335" t="s">
        <v>2679</v>
      </c>
      <c r="N1320" s="339">
        <v>22</v>
      </c>
      <c r="O1320" s="341">
        <v>5.0000000000000001E-3</v>
      </c>
      <c r="P1320" s="341">
        <v>462</v>
      </c>
      <c r="Q1320" s="341">
        <v>2.31</v>
      </c>
      <c r="R1320" s="342">
        <v>15.03</v>
      </c>
      <c r="S1320" s="342" t="s">
        <v>25</v>
      </c>
    </row>
    <row r="1321" spans="1:19" ht="14.25" customHeight="1" x14ac:dyDescent="0.3">
      <c r="A1321" s="335" t="s">
        <v>2669</v>
      </c>
      <c r="B1321" s="335" t="s">
        <v>26</v>
      </c>
      <c r="C1321" s="335" t="s">
        <v>27</v>
      </c>
      <c r="D1321" s="335" t="s">
        <v>392</v>
      </c>
      <c r="E1321" s="336" t="s">
        <v>393</v>
      </c>
      <c r="F1321" s="336" t="s">
        <v>35</v>
      </c>
      <c r="G1321" s="337">
        <v>0.01</v>
      </c>
      <c r="H1321" s="338">
        <v>0.05</v>
      </c>
      <c r="I1321" s="339">
        <v>7427.6</v>
      </c>
      <c r="J1321" s="340">
        <v>77.989800000000002</v>
      </c>
      <c r="K1321" s="335" t="s">
        <v>2673</v>
      </c>
      <c r="L1321" s="335">
        <v>7</v>
      </c>
      <c r="M1321" s="335" t="s">
        <v>2680</v>
      </c>
      <c r="N1321" s="339">
        <v>22</v>
      </c>
      <c r="O1321" s="341">
        <v>0.01</v>
      </c>
      <c r="P1321" s="341">
        <v>462</v>
      </c>
      <c r="Q1321" s="341">
        <v>4.62</v>
      </c>
      <c r="R1321" s="342">
        <v>15.03</v>
      </c>
      <c r="S1321" s="342" t="s">
        <v>25</v>
      </c>
    </row>
    <row r="1322" spans="1:19" ht="14.25" customHeight="1" x14ac:dyDescent="0.3">
      <c r="A1322" s="335" t="s">
        <v>2669</v>
      </c>
      <c r="B1322" s="335" t="s">
        <v>26</v>
      </c>
      <c r="C1322" s="335" t="s">
        <v>27</v>
      </c>
      <c r="D1322" s="335" t="s">
        <v>395</v>
      </c>
      <c r="E1322" s="336" t="s">
        <v>396</v>
      </c>
      <c r="F1322" s="336" t="s">
        <v>397</v>
      </c>
      <c r="G1322" s="337">
        <v>1.2500000000000001E-2</v>
      </c>
      <c r="H1322" s="338">
        <v>0.1</v>
      </c>
      <c r="I1322" s="339">
        <v>120622.23</v>
      </c>
      <c r="J1322" s="340">
        <v>1658.5556624999999</v>
      </c>
      <c r="K1322" s="335" t="s">
        <v>2673</v>
      </c>
      <c r="L1322" s="335">
        <v>8</v>
      </c>
      <c r="M1322" s="335" t="s">
        <v>2681</v>
      </c>
      <c r="N1322" s="339">
        <v>22</v>
      </c>
      <c r="O1322" s="341">
        <v>1.2500000000000001E-2</v>
      </c>
      <c r="P1322" s="341">
        <v>462</v>
      </c>
      <c r="Q1322" s="341">
        <v>5.7750000000000004</v>
      </c>
      <c r="R1322" s="342">
        <v>15.03</v>
      </c>
      <c r="S1322" s="342" t="s">
        <v>25</v>
      </c>
    </row>
    <row r="1323" spans="1:19" ht="14.25" customHeight="1" x14ac:dyDescent="0.3">
      <c r="A1323" s="335" t="s">
        <v>2669</v>
      </c>
      <c r="B1323" s="335" t="s">
        <v>26</v>
      </c>
      <c r="C1323" s="335" t="s">
        <v>27</v>
      </c>
      <c r="D1323" s="335" t="s">
        <v>1029</v>
      </c>
      <c r="E1323" s="336" t="s">
        <v>1030</v>
      </c>
      <c r="F1323" s="336" t="s">
        <v>397</v>
      </c>
      <c r="G1323" s="337">
        <v>0.03</v>
      </c>
      <c r="H1323" s="338">
        <v>0.1</v>
      </c>
      <c r="I1323" s="339">
        <v>18735.77</v>
      </c>
      <c r="J1323" s="340">
        <v>618.28040999999996</v>
      </c>
      <c r="K1323" s="335" t="s">
        <v>2673</v>
      </c>
      <c r="L1323" s="335">
        <v>9</v>
      </c>
      <c r="M1323" s="335" t="s">
        <v>2682</v>
      </c>
      <c r="N1323" s="339">
        <v>22</v>
      </c>
      <c r="O1323" s="341">
        <v>0.03</v>
      </c>
      <c r="P1323" s="341">
        <v>462</v>
      </c>
      <c r="Q1323" s="341">
        <v>13.86</v>
      </c>
      <c r="R1323" s="342">
        <v>15.03</v>
      </c>
      <c r="S1323" s="342" t="s">
        <v>25</v>
      </c>
    </row>
    <row r="1324" spans="1:19" ht="14.25" customHeight="1" x14ac:dyDescent="0.3">
      <c r="A1324" s="335" t="s">
        <v>2669</v>
      </c>
      <c r="B1324" s="335" t="s">
        <v>26</v>
      </c>
      <c r="C1324" s="335" t="s">
        <v>27</v>
      </c>
      <c r="D1324" s="335" t="s">
        <v>1032</v>
      </c>
      <c r="E1324" s="336" t="s">
        <v>1033</v>
      </c>
      <c r="F1324" s="336" t="s">
        <v>30</v>
      </c>
      <c r="G1324" s="337">
        <v>2.5000000000000001E-3</v>
      </c>
      <c r="H1324" s="338">
        <v>0.05</v>
      </c>
      <c r="I1324" s="339">
        <v>9639</v>
      </c>
      <c r="J1324" s="340">
        <v>25.302375000000001</v>
      </c>
      <c r="K1324" s="335" t="s">
        <v>2673</v>
      </c>
      <c r="L1324" s="335">
        <v>10</v>
      </c>
      <c r="M1324" s="335" t="s">
        <v>2683</v>
      </c>
      <c r="N1324" s="339">
        <v>22</v>
      </c>
      <c r="O1324" s="341">
        <v>2.5000000000000001E-3</v>
      </c>
      <c r="P1324" s="341">
        <v>462</v>
      </c>
      <c r="Q1324" s="341">
        <v>1.155</v>
      </c>
      <c r="R1324" s="342">
        <v>15.03</v>
      </c>
      <c r="S1324" s="342" t="s">
        <v>25</v>
      </c>
    </row>
    <row r="1325" spans="1:19" ht="14.25" customHeight="1" x14ac:dyDescent="0.3">
      <c r="A1325" s="335" t="s">
        <v>2669</v>
      </c>
      <c r="B1325" s="335" t="s">
        <v>56</v>
      </c>
      <c r="C1325" s="335" t="s">
        <v>57</v>
      </c>
      <c r="D1325" s="343" t="s">
        <v>413</v>
      </c>
      <c r="E1325" s="336" t="s">
        <v>414</v>
      </c>
      <c r="F1325" s="336" t="s">
        <v>60</v>
      </c>
      <c r="G1325" s="337">
        <v>1.25</v>
      </c>
      <c r="H1325" s="338">
        <v>0</v>
      </c>
      <c r="I1325" s="339">
        <v>65493.071636572</v>
      </c>
      <c r="J1325" s="340">
        <v>81866.339545715004</v>
      </c>
      <c r="K1325" s="335" t="s">
        <v>2684</v>
      </c>
      <c r="L1325" s="335">
        <v>1</v>
      </c>
      <c r="M1325" s="335" t="s">
        <v>2685</v>
      </c>
      <c r="N1325" s="339">
        <v>22</v>
      </c>
      <c r="O1325" s="341">
        <v>5.6818181818181802E-2</v>
      </c>
      <c r="P1325" s="341">
        <v>462</v>
      </c>
      <c r="Q1325" s="341">
        <v>26.25</v>
      </c>
      <c r="R1325" s="342">
        <v>15.03</v>
      </c>
      <c r="S1325" s="342" t="s">
        <v>25</v>
      </c>
    </row>
    <row r="1326" spans="1:19" ht="14.25" customHeight="1" x14ac:dyDescent="0.3">
      <c r="A1326" s="335" t="s">
        <v>2669</v>
      </c>
      <c r="B1326" s="335" t="s">
        <v>56</v>
      </c>
      <c r="C1326" s="335" t="s">
        <v>57</v>
      </c>
      <c r="D1326" s="343" t="s">
        <v>63</v>
      </c>
      <c r="E1326" s="336" t="s">
        <v>64</v>
      </c>
      <c r="F1326" s="336" t="s">
        <v>60</v>
      </c>
      <c r="G1326" s="337">
        <v>1</v>
      </c>
      <c r="H1326" s="338">
        <v>0</v>
      </c>
      <c r="I1326" s="339">
        <v>85927.097156571996</v>
      </c>
      <c r="J1326" s="340">
        <v>85927.097156571996</v>
      </c>
      <c r="K1326" s="335" t="s">
        <v>2684</v>
      </c>
      <c r="L1326" s="335">
        <v>2</v>
      </c>
      <c r="M1326" s="335" t="s">
        <v>2686</v>
      </c>
      <c r="N1326" s="339">
        <v>22</v>
      </c>
      <c r="O1326" s="341">
        <v>4.5454545454545497E-2</v>
      </c>
      <c r="P1326" s="341">
        <v>462</v>
      </c>
      <c r="Q1326" s="341">
        <v>21</v>
      </c>
      <c r="R1326" s="342">
        <v>15.03</v>
      </c>
      <c r="S1326" s="342" t="s">
        <v>25</v>
      </c>
    </row>
    <row r="1327" spans="1:19" ht="14.25" customHeight="1" x14ac:dyDescent="0.3">
      <c r="A1327" s="335" t="s">
        <v>2687</v>
      </c>
      <c r="B1327" s="335" t="s">
        <v>20</v>
      </c>
      <c r="C1327" s="335"/>
      <c r="D1327" s="335" t="s">
        <v>372</v>
      </c>
      <c r="E1327" s="336" t="s">
        <v>373</v>
      </c>
      <c r="F1327" s="336"/>
      <c r="G1327" s="337">
        <v>1</v>
      </c>
      <c r="H1327" s="338">
        <v>0</v>
      </c>
      <c r="I1327" s="339">
        <v>1723.6259595547101</v>
      </c>
      <c r="J1327" s="340">
        <v>1723.6259595547101</v>
      </c>
      <c r="K1327" s="335" t="s">
        <v>2688</v>
      </c>
      <c r="L1327" s="335">
        <v>1</v>
      </c>
      <c r="M1327" s="335" t="s">
        <v>2689</v>
      </c>
      <c r="N1327" s="339">
        <v>25</v>
      </c>
      <c r="O1327" s="341">
        <v>1</v>
      </c>
      <c r="P1327" s="341">
        <v>144</v>
      </c>
      <c r="Q1327" s="341">
        <v>144</v>
      </c>
      <c r="R1327" s="342">
        <v>15.04</v>
      </c>
      <c r="S1327" s="342" t="s">
        <v>25</v>
      </c>
    </row>
    <row r="1328" spans="1:19" ht="14.25" customHeight="1" x14ac:dyDescent="0.3">
      <c r="A1328" s="335" t="s">
        <v>2687</v>
      </c>
      <c r="B1328" s="335" t="s">
        <v>20</v>
      </c>
      <c r="C1328" s="335"/>
      <c r="D1328" s="335" t="s">
        <v>376</v>
      </c>
      <c r="E1328" s="336" t="s">
        <v>377</v>
      </c>
      <c r="F1328" s="336"/>
      <c r="G1328" s="337">
        <v>1</v>
      </c>
      <c r="H1328" s="338">
        <v>0</v>
      </c>
      <c r="I1328" s="339">
        <v>200.25307946474501</v>
      </c>
      <c r="J1328" s="340">
        <v>200.25307946474501</v>
      </c>
      <c r="K1328" s="335" t="s">
        <v>2688</v>
      </c>
      <c r="L1328" s="335">
        <v>2</v>
      </c>
      <c r="M1328" s="335" t="s">
        <v>2690</v>
      </c>
      <c r="N1328" s="339">
        <v>25</v>
      </c>
      <c r="O1328" s="341">
        <v>1</v>
      </c>
      <c r="P1328" s="341">
        <v>144</v>
      </c>
      <c r="Q1328" s="341">
        <v>144</v>
      </c>
      <c r="R1328" s="342">
        <v>15.04</v>
      </c>
      <c r="S1328" s="342" t="s">
        <v>25</v>
      </c>
    </row>
    <row r="1329" spans="1:19" ht="14.25" customHeight="1" x14ac:dyDescent="0.3">
      <c r="A1329" s="335" t="s">
        <v>2687</v>
      </c>
      <c r="B1329" s="335" t="s">
        <v>26</v>
      </c>
      <c r="C1329" s="335" t="s">
        <v>27</v>
      </c>
      <c r="D1329" s="335" t="s">
        <v>379</v>
      </c>
      <c r="E1329" s="336" t="s">
        <v>380</v>
      </c>
      <c r="F1329" s="336" t="s">
        <v>30</v>
      </c>
      <c r="G1329" s="337">
        <v>4.0000000000000001E-3</v>
      </c>
      <c r="H1329" s="338">
        <v>0.05</v>
      </c>
      <c r="I1329" s="339">
        <v>30467.49</v>
      </c>
      <c r="J1329" s="340">
        <v>127.963458</v>
      </c>
      <c r="K1329" s="335" t="s">
        <v>2691</v>
      </c>
      <c r="L1329" s="335">
        <v>1</v>
      </c>
      <c r="M1329" s="335" t="s">
        <v>2692</v>
      </c>
      <c r="N1329" s="339">
        <v>25</v>
      </c>
      <c r="O1329" s="341">
        <v>4.0000000000000001E-3</v>
      </c>
      <c r="P1329" s="341">
        <v>144</v>
      </c>
      <c r="Q1329" s="341">
        <v>0.57599999999999996</v>
      </c>
      <c r="R1329" s="342">
        <v>15.04</v>
      </c>
      <c r="S1329" s="342" t="s">
        <v>25</v>
      </c>
    </row>
    <row r="1330" spans="1:19" ht="14.25" customHeight="1" x14ac:dyDescent="0.3">
      <c r="A1330" s="335" t="s">
        <v>2687</v>
      </c>
      <c r="B1330" s="335" t="s">
        <v>26</v>
      </c>
      <c r="C1330" s="335" t="s">
        <v>27</v>
      </c>
      <c r="D1330" s="335" t="s">
        <v>386</v>
      </c>
      <c r="E1330" s="336" t="s">
        <v>387</v>
      </c>
      <c r="F1330" s="336" t="s">
        <v>35</v>
      </c>
      <c r="G1330" s="337">
        <v>0.05</v>
      </c>
      <c r="H1330" s="338">
        <v>0.1</v>
      </c>
      <c r="I1330" s="339">
        <v>3293.01</v>
      </c>
      <c r="J1330" s="340">
        <v>181.11555000000001</v>
      </c>
      <c r="K1330" s="335" t="s">
        <v>2691</v>
      </c>
      <c r="L1330" s="335">
        <v>2</v>
      </c>
      <c r="M1330" s="335" t="s">
        <v>2693</v>
      </c>
      <c r="N1330" s="339">
        <v>25</v>
      </c>
      <c r="O1330" s="341">
        <v>0.05</v>
      </c>
      <c r="P1330" s="341">
        <v>144</v>
      </c>
      <c r="Q1330" s="341">
        <v>7.2</v>
      </c>
      <c r="R1330" s="342">
        <v>15.04</v>
      </c>
      <c r="S1330" s="342" t="s">
        <v>25</v>
      </c>
    </row>
    <row r="1331" spans="1:19" ht="14.25" customHeight="1" x14ac:dyDescent="0.3">
      <c r="A1331" s="335" t="s">
        <v>2687</v>
      </c>
      <c r="B1331" s="335" t="s">
        <v>26</v>
      </c>
      <c r="C1331" s="335" t="s">
        <v>27</v>
      </c>
      <c r="D1331" s="335" t="s">
        <v>33</v>
      </c>
      <c r="E1331" s="336" t="s">
        <v>34</v>
      </c>
      <c r="F1331" s="336" t="s">
        <v>35</v>
      </c>
      <c r="G1331" s="337">
        <v>0.03</v>
      </c>
      <c r="H1331" s="338">
        <v>0.05</v>
      </c>
      <c r="I1331" s="339">
        <v>735.06</v>
      </c>
      <c r="J1331" s="340">
        <v>23.154389999999999</v>
      </c>
      <c r="K1331" s="335" t="s">
        <v>2691</v>
      </c>
      <c r="L1331" s="335">
        <v>3</v>
      </c>
      <c r="M1331" s="335" t="s">
        <v>2694</v>
      </c>
      <c r="N1331" s="339">
        <v>25</v>
      </c>
      <c r="O1331" s="341">
        <v>0.03</v>
      </c>
      <c r="P1331" s="341">
        <v>144</v>
      </c>
      <c r="Q1331" s="341">
        <v>4.32</v>
      </c>
      <c r="R1331" s="342">
        <v>15.04</v>
      </c>
      <c r="S1331" s="342" t="s">
        <v>25</v>
      </c>
    </row>
    <row r="1332" spans="1:19" ht="14.25" customHeight="1" x14ac:dyDescent="0.3">
      <c r="A1332" s="335" t="s">
        <v>2687</v>
      </c>
      <c r="B1332" s="335" t="s">
        <v>26</v>
      </c>
      <c r="C1332" s="335" t="s">
        <v>27</v>
      </c>
      <c r="D1332" s="335" t="s">
        <v>1023</v>
      </c>
      <c r="E1332" s="336" t="s">
        <v>1024</v>
      </c>
      <c r="F1332" s="336" t="s">
        <v>35</v>
      </c>
      <c r="G1332" s="337">
        <v>5.0000000000000001E-3</v>
      </c>
      <c r="H1332" s="338">
        <v>0.05</v>
      </c>
      <c r="I1332" s="339">
        <v>6678.36</v>
      </c>
      <c r="J1332" s="340">
        <v>35.061390000000003</v>
      </c>
      <c r="K1332" s="335" t="s">
        <v>2691</v>
      </c>
      <c r="L1332" s="335">
        <v>4</v>
      </c>
      <c r="M1332" s="335" t="s">
        <v>2695</v>
      </c>
      <c r="N1332" s="339">
        <v>25</v>
      </c>
      <c r="O1332" s="341">
        <v>5.0000000000000001E-3</v>
      </c>
      <c r="P1332" s="341">
        <v>144</v>
      </c>
      <c r="Q1332" s="341">
        <v>0.72</v>
      </c>
      <c r="R1332" s="342">
        <v>15.04</v>
      </c>
      <c r="S1332" s="342" t="s">
        <v>25</v>
      </c>
    </row>
    <row r="1333" spans="1:19" ht="14.25" customHeight="1" x14ac:dyDescent="0.3">
      <c r="A1333" s="335" t="s">
        <v>2687</v>
      </c>
      <c r="B1333" s="335" t="s">
        <v>26</v>
      </c>
      <c r="C1333" s="335" t="s">
        <v>27</v>
      </c>
      <c r="D1333" s="335" t="s">
        <v>40</v>
      </c>
      <c r="E1333" s="336" t="s">
        <v>41</v>
      </c>
      <c r="F1333" s="336" t="s">
        <v>35</v>
      </c>
      <c r="G1333" s="337">
        <v>5.0000000000000001E-3</v>
      </c>
      <c r="H1333" s="338">
        <v>0.05</v>
      </c>
      <c r="I1333" s="339">
        <v>5282.24</v>
      </c>
      <c r="J1333" s="340">
        <v>27.731760000000001</v>
      </c>
      <c r="K1333" s="335" t="s">
        <v>2691</v>
      </c>
      <c r="L1333" s="335">
        <v>5</v>
      </c>
      <c r="M1333" s="335" t="s">
        <v>2696</v>
      </c>
      <c r="N1333" s="339">
        <v>25</v>
      </c>
      <c r="O1333" s="341">
        <v>5.0000000000000001E-3</v>
      </c>
      <c r="P1333" s="341">
        <v>144</v>
      </c>
      <c r="Q1333" s="341">
        <v>0.72</v>
      </c>
      <c r="R1333" s="342">
        <v>15.04</v>
      </c>
      <c r="S1333" s="342" t="s">
        <v>25</v>
      </c>
    </row>
    <row r="1334" spans="1:19" ht="14.25" customHeight="1" x14ac:dyDescent="0.3">
      <c r="A1334" s="335" t="s">
        <v>2687</v>
      </c>
      <c r="B1334" s="335" t="s">
        <v>26</v>
      </c>
      <c r="C1334" s="335" t="s">
        <v>27</v>
      </c>
      <c r="D1334" s="335" t="s">
        <v>392</v>
      </c>
      <c r="E1334" s="336" t="s">
        <v>393</v>
      </c>
      <c r="F1334" s="336" t="s">
        <v>35</v>
      </c>
      <c r="G1334" s="337">
        <v>0.01</v>
      </c>
      <c r="H1334" s="338">
        <v>0.05</v>
      </c>
      <c r="I1334" s="339">
        <v>7427.6</v>
      </c>
      <c r="J1334" s="340">
        <v>77.989800000000002</v>
      </c>
      <c r="K1334" s="335" t="s">
        <v>2691</v>
      </c>
      <c r="L1334" s="335">
        <v>6</v>
      </c>
      <c r="M1334" s="335" t="s">
        <v>2697</v>
      </c>
      <c r="N1334" s="339">
        <v>25</v>
      </c>
      <c r="O1334" s="341">
        <v>0.01</v>
      </c>
      <c r="P1334" s="341">
        <v>144</v>
      </c>
      <c r="Q1334" s="341">
        <v>1.44</v>
      </c>
      <c r="R1334" s="342">
        <v>15.04</v>
      </c>
      <c r="S1334" s="342" t="s">
        <v>25</v>
      </c>
    </row>
    <row r="1335" spans="1:19" ht="14.25" customHeight="1" x14ac:dyDescent="0.3">
      <c r="A1335" s="335" t="s">
        <v>2687</v>
      </c>
      <c r="B1335" s="335" t="s">
        <v>26</v>
      </c>
      <c r="C1335" s="335" t="s">
        <v>27</v>
      </c>
      <c r="D1335" s="335" t="s">
        <v>395</v>
      </c>
      <c r="E1335" s="336" t="s">
        <v>396</v>
      </c>
      <c r="F1335" s="336" t="s">
        <v>397</v>
      </c>
      <c r="G1335" s="337">
        <v>1.2500000000000001E-2</v>
      </c>
      <c r="H1335" s="338">
        <v>0.1</v>
      </c>
      <c r="I1335" s="339">
        <v>120622.23</v>
      </c>
      <c r="J1335" s="340">
        <v>1658.5556624999999</v>
      </c>
      <c r="K1335" s="335" t="s">
        <v>2691</v>
      </c>
      <c r="L1335" s="335">
        <v>7</v>
      </c>
      <c r="M1335" s="335" t="s">
        <v>2698</v>
      </c>
      <c r="N1335" s="339">
        <v>25</v>
      </c>
      <c r="O1335" s="341">
        <v>1.2500000000000001E-2</v>
      </c>
      <c r="P1335" s="341">
        <v>144</v>
      </c>
      <c r="Q1335" s="341">
        <v>1.8</v>
      </c>
      <c r="R1335" s="342">
        <v>15.04</v>
      </c>
      <c r="S1335" s="342" t="s">
        <v>25</v>
      </c>
    </row>
    <row r="1336" spans="1:19" ht="14.25" customHeight="1" x14ac:dyDescent="0.3">
      <c r="A1336" s="335" t="s">
        <v>2687</v>
      </c>
      <c r="B1336" s="335" t="s">
        <v>26</v>
      </c>
      <c r="C1336" s="335" t="s">
        <v>27</v>
      </c>
      <c r="D1336" s="335" t="s">
        <v>1032</v>
      </c>
      <c r="E1336" s="336" t="s">
        <v>1033</v>
      </c>
      <c r="F1336" s="336" t="s">
        <v>30</v>
      </c>
      <c r="G1336" s="337">
        <v>1E-3</v>
      </c>
      <c r="H1336" s="338">
        <v>0.05</v>
      </c>
      <c r="I1336" s="339">
        <v>9639</v>
      </c>
      <c r="J1336" s="340">
        <v>10.120950000000001</v>
      </c>
      <c r="K1336" s="335" t="s">
        <v>2691</v>
      </c>
      <c r="L1336" s="335">
        <v>8</v>
      </c>
      <c r="M1336" s="335" t="s">
        <v>2699</v>
      </c>
      <c r="N1336" s="339">
        <v>25</v>
      </c>
      <c r="O1336" s="341">
        <v>1E-3</v>
      </c>
      <c r="P1336" s="341">
        <v>144</v>
      </c>
      <c r="Q1336" s="341">
        <v>0.14399999999999999</v>
      </c>
      <c r="R1336" s="342">
        <v>15.04</v>
      </c>
      <c r="S1336" s="342" t="s">
        <v>25</v>
      </c>
    </row>
    <row r="1337" spans="1:19" ht="14.25" customHeight="1" x14ac:dyDescent="0.3">
      <c r="A1337" s="335" t="s">
        <v>2687</v>
      </c>
      <c r="B1337" s="335" t="s">
        <v>56</v>
      </c>
      <c r="C1337" s="335" t="s">
        <v>57</v>
      </c>
      <c r="D1337" s="343" t="s">
        <v>63</v>
      </c>
      <c r="E1337" s="336" t="s">
        <v>64</v>
      </c>
      <c r="F1337" s="336" t="s">
        <v>60</v>
      </c>
      <c r="G1337" s="337">
        <v>1</v>
      </c>
      <c r="H1337" s="338">
        <v>0</v>
      </c>
      <c r="I1337" s="339">
        <v>85927.097156571996</v>
      </c>
      <c r="J1337" s="340">
        <v>85927.097156571996</v>
      </c>
      <c r="K1337" s="335" t="s">
        <v>2700</v>
      </c>
      <c r="L1337" s="335">
        <v>1</v>
      </c>
      <c r="M1337" s="335" t="s">
        <v>2701</v>
      </c>
      <c r="N1337" s="339">
        <v>25</v>
      </c>
      <c r="O1337" s="341">
        <v>0.04</v>
      </c>
      <c r="P1337" s="341">
        <v>144</v>
      </c>
      <c r="Q1337" s="341">
        <v>5.76</v>
      </c>
      <c r="R1337" s="342">
        <v>15.04</v>
      </c>
      <c r="S1337" s="342" t="s">
        <v>25</v>
      </c>
    </row>
    <row r="1338" spans="1:19" ht="14.25" customHeight="1" x14ac:dyDescent="0.3">
      <c r="A1338" s="335" t="s">
        <v>2702</v>
      </c>
      <c r="B1338" s="335" t="s">
        <v>20</v>
      </c>
      <c r="C1338" s="335"/>
      <c r="D1338" s="335" t="s">
        <v>372</v>
      </c>
      <c r="E1338" s="336" t="s">
        <v>373</v>
      </c>
      <c r="F1338" s="336"/>
      <c r="G1338" s="337">
        <v>1</v>
      </c>
      <c r="H1338" s="338">
        <v>0</v>
      </c>
      <c r="I1338" s="339">
        <v>1723.6259595547101</v>
      </c>
      <c r="J1338" s="340">
        <v>1723.6259595547101</v>
      </c>
      <c r="K1338" s="335" t="s">
        <v>2703</v>
      </c>
      <c r="L1338" s="335">
        <v>1</v>
      </c>
      <c r="M1338" s="335" t="s">
        <v>2704</v>
      </c>
      <c r="N1338" s="339">
        <v>20</v>
      </c>
      <c r="O1338" s="341">
        <v>1</v>
      </c>
      <c r="P1338" s="341" t="s">
        <v>25</v>
      </c>
      <c r="Q1338" s="341">
        <v>0</v>
      </c>
      <c r="R1338" s="342" t="s">
        <v>25</v>
      </c>
      <c r="S1338" s="342" t="s">
        <v>25</v>
      </c>
    </row>
    <row r="1339" spans="1:19" ht="14.25" customHeight="1" x14ac:dyDescent="0.3">
      <c r="A1339" s="335" t="s">
        <v>2702</v>
      </c>
      <c r="B1339" s="335" t="s">
        <v>20</v>
      </c>
      <c r="C1339" s="335"/>
      <c r="D1339" s="335" t="s">
        <v>376</v>
      </c>
      <c r="E1339" s="336" t="s">
        <v>377</v>
      </c>
      <c r="F1339" s="336"/>
      <c r="G1339" s="337">
        <v>1</v>
      </c>
      <c r="H1339" s="338">
        <v>0</v>
      </c>
      <c r="I1339" s="339">
        <v>200.25307946474501</v>
      </c>
      <c r="J1339" s="340">
        <v>200.25307946474501</v>
      </c>
      <c r="K1339" s="335" t="s">
        <v>2703</v>
      </c>
      <c r="L1339" s="335">
        <v>2</v>
      </c>
      <c r="M1339" s="335" t="s">
        <v>2705</v>
      </c>
      <c r="N1339" s="339">
        <v>20</v>
      </c>
      <c r="O1339" s="341">
        <v>1</v>
      </c>
      <c r="P1339" s="341" t="s">
        <v>25</v>
      </c>
      <c r="Q1339" s="341">
        <v>0</v>
      </c>
      <c r="R1339" s="342" t="s">
        <v>25</v>
      </c>
      <c r="S1339" s="342" t="s">
        <v>25</v>
      </c>
    </row>
    <row r="1340" spans="1:19" ht="14.25" customHeight="1" x14ac:dyDescent="0.3">
      <c r="A1340" s="335" t="s">
        <v>2702</v>
      </c>
      <c r="B1340" s="335" t="s">
        <v>26</v>
      </c>
      <c r="C1340" s="335" t="s">
        <v>27</v>
      </c>
      <c r="D1340" s="335" t="s">
        <v>379</v>
      </c>
      <c r="E1340" s="336" t="s">
        <v>380</v>
      </c>
      <c r="F1340" s="336" t="s">
        <v>30</v>
      </c>
      <c r="G1340" s="337">
        <v>4.0000000000000001E-3</v>
      </c>
      <c r="H1340" s="338">
        <v>0.05</v>
      </c>
      <c r="I1340" s="339">
        <v>30467.49</v>
      </c>
      <c r="J1340" s="340">
        <v>127.963458</v>
      </c>
      <c r="K1340" s="335" t="s">
        <v>2706</v>
      </c>
      <c r="L1340" s="335">
        <v>1</v>
      </c>
      <c r="M1340" s="335" t="s">
        <v>2707</v>
      </c>
      <c r="N1340" s="339">
        <v>20</v>
      </c>
      <c r="O1340" s="341">
        <v>4.0000000000000001E-3</v>
      </c>
      <c r="P1340" s="341" t="s">
        <v>25</v>
      </c>
      <c r="Q1340" s="341">
        <v>0</v>
      </c>
      <c r="R1340" s="342" t="s">
        <v>25</v>
      </c>
      <c r="S1340" s="342" t="s">
        <v>25</v>
      </c>
    </row>
    <row r="1341" spans="1:19" ht="14.25" customHeight="1" x14ac:dyDescent="0.3">
      <c r="A1341" s="335" t="s">
        <v>2702</v>
      </c>
      <c r="B1341" s="335" t="s">
        <v>26</v>
      </c>
      <c r="C1341" s="335" t="s">
        <v>27</v>
      </c>
      <c r="D1341" s="335" t="s">
        <v>383</v>
      </c>
      <c r="E1341" s="336" t="s">
        <v>384</v>
      </c>
      <c r="F1341" s="336" t="s">
        <v>35</v>
      </c>
      <c r="G1341" s="337">
        <v>1.4999999999999999E-2</v>
      </c>
      <c r="H1341" s="338">
        <v>0.05</v>
      </c>
      <c r="I1341" s="339">
        <v>5661.4</v>
      </c>
      <c r="J1341" s="340">
        <v>89.167050000000003</v>
      </c>
      <c r="K1341" s="335" t="s">
        <v>2706</v>
      </c>
      <c r="L1341" s="335">
        <v>2</v>
      </c>
      <c r="M1341" s="335" t="s">
        <v>2708</v>
      </c>
      <c r="N1341" s="339">
        <v>20</v>
      </c>
      <c r="O1341" s="341">
        <v>1.4999999999999999E-2</v>
      </c>
      <c r="P1341" s="341" t="s">
        <v>25</v>
      </c>
      <c r="Q1341" s="341">
        <v>0</v>
      </c>
      <c r="R1341" s="342" t="s">
        <v>25</v>
      </c>
      <c r="S1341" s="342" t="s">
        <v>25</v>
      </c>
    </row>
    <row r="1342" spans="1:19" ht="14.25" customHeight="1" x14ac:dyDescent="0.3">
      <c r="A1342" s="335" t="s">
        <v>2702</v>
      </c>
      <c r="B1342" s="335" t="s">
        <v>26</v>
      </c>
      <c r="C1342" s="335" t="s">
        <v>27</v>
      </c>
      <c r="D1342" s="335" t="s">
        <v>386</v>
      </c>
      <c r="E1342" s="336" t="s">
        <v>387</v>
      </c>
      <c r="F1342" s="336" t="s">
        <v>35</v>
      </c>
      <c r="G1342" s="337">
        <v>0.05</v>
      </c>
      <c r="H1342" s="338">
        <v>0.1</v>
      </c>
      <c r="I1342" s="339">
        <v>3293.01</v>
      </c>
      <c r="J1342" s="340">
        <v>181.11555000000001</v>
      </c>
      <c r="K1342" s="335" t="s">
        <v>2706</v>
      </c>
      <c r="L1342" s="335">
        <v>3</v>
      </c>
      <c r="M1342" s="335" t="s">
        <v>2709</v>
      </c>
      <c r="N1342" s="339">
        <v>20</v>
      </c>
      <c r="O1342" s="341">
        <v>0.05</v>
      </c>
      <c r="P1342" s="341" t="s">
        <v>25</v>
      </c>
      <c r="Q1342" s="341">
        <v>0</v>
      </c>
      <c r="R1342" s="342" t="s">
        <v>25</v>
      </c>
      <c r="S1342" s="342" t="s">
        <v>25</v>
      </c>
    </row>
    <row r="1343" spans="1:19" ht="14.25" customHeight="1" x14ac:dyDescent="0.3">
      <c r="A1343" s="335" t="s">
        <v>2702</v>
      </c>
      <c r="B1343" s="335" t="s">
        <v>26</v>
      </c>
      <c r="C1343" s="335" t="s">
        <v>27</v>
      </c>
      <c r="D1343" s="335" t="s">
        <v>33</v>
      </c>
      <c r="E1343" s="336" t="s">
        <v>34</v>
      </c>
      <c r="F1343" s="336" t="s">
        <v>35</v>
      </c>
      <c r="G1343" s="337">
        <v>0.03</v>
      </c>
      <c r="H1343" s="338">
        <v>0.05</v>
      </c>
      <c r="I1343" s="339">
        <v>735.06</v>
      </c>
      <c r="J1343" s="340">
        <v>23.154389999999999</v>
      </c>
      <c r="K1343" s="335" t="s">
        <v>2706</v>
      </c>
      <c r="L1343" s="335">
        <v>4</v>
      </c>
      <c r="M1343" s="335" t="s">
        <v>2710</v>
      </c>
      <c r="N1343" s="339">
        <v>20</v>
      </c>
      <c r="O1343" s="341">
        <v>0.03</v>
      </c>
      <c r="P1343" s="341" t="s">
        <v>25</v>
      </c>
      <c r="Q1343" s="341">
        <v>0</v>
      </c>
      <c r="R1343" s="342" t="s">
        <v>25</v>
      </c>
      <c r="S1343" s="342" t="s">
        <v>25</v>
      </c>
    </row>
    <row r="1344" spans="1:19" ht="14.25" customHeight="1" x14ac:dyDescent="0.3">
      <c r="A1344" s="335" t="s">
        <v>2702</v>
      </c>
      <c r="B1344" s="335" t="s">
        <v>26</v>
      </c>
      <c r="C1344" s="335" t="s">
        <v>27</v>
      </c>
      <c r="D1344" s="335" t="s">
        <v>1023</v>
      </c>
      <c r="E1344" s="336" t="s">
        <v>1024</v>
      </c>
      <c r="F1344" s="336" t="s">
        <v>35</v>
      </c>
      <c r="G1344" s="337">
        <v>5.0000000000000001E-3</v>
      </c>
      <c r="H1344" s="338">
        <v>0.05</v>
      </c>
      <c r="I1344" s="339">
        <v>6678.36</v>
      </c>
      <c r="J1344" s="340">
        <v>35.061390000000003</v>
      </c>
      <c r="K1344" s="335" t="s">
        <v>2706</v>
      </c>
      <c r="L1344" s="335">
        <v>5</v>
      </c>
      <c r="M1344" s="335" t="s">
        <v>2711</v>
      </c>
      <c r="N1344" s="339">
        <v>20</v>
      </c>
      <c r="O1344" s="341">
        <v>5.0000000000000001E-3</v>
      </c>
      <c r="P1344" s="341" t="s">
        <v>25</v>
      </c>
      <c r="Q1344" s="341">
        <v>0</v>
      </c>
      <c r="R1344" s="342" t="s">
        <v>25</v>
      </c>
      <c r="S1344" s="342" t="s">
        <v>25</v>
      </c>
    </row>
    <row r="1345" spans="1:19" ht="14.25" customHeight="1" x14ac:dyDescent="0.3">
      <c r="A1345" s="335" t="s">
        <v>2702</v>
      </c>
      <c r="B1345" s="335" t="s">
        <v>26</v>
      </c>
      <c r="C1345" s="335" t="s">
        <v>27</v>
      </c>
      <c r="D1345" s="335" t="s">
        <v>40</v>
      </c>
      <c r="E1345" s="336" t="s">
        <v>41</v>
      </c>
      <c r="F1345" s="336" t="s">
        <v>35</v>
      </c>
      <c r="G1345" s="337">
        <v>5.0000000000000001E-3</v>
      </c>
      <c r="H1345" s="338">
        <v>0.05</v>
      </c>
      <c r="I1345" s="339">
        <v>5282.24</v>
      </c>
      <c r="J1345" s="340">
        <v>27.731760000000001</v>
      </c>
      <c r="K1345" s="335" t="s">
        <v>2706</v>
      </c>
      <c r="L1345" s="335">
        <v>6</v>
      </c>
      <c r="M1345" s="335" t="s">
        <v>2712</v>
      </c>
      <c r="N1345" s="339">
        <v>20</v>
      </c>
      <c r="O1345" s="341">
        <v>5.0000000000000001E-3</v>
      </c>
      <c r="P1345" s="341" t="s">
        <v>25</v>
      </c>
      <c r="Q1345" s="341">
        <v>0</v>
      </c>
      <c r="R1345" s="342" t="s">
        <v>25</v>
      </c>
      <c r="S1345" s="342" t="s">
        <v>25</v>
      </c>
    </row>
    <row r="1346" spans="1:19" ht="14.25" customHeight="1" x14ac:dyDescent="0.3">
      <c r="A1346" s="335" t="s">
        <v>2702</v>
      </c>
      <c r="B1346" s="335" t="s">
        <v>26</v>
      </c>
      <c r="C1346" s="335" t="s">
        <v>27</v>
      </c>
      <c r="D1346" s="335" t="s">
        <v>392</v>
      </c>
      <c r="E1346" s="336" t="s">
        <v>393</v>
      </c>
      <c r="F1346" s="336" t="s">
        <v>35</v>
      </c>
      <c r="G1346" s="337">
        <v>0.01</v>
      </c>
      <c r="H1346" s="338">
        <v>0.05</v>
      </c>
      <c r="I1346" s="339">
        <v>7427.6</v>
      </c>
      <c r="J1346" s="340">
        <v>77.989800000000002</v>
      </c>
      <c r="K1346" s="335" t="s">
        <v>2706</v>
      </c>
      <c r="L1346" s="335">
        <v>7</v>
      </c>
      <c r="M1346" s="335" t="s">
        <v>2713</v>
      </c>
      <c r="N1346" s="339">
        <v>20</v>
      </c>
      <c r="O1346" s="341">
        <v>0.01</v>
      </c>
      <c r="P1346" s="341" t="s">
        <v>25</v>
      </c>
      <c r="Q1346" s="341">
        <v>0</v>
      </c>
      <c r="R1346" s="342" t="s">
        <v>25</v>
      </c>
      <c r="S1346" s="342" t="s">
        <v>25</v>
      </c>
    </row>
    <row r="1347" spans="1:19" ht="14.25" customHeight="1" x14ac:dyDescent="0.3">
      <c r="A1347" s="335" t="s">
        <v>2702</v>
      </c>
      <c r="B1347" s="335" t="s">
        <v>26</v>
      </c>
      <c r="C1347" s="335" t="s">
        <v>27</v>
      </c>
      <c r="D1347" s="335" t="s">
        <v>395</v>
      </c>
      <c r="E1347" s="336" t="s">
        <v>396</v>
      </c>
      <c r="F1347" s="336" t="s">
        <v>397</v>
      </c>
      <c r="G1347" s="337">
        <v>1.2500000000000001E-2</v>
      </c>
      <c r="H1347" s="338">
        <v>0.1</v>
      </c>
      <c r="I1347" s="339">
        <v>120622.23</v>
      </c>
      <c r="J1347" s="340">
        <v>1658.5556624999999</v>
      </c>
      <c r="K1347" s="335" t="s">
        <v>2706</v>
      </c>
      <c r="L1347" s="335">
        <v>8</v>
      </c>
      <c r="M1347" s="335" t="s">
        <v>2714</v>
      </c>
      <c r="N1347" s="339">
        <v>20</v>
      </c>
      <c r="O1347" s="341">
        <v>1.2500000000000001E-2</v>
      </c>
      <c r="P1347" s="341" t="s">
        <v>25</v>
      </c>
      <c r="Q1347" s="341">
        <v>0</v>
      </c>
      <c r="R1347" s="342" t="s">
        <v>25</v>
      </c>
      <c r="S1347" s="342" t="s">
        <v>25</v>
      </c>
    </row>
    <row r="1348" spans="1:19" ht="14.25" customHeight="1" x14ac:dyDescent="0.3">
      <c r="A1348" s="335" t="s">
        <v>2702</v>
      </c>
      <c r="B1348" s="335" t="s">
        <v>26</v>
      </c>
      <c r="C1348" s="335" t="s">
        <v>27</v>
      </c>
      <c r="D1348" s="335" t="s">
        <v>1029</v>
      </c>
      <c r="E1348" s="336" t="s">
        <v>1030</v>
      </c>
      <c r="F1348" s="336" t="s">
        <v>397</v>
      </c>
      <c r="G1348" s="337">
        <v>2E-3</v>
      </c>
      <c r="H1348" s="338">
        <v>0.1</v>
      </c>
      <c r="I1348" s="339">
        <v>18735.77</v>
      </c>
      <c r="J1348" s="340">
        <v>41.218693999999999</v>
      </c>
      <c r="K1348" s="335" t="s">
        <v>2706</v>
      </c>
      <c r="L1348" s="335">
        <v>9</v>
      </c>
      <c r="M1348" s="335" t="s">
        <v>2715</v>
      </c>
      <c r="N1348" s="339">
        <v>20</v>
      </c>
      <c r="O1348" s="341">
        <v>2E-3</v>
      </c>
      <c r="P1348" s="341" t="s">
        <v>25</v>
      </c>
      <c r="Q1348" s="341">
        <v>0</v>
      </c>
      <c r="R1348" s="342" t="s">
        <v>25</v>
      </c>
      <c r="S1348" s="342" t="s">
        <v>25</v>
      </c>
    </row>
    <row r="1349" spans="1:19" ht="14.25" customHeight="1" x14ac:dyDescent="0.3">
      <c r="A1349" s="335" t="s">
        <v>2702</v>
      </c>
      <c r="B1349" s="335" t="s">
        <v>26</v>
      </c>
      <c r="C1349" s="335" t="s">
        <v>27</v>
      </c>
      <c r="D1349" s="335" t="s">
        <v>1032</v>
      </c>
      <c r="E1349" s="336" t="s">
        <v>1033</v>
      </c>
      <c r="F1349" s="336" t="s">
        <v>30</v>
      </c>
      <c r="G1349" s="337">
        <v>1E-3</v>
      </c>
      <c r="H1349" s="338">
        <v>0.05</v>
      </c>
      <c r="I1349" s="339">
        <v>9639</v>
      </c>
      <c r="J1349" s="340">
        <v>10.120950000000001</v>
      </c>
      <c r="K1349" s="335" t="s">
        <v>2706</v>
      </c>
      <c r="L1349" s="335">
        <v>10</v>
      </c>
      <c r="M1349" s="335" t="s">
        <v>2716</v>
      </c>
      <c r="N1349" s="339">
        <v>20</v>
      </c>
      <c r="O1349" s="341">
        <v>1E-3</v>
      </c>
      <c r="P1349" s="341" t="s">
        <v>25</v>
      </c>
      <c r="Q1349" s="341">
        <v>0</v>
      </c>
      <c r="R1349" s="342" t="s">
        <v>25</v>
      </c>
      <c r="S1349" s="342" t="s">
        <v>25</v>
      </c>
    </row>
    <row r="1350" spans="1:19" ht="14.25" customHeight="1" x14ac:dyDescent="0.3">
      <c r="A1350" s="335" t="s">
        <v>2702</v>
      </c>
      <c r="B1350" s="335" t="s">
        <v>56</v>
      </c>
      <c r="C1350" s="335" t="s">
        <v>57</v>
      </c>
      <c r="D1350" s="343" t="s">
        <v>63</v>
      </c>
      <c r="E1350" s="336" t="s">
        <v>64</v>
      </c>
      <c r="F1350" s="336" t="s">
        <v>60</v>
      </c>
      <c r="G1350" s="337">
        <v>1</v>
      </c>
      <c r="H1350" s="338">
        <v>0</v>
      </c>
      <c r="I1350" s="339">
        <v>85927.097156571996</v>
      </c>
      <c r="J1350" s="340">
        <v>85927.097156571996</v>
      </c>
      <c r="K1350" s="335" t="s">
        <v>2717</v>
      </c>
      <c r="L1350" s="335">
        <v>1</v>
      </c>
      <c r="M1350" s="335" t="s">
        <v>2718</v>
      </c>
      <c r="N1350" s="339">
        <v>20</v>
      </c>
      <c r="O1350" s="341">
        <v>0.05</v>
      </c>
      <c r="P1350" s="341" t="s">
        <v>25</v>
      </c>
      <c r="Q1350" s="341">
        <v>0</v>
      </c>
      <c r="R1350" s="342" t="s">
        <v>25</v>
      </c>
      <c r="S1350" s="342" t="s">
        <v>25</v>
      </c>
    </row>
    <row r="1351" spans="1:19" ht="14.25" customHeight="1" x14ac:dyDescent="0.3">
      <c r="A1351" s="335" t="s">
        <v>2719</v>
      </c>
      <c r="B1351" s="335" t="s">
        <v>20</v>
      </c>
      <c r="C1351" s="335"/>
      <c r="D1351" s="335" t="s">
        <v>67</v>
      </c>
      <c r="E1351" s="336" t="s">
        <v>68</v>
      </c>
      <c r="F1351" s="336"/>
      <c r="G1351" s="337">
        <v>1</v>
      </c>
      <c r="H1351" s="338">
        <v>0</v>
      </c>
      <c r="I1351" s="339">
        <v>571.17949098076099</v>
      </c>
      <c r="J1351" s="340">
        <v>571.17949098076099</v>
      </c>
      <c r="K1351" s="335" t="s">
        <v>2720</v>
      </c>
      <c r="L1351" s="335">
        <v>1</v>
      </c>
      <c r="M1351" s="335" t="s">
        <v>2721</v>
      </c>
      <c r="N1351" s="339">
        <v>17.5</v>
      </c>
      <c r="O1351" s="341">
        <v>1</v>
      </c>
      <c r="P1351" s="341">
        <v>204</v>
      </c>
      <c r="Q1351" s="341">
        <v>204</v>
      </c>
      <c r="R1351" s="342">
        <v>15.06</v>
      </c>
      <c r="S1351" s="342" t="s">
        <v>25</v>
      </c>
    </row>
    <row r="1352" spans="1:19" ht="14.25" customHeight="1" x14ac:dyDescent="0.3">
      <c r="A1352" s="335" t="s">
        <v>2719</v>
      </c>
      <c r="B1352" s="335" t="s">
        <v>20</v>
      </c>
      <c r="C1352" s="335"/>
      <c r="D1352" s="335" t="s">
        <v>372</v>
      </c>
      <c r="E1352" s="336" t="s">
        <v>373</v>
      </c>
      <c r="F1352" s="336"/>
      <c r="G1352" s="337">
        <v>2</v>
      </c>
      <c r="H1352" s="338">
        <v>0</v>
      </c>
      <c r="I1352" s="339">
        <v>1723.6259595547101</v>
      </c>
      <c r="J1352" s="340">
        <v>3447.2519191094202</v>
      </c>
      <c r="K1352" s="335" t="s">
        <v>2720</v>
      </c>
      <c r="L1352" s="335">
        <v>2</v>
      </c>
      <c r="M1352" s="335" t="s">
        <v>2722</v>
      </c>
      <c r="N1352" s="339">
        <v>17.5</v>
      </c>
      <c r="O1352" s="341">
        <v>2</v>
      </c>
      <c r="P1352" s="341">
        <v>204</v>
      </c>
      <c r="Q1352" s="341">
        <v>408</v>
      </c>
      <c r="R1352" s="342">
        <v>15.06</v>
      </c>
      <c r="S1352" s="342" t="s">
        <v>25</v>
      </c>
    </row>
    <row r="1353" spans="1:19" ht="14.25" customHeight="1" x14ac:dyDescent="0.3">
      <c r="A1353" s="335" t="s">
        <v>2719</v>
      </c>
      <c r="B1353" s="335" t="s">
        <v>20</v>
      </c>
      <c r="C1353" s="335"/>
      <c r="D1353" s="335" t="s">
        <v>376</v>
      </c>
      <c r="E1353" s="336" t="s">
        <v>377</v>
      </c>
      <c r="F1353" s="336"/>
      <c r="G1353" s="337">
        <v>1</v>
      </c>
      <c r="H1353" s="338">
        <v>0</v>
      </c>
      <c r="I1353" s="339">
        <v>200.25307946474501</v>
      </c>
      <c r="J1353" s="340">
        <v>200.25307946474501</v>
      </c>
      <c r="K1353" s="335" t="s">
        <v>2720</v>
      </c>
      <c r="L1353" s="335">
        <v>3</v>
      </c>
      <c r="M1353" s="335" t="s">
        <v>2723</v>
      </c>
      <c r="N1353" s="339">
        <v>17.5</v>
      </c>
      <c r="O1353" s="341">
        <v>1</v>
      </c>
      <c r="P1353" s="341">
        <v>204</v>
      </c>
      <c r="Q1353" s="341">
        <v>204</v>
      </c>
      <c r="R1353" s="342">
        <v>15.06</v>
      </c>
      <c r="S1353" s="342" t="s">
        <v>25</v>
      </c>
    </row>
    <row r="1354" spans="1:19" ht="14.25" customHeight="1" x14ac:dyDescent="0.3">
      <c r="A1354" s="335" t="s">
        <v>2719</v>
      </c>
      <c r="B1354" s="335" t="s">
        <v>26</v>
      </c>
      <c r="C1354" s="335" t="s">
        <v>27</v>
      </c>
      <c r="D1354" s="335" t="s">
        <v>379</v>
      </c>
      <c r="E1354" s="336" t="s">
        <v>380</v>
      </c>
      <c r="F1354" s="336" t="s">
        <v>30</v>
      </c>
      <c r="G1354" s="337">
        <v>4.0000000000000001E-3</v>
      </c>
      <c r="H1354" s="338">
        <v>0.05</v>
      </c>
      <c r="I1354" s="339">
        <v>30467.49</v>
      </c>
      <c r="J1354" s="340">
        <v>127.963458</v>
      </c>
      <c r="K1354" s="335" t="s">
        <v>2724</v>
      </c>
      <c r="L1354" s="335">
        <v>1</v>
      </c>
      <c r="M1354" s="335" t="s">
        <v>2725</v>
      </c>
      <c r="N1354" s="339">
        <v>17.5</v>
      </c>
      <c r="O1354" s="341">
        <v>4.0000000000000001E-3</v>
      </c>
      <c r="P1354" s="341">
        <v>204</v>
      </c>
      <c r="Q1354" s="341">
        <v>0.81599999999999995</v>
      </c>
      <c r="R1354" s="342">
        <v>15.06</v>
      </c>
      <c r="S1354" s="342" t="s">
        <v>25</v>
      </c>
    </row>
    <row r="1355" spans="1:19" ht="14.25" customHeight="1" x14ac:dyDescent="0.3">
      <c r="A1355" s="335" t="s">
        <v>2719</v>
      </c>
      <c r="B1355" s="335" t="s">
        <v>26</v>
      </c>
      <c r="C1355" s="335" t="s">
        <v>27</v>
      </c>
      <c r="D1355" s="335" t="s">
        <v>383</v>
      </c>
      <c r="E1355" s="336" t="s">
        <v>384</v>
      </c>
      <c r="F1355" s="336" t="s">
        <v>35</v>
      </c>
      <c r="G1355" s="337">
        <v>2.5000000000000001E-2</v>
      </c>
      <c r="H1355" s="338">
        <v>0.05</v>
      </c>
      <c r="I1355" s="339">
        <v>5661.4</v>
      </c>
      <c r="J1355" s="340">
        <v>148.61175</v>
      </c>
      <c r="K1355" s="335" t="s">
        <v>2724</v>
      </c>
      <c r="L1355" s="335">
        <v>2</v>
      </c>
      <c r="M1355" s="335" t="s">
        <v>2726</v>
      </c>
      <c r="N1355" s="339">
        <v>17.5</v>
      </c>
      <c r="O1355" s="341">
        <v>2.5000000000000001E-2</v>
      </c>
      <c r="P1355" s="341">
        <v>204</v>
      </c>
      <c r="Q1355" s="341">
        <v>5.0999999999999996</v>
      </c>
      <c r="R1355" s="342">
        <v>15.06</v>
      </c>
      <c r="S1355" s="342" t="s">
        <v>25</v>
      </c>
    </row>
    <row r="1356" spans="1:19" ht="14.25" customHeight="1" x14ac:dyDescent="0.3">
      <c r="A1356" s="335" t="s">
        <v>2719</v>
      </c>
      <c r="B1356" s="335" t="s">
        <v>26</v>
      </c>
      <c r="C1356" s="335" t="s">
        <v>27</v>
      </c>
      <c r="D1356" s="335" t="s">
        <v>386</v>
      </c>
      <c r="E1356" s="336" t="s">
        <v>387</v>
      </c>
      <c r="F1356" s="336" t="s">
        <v>35</v>
      </c>
      <c r="G1356" s="337">
        <v>0.05</v>
      </c>
      <c r="H1356" s="338">
        <v>0.1</v>
      </c>
      <c r="I1356" s="339">
        <v>3293.01</v>
      </c>
      <c r="J1356" s="340">
        <v>181.11555000000001</v>
      </c>
      <c r="K1356" s="335" t="s">
        <v>2724</v>
      </c>
      <c r="L1356" s="335">
        <v>3</v>
      </c>
      <c r="M1356" s="335" t="s">
        <v>2727</v>
      </c>
      <c r="N1356" s="339">
        <v>17.5</v>
      </c>
      <c r="O1356" s="341">
        <v>0.05</v>
      </c>
      <c r="P1356" s="341">
        <v>204</v>
      </c>
      <c r="Q1356" s="341">
        <v>10.199999999999999</v>
      </c>
      <c r="R1356" s="342">
        <v>15.06</v>
      </c>
      <c r="S1356" s="342" t="s">
        <v>25</v>
      </c>
    </row>
    <row r="1357" spans="1:19" ht="14.25" customHeight="1" x14ac:dyDescent="0.3">
      <c r="A1357" s="335" t="s">
        <v>2719</v>
      </c>
      <c r="B1357" s="335" t="s">
        <v>26</v>
      </c>
      <c r="C1357" s="335" t="s">
        <v>27</v>
      </c>
      <c r="D1357" s="335" t="s">
        <v>33</v>
      </c>
      <c r="E1357" s="336" t="s">
        <v>34</v>
      </c>
      <c r="F1357" s="336" t="s">
        <v>35</v>
      </c>
      <c r="G1357" s="337">
        <v>0.03</v>
      </c>
      <c r="H1357" s="338">
        <v>0.05</v>
      </c>
      <c r="I1357" s="339">
        <v>735.06</v>
      </c>
      <c r="J1357" s="340">
        <v>23.154389999999999</v>
      </c>
      <c r="K1357" s="335" t="s">
        <v>2724</v>
      </c>
      <c r="L1357" s="335">
        <v>4</v>
      </c>
      <c r="M1357" s="335" t="s">
        <v>2728</v>
      </c>
      <c r="N1357" s="339">
        <v>17.5</v>
      </c>
      <c r="O1357" s="341">
        <v>0.03</v>
      </c>
      <c r="P1357" s="341">
        <v>204</v>
      </c>
      <c r="Q1357" s="341">
        <v>6.12</v>
      </c>
      <c r="R1357" s="342">
        <v>15.06</v>
      </c>
      <c r="S1357" s="342" t="s">
        <v>25</v>
      </c>
    </row>
    <row r="1358" spans="1:19" ht="14.25" customHeight="1" x14ac:dyDescent="0.3">
      <c r="A1358" s="335" t="s">
        <v>2719</v>
      </c>
      <c r="B1358" s="335" t="s">
        <v>26</v>
      </c>
      <c r="C1358" s="335" t="s">
        <v>27</v>
      </c>
      <c r="D1358" s="335" t="s">
        <v>1023</v>
      </c>
      <c r="E1358" s="336" t="s">
        <v>1024</v>
      </c>
      <c r="F1358" s="336" t="s">
        <v>35</v>
      </c>
      <c r="G1358" s="337">
        <v>5.0000000000000001E-3</v>
      </c>
      <c r="H1358" s="338">
        <v>0.05</v>
      </c>
      <c r="I1358" s="339">
        <v>6678.36</v>
      </c>
      <c r="J1358" s="340">
        <v>35.061390000000003</v>
      </c>
      <c r="K1358" s="335" t="s">
        <v>2724</v>
      </c>
      <c r="L1358" s="335">
        <v>5</v>
      </c>
      <c r="M1358" s="335" t="s">
        <v>2729</v>
      </c>
      <c r="N1358" s="339">
        <v>17.5</v>
      </c>
      <c r="O1358" s="341">
        <v>5.0000000000000001E-3</v>
      </c>
      <c r="P1358" s="341">
        <v>204</v>
      </c>
      <c r="Q1358" s="341">
        <v>1.02</v>
      </c>
      <c r="R1358" s="342">
        <v>15.06</v>
      </c>
      <c r="S1358" s="342" t="s">
        <v>25</v>
      </c>
    </row>
    <row r="1359" spans="1:19" ht="14.25" customHeight="1" x14ac:dyDescent="0.3">
      <c r="A1359" s="335" t="s">
        <v>2719</v>
      </c>
      <c r="B1359" s="335" t="s">
        <v>26</v>
      </c>
      <c r="C1359" s="335" t="s">
        <v>27</v>
      </c>
      <c r="D1359" s="335" t="s">
        <v>40</v>
      </c>
      <c r="E1359" s="336" t="s">
        <v>41</v>
      </c>
      <c r="F1359" s="336" t="s">
        <v>35</v>
      </c>
      <c r="G1359" s="337">
        <v>5.0000000000000001E-3</v>
      </c>
      <c r="H1359" s="338">
        <v>0.05</v>
      </c>
      <c r="I1359" s="339">
        <v>5282.24</v>
      </c>
      <c r="J1359" s="340">
        <v>27.731760000000001</v>
      </c>
      <c r="K1359" s="335" t="s">
        <v>2724</v>
      </c>
      <c r="L1359" s="335">
        <v>6</v>
      </c>
      <c r="M1359" s="335" t="s">
        <v>2730</v>
      </c>
      <c r="N1359" s="339">
        <v>17.5</v>
      </c>
      <c r="O1359" s="341">
        <v>5.0000000000000001E-3</v>
      </c>
      <c r="P1359" s="341">
        <v>204</v>
      </c>
      <c r="Q1359" s="341">
        <v>1.02</v>
      </c>
      <c r="R1359" s="342">
        <v>15.06</v>
      </c>
      <c r="S1359" s="342" t="s">
        <v>25</v>
      </c>
    </row>
    <row r="1360" spans="1:19" ht="14.25" customHeight="1" x14ac:dyDescent="0.3">
      <c r="A1360" s="335" t="s">
        <v>2719</v>
      </c>
      <c r="B1360" s="335" t="s">
        <v>26</v>
      </c>
      <c r="C1360" s="335" t="s">
        <v>27</v>
      </c>
      <c r="D1360" s="335" t="s">
        <v>392</v>
      </c>
      <c r="E1360" s="336" t="s">
        <v>393</v>
      </c>
      <c r="F1360" s="336" t="s">
        <v>35</v>
      </c>
      <c r="G1360" s="337">
        <v>0.01</v>
      </c>
      <c r="H1360" s="338">
        <v>0.05</v>
      </c>
      <c r="I1360" s="339">
        <v>7427.6</v>
      </c>
      <c r="J1360" s="340">
        <v>77.989800000000002</v>
      </c>
      <c r="K1360" s="335" t="s">
        <v>2724</v>
      </c>
      <c r="L1360" s="335">
        <v>7</v>
      </c>
      <c r="M1360" s="335" t="s">
        <v>2731</v>
      </c>
      <c r="N1360" s="339">
        <v>17.5</v>
      </c>
      <c r="O1360" s="341">
        <v>0.01</v>
      </c>
      <c r="P1360" s="341">
        <v>204</v>
      </c>
      <c r="Q1360" s="341">
        <v>2.04</v>
      </c>
      <c r="R1360" s="342">
        <v>15.06</v>
      </c>
      <c r="S1360" s="342" t="s">
        <v>25</v>
      </c>
    </row>
    <row r="1361" spans="1:19" ht="14.25" customHeight="1" x14ac:dyDescent="0.3">
      <c r="A1361" s="335" t="s">
        <v>2719</v>
      </c>
      <c r="B1361" s="335" t="s">
        <v>26</v>
      </c>
      <c r="C1361" s="335" t="s">
        <v>27</v>
      </c>
      <c r="D1361" s="335" t="s">
        <v>395</v>
      </c>
      <c r="E1361" s="336" t="s">
        <v>396</v>
      </c>
      <c r="F1361" s="336" t="s">
        <v>397</v>
      </c>
      <c r="G1361" s="337">
        <v>1.2500000000000001E-2</v>
      </c>
      <c r="H1361" s="338">
        <v>0.1</v>
      </c>
      <c r="I1361" s="339">
        <v>120622.23</v>
      </c>
      <c r="J1361" s="340">
        <v>1658.5556624999999</v>
      </c>
      <c r="K1361" s="335" t="s">
        <v>2724</v>
      </c>
      <c r="L1361" s="335">
        <v>8</v>
      </c>
      <c r="M1361" s="335" t="s">
        <v>2732</v>
      </c>
      <c r="N1361" s="339">
        <v>17.5</v>
      </c>
      <c r="O1361" s="341">
        <v>1.2500000000000001E-2</v>
      </c>
      <c r="P1361" s="341">
        <v>204</v>
      </c>
      <c r="Q1361" s="341">
        <v>2.5499999999999998</v>
      </c>
      <c r="R1361" s="342">
        <v>15.06</v>
      </c>
      <c r="S1361" s="342" t="s">
        <v>25</v>
      </c>
    </row>
    <row r="1362" spans="1:19" ht="14.25" customHeight="1" x14ac:dyDescent="0.3">
      <c r="A1362" s="335" t="s">
        <v>2719</v>
      </c>
      <c r="B1362" s="335" t="s">
        <v>26</v>
      </c>
      <c r="C1362" s="335" t="s">
        <v>27</v>
      </c>
      <c r="D1362" s="335" t="s">
        <v>1029</v>
      </c>
      <c r="E1362" s="336" t="s">
        <v>1030</v>
      </c>
      <c r="F1362" s="336" t="s">
        <v>397</v>
      </c>
      <c r="G1362" s="337">
        <v>0.03</v>
      </c>
      <c r="H1362" s="338">
        <v>0.1</v>
      </c>
      <c r="I1362" s="339">
        <v>18735.77</v>
      </c>
      <c r="J1362" s="340">
        <v>618.28040999999996</v>
      </c>
      <c r="K1362" s="335" t="s">
        <v>2724</v>
      </c>
      <c r="L1362" s="335">
        <v>9</v>
      </c>
      <c r="M1362" s="335" t="s">
        <v>2733</v>
      </c>
      <c r="N1362" s="339">
        <v>17.5</v>
      </c>
      <c r="O1362" s="341">
        <v>0.03</v>
      </c>
      <c r="P1362" s="341">
        <v>204</v>
      </c>
      <c r="Q1362" s="341">
        <v>6.12</v>
      </c>
      <c r="R1362" s="342">
        <v>15.06</v>
      </c>
      <c r="S1362" s="342" t="s">
        <v>25</v>
      </c>
    </row>
    <row r="1363" spans="1:19" ht="14.25" customHeight="1" x14ac:dyDescent="0.3">
      <c r="A1363" s="335" t="s">
        <v>2719</v>
      </c>
      <c r="B1363" s="335" t="s">
        <v>26</v>
      </c>
      <c r="C1363" s="335" t="s">
        <v>27</v>
      </c>
      <c r="D1363" s="335" t="s">
        <v>1032</v>
      </c>
      <c r="E1363" s="336" t="s">
        <v>1033</v>
      </c>
      <c r="F1363" s="336" t="s">
        <v>30</v>
      </c>
      <c r="G1363" s="337">
        <v>2.5000000000000001E-3</v>
      </c>
      <c r="H1363" s="338">
        <v>0.05</v>
      </c>
      <c r="I1363" s="339">
        <v>9639</v>
      </c>
      <c r="J1363" s="340">
        <v>25.302375000000001</v>
      </c>
      <c r="K1363" s="335" t="s">
        <v>2724</v>
      </c>
      <c r="L1363" s="335">
        <v>10</v>
      </c>
      <c r="M1363" s="335" t="s">
        <v>2734</v>
      </c>
      <c r="N1363" s="339">
        <v>17.5</v>
      </c>
      <c r="O1363" s="341">
        <v>2.5000000000000001E-3</v>
      </c>
      <c r="P1363" s="341">
        <v>204</v>
      </c>
      <c r="Q1363" s="341">
        <v>0.51</v>
      </c>
      <c r="R1363" s="342">
        <v>15.06</v>
      </c>
      <c r="S1363" s="342" t="s">
        <v>25</v>
      </c>
    </row>
    <row r="1364" spans="1:19" ht="14.25" customHeight="1" x14ac:dyDescent="0.3">
      <c r="A1364" s="335" t="s">
        <v>2719</v>
      </c>
      <c r="B1364" s="335" t="s">
        <v>56</v>
      </c>
      <c r="C1364" s="335" t="s">
        <v>57</v>
      </c>
      <c r="D1364" s="343" t="s">
        <v>413</v>
      </c>
      <c r="E1364" s="336" t="s">
        <v>414</v>
      </c>
      <c r="F1364" s="336" t="s">
        <v>60</v>
      </c>
      <c r="G1364" s="337">
        <v>1</v>
      </c>
      <c r="H1364" s="338">
        <v>0</v>
      </c>
      <c r="I1364" s="339">
        <v>65493.071636572</v>
      </c>
      <c r="J1364" s="340">
        <v>65493.071636572</v>
      </c>
      <c r="K1364" s="335" t="s">
        <v>2735</v>
      </c>
      <c r="L1364" s="335">
        <v>1</v>
      </c>
      <c r="M1364" s="335" t="s">
        <v>2736</v>
      </c>
      <c r="N1364" s="339">
        <v>17.5</v>
      </c>
      <c r="O1364" s="341">
        <v>5.7142857142857099E-2</v>
      </c>
      <c r="P1364" s="341">
        <v>204</v>
      </c>
      <c r="Q1364" s="341">
        <v>11.657142857142899</v>
      </c>
      <c r="R1364" s="342">
        <v>15.06</v>
      </c>
      <c r="S1364" s="342" t="s">
        <v>25</v>
      </c>
    </row>
    <row r="1365" spans="1:19" ht="14.25" customHeight="1" x14ac:dyDescent="0.3">
      <c r="A1365" s="335" t="s">
        <v>2719</v>
      </c>
      <c r="B1365" s="335" t="s">
        <v>56</v>
      </c>
      <c r="C1365" s="335" t="s">
        <v>57</v>
      </c>
      <c r="D1365" s="343" t="s">
        <v>63</v>
      </c>
      <c r="E1365" s="336" t="s">
        <v>64</v>
      </c>
      <c r="F1365" s="336" t="s">
        <v>60</v>
      </c>
      <c r="G1365" s="337">
        <v>1</v>
      </c>
      <c r="H1365" s="338">
        <v>0</v>
      </c>
      <c r="I1365" s="339">
        <v>85927.097156571996</v>
      </c>
      <c r="J1365" s="340">
        <v>85927.097156571996</v>
      </c>
      <c r="K1365" s="335" t="s">
        <v>2735</v>
      </c>
      <c r="L1365" s="335">
        <v>2</v>
      </c>
      <c r="M1365" s="335" t="s">
        <v>2737</v>
      </c>
      <c r="N1365" s="339">
        <v>17.5</v>
      </c>
      <c r="O1365" s="341">
        <v>5.7142857142857099E-2</v>
      </c>
      <c r="P1365" s="341">
        <v>204</v>
      </c>
      <c r="Q1365" s="341">
        <v>11.657142857142899</v>
      </c>
      <c r="R1365" s="342">
        <v>15.06</v>
      </c>
      <c r="S1365" s="342" t="s">
        <v>25</v>
      </c>
    </row>
    <row r="1366" spans="1:19" ht="14.25" customHeight="1" x14ac:dyDescent="0.3">
      <c r="A1366" s="335" t="s">
        <v>2738</v>
      </c>
      <c r="B1366" s="335" t="s">
        <v>20</v>
      </c>
      <c r="C1366" s="335"/>
      <c r="D1366" s="335" t="s">
        <v>2739</v>
      </c>
      <c r="E1366" s="336" t="s">
        <v>2740</v>
      </c>
      <c r="F1366" s="336"/>
      <c r="G1366" s="337">
        <v>30</v>
      </c>
      <c r="H1366" s="338">
        <v>0</v>
      </c>
      <c r="I1366" s="339">
        <v>190.21390119046501</v>
      </c>
      <c r="J1366" s="340">
        <v>5706.4170357139501</v>
      </c>
      <c r="K1366" s="335" t="s">
        <v>2741</v>
      </c>
      <c r="L1366" s="335">
        <v>1</v>
      </c>
      <c r="M1366" s="335" t="s">
        <v>2742</v>
      </c>
      <c r="N1366" s="339">
        <v>30</v>
      </c>
      <c r="O1366" s="341">
        <v>30</v>
      </c>
      <c r="P1366" s="341">
        <v>262</v>
      </c>
      <c r="Q1366" s="341">
        <v>7860</v>
      </c>
      <c r="R1366" s="342">
        <v>15.07</v>
      </c>
      <c r="S1366" s="342" t="s">
        <v>25</v>
      </c>
    </row>
    <row r="1367" spans="1:19" ht="14.25" customHeight="1" x14ac:dyDescent="0.3">
      <c r="A1367" s="335" t="s">
        <v>2738</v>
      </c>
      <c r="B1367" s="335" t="s">
        <v>26</v>
      </c>
      <c r="C1367" s="335" t="s">
        <v>27</v>
      </c>
      <c r="D1367" s="335" t="s">
        <v>2743</v>
      </c>
      <c r="E1367" s="336" t="s">
        <v>2744</v>
      </c>
      <c r="F1367" s="336" t="s">
        <v>2113</v>
      </c>
      <c r="G1367" s="337">
        <v>3.8167938931297697E-2</v>
      </c>
      <c r="H1367" s="338">
        <v>0</v>
      </c>
      <c r="I1367" s="339">
        <v>200000</v>
      </c>
      <c r="J1367" s="340">
        <v>7633.5877862595398</v>
      </c>
      <c r="K1367" s="335" t="s">
        <v>2745</v>
      </c>
      <c r="L1367" s="335">
        <v>1</v>
      </c>
      <c r="M1367" s="335" t="s">
        <v>2746</v>
      </c>
      <c r="N1367" s="339">
        <v>30</v>
      </c>
      <c r="O1367" s="341">
        <v>3.8167938931297697E-2</v>
      </c>
      <c r="P1367" s="341">
        <v>262</v>
      </c>
      <c r="Q1367" s="341">
        <v>10</v>
      </c>
      <c r="R1367" s="342">
        <v>15.07</v>
      </c>
      <c r="S1367" s="342" t="s">
        <v>25</v>
      </c>
    </row>
    <row r="1368" spans="1:19" ht="14.25" customHeight="1" x14ac:dyDescent="0.3">
      <c r="A1368" s="335" t="s">
        <v>2738</v>
      </c>
      <c r="B1368" s="335" t="s">
        <v>56</v>
      </c>
      <c r="C1368" s="335" t="s">
        <v>57</v>
      </c>
      <c r="D1368" s="343" t="s">
        <v>413</v>
      </c>
      <c r="E1368" s="336" t="s">
        <v>414</v>
      </c>
      <c r="F1368" s="336" t="s">
        <v>60</v>
      </c>
      <c r="G1368" s="337">
        <v>1</v>
      </c>
      <c r="H1368" s="338">
        <v>0</v>
      </c>
      <c r="I1368" s="339">
        <v>65493.071636572</v>
      </c>
      <c r="J1368" s="340">
        <v>65493.071636572</v>
      </c>
      <c r="K1368" s="335" t="s">
        <v>2747</v>
      </c>
      <c r="L1368" s="335">
        <v>1</v>
      </c>
      <c r="M1368" s="335" t="s">
        <v>2748</v>
      </c>
      <c r="N1368" s="339">
        <v>30</v>
      </c>
      <c r="O1368" s="341">
        <v>3.3333333333333298E-2</v>
      </c>
      <c r="P1368" s="341">
        <v>262</v>
      </c>
      <c r="Q1368" s="341">
        <v>8.7333333333333307</v>
      </c>
      <c r="R1368" s="342">
        <v>15.07</v>
      </c>
      <c r="S1368" s="342" t="s">
        <v>25</v>
      </c>
    </row>
    <row r="1369" spans="1:19" ht="14.25" customHeight="1" x14ac:dyDescent="0.3">
      <c r="A1369" s="335" t="s">
        <v>2738</v>
      </c>
      <c r="B1369" s="335" t="s">
        <v>56</v>
      </c>
      <c r="C1369" s="335" t="s">
        <v>57</v>
      </c>
      <c r="D1369" s="343" t="s">
        <v>63</v>
      </c>
      <c r="E1369" s="336" t="s">
        <v>64</v>
      </c>
      <c r="F1369" s="336" t="s">
        <v>60</v>
      </c>
      <c r="G1369" s="337">
        <v>1</v>
      </c>
      <c r="H1369" s="338">
        <v>0</v>
      </c>
      <c r="I1369" s="339">
        <v>85927.097156571996</v>
      </c>
      <c r="J1369" s="340">
        <v>85927.097156571996</v>
      </c>
      <c r="K1369" s="335" t="s">
        <v>2747</v>
      </c>
      <c r="L1369" s="335">
        <v>2</v>
      </c>
      <c r="M1369" s="335" t="s">
        <v>2749</v>
      </c>
      <c r="N1369" s="339">
        <v>30</v>
      </c>
      <c r="O1369" s="341">
        <v>3.3333333333333298E-2</v>
      </c>
      <c r="P1369" s="341">
        <v>262</v>
      </c>
      <c r="Q1369" s="341">
        <v>8.7333333333333307</v>
      </c>
      <c r="R1369" s="342">
        <v>15.07</v>
      </c>
      <c r="S1369" s="342" t="s">
        <v>25</v>
      </c>
    </row>
    <row r="1370" spans="1:19" ht="14.25" customHeight="1" x14ac:dyDescent="0.3">
      <c r="A1370" s="335" t="s">
        <v>2750</v>
      </c>
      <c r="B1370" s="335" t="s">
        <v>20</v>
      </c>
      <c r="C1370" s="335"/>
      <c r="D1370" s="335" t="s">
        <v>2751</v>
      </c>
      <c r="E1370" s="336" t="s">
        <v>2752</v>
      </c>
      <c r="F1370" s="336"/>
      <c r="G1370" s="337">
        <v>1</v>
      </c>
      <c r="H1370" s="338">
        <v>0</v>
      </c>
      <c r="I1370" s="339">
        <v>294.22469027430799</v>
      </c>
      <c r="J1370" s="340">
        <v>294.22469027430799</v>
      </c>
      <c r="K1370" s="335" t="s">
        <v>2753</v>
      </c>
      <c r="L1370" s="335">
        <v>1</v>
      </c>
      <c r="M1370" s="335" t="s">
        <v>2754</v>
      </c>
      <c r="N1370" s="339">
        <v>1</v>
      </c>
      <c r="O1370" s="341">
        <v>1</v>
      </c>
      <c r="P1370" s="341">
        <v>756</v>
      </c>
      <c r="Q1370" s="341">
        <v>756</v>
      </c>
      <c r="R1370" s="342">
        <v>15.08</v>
      </c>
      <c r="S1370" s="342" t="s">
        <v>25</v>
      </c>
    </row>
    <row r="1371" spans="1:19" ht="14.25" customHeight="1" x14ac:dyDescent="0.3">
      <c r="A1371" s="335" t="s">
        <v>2750</v>
      </c>
      <c r="B1371" s="335" t="s">
        <v>26</v>
      </c>
      <c r="C1371" s="335" t="s">
        <v>27</v>
      </c>
      <c r="D1371" s="335" t="s">
        <v>2755</v>
      </c>
      <c r="E1371" s="336" t="s">
        <v>2756</v>
      </c>
      <c r="F1371" s="336" t="s">
        <v>35</v>
      </c>
      <c r="G1371" s="337">
        <v>1</v>
      </c>
      <c r="H1371" s="338">
        <v>0</v>
      </c>
      <c r="I1371" s="339">
        <v>10000</v>
      </c>
      <c r="J1371" s="340">
        <v>10000</v>
      </c>
      <c r="K1371" s="335" t="s">
        <v>2757</v>
      </c>
      <c r="L1371" s="335">
        <v>1</v>
      </c>
      <c r="M1371" s="335" t="s">
        <v>2758</v>
      </c>
      <c r="N1371" s="339">
        <v>1</v>
      </c>
      <c r="O1371" s="341">
        <v>1</v>
      </c>
      <c r="P1371" s="341">
        <v>756</v>
      </c>
      <c r="Q1371" s="341">
        <v>756</v>
      </c>
      <c r="R1371" s="342">
        <v>15.08</v>
      </c>
      <c r="S1371" s="342" t="s">
        <v>25</v>
      </c>
    </row>
    <row r="1372" spans="1:19" ht="14.25" customHeight="1" x14ac:dyDescent="0.3">
      <c r="A1372" s="335" t="s">
        <v>2750</v>
      </c>
      <c r="B1372" s="335" t="s">
        <v>56</v>
      </c>
      <c r="C1372" s="335" t="s">
        <v>27</v>
      </c>
      <c r="D1372" s="335" t="s">
        <v>2759</v>
      </c>
      <c r="E1372" s="336" t="s">
        <v>2760</v>
      </c>
      <c r="F1372" s="336" t="s">
        <v>60</v>
      </c>
      <c r="G1372" s="337">
        <v>1</v>
      </c>
      <c r="H1372" s="338">
        <v>0</v>
      </c>
      <c r="I1372" s="339">
        <v>9614.97935162053</v>
      </c>
      <c r="J1372" s="340">
        <v>9614.97935162053</v>
      </c>
      <c r="K1372" s="335" t="s">
        <v>2761</v>
      </c>
      <c r="L1372" s="335">
        <v>1</v>
      </c>
      <c r="M1372" s="335" t="s">
        <v>2762</v>
      </c>
      <c r="N1372" s="339">
        <v>1</v>
      </c>
      <c r="O1372" s="341">
        <v>1</v>
      </c>
      <c r="P1372" s="341">
        <v>756</v>
      </c>
      <c r="Q1372" s="341">
        <v>756</v>
      </c>
      <c r="R1372" s="342">
        <v>15.08</v>
      </c>
      <c r="S1372" s="342" t="s">
        <v>25</v>
      </c>
    </row>
    <row r="1373" spans="1:19" ht="14.25" customHeight="1" x14ac:dyDescent="0.3">
      <c r="A1373" s="335" t="s">
        <v>2763</v>
      </c>
      <c r="B1373" s="335" t="s">
        <v>20</v>
      </c>
      <c r="C1373" s="335"/>
      <c r="D1373" s="335" t="s">
        <v>2764</v>
      </c>
      <c r="E1373" s="336" t="s">
        <v>2765</v>
      </c>
      <c r="F1373" s="336"/>
      <c r="G1373" s="337">
        <v>1</v>
      </c>
      <c r="H1373" s="338">
        <v>0</v>
      </c>
      <c r="I1373" s="339">
        <v>351.91456638403099</v>
      </c>
      <c r="J1373" s="340">
        <v>351.91456638403099</v>
      </c>
      <c r="K1373" s="335" t="s">
        <v>2766</v>
      </c>
      <c r="L1373" s="335">
        <v>1</v>
      </c>
      <c r="M1373" s="335" t="s">
        <v>2767</v>
      </c>
      <c r="N1373" s="339">
        <v>1</v>
      </c>
      <c r="O1373" s="341">
        <v>1</v>
      </c>
      <c r="P1373" s="341">
        <v>56</v>
      </c>
      <c r="Q1373" s="341">
        <v>56</v>
      </c>
      <c r="R1373" s="342">
        <v>15.09</v>
      </c>
      <c r="S1373" s="342" t="s">
        <v>25</v>
      </c>
    </row>
    <row r="1374" spans="1:19" ht="14.25" customHeight="1" x14ac:dyDescent="0.3">
      <c r="A1374" s="335" t="s">
        <v>2763</v>
      </c>
      <c r="B1374" s="335" t="s">
        <v>26</v>
      </c>
      <c r="C1374" s="335" t="s">
        <v>27</v>
      </c>
      <c r="D1374" s="335" t="s">
        <v>2755</v>
      </c>
      <c r="E1374" s="336" t="s">
        <v>2756</v>
      </c>
      <c r="F1374" s="336" t="s">
        <v>35</v>
      </c>
      <c r="G1374" s="337">
        <v>1</v>
      </c>
      <c r="H1374" s="338">
        <v>0</v>
      </c>
      <c r="I1374" s="339">
        <v>10000</v>
      </c>
      <c r="J1374" s="340">
        <v>10000</v>
      </c>
      <c r="K1374" s="335" t="s">
        <v>2768</v>
      </c>
      <c r="L1374" s="335">
        <v>1</v>
      </c>
      <c r="M1374" s="335" t="s">
        <v>2769</v>
      </c>
      <c r="N1374" s="339">
        <v>1</v>
      </c>
      <c r="O1374" s="341">
        <v>1</v>
      </c>
      <c r="P1374" s="341">
        <v>56</v>
      </c>
      <c r="Q1374" s="341">
        <v>56</v>
      </c>
      <c r="R1374" s="342">
        <v>15.09</v>
      </c>
      <c r="S1374" s="342" t="s">
        <v>25</v>
      </c>
    </row>
    <row r="1375" spans="1:19" ht="14.25" customHeight="1" x14ac:dyDescent="0.3">
      <c r="A1375" s="335" t="s">
        <v>2763</v>
      </c>
      <c r="B1375" s="335" t="s">
        <v>56</v>
      </c>
      <c r="C1375" s="335" t="s">
        <v>27</v>
      </c>
      <c r="D1375" s="335" t="s">
        <v>2770</v>
      </c>
      <c r="E1375" s="336" t="s">
        <v>2771</v>
      </c>
      <c r="F1375" s="336" t="s">
        <v>60</v>
      </c>
      <c r="G1375" s="337">
        <v>1</v>
      </c>
      <c r="H1375" s="338">
        <v>0</v>
      </c>
      <c r="I1375" s="339">
        <v>13460.971092268701</v>
      </c>
      <c r="J1375" s="340">
        <v>13460.971092268701</v>
      </c>
      <c r="K1375" s="335" t="s">
        <v>2772</v>
      </c>
      <c r="L1375" s="335">
        <v>1</v>
      </c>
      <c r="M1375" s="335" t="s">
        <v>2773</v>
      </c>
      <c r="N1375" s="339">
        <v>1</v>
      </c>
      <c r="O1375" s="341">
        <v>1</v>
      </c>
      <c r="P1375" s="341">
        <v>56</v>
      </c>
      <c r="Q1375" s="341">
        <v>56</v>
      </c>
      <c r="R1375" s="342">
        <v>15.09</v>
      </c>
      <c r="S1375" s="342" t="s">
        <v>25</v>
      </c>
    </row>
    <row r="1376" spans="1:19" ht="14.25" customHeight="1" x14ac:dyDescent="0.3">
      <c r="A1376" s="335" t="s">
        <v>2774</v>
      </c>
      <c r="B1376" s="335" t="s">
        <v>20</v>
      </c>
      <c r="C1376" s="335"/>
      <c r="D1376" s="335" t="s">
        <v>2775</v>
      </c>
      <c r="E1376" s="336" t="s">
        <v>2776</v>
      </c>
      <c r="F1376" s="336"/>
      <c r="G1376" s="337">
        <v>1</v>
      </c>
      <c r="H1376" s="338">
        <v>0</v>
      </c>
      <c r="I1376" s="339">
        <v>9813.9075956914803</v>
      </c>
      <c r="J1376" s="340">
        <v>9813.9075956914803</v>
      </c>
      <c r="K1376" s="335" t="s">
        <v>2777</v>
      </c>
      <c r="L1376" s="335">
        <v>1</v>
      </c>
      <c r="M1376" s="335" t="s">
        <v>2778</v>
      </c>
      <c r="N1376" s="339">
        <v>1</v>
      </c>
      <c r="O1376" s="341">
        <v>1</v>
      </c>
      <c r="P1376" s="341">
        <v>1</v>
      </c>
      <c r="Q1376" s="341">
        <v>1</v>
      </c>
      <c r="R1376" s="342">
        <v>15.1</v>
      </c>
      <c r="S1376" s="342" t="s">
        <v>2779</v>
      </c>
    </row>
    <row r="1377" spans="1:19" ht="14.25" customHeight="1" x14ac:dyDescent="0.3">
      <c r="A1377" s="335" t="s">
        <v>2774</v>
      </c>
      <c r="B1377" s="335" t="s">
        <v>26</v>
      </c>
      <c r="C1377" s="335" t="s">
        <v>27</v>
      </c>
      <c r="D1377" s="335" t="s">
        <v>96</v>
      </c>
      <c r="E1377" s="336" t="s">
        <v>97</v>
      </c>
      <c r="F1377" s="336" t="s">
        <v>98</v>
      </c>
      <c r="G1377" s="337">
        <v>150000</v>
      </c>
      <c r="H1377" s="338">
        <v>0</v>
      </c>
      <c r="I1377" s="339">
        <v>1</v>
      </c>
      <c r="J1377" s="340">
        <v>150000</v>
      </c>
      <c r="K1377" s="335" t="s">
        <v>2780</v>
      </c>
      <c r="L1377" s="335">
        <v>1</v>
      </c>
      <c r="M1377" s="335" t="s">
        <v>2781</v>
      </c>
      <c r="N1377" s="339">
        <v>1</v>
      </c>
      <c r="O1377" s="341">
        <v>150000</v>
      </c>
      <c r="P1377" s="341">
        <v>1</v>
      </c>
      <c r="Q1377" s="341">
        <v>150000</v>
      </c>
      <c r="R1377" s="342">
        <v>15.1</v>
      </c>
      <c r="S1377" s="342" t="s">
        <v>2779</v>
      </c>
    </row>
    <row r="1378" spans="1:19" ht="14.25" customHeight="1" x14ac:dyDescent="0.3">
      <c r="A1378" s="335" t="s">
        <v>2774</v>
      </c>
      <c r="B1378" s="335" t="s">
        <v>26</v>
      </c>
      <c r="C1378" s="335" t="s">
        <v>27</v>
      </c>
      <c r="D1378" s="335" t="s">
        <v>2782</v>
      </c>
      <c r="E1378" s="336" t="s">
        <v>2783</v>
      </c>
      <c r="F1378" s="336" t="s">
        <v>2113</v>
      </c>
      <c r="G1378" s="337">
        <v>1</v>
      </c>
      <c r="H1378" s="338">
        <v>0</v>
      </c>
      <c r="I1378" s="339">
        <v>50000</v>
      </c>
      <c r="J1378" s="340">
        <v>50000</v>
      </c>
      <c r="K1378" s="335" t="s">
        <v>2780</v>
      </c>
      <c r="L1378" s="335">
        <v>2</v>
      </c>
      <c r="M1378" s="335" t="s">
        <v>2784</v>
      </c>
      <c r="N1378" s="339">
        <v>1</v>
      </c>
      <c r="O1378" s="341">
        <v>1</v>
      </c>
      <c r="P1378" s="341">
        <v>1</v>
      </c>
      <c r="Q1378" s="341">
        <v>1</v>
      </c>
      <c r="R1378" s="342">
        <v>15.1</v>
      </c>
      <c r="S1378" s="342" t="s">
        <v>2779</v>
      </c>
    </row>
    <row r="1379" spans="1:19" ht="14.25" customHeight="1" x14ac:dyDescent="0.3">
      <c r="A1379" s="335" t="s">
        <v>2774</v>
      </c>
      <c r="B1379" s="335" t="s">
        <v>56</v>
      </c>
      <c r="C1379" s="335" t="s">
        <v>57</v>
      </c>
      <c r="D1379" s="343" t="s">
        <v>63</v>
      </c>
      <c r="E1379" s="336" t="s">
        <v>64</v>
      </c>
      <c r="F1379" s="336" t="s">
        <v>60</v>
      </c>
      <c r="G1379" s="337">
        <v>3</v>
      </c>
      <c r="H1379" s="338">
        <v>0</v>
      </c>
      <c r="I1379" s="339">
        <v>85927.097156571996</v>
      </c>
      <c r="J1379" s="340">
        <v>257781.291469716</v>
      </c>
      <c r="K1379" s="335" t="s">
        <v>2785</v>
      </c>
      <c r="L1379" s="335">
        <v>1</v>
      </c>
      <c r="M1379" s="335" t="s">
        <v>2786</v>
      </c>
      <c r="N1379" s="339">
        <v>1</v>
      </c>
      <c r="O1379" s="341">
        <v>3</v>
      </c>
      <c r="P1379" s="341">
        <v>1</v>
      </c>
      <c r="Q1379" s="341">
        <v>3</v>
      </c>
      <c r="R1379" s="342">
        <v>15.1</v>
      </c>
      <c r="S1379" s="342" t="s">
        <v>2779</v>
      </c>
    </row>
    <row r="1380" spans="1:19" ht="14.25" customHeight="1" x14ac:dyDescent="0.3">
      <c r="A1380" s="335" t="s">
        <v>2774</v>
      </c>
      <c r="B1380" s="335" t="s">
        <v>56</v>
      </c>
      <c r="C1380" s="335" t="s">
        <v>57</v>
      </c>
      <c r="D1380" s="343" t="s">
        <v>413</v>
      </c>
      <c r="E1380" s="336" t="s">
        <v>414</v>
      </c>
      <c r="F1380" s="336" t="s">
        <v>60</v>
      </c>
      <c r="G1380" s="337">
        <v>3</v>
      </c>
      <c r="H1380" s="338">
        <v>0</v>
      </c>
      <c r="I1380" s="339">
        <v>65493.071636572</v>
      </c>
      <c r="J1380" s="340">
        <v>196479.21490971601</v>
      </c>
      <c r="K1380" s="335" t="s">
        <v>2785</v>
      </c>
      <c r="L1380" s="335">
        <v>2</v>
      </c>
      <c r="M1380" s="335" t="s">
        <v>2787</v>
      </c>
      <c r="N1380" s="339">
        <v>1</v>
      </c>
      <c r="O1380" s="341">
        <v>3</v>
      </c>
      <c r="P1380" s="341">
        <v>1</v>
      </c>
      <c r="Q1380" s="341">
        <v>3</v>
      </c>
      <c r="R1380" s="342">
        <v>15.1</v>
      </c>
      <c r="S1380" s="342" t="s">
        <v>2779</v>
      </c>
    </row>
    <row r="1381" spans="1:19" ht="14.25" customHeight="1" x14ac:dyDescent="0.3">
      <c r="A1381" s="335" t="s">
        <v>2788</v>
      </c>
      <c r="B1381" s="335" t="s">
        <v>26</v>
      </c>
      <c r="C1381" s="335" t="s">
        <v>27</v>
      </c>
      <c r="D1381" s="335" t="s">
        <v>28</v>
      </c>
      <c r="E1381" s="336" t="s">
        <v>29</v>
      </c>
      <c r="F1381" s="336" t="s">
        <v>30</v>
      </c>
      <c r="G1381" s="337">
        <v>2.27188356164384E-2</v>
      </c>
      <c r="H1381" s="338">
        <v>0.1</v>
      </c>
      <c r="I1381" s="339">
        <v>26907.33</v>
      </c>
      <c r="J1381" s="340">
        <v>672.43352786198795</v>
      </c>
      <c r="K1381" s="335" t="s">
        <v>2789</v>
      </c>
      <c r="L1381" s="335">
        <v>1</v>
      </c>
      <c r="M1381" s="335" t="s">
        <v>2790</v>
      </c>
      <c r="N1381" s="339">
        <v>1</v>
      </c>
      <c r="O1381" s="341">
        <v>2.27188356164384E-2</v>
      </c>
      <c r="P1381" s="341">
        <v>73</v>
      </c>
      <c r="Q1381" s="341">
        <v>1.6584749999999999</v>
      </c>
      <c r="R1381" s="342">
        <v>15.11</v>
      </c>
      <c r="S1381" s="342" t="s">
        <v>25</v>
      </c>
    </row>
    <row r="1382" spans="1:19" ht="14.25" customHeight="1" x14ac:dyDescent="0.3">
      <c r="A1382" s="335" t="s">
        <v>2788</v>
      </c>
      <c r="B1382" s="335" t="s">
        <v>26</v>
      </c>
      <c r="C1382" s="335" t="s">
        <v>27</v>
      </c>
      <c r="D1382" s="335" t="s">
        <v>383</v>
      </c>
      <c r="E1382" s="336" t="s">
        <v>384</v>
      </c>
      <c r="F1382" s="336" t="s">
        <v>35</v>
      </c>
      <c r="G1382" s="337">
        <v>9.0875342465753406E-2</v>
      </c>
      <c r="H1382" s="338">
        <v>0.05</v>
      </c>
      <c r="I1382" s="339">
        <v>5661.4</v>
      </c>
      <c r="J1382" s="340">
        <v>540.20574702739702</v>
      </c>
      <c r="K1382" s="335" t="s">
        <v>2789</v>
      </c>
      <c r="L1382" s="335">
        <v>2</v>
      </c>
      <c r="M1382" s="335" t="s">
        <v>2791</v>
      </c>
      <c r="N1382" s="339">
        <v>1</v>
      </c>
      <c r="O1382" s="341">
        <v>9.0875342465753406E-2</v>
      </c>
      <c r="P1382" s="341">
        <v>73</v>
      </c>
      <c r="Q1382" s="341">
        <v>6.6338999999999997</v>
      </c>
      <c r="R1382" s="342">
        <v>15.11</v>
      </c>
      <c r="S1382" s="342" t="s">
        <v>25</v>
      </c>
    </row>
    <row r="1383" spans="1:19" ht="14.25" customHeight="1" x14ac:dyDescent="0.3">
      <c r="A1383" s="335" t="s">
        <v>2788</v>
      </c>
      <c r="B1383" s="335" t="s">
        <v>26</v>
      </c>
      <c r="C1383" s="335" t="s">
        <v>27</v>
      </c>
      <c r="D1383" s="335" t="s">
        <v>386</v>
      </c>
      <c r="E1383" s="336" t="s">
        <v>387</v>
      </c>
      <c r="F1383" s="336" t="s">
        <v>35</v>
      </c>
      <c r="G1383" s="337">
        <v>0.22718835616438399</v>
      </c>
      <c r="H1383" s="338">
        <v>0.1</v>
      </c>
      <c r="I1383" s="339">
        <v>3293.01</v>
      </c>
      <c r="J1383" s="340">
        <v>822.94688160616602</v>
      </c>
      <c r="K1383" s="335" t="s">
        <v>2789</v>
      </c>
      <c r="L1383" s="335">
        <v>3</v>
      </c>
      <c r="M1383" s="335" t="s">
        <v>2792</v>
      </c>
      <c r="N1383" s="339">
        <v>1</v>
      </c>
      <c r="O1383" s="341">
        <v>0.22718835616438399</v>
      </c>
      <c r="P1383" s="341">
        <v>73</v>
      </c>
      <c r="Q1383" s="341">
        <v>16.58475</v>
      </c>
      <c r="R1383" s="342">
        <v>15.11</v>
      </c>
      <c r="S1383" s="342" t="s">
        <v>25</v>
      </c>
    </row>
    <row r="1384" spans="1:19" ht="14.25" customHeight="1" x14ac:dyDescent="0.3">
      <c r="A1384" s="335" t="s">
        <v>2788</v>
      </c>
      <c r="B1384" s="335" t="s">
        <v>26</v>
      </c>
      <c r="C1384" s="335" t="s">
        <v>27</v>
      </c>
      <c r="D1384" s="335" t="s">
        <v>33</v>
      </c>
      <c r="E1384" s="336" t="s">
        <v>34</v>
      </c>
      <c r="F1384" s="336" t="s">
        <v>35</v>
      </c>
      <c r="G1384" s="337">
        <v>4.5437671232876703E-2</v>
      </c>
      <c r="H1384" s="338">
        <v>0.05</v>
      </c>
      <c r="I1384" s="339">
        <v>735.06</v>
      </c>
      <c r="J1384" s="340">
        <v>35.069385347260301</v>
      </c>
      <c r="K1384" s="335" t="s">
        <v>2789</v>
      </c>
      <c r="L1384" s="335">
        <v>4</v>
      </c>
      <c r="M1384" s="335" t="s">
        <v>2793</v>
      </c>
      <c r="N1384" s="339">
        <v>1</v>
      </c>
      <c r="O1384" s="341">
        <v>4.5437671232876703E-2</v>
      </c>
      <c r="P1384" s="341">
        <v>73</v>
      </c>
      <c r="Q1384" s="341">
        <v>3.3169499999999998</v>
      </c>
      <c r="R1384" s="342">
        <v>15.11</v>
      </c>
      <c r="S1384" s="342" t="s">
        <v>25</v>
      </c>
    </row>
    <row r="1385" spans="1:19" ht="14.25" customHeight="1" x14ac:dyDescent="0.3">
      <c r="A1385" s="335" t="s">
        <v>2788</v>
      </c>
      <c r="B1385" s="335" t="s">
        <v>26</v>
      </c>
      <c r="C1385" s="335" t="s">
        <v>27</v>
      </c>
      <c r="D1385" s="335" t="s">
        <v>37</v>
      </c>
      <c r="E1385" s="336" t="s">
        <v>38</v>
      </c>
      <c r="F1385" s="336" t="s">
        <v>35</v>
      </c>
      <c r="G1385" s="337">
        <v>4.5437671232876703E-2</v>
      </c>
      <c r="H1385" s="338">
        <v>0.05</v>
      </c>
      <c r="I1385" s="339">
        <v>6678.36</v>
      </c>
      <c r="J1385" s="340">
        <v>318.62158235753401</v>
      </c>
      <c r="K1385" s="335" t="s">
        <v>2789</v>
      </c>
      <c r="L1385" s="335">
        <v>5</v>
      </c>
      <c r="M1385" s="335" t="s">
        <v>2794</v>
      </c>
      <c r="N1385" s="339">
        <v>1</v>
      </c>
      <c r="O1385" s="341">
        <v>4.5437671232876703E-2</v>
      </c>
      <c r="P1385" s="341">
        <v>73</v>
      </c>
      <c r="Q1385" s="341">
        <v>3.3169499999999998</v>
      </c>
      <c r="R1385" s="342">
        <v>15.11</v>
      </c>
      <c r="S1385" s="342" t="s">
        <v>25</v>
      </c>
    </row>
    <row r="1386" spans="1:19" ht="14.25" customHeight="1" x14ac:dyDescent="0.3">
      <c r="A1386" s="335" t="s">
        <v>2788</v>
      </c>
      <c r="B1386" s="335" t="s">
        <v>26</v>
      </c>
      <c r="C1386" s="335" t="s">
        <v>27</v>
      </c>
      <c r="D1386" s="335" t="s">
        <v>40</v>
      </c>
      <c r="E1386" s="336" t="s">
        <v>41</v>
      </c>
      <c r="F1386" s="336" t="s">
        <v>35</v>
      </c>
      <c r="G1386" s="337">
        <v>4.5437671232876703E-2</v>
      </c>
      <c r="H1386" s="338">
        <v>0.05</v>
      </c>
      <c r="I1386" s="339">
        <v>5282.24</v>
      </c>
      <c r="J1386" s="340">
        <v>252.013318717808</v>
      </c>
      <c r="K1386" s="335" t="s">
        <v>2789</v>
      </c>
      <c r="L1386" s="335">
        <v>6</v>
      </c>
      <c r="M1386" s="335" t="s">
        <v>2795</v>
      </c>
      <c r="N1386" s="339">
        <v>1</v>
      </c>
      <c r="O1386" s="341">
        <v>4.5437671232876703E-2</v>
      </c>
      <c r="P1386" s="341">
        <v>73</v>
      </c>
      <c r="Q1386" s="341">
        <v>3.3169499999999998</v>
      </c>
      <c r="R1386" s="342">
        <v>15.11</v>
      </c>
      <c r="S1386" s="342" t="s">
        <v>25</v>
      </c>
    </row>
    <row r="1387" spans="1:19" ht="14.25" customHeight="1" x14ac:dyDescent="0.3">
      <c r="A1387" s="335" t="s">
        <v>2788</v>
      </c>
      <c r="B1387" s="335" t="s">
        <v>26</v>
      </c>
      <c r="C1387" s="335" t="s">
        <v>27</v>
      </c>
      <c r="D1387" s="335" t="s">
        <v>392</v>
      </c>
      <c r="E1387" s="336" t="s">
        <v>393</v>
      </c>
      <c r="F1387" s="336" t="s">
        <v>35</v>
      </c>
      <c r="G1387" s="337">
        <v>4.5437671232876703E-2</v>
      </c>
      <c r="H1387" s="338">
        <v>0.05</v>
      </c>
      <c r="I1387" s="339">
        <v>7427.6</v>
      </c>
      <c r="J1387" s="340">
        <v>354.36748919178098</v>
      </c>
      <c r="K1387" s="335" t="s">
        <v>2789</v>
      </c>
      <c r="L1387" s="335">
        <v>7</v>
      </c>
      <c r="M1387" s="335" t="s">
        <v>2796</v>
      </c>
      <c r="N1387" s="339">
        <v>1</v>
      </c>
      <c r="O1387" s="341">
        <v>4.5437671232876703E-2</v>
      </c>
      <c r="P1387" s="341">
        <v>73</v>
      </c>
      <c r="Q1387" s="341">
        <v>3.3169499999999998</v>
      </c>
      <c r="R1387" s="342">
        <v>15.11</v>
      </c>
      <c r="S1387" s="342" t="s">
        <v>25</v>
      </c>
    </row>
    <row r="1388" spans="1:19" ht="14.25" customHeight="1" x14ac:dyDescent="0.3">
      <c r="A1388" s="335" t="s">
        <v>2788</v>
      </c>
      <c r="B1388" s="335" t="s">
        <v>26</v>
      </c>
      <c r="C1388" s="335" t="s">
        <v>27</v>
      </c>
      <c r="D1388" s="335" t="s">
        <v>1101</v>
      </c>
      <c r="E1388" s="336" t="s">
        <v>1102</v>
      </c>
      <c r="F1388" s="336" t="s">
        <v>30</v>
      </c>
      <c r="G1388" s="337">
        <v>0.28398544520548002</v>
      </c>
      <c r="H1388" s="338">
        <v>0.1</v>
      </c>
      <c r="I1388" s="339">
        <v>28011.57</v>
      </c>
      <c r="J1388" s="340">
        <v>8750.36599508992</v>
      </c>
      <c r="K1388" s="335" t="s">
        <v>2789</v>
      </c>
      <c r="L1388" s="335">
        <v>8</v>
      </c>
      <c r="M1388" s="335" t="s">
        <v>2797</v>
      </c>
      <c r="N1388" s="339">
        <v>1</v>
      </c>
      <c r="O1388" s="341">
        <v>0.28398544520548002</v>
      </c>
      <c r="P1388" s="341">
        <v>73</v>
      </c>
      <c r="Q1388" s="341">
        <v>20.7309375</v>
      </c>
      <c r="R1388" s="342">
        <v>15.11</v>
      </c>
      <c r="S1388" s="342" t="s">
        <v>25</v>
      </c>
    </row>
    <row r="1389" spans="1:19" ht="14.25" customHeight="1" x14ac:dyDescent="0.3">
      <c r="A1389" s="335" t="s">
        <v>2788</v>
      </c>
      <c r="B1389" s="335" t="s">
        <v>20</v>
      </c>
      <c r="C1389" s="335"/>
      <c r="D1389" s="335" t="s">
        <v>2798</v>
      </c>
      <c r="E1389" s="336" t="s">
        <v>2799</v>
      </c>
      <c r="F1389" s="336"/>
      <c r="G1389" s="337">
        <v>1</v>
      </c>
      <c r="H1389" s="338">
        <v>0</v>
      </c>
      <c r="I1389" s="339">
        <v>924.64231650722797</v>
      </c>
      <c r="J1389" s="340">
        <v>924.64231650722797</v>
      </c>
      <c r="K1389" s="335" t="s">
        <v>2800</v>
      </c>
      <c r="L1389" s="335">
        <v>1</v>
      </c>
      <c r="M1389" s="335" t="s">
        <v>2801</v>
      </c>
      <c r="N1389" s="339">
        <v>1</v>
      </c>
      <c r="O1389" s="341">
        <v>1</v>
      </c>
      <c r="P1389" s="341">
        <v>73</v>
      </c>
      <c r="Q1389" s="341">
        <v>73</v>
      </c>
      <c r="R1389" s="342">
        <v>15.11</v>
      </c>
      <c r="S1389" s="342" t="s">
        <v>25</v>
      </c>
    </row>
    <row r="1390" spans="1:19" ht="14.25" customHeight="1" x14ac:dyDescent="0.3">
      <c r="A1390" s="335" t="s">
        <v>2788</v>
      </c>
      <c r="B1390" s="335" t="s">
        <v>56</v>
      </c>
      <c r="C1390" s="335" t="s">
        <v>27</v>
      </c>
      <c r="D1390" s="335" t="s">
        <v>2802</v>
      </c>
      <c r="E1390" s="336" t="s">
        <v>2306</v>
      </c>
      <c r="F1390" s="336" t="s">
        <v>60</v>
      </c>
      <c r="G1390" s="337">
        <v>4.5437671232876697</v>
      </c>
      <c r="H1390" s="338">
        <v>0</v>
      </c>
      <c r="I1390" s="339">
        <v>10981.3720244489</v>
      </c>
      <c r="J1390" s="340">
        <v>49896.797173281899</v>
      </c>
      <c r="K1390" s="335" t="s">
        <v>2803</v>
      </c>
      <c r="L1390" s="335">
        <v>1</v>
      </c>
      <c r="M1390" s="335" t="s">
        <v>2804</v>
      </c>
      <c r="N1390" s="339">
        <v>1</v>
      </c>
      <c r="O1390" s="341">
        <v>4.5437671232876697</v>
      </c>
      <c r="P1390" s="341">
        <v>73</v>
      </c>
      <c r="Q1390" s="341">
        <v>331.69499999999999</v>
      </c>
      <c r="R1390" s="342">
        <v>15.11</v>
      </c>
      <c r="S1390" s="342" t="s">
        <v>25</v>
      </c>
    </row>
    <row r="1391" spans="1:19" ht="14.25" customHeight="1" x14ac:dyDescent="0.3">
      <c r="A1391" s="335" t="s">
        <v>2805</v>
      </c>
      <c r="B1391" s="335" t="s">
        <v>20</v>
      </c>
      <c r="C1391" s="335"/>
      <c r="D1391" s="335" t="s">
        <v>2806</v>
      </c>
      <c r="E1391" s="336" t="s">
        <v>2807</v>
      </c>
      <c r="F1391" s="336"/>
      <c r="G1391" s="337">
        <v>1</v>
      </c>
      <c r="H1391" s="338">
        <v>0</v>
      </c>
      <c r="I1391" s="339">
        <v>47531.971299682802</v>
      </c>
      <c r="J1391" s="340">
        <v>47531.971299682802</v>
      </c>
      <c r="K1391" s="335" t="s">
        <v>2808</v>
      </c>
      <c r="L1391" s="335">
        <v>1</v>
      </c>
      <c r="M1391" s="335" t="s">
        <v>2809</v>
      </c>
      <c r="N1391" s="339">
        <v>1</v>
      </c>
      <c r="O1391" s="341">
        <v>1</v>
      </c>
      <c r="P1391" s="341">
        <v>1</v>
      </c>
      <c r="Q1391" s="341">
        <v>1</v>
      </c>
      <c r="R1391" s="342">
        <v>15.12</v>
      </c>
      <c r="S1391" s="342" t="s">
        <v>25</v>
      </c>
    </row>
    <row r="1392" spans="1:19" ht="14.25" customHeight="1" x14ac:dyDescent="0.3">
      <c r="A1392" s="335" t="s">
        <v>2805</v>
      </c>
      <c r="B1392" s="335" t="s">
        <v>26</v>
      </c>
      <c r="C1392" s="335" t="s">
        <v>27</v>
      </c>
      <c r="D1392" s="335" t="s">
        <v>28</v>
      </c>
      <c r="E1392" s="336" t="s">
        <v>29</v>
      </c>
      <c r="F1392" s="336" t="s">
        <v>30</v>
      </c>
      <c r="G1392" s="337">
        <v>0.758544</v>
      </c>
      <c r="H1392" s="338">
        <v>0.1</v>
      </c>
      <c r="I1392" s="339">
        <v>26907.33</v>
      </c>
      <c r="J1392" s="340">
        <v>22451.433100271999</v>
      </c>
      <c r="K1392" s="335" t="s">
        <v>2810</v>
      </c>
      <c r="L1392" s="335">
        <v>1</v>
      </c>
      <c r="M1392" s="335" t="s">
        <v>2811</v>
      </c>
      <c r="N1392" s="339">
        <v>1</v>
      </c>
      <c r="O1392" s="341">
        <v>0.758544</v>
      </c>
      <c r="P1392" s="341">
        <v>1</v>
      </c>
      <c r="Q1392" s="341">
        <v>0.758544</v>
      </c>
      <c r="R1392" s="342">
        <v>15.12</v>
      </c>
      <c r="S1392" s="342" t="s">
        <v>25</v>
      </c>
    </row>
    <row r="1393" spans="1:19" ht="14.25" customHeight="1" x14ac:dyDescent="0.3">
      <c r="A1393" s="335" t="s">
        <v>2805</v>
      </c>
      <c r="B1393" s="335" t="s">
        <v>26</v>
      </c>
      <c r="C1393" s="335" t="s">
        <v>27</v>
      </c>
      <c r="D1393" s="335" t="s">
        <v>383</v>
      </c>
      <c r="E1393" s="336" t="s">
        <v>384</v>
      </c>
      <c r="F1393" s="336" t="s">
        <v>35</v>
      </c>
      <c r="G1393" s="337">
        <v>3.034176</v>
      </c>
      <c r="H1393" s="338">
        <v>0.05</v>
      </c>
      <c r="I1393" s="339">
        <v>5661.4</v>
      </c>
      <c r="J1393" s="340">
        <v>18036.56820672</v>
      </c>
      <c r="K1393" s="335" t="s">
        <v>2810</v>
      </c>
      <c r="L1393" s="335">
        <v>2</v>
      </c>
      <c r="M1393" s="335" t="s">
        <v>2812</v>
      </c>
      <c r="N1393" s="339">
        <v>1</v>
      </c>
      <c r="O1393" s="341">
        <v>3.034176</v>
      </c>
      <c r="P1393" s="341">
        <v>1</v>
      </c>
      <c r="Q1393" s="341">
        <v>3.034176</v>
      </c>
      <c r="R1393" s="342">
        <v>15.12</v>
      </c>
      <c r="S1393" s="342" t="s">
        <v>25</v>
      </c>
    </row>
    <row r="1394" spans="1:19" ht="14.25" customHeight="1" x14ac:dyDescent="0.3">
      <c r="A1394" s="335" t="s">
        <v>2805</v>
      </c>
      <c r="B1394" s="335" t="s">
        <v>26</v>
      </c>
      <c r="C1394" s="335" t="s">
        <v>27</v>
      </c>
      <c r="D1394" s="335" t="s">
        <v>386</v>
      </c>
      <c r="E1394" s="336" t="s">
        <v>387</v>
      </c>
      <c r="F1394" s="336" t="s">
        <v>35</v>
      </c>
      <c r="G1394" s="337">
        <v>7.5854400000000002</v>
      </c>
      <c r="H1394" s="338">
        <v>0.1</v>
      </c>
      <c r="I1394" s="339">
        <v>3293.01</v>
      </c>
      <c r="J1394" s="340">
        <v>27476.822751840002</v>
      </c>
      <c r="K1394" s="335" t="s">
        <v>2810</v>
      </c>
      <c r="L1394" s="335">
        <v>3</v>
      </c>
      <c r="M1394" s="335" t="s">
        <v>2813</v>
      </c>
      <c r="N1394" s="339">
        <v>1</v>
      </c>
      <c r="O1394" s="341">
        <v>7.5854400000000002</v>
      </c>
      <c r="P1394" s="341">
        <v>1</v>
      </c>
      <c r="Q1394" s="341">
        <v>7.5854400000000002</v>
      </c>
      <c r="R1394" s="342">
        <v>15.12</v>
      </c>
      <c r="S1394" s="342" t="s">
        <v>25</v>
      </c>
    </row>
    <row r="1395" spans="1:19" ht="14.25" customHeight="1" x14ac:dyDescent="0.3">
      <c r="A1395" s="335" t="s">
        <v>2805</v>
      </c>
      <c r="B1395" s="335" t="s">
        <v>26</v>
      </c>
      <c r="C1395" s="335" t="s">
        <v>27</v>
      </c>
      <c r="D1395" s="335" t="s">
        <v>33</v>
      </c>
      <c r="E1395" s="336" t="s">
        <v>34</v>
      </c>
      <c r="F1395" s="336" t="s">
        <v>35</v>
      </c>
      <c r="G1395" s="337">
        <v>1.517088</v>
      </c>
      <c r="H1395" s="338">
        <v>0.05</v>
      </c>
      <c r="I1395" s="339">
        <v>735.06</v>
      </c>
      <c r="J1395" s="340">
        <v>1170.9082405439999</v>
      </c>
      <c r="K1395" s="335" t="s">
        <v>2810</v>
      </c>
      <c r="L1395" s="335">
        <v>4</v>
      </c>
      <c r="M1395" s="335" t="s">
        <v>2814</v>
      </c>
      <c r="N1395" s="339">
        <v>1</v>
      </c>
      <c r="O1395" s="341">
        <v>1.517088</v>
      </c>
      <c r="P1395" s="341">
        <v>1</v>
      </c>
      <c r="Q1395" s="341">
        <v>1.517088</v>
      </c>
      <c r="R1395" s="342">
        <v>15.12</v>
      </c>
      <c r="S1395" s="342" t="s">
        <v>25</v>
      </c>
    </row>
    <row r="1396" spans="1:19" ht="14.25" customHeight="1" x14ac:dyDescent="0.3">
      <c r="A1396" s="335" t="s">
        <v>2805</v>
      </c>
      <c r="B1396" s="335" t="s">
        <v>26</v>
      </c>
      <c r="C1396" s="335" t="s">
        <v>27</v>
      </c>
      <c r="D1396" s="335" t="s">
        <v>37</v>
      </c>
      <c r="E1396" s="336" t="s">
        <v>38</v>
      </c>
      <c r="F1396" s="336" t="s">
        <v>35</v>
      </c>
      <c r="G1396" s="337">
        <v>1.517088</v>
      </c>
      <c r="H1396" s="338">
        <v>0.05</v>
      </c>
      <c r="I1396" s="339">
        <v>6678.36</v>
      </c>
      <c r="J1396" s="340">
        <v>10638.242806464001</v>
      </c>
      <c r="K1396" s="335" t="s">
        <v>2810</v>
      </c>
      <c r="L1396" s="335">
        <v>5</v>
      </c>
      <c r="M1396" s="335" t="s">
        <v>2815</v>
      </c>
      <c r="N1396" s="339">
        <v>1</v>
      </c>
      <c r="O1396" s="341">
        <v>1.517088</v>
      </c>
      <c r="P1396" s="341">
        <v>1</v>
      </c>
      <c r="Q1396" s="341">
        <v>1.517088</v>
      </c>
      <c r="R1396" s="342">
        <v>15.12</v>
      </c>
      <c r="S1396" s="342" t="s">
        <v>25</v>
      </c>
    </row>
    <row r="1397" spans="1:19" ht="14.25" customHeight="1" x14ac:dyDescent="0.3">
      <c r="A1397" s="335" t="s">
        <v>2805</v>
      </c>
      <c r="B1397" s="335" t="s">
        <v>26</v>
      </c>
      <c r="C1397" s="335" t="s">
        <v>27</v>
      </c>
      <c r="D1397" s="335" t="s">
        <v>40</v>
      </c>
      <c r="E1397" s="336" t="s">
        <v>41</v>
      </c>
      <c r="F1397" s="336" t="s">
        <v>35</v>
      </c>
      <c r="G1397" s="337">
        <v>1.517088</v>
      </c>
      <c r="H1397" s="338">
        <v>0.05</v>
      </c>
      <c r="I1397" s="339">
        <v>5282.24</v>
      </c>
      <c r="J1397" s="340">
        <v>8414.3040629759998</v>
      </c>
      <c r="K1397" s="335" t="s">
        <v>2810</v>
      </c>
      <c r="L1397" s="335">
        <v>6</v>
      </c>
      <c r="M1397" s="335" t="s">
        <v>2816</v>
      </c>
      <c r="N1397" s="339">
        <v>1</v>
      </c>
      <c r="O1397" s="341">
        <v>1.517088</v>
      </c>
      <c r="P1397" s="341">
        <v>1</v>
      </c>
      <c r="Q1397" s="341">
        <v>1.517088</v>
      </c>
      <c r="R1397" s="342">
        <v>15.12</v>
      </c>
      <c r="S1397" s="342" t="s">
        <v>25</v>
      </c>
    </row>
    <row r="1398" spans="1:19" ht="14.25" customHeight="1" x14ac:dyDescent="0.3">
      <c r="A1398" s="335" t="s">
        <v>2805</v>
      </c>
      <c r="B1398" s="335" t="s">
        <v>26</v>
      </c>
      <c r="C1398" s="335" t="s">
        <v>27</v>
      </c>
      <c r="D1398" s="335" t="s">
        <v>392</v>
      </c>
      <c r="E1398" s="336" t="s">
        <v>393</v>
      </c>
      <c r="F1398" s="336" t="s">
        <v>35</v>
      </c>
      <c r="G1398" s="337">
        <v>1.517088</v>
      </c>
      <c r="H1398" s="338">
        <v>0.05</v>
      </c>
      <c r="I1398" s="339">
        <v>7427.6</v>
      </c>
      <c r="J1398" s="340">
        <v>11831.73897024</v>
      </c>
      <c r="K1398" s="335" t="s">
        <v>2810</v>
      </c>
      <c r="L1398" s="335">
        <v>7</v>
      </c>
      <c r="M1398" s="335" t="s">
        <v>2817</v>
      </c>
      <c r="N1398" s="339">
        <v>1</v>
      </c>
      <c r="O1398" s="341">
        <v>1.517088</v>
      </c>
      <c r="P1398" s="341">
        <v>1</v>
      </c>
      <c r="Q1398" s="341">
        <v>1.517088</v>
      </c>
      <c r="R1398" s="342">
        <v>15.12</v>
      </c>
      <c r="S1398" s="342" t="s">
        <v>25</v>
      </c>
    </row>
    <row r="1399" spans="1:19" ht="14.25" customHeight="1" x14ac:dyDescent="0.3">
      <c r="A1399" s="335" t="s">
        <v>2805</v>
      </c>
      <c r="B1399" s="335" t="s">
        <v>26</v>
      </c>
      <c r="C1399" s="335" t="s">
        <v>27</v>
      </c>
      <c r="D1399" s="335" t="s">
        <v>1101</v>
      </c>
      <c r="E1399" s="336" t="s">
        <v>1102</v>
      </c>
      <c r="F1399" s="336" t="s">
        <v>30</v>
      </c>
      <c r="G1399" s="337">
        <v>9.4817999999999998</v>
      </c>
      <c r="H1399" s="338">
        <v>0.1</v>
      </c>
      <c r="I1399" s="339">
        <v>28011.57</v>
      </c>
      <c r="J1399" s="340">
        <v>292160.11486859998</v>
      </c>
      <c r="K1399" s="335" t="s">
        <v>2810</v>
      </c>
      <c r="L1399" s="335">
        <v>8</v>
      </c>
      <c r="M1399" s="335" t="s">
        <v>2818</v>
      </c>
      <c r="N1399" s="339">
        <v>1</v>
      </c>
      <c r="O1399" s="341">
        <v>9.4817999999999998</v>
      </c>
      <c r="P1399" s="341">
        <v>1</v>
      </c>
      <c r="Q1399" s="341">
        <v>9.4817999999999998</v>
      </c>
      <c r="R1399" s="342">
        <v>15.12</v>
      </c>
      <c r="S1399" s="342" t="s">
        <v>25</v>
      </c>
    </row>
    <row r="1400" spans="1:19" ht="14.25" customHeight="1" x14ac:dyDescent="0.3">
      <c r="A1400" s="335" t="s">
        <v>2805</v>
      </c>
      <c r="B1400" s="335" t="s">
        <v>56</v>
      </c>
      <c r="C1400" s="335" t="s">
        <v>27</v>
      </c>
      <c r="D1400" s="335" t="s">
        <v>2819</v>
      </c>
      <c r="E1400" s="336" t="s">
        <v>2820</v>
      </c>
      <c r="F1400" s="336" t="s">
        <v>60</v>
      </c>
      <c r="G1400" s="337">
        <v>252.84800000000001</v>
      </c>
      <c r="H1400" s="338">
        <v>0</v>
      </c>
      <c r="I1400" s="339">
        <v>10981.3720244489</v>
      </c>
      <c r="J1400" s="340">
        <v>2776617.9536378598</v>
      </c>
      <c r="K1400" s="335" t="s">
        <v>2821</v>
      </c>
      <c r="L1400" s="335">
        <v>1</v>
      </c>
      <c r="M1400" s="335" t="s">
        <v>2822</v>
      </c>
      <c r="N1400" s="339">
        <v>1</v>
      </c>
      <c r="O1400" s="341">
        <v>252.84800000000001</v>
      </c>
      <c r="P1400" s="341">
        <v>1</v>
      </c>
      <c r="Q1400" s="341">
        <v>252.84800000000001</v>
      </c>
      <c r="R1400" s="342">
        <v>15.12</v>
      </c>
      <c r="S1400" s="342" t="s">
        <v>25</v>
      </c>
    </row>
    <row r="1401" spans="1:19" ht="14.25" customHeight="1" x14ac:dyDescent="0.3">
      <c r="A1401" s="335" t="s">
        <v>2823</v>
      </c>
      <c r="B1401" s="335" t="s">
        <v>20</v>
      </c>
      <c r="C1401" s="335"/>
      <c r="D1401" s="335" t="s">
        <v>71</v>
      </c>
      <c r="E1401" s="336" t="s">
        <v>72</v>
      </c>
      <c r="F1401" s="336"/>
      <c r="G1401" s="337">
        <v>0.25</v>
      </c>
      <c r="H1401" s="338">
        <v>0</v>
      </c>
      <c r="I1401" s="339">
        <v>2287.1357450968098</v>
      </c>
      <c r="J1401" s="340">
        <v>571.78393627420098</v>
      </c>
      <c r="K1401" s="335" t="s">
        <v>2824</v>
      </c>
      <c r="L1401" s="335">
        <v>1</v>
      </c>
      <c r="M1401" s="335" t="s">
        <v>2825</v>
      </c>
      <c r="N1401" s="339">
        <v>2</v>
      </c>
      <c r="O1401" s="341">
        <v>0.25</v>
      </c>
      <c r="P1401" s="341">
        <v>57</v>
      </c>
      <c r="Q1401" s="341">
        <v>14.25</v>
      </c>
      <c r="R1401" s="342">
        <v>17.010000000000002</v>
      </c>
      <c r="S1401" s="342" t="s">
        <v>106</v>
      </c>
    </row>
    <row r="1402" spans="1:19" ht="14.25" customHeight="1" x14ac:dyDescent="0.3">
      <c r="A1402" s="335" t="s">
        <v>2823</v>
      </c>
      <c r="B1402" s="335" t="s">
        <v>20</v>
      </c>
      <c r="C1402" s="335"/>
      <c r="D1402" s="335" t="s">
        <v>74</v>
      </c>
      <c r="E1402" s="336" t="s">
        <v>75</v>
      </c>
      <c r="F1402" s="336"/>
      <c r="G1402" s="337">
        <v>0.25</v>
      </c>
      <c r="H1402" s="338">
        <v>0</v>
      </c>
      <c r="I1402" s="339">
        <v>957.25319614994703</v>
      </c>
      <c r="J1402" s="340">
        <v>239.31329903748701</v>
      </c>
      <c r="K1402" s="335" t="s">
        <v>2824</v>
      </c>
      <c r="L1402" s="335">
        <v>2</v>
      </c>
      <c r="M1402" s="335" t="s">
        <v>2826</v>
      </c>
      <c r="N1402" s="339">
        <v>2</v>
      </c>
      <c r="O1402" s="341">
        <v>0.25</v>
      </c>
      <c r="P1402" s="341">
        <v>57</v>
      </c>
      <c r="Q1402" s="341">
        <v>14.25</v>
      </c>
      <c r="R1402" s="342">
        <v>17.010000000000002</v>
      </c>
      <c r="S1402" s="342" t="s">
        <v>106</v>
      </c>
    </row>
    <row r="1403" spans="1:19" ht="14.25" customHeight="1" x14ac:dyDescent="0.3">
      <c r="A1403" s="335" t="s">
        <v>2823</v>
      </c>
      <c r="B1403" s="335" t="s">
        <v>26</v>
      </c>
      <c r="C1403" s="335" t="s">
        <v>27</v>
      </c>
      <c r="D1403" s="335" t="s">
        <v>81</v>
      </c>
      <c r="E1403" s="336" t="s">
        <v>82</v>
      </c>
      <c r="F1403" s="336" t="s">
        <v>83</v>
      </c>
      <c r="G1403" s="337">
        <v>3.5999999999999997E-2</v>
      </c>
      <c r="H1403" s="338">
        <v>0.1</v>
      </c>
      <c r="I1403" s="339">
        <v>32399.77</v>
      </c>
      <c r="J1403" s="340">
        <v>1283.030892</v>
      </c>
      <c r="K1403" s="335" t="s">
        <v>2827</v>
      </c>
      <c r="L1403" s="335">
        <v>1</v>
      </c>
      <c r="M1403" s="335" t="s">
        <v>2828</v>
      </c>
      <c r="N1403" s="339">
        <v>2</v>
      </c>
      <c r="O1403" s="341">
        <v>3.5999999999999997E-2</v>
      </c>
      <c r="P1403" s="341">
        <v>57</v>
      </c>
      <c r="Q1403" s="341">
        <v>2.052</v>
      </c>
      <c r="R1403" s="342">
        <v>17.010000000000002</v>
      </c>
      <c r="S1403" s="342" t="s">
        <v>106</v>
      </c>
    </row>
    <row r="1404" spans="1:19" ht="14.25" customHeight="1" x14ac:dyDescent="0.3">
      <c r="A1404" s="335" t="s">
        <v>2823</v>
      </c>
      <c r="B1404" s="335" t="s">
        <v>26</v>
      </c>
      <c r="C1404" s="335" t="s">
        <v>27</v>
      </c>
      <c r="D1404" s="335" t="s">
        <v>85</v>
      </c>
      <c r="E1404" s="336" t="s">
        <v>86</v>
      </c>
      <c r="F1404" s="336" t="s">
        <v>87</v>
      </c>
      <c r="G1404" s="337">
        <v>0.32400000000000001</v>
      </c>
      <c r="H1404" s="338">
        <v>0.1</v>
      </c>
      <c r="I1404" s="339">
        <v>7809.48</v>
      </c>
      <c r="J1404" s="340">
        <v>2783.2986719999999</v>
      </c>
      <c r="K1404" s="335" t="s">
        <v>2827</v>
      </c>
      <c r="L1404" s="335">
        <v>2</v>
      </c>
      <c r="M1404" s="335" t="s">
        <v>2829</v>
      </c>
      <c r="N1404" s="339">
        <v>2</v>
      </c>
      <c r="O1404" s="341">
        <v>0.32400000000000001</v>
      </c>
      <c r="P1404" s="341">
        <v>57</v>
      </c>
      <c r="Q1404" s="341">
        <v>18.468</v>
      </c>
      <c r="R1404" s="342">
        <v>17.010000000000002</v>
      </c>
      <c r="S1404" s="342" t="s">
        <v>106</v>
      </c>
    </row>
    <row r="1405" spans="1:19" ht="14.25" customHeight="1" x14ac:dyDescent="0.3">
      <c r="A1405" s="335" t="s">
        <v>2823</v>
      </c>
      <c r="B1405" s="335" t="s">
        <v>56</v>
      </c>
      <c r="C1405" s="335" t="s">
        <v>57</v>
      </c>
      <c r="D1405" s="343" t="s">
        <v>58</v>
      </c>
      <c r="E1405" s="336" t="s">
        <v>59</v>
      </c>
      <c r="F1405" s="336" t="s">
        <v>60</v>
      </c>
      <c r="G1405" s="337">
        <v>0.75</v>
      </c>
      <c r="H1405" s="338">
        <v>0</v>
      </c>
      <c r="I1405" s="339">
        <v>60860.580776572002</v>
      </c>
      <c r="J1405" s="340">
        <v>45645.435582429003</v>
      </c>
      <c r="K1405" s="335" t="s">
        <v>2830</v>
      </c>
      <c r="L1405" s="335">
        <v>1</v>
      </c>
      <c r="M1405" s="335" t="s">
        <v>2831</v>
      </c>
      <c r="N1405" s="339">
        <v>2</v>
      </c>
      <c r="O1405" s="341">
        <v>0.375</v>
      </c>
      <c r="P1405" s="341">
        <v>57</v>
      </c>
      <c r="Q1405" s="341">
        <v>21.375</v>
      </c>
      <c r="R1405" s="342">
        <v>17.010000000000002</v>
      </c>
      <c r="S1405" s="342" t="s">
        <v>106</v>
      </c>
    </row>
    <row r="1406" spans="1:19" ht="14.25" customHeight="1" x14ac:dyDescent="0.3">
      <c r="A1406" s="335" t="s">
        <v>2823</v>
      </c>
      <c r="B1406" s="335" t="s">
        <v>56</v>
      </c>
      <c r="C1406" s="335" t="s">
        <v>57</v>
      </c>
      <c r="D1406" s="343" t="s">
        <v>63</v>
      </c>
      <c r="E1406" s="336" t="s">
        <v>64</v>
      </c>
      <c r="F1406" s="336" t="s">
        <v>60</v>
      </c>
      <c r="G1406" s="337">
        <v>0.75</v>
      </c>
      <c r="H1406" s="338">
        <v>0</v>
      </c>
      <c r="I1406" s="339">
        <v>85927.097156571996</v>
      </c>
      <c r="J1406" s="340">
        <v>64445.322867429</v>
      </c>
      <c r="K1406" s="335" t="s">
        <v>2830</v>
      </c>
      <c r="L1406" s="335">
        <v>2</v>
      </c>
      <c r="M1406" s="335" t="s">
        <v>2832</v>
      </c>
      <c r="N1406" s="339">
        <v>2</v>
      </c>
      <c r="O1406" s="341">
        <v>0.375</v>
      </c>
      <c r="P1406" s="341">
        <v>57</v>
      </c>
      <c r="Q1406" s="341">
        <v>21.375</v>
      </c>
      <c r="R1406" s="342">
        <v>17.010000000000002</v>
      </c>
      <c r="S1406" s="342" t="s">
        <v>106</v>
      </c>
    </row>
    <row r="1407" spans="1:19" ht="14.25" customHeight="1" x14ac:dyDescent="0.3">
      <c r="A1407" s="335" t="s">
        <v>2833</v>
      </c>
      <c r="B1407" s="335" t="s">
        <v>20</v>
      </c>
      <c r="C1407" s="335"/>
      <c r="D1407" s="335" t="s">
        <v>71</v>
      </c>
      <c r="E1407" s="336" t="s">
        <v>72</v>
      </c>
      <c r="F1407" s="336"/>
      <c r="G1407" s="337">
        <v>0.25</v>
      </c>
      <c r="H1407" s="338">
        <v>0</v>
      </c>
      <c r="I1407" s="339">
        <v>2287.1357450968098</v>
      </c>
      <c r="J1407" s="340">
        <v>571.78393627420098</v>
      </c>
      <c r="K1407" s="335" t="s">
        <v>2834</v>
      </c>
      <c r="L1407" s="335">
        <v>1</v>
      </c>
      <c r="M1407" s="335" t="s">
        <v>2835</v>
      </c>
      <c r="N1407" s="339">
        <v>2</v>
      </c>
      <c r="O1407" s="341">
        <v>0.25</v>
      </c>
      <c r="P1407" s="341">
        <v>11</v>
      </c>
      <c r="Q1407" s="341">
        <v>2.75</v>
      </c>
      <c r="R1407" s="342">
        <v>17.02</v>
      </c>
      <c r="S1407" s="342" t="s">
        <v>106</v>
      </c>
    </row>
    <row r="1408" spans="1:19" ht="14.25" customHeight="1" x14ac:dyDescent="0.3">
      <c r="A1408" s="335" t="s">
        <v>2833</v>
      </c>
      <c r="B1408" s="335" t="s">
        <v>20</v>
      </c>
      <c r="C1408" s="335"/>
      <c r="D1408" s="335" t="s">
        <v>74</v>
      </c>
      <c r="E1408" s="336" t="s">
        <v>75</v>
      </c>
      <c r="F1408" s="336"/>
      <c r="G1408" s="337">
        <v>0.25</v>
      </c>
      <c r="H1408" s="338">
        <v>0</v>
      </c>
      <c r="I1408" s="339">
        <v>957.25319614994703</v>
      </c>
      <c r="J1408" s="340">
        <v>239.31329903748701</v>
      </c>
      <c r="K1408" s="335" t="s">
        <v>2834</v>
      </c>
      <c r="L1408" s="335">
        <v>2</v>
      </c>
      <c r="M1408" s="335" t="s">
        <v>2836</v>
      </c>
      <c r="N1408" s="339">
        <v>2</v>
      </c>
      <c r="O1408" s="341">
        <v>0.25</v>
      </c>
      <c r="P1408" s="341">
        <v>11</v>
      </c>
      <c r="Q1408" s="341">
        <v>2.75</v>
      </c>
      <c r="R1408" s="342">
        <v>17.02</v>
      </c>
      <c r="S1408" s="342" t="s">
        <v>106</v>
      </c>
    </row>
    <row r="1409" spans="1:19" ht="14.25" customHeight="1" x14ac:dyDescent="0.3">
      <c r="A1409" s="335" t="s">
        <v>2833</v>
      </c>
      <c r="B1409" s="335" t="s">
        <v>26</v>
      </c>
      <c r="C1409" s="335" t="s">
        <v>27</v>
      </c>
      <c r="D1409" s="335" t="s">
        <v>81</v>
      </c>
      <c r="E1409" s="336" t="s">
        <v>82</v>
      </c>
      <c r="F1409" s="336" t="s">
        <v>83</v>
      </c>
      <c r="G1409" s="337">
        <v>3.5999999999999997E-2</v>
      </c>
      <c r="H1409" s="338">
        <v>0.1</v>
      </c>
      <c r="I1409" s="339">
        <v>32399.77</v>
      </c>
      <c r="J1409" s="340">
        <v>1283.030892</v>
      </c>
      <c r="K1409" s="335" t="s">
        <v>2837</v>
      </c>
      <c r="L1409" s="335">
        <v>1</v>
      </c>
      <c r="M1409" s="335" t="s">
        <v>2838</v>
      </c>
      <c r="N1409" s="339">
        <v>2</v>
      </c>
      <c r="O1409" s="341">
        <v>3.5999999999999997E-2</v>
      </c>
      <c r="P1409" s="341">
        <v>11</v>
      </c>
      <c r="Q1409" s="341">
        <v>0.39600000000000002</v>
      </c>
      <c r="R1409" s="342">
        <v>17.02</v>
      </c>
      <c r="S1409" s="342" t="s">
        <v>106</v>
      </c>
    </row>
    <row r="1410" spans="1:19" ht="14.25" customHeight="1" x14ac:dyDescent="0.3">
      <c r="A1410" s="335" t="s">
        <v>2833</v>
      </c>
      <c r="B1410" s="335" t="s">
        <v>26</v>
      </c>
      <c r="C1410" s="335" t="s">
        <v>27</v>
      </c>
      <c r="D1410" s="335" t="s">
        <v>85</v>
      </c>
      <c r="E1410" s="336" t="s">
        <v>86</v>
      </c>
      <c r="F1410" s="336" t="s">
        <v>87</v>
      </c>
      <c r="G1410" s="337">
        <v>0.32400000000000001</v>
      </c>
      <c r="H1410" s="338">
        <v>0.1</v>
      </c>
      <c r="I1410" s="339">
        <v>7809.48</v>
      </c>
      <c r="J1410" s="340">
        <v>2783.2986719999999</v>
      </c>
      <c r="K1410" s="335" t="s">
        <v>2837</v>
      </c>
      <c r="L1410" s="335">
        <v>2</v>
      </c>
      <c r="M1410" s="335" t="s">
        <v>2839</v>
      </c>
      <c r="N1410" s="339">
        <v>2</v>
      </c>
      <c r="O1410" s="341">
        <v>0.32400000000000001</v>
      </c>
      <c r="P1410" s="341">
        <v>11</v>
      </c>
      <c r="Q1410" s="341">
        <v>3.5640000000000001</v>
      </c>
      <c r="R1410" s="342">
        <v>17.02</v>
      </c>
      <c r="S1410" s="342" t="s">
        <v>106</v>
      </c>
    </row>
    <row r="1411" spans="1:19" ht="14.25" customHeight="1" x14ac:dyDescent="0.3">
      <c r="A1411" s="335" t="s">
        <v>2833</v>
      </c>
      <c r="B1411" s="335" t="s">
        <v>56</v>
      </c>
      <c r="C1411" s="335" t="s">
        <v>57</v>
      </c>
      <c r="D1411" s="343" t="s">
        <v>58</v>
      </c>
      <c r="E1411" s="336" t="s">
        <v>59</v>
      </c>
      <c r="F1411" s="336" t="s">
        <v>60</v>
      </c>
      <c r="G1411" s="337">
        <v>0.75</v>
      </c>
      <c r="H1411" s="338">
        <v>0</v>
      </c>
      <c r="I1411" s="339">
        <v>60860.580776572002</v>
      </c>
      <c r="J1411" s="340">
        <v>45645.435582429003</v>
      </c>
      <c r="K1411" s="335" t="s">
        <v>2840</v>
      </c>
      <c r="L1411" s="335">
        <v>1</v>
      </c>
      <c r="M1411" s="335" t="s">
        <v>2841</v>
      </c>
      <c r="N1411" s="339">
        <v>2</v>
      </c>
      <c r="O1411" s="341">
        <v>0.375</v>
      </c>
      <c r="P1411" s="341">
        <v>11</v>
      </c>
      <c r="Q1411" s="341">
        <v>4.125</v>
      </c>
      <c r="R1411" s="342">
        <v>17.02</v>
      </c>
      <c r="S1411" s="342" t="s">
        <v>106</v>
      </c>
    </row>
    <row r="1412" spans="1:19" ht="14.25" customHeight="1" x14ac:dyDescent="0.3">
      <c r="A1412" s="335" t="s">
        <v>2833</v>
      </c>
      <c r="B1412" s="335" t="s">
        <v>56</v>
      </c>
      <c r="C1412" s="335" t="s">
        <v>57</v>
      </c>
      <c r="D1412" s="343" t="s">
        <v>63</v>
      </c>
      <c r="E1412" s="336" t="s">
        <v>64</v>
      </c>
      <c r="F1412" s="336" t="s">
        <v>60</v>
      </c>
      <c r="G1412" s="337">
        <v>0.75</v>
      </c>
      <c r="H1412" s="338">
        <v>0</v>
      </c>
      <c r="I1412" s="339">
        <v>85927.097156571996</v>
      </c>
      <c r="J1412" s="340">
        <v>64445.322867429</v>
      </c>
      <c r="K1412" s="335" t="s">
        <v>2840</v>
      </c>
      <c r="L1412" s="335">
        <v>2</v>
      </c>
      <c r="M1412" s="335" t="s">
        <v>2842</v>
      </c>
      <c r="N1412" s="339">
        <v>2</v>
      </c>
      <c r="O1412" s="341">
        <v>0.375</v>
      </c>
      <c r="P1412" s="341">
        <v>11</v>
      </c>
      <c r="Q1412" s="341">
        <v>4.125</v>
      </c>
      <c r="R1412" s="342">
        <v>17.02</v>
      </c>
      <c r="S1412" s="342" t="s">
        <v>106</v>
      </c>
    </row>
    <row r="1413" spans="1:19" ht="14.25" customHeight="1" x14ac:dyDescent="0.3">
      <c r="A1413" s="335" t="s">
        <v>2843</v>
      </c>
      <c r="B1413" s="335" t="s">
        <v>20</v>
      </c>
      <c r="C1413" s="335"/>
      <c r="D1413" s="335" t="s">
        <v>71</v>
      </c>
      <c r="E1413" s="336" t="s">
        <v>72</v>
      </c>
      <c r="F1413" s="336"/>
      <c r="G1413" s="337">
        <v>0.25</v>
      </c>
      <c r="H1413" s="338">
        <v>0</v>
      </c>
      <c r="I1413" s="339">
        <v>2287.1357450968098</v>
      </c>
      <c r="J1413" s="340">
        <v>571.78393627420098</v>
      </c>
      <c r="K1413" s="335" t="s">
        <v>2844</v>
      </c>
      <c r="L1413" s="335">
        <v>1</v>
      </c>
      <c r="M1413" s="335" t="s">
        <v>2845</v>
      </c>
      <c r="N1413" s="339">
        <v>4</v>
      </c>
      <c r="O1413" s="341">
        <v>0.25</v>
      </c>
      <c r="P1413" s="341">
        <v>65</v>
      </c>
      <c r="Q1413" s="341">
        <v>16.25</v>
      </c>
      <c r="R1413" s="342">
        <v>17.03</v>
      </c>
      <c r="S1413" s="342" t="s">
        <v>106</v>
      </c>
    </row>
    <row r="1414" spans="1:19" ht="14.25" customHeight="1" x14ac:dyDescent="0.3">
      <c r="A1414" s="335" t="s">
        <v>2843</v>
      </c>
      <c r="B1414" s="335" t="s">
        <v>20</v>
      </c>
      <c r="C1414" s="335"/>
      <c r="D1414" s="335" t="s">
        <v>74</v>
      </c>
      <c r="E1414" s="336" t="s">
        <v>75</v>
      </c>
      <c r="F1414" s="336"/>
      <c r="G1414" s="337">
        <v>0.25</v>
      </c>
      <c r="H1414" s="338">
        <v>0</v>
      </c>
      <c r="I1414" s="339">
        <v>957.25319614994703</v>
      </c>
      <c r="J1414" s="340">
        <v>239.31329903748701</v>
      </c>
      <c r="K1414" s="335" t="s">
        <v>2844</v>
      </c>
      <c r="L1414" s="335">
        <v>2</v>
      </c>
      <c r="M1414" s="335" t="s">
        <v>2846</v>
      </c>
      <c r="N1414" s="339">
        <v>4</v>
      </c>
      <c r="O1414" s="341">
        <v>0.25</v>
      </c>
      <c r="P1414" s="341">
        <v>65</v>
      </c>
      <c r="Q1414" s="341">
        <v>16.25</v>
      </c>
      <c r="R1414" s="342">
        <v>17.03</v>
      </c>
      <c r="S1414" s="342" t="s">
        <v>106</v>
      </c>
    </row>
    <row r="1415" spans="1:19" ht="14.25" customHeight="1" x14ac:dyDescent="0.3">
      <c r="A1415" s="335" t="s">
        <v>2843</v>
      </c>
      <c r="B1415" s="335" t="s">
        <v>26</v>
      </c>
      <c r="C1415" s="335" t="s">
        <v>27</v>
      </c>
      <c r="D1415" s="335" t="s">
        <v>81</v>
      </c>
      <c r="E1415" s="336" t="s">
        <v>82</v>
      </c>
      <c r="F1415" s="336" t="s">
        <v>83</v>
      </c>
      <c r="G1415" s="337">
        <v>1.38E-2</v>
      </c>
      <c r="H1415" s="338">
        <v>0.05</v>
      </c>
      <c r="I1415" s="339">
        <v>32399.77</v>
      </c>
      <c r="J1415" s="340">
        <v>469.47266730000001</v>
      </c>
      <c r="K1415" s="335" t="s">
        <v>2847</v>
      </c>
      <c r="L1415" s="335">
        <v>1</v>
      </c>
      <c r="M1415" s="335" t="s">
        <v>2848</v>
      </c>
      <c r="N1415" s="339">
        <v>4</v>
      </c>
      <c r="O1415" s="341">
        <v>1.38E-2</v>
      </c>
      <c r="P1415" s="341">
        <v>65</v>
      </c>
      <c r="Q1415" s="341">
        <v>0.89700000000000002</v>
      </c>
      <c r="R1415" s="342">
        <v>17.03</v>
      </c>
      <c r="S1415" s="342" t="s">
        <v>106</v>
      </c>
    </row>
    <row r="1416" spans="1:19" ht="14.25" customHeight="1" x14ac:dyDescent="0.3">
      <c r="A1416" s="335" t="s">
        <v>2843</v>
      </c>
      <c r="B1416" s="335" t="s">
        <v>26</v>
      </c>
      <c r="C1416" s="335" t="s">
        <v>27</v>
      </c>
      <c r="D1416" s="335" t="s">
        <v>85</v>
      </c>
      <c r="E1416" s="336" t="s">
        <v>86</v>
      </c>
      <c r="F1416" s="336" t="s">
        <v>87</v>
      </c>
      <c r="G1416" s="337">
        <v>0.1242</v>
      </c>
      <c r="H1416" s="338">
        <v>0.05</v>
      </c>
      <c r="I1416" s="339">
        <v>7809.48</v>
      </c>
      <c r="J1416" s="340">
        <v>1018.4342868</v>
      </c>
      <c r="K1416" s="335" t="s">
        <v>2847</v>
      </c>
      <c r="L1416" s="335">
        <v>2</v>
      </c>
      <c r="M1416" s="335" t="s">
        <v>2849</v>
      </c>
      <c r="N1416" s="339">
        <v>4</v>
      </c>
      <c r="O1416" s="341">
        <v>0.1242</v>
      </c>
      <c r="P1416" s="341">
        <v>65</v>
      </c>
      <c r="Q1416" s="341">
        <v>8.0730000000000004</v>
      </c>
      <c r="R1416" s="342">
        <v>17.03</v>
      </c>
      <c r="S1416" s="342" t="s">
        <v>106</v>
      </c>
    </row>
    <row r="1417" spans="1:19" ht="14.25" customHeight="1" x14ac:dyDescent="0.3">
      <c r="A1417" s="335" t="s">
        <v>2843</v>
      </c>
      <c r="B1417" s="335" t="s">
        <v>56</v>
      </c>
      <c r="C1417" s="335" t="s">
        <v>57</v>
      </c>
      <c r="D1417" s="343" t="s">
        <v>58</v>
      </c>
      <c r="E1417" s="336" t="s">
        <v>59</v>
      </c>
      <c r="F1417" s="336" t="s">
        <v>60</v>
      </c>
      <c r="G1417" s="337">
        <v>1</v>
      </c>
      <c r="H1417" s="338">
        <v>0</v>
      </c>
      <c r="I1417" s="339">
        <v>60860.580776572002</v>
      </c>
      <c r="J1417" s="340">
        <v>60860.580776572002</v>
      </c>
      <c r="K1417" s="335" t="s">
        <v>2850</v>
      </c>
      <c r="L1417" s="335">
        <v>1</v>
      </c>
      <c r="M1417" s="335" t="s">
        <v>2851</v>
      </c>
      <c r="N1417" s="339">
        <v>4</v>
      </c>
      <c r="O1417" s="341">
        <v>0.25</v>
      </c>
      <c r="P1417" s="341">
        <v>65</v>
      </c>
      <c r="Q1417" s="341">
        <v>16.25</v>
      </c>
      <c r="R1417" s="342">
        <v>17.03</v>
      </c>
      <c r="S1417" s="342" t="s">
        <v>106</v>
      </c>
    </row>
    <row r="1418" spans="1:19" ht="14.25" customHeight="1" x14ac:dyDescent="0.3">
      <c r="A1418" s="335" t="s">
        <v>2843</v>
      </c>
      <c r="B1418" s="335" t="s">
        <v>56</v>
      </c>
      <c r="C1418" s="335" t="s">
        <v>57</v>
      </c>
      <c r="D1418" s="343" t="s">
        <v>63</v>
      </c>
      <c r="E1418" s="336" t="s">
        <v>64</v>
      </c>
      <c r="F1418" s="336" t="s">
        <v>60</v>
      </c>
      <c r="G1418" s="337">
        <v>1</v>
      </c>
      <c r="H1418" s="338">
        <v>0</v>
      </c>
      <c r="I1418" s="339">
        <v>85927.097156571996</v>
      </c>
      <c r="J1418" s="340">
        <v>85927.097156571996</v>
      </c>
      <c r="K1418" s="335" t="s">
        <v>2850</v>
      </c>
      <c r="L1418" s="335">
        <v>2</v>
      </c>
      <c r="M1418" s="335" t="s">
        <v>2852</v>
      </c>
      <c r="N1418" s="339">
        <v>4</v>
      </c>
      <c r="O1418" s="341">
        <v>0.25</v>
      </c>
      <c r="P1418" s="341">
        <v>65</v>
      </c>
      <c r="Q1418" s="341">
        <v>16.25</v>
      </c>
      <c r="R1418" s="342">
        <v>17.03</v>
      </c>
      <c r="S1418" s="342" t="s">
        <v>106</v>
      </c>
    </row>
    <row r="1419" spans="1:19" ht="14.25" customHeight="1" x14ac:dyDescent="0.3">
      <c r="A1419" s="335" t="s">
        <v>2853</v>
      </c>
      <c r="B1419" s="335" t="s">
        <v>20</v>
      </c>
      <c r="C1419" s="335"/>
      <c r="D1419" s="335" t="s">
        <v>71</v>
      </c>
      <c r="E1419" s="336" t="s">
        <v>72</v>
      </c>
      <c r="F1419" s="336"/>
      <c r="G1419" s="337">
        <v>0.25</v>
      </c>
      <c r="H1419" s="338">
        <v>0</v>
      </c>
      <c r="I1419" s="339">
        <v>2287.1357450968098</v>
      </c>
      <c r="J1419" s="340">
        <v>571.78393627420098</v>
      </c>
      <c r="K1419" s="335" t="s">
        <v>2854</v>
      </c>
      <c r="L1419" s="335">
        <v>1</v>
      </c>
      <c r="M1419" s="335" t="s">
        <v>2855</v>
      </c>
      <c r="N1419" s="339">
        <v>2</v>
      </c>
      <c r="O1419" s="341">
        <v>0.25</v>
      </c>
      <c r="P1419" s="341">
        <v>6</v>
      </c>
      <c r="Q1419" s="341">
        <v>1.5</v>
      </c>
      <c r="R1419" s="342">
        <v>17.04</v>
      </c>
      <c r="S1419" s="342" t="s">
        <v>106</v>
      </c>
    </row>
    <row r="1420" spans="1:19" ht="14.25" customHeight="1" x14ac:dyDescent="0.3">
      <c r="A1420" s="335" t="s">
        <v>2853</v>
      </c>
      <c r="B1420" s="335" t="s">
        <v>20</v>
      </c>
      <c r="C1420" s="335"/>
      <c r="D1420" s="335" t="s">
        <v>74</v>
      </c>
      <c r="E1420" s="336" t="s">
        <v>75</v>
      </c>
      <c r="F1420" s="336"/>
      <c r="G1420" s="337">
        <v>0.25</v>
      </c>
      <c r="H1420" s="338">
        <v>0</v>
      </c>
      <c r="I1420" s="339">
        <v>957.25319614994703</v>
      </c>
      <c r="J1420" s="340">
        <v>239.31329903748701</v>
      </c>
      <c r="K1420" s="335" t="s">
        <v>2854</v>
      </c>
      <c r="L1420" s="335">
        <v>2</v>
      </c>
      <c r="M1420" s="335" t="s">
        <v>2856</v>
      </c>
      <c r="N1420" s="339">
        <v>2</v>
      </c>
      <c r="O1420" s="341">
        <v>0.25</v>
      </c>
      <c r="P1420" s="341">
        <v>6</v>
      </c>
      <c r="Q1420" s="341">
        <v>1.5</v>
      </c>
      <c r="R1420" s="342">
        <v>17.04</v>
      </c>
      <c r="S1420" s="342" t="s">
        <v>106</v>
      </c>
    </row>
    <row r="1421" spans="1:19" ht="14.25" customHeight="1" x14ac:dyDescent="0.3">
      <c r="A1421" s="335" t="s">
        <v>2853</v>
      </c>
      <c r="B1421" s="335" t="s">
        <v>26</v>
      </c>
      <c r="C1421" s="335" t="s">
        <v>27</v>
      </c>
      <c r="D1421" s="335" t="s">
        <v>81</v>
      </c>
      <c r="E1421" s="336" t="s">
        <v>82</v>
      </c>
      <c r="F1421" s="336" t="s">
        <v>83</v>
      </c>
      <c r="G1421" s="337">
        <v>3.5999999999999997E-2</v>
      </c>
      <c r="H1421" s="338">
        <v>0.1</v>
      </c>
      <c r="I1421" s="339">
        <v>32399.77</v>
      </c>
      <c r="J1421" s="340">
        <v>1283.030892</v>
      </c>
      <c r="K1421" s="335" t="s">
        <v>2857</v>
      </c>
      <c r="L1421" s="335">
        <v>1</v>
      </c>
      <c r="M1421" s="335" t="s">
        <v>2858</v>
      </c>
      <c r="N1421" s="339">
        <v>2</v>
      </c>
      <c r="O1421" s="341">
        <v>3.5999999999999997E-2</v>
      </c>
      <c r="P1421" s="341">
        <v>6</v>
      </c>
      <c r="Q1421" s="341">
        <v>0.216</v>
      </c>
      <c r="R1421" s="342">
        <v>17.04</v>
      </c>
      <c r="S1421" s="342" t="s">
        <v>106</v>
      </c>
    </row>
    <row r="1422" spans="1:19" ht="14.25" customHeight="1" x14ac:dyDescent="0.3">
      <c r="A1422" s="335" t="s">
        <v>2853</v>
      </c>
      <c r="B1422" s="335" t="s">
        <v>26</v>
      </c>
      <c r="C1422" s="335" t="s">
        <v>27</v>
      </c>
      <c r="D1422" s="335" t="s">
        <v>85</v>
      </c>
      <c r="E1422" s="336" t="s">
        <v>86</v>
      </c>
      <c r="F1422" s="336" t="s">
        <v>87</v>
      </c>
      <c r="G1422" s="337">
        <v>0.32400000000000001</v>
      </c>
      <c r="H1422" s="338">
        <v>0.1</v>
      </c>
      <c r="I1422" s="339">
        <v>7809.48</v>
      </c>
      <c r="J1422" s="340">
        <v>2783.2986719999999</v>
      </c>
      <c r="K1422" s="335" t="s">
        <v>2857</v>
      </c>
      <c r="L1422" s="335">
        <v>2</v>
      </c>
      <c r="M1422" s="335" t="s">
        <v>2859</v>
      </c>
      <c r="N1422" s="339">
        <v>2</v>
      </c>
      <c r="O1422" s="341">
        <v>0.32400000000000001</v>
      </c>
      <c r="P1422" s="341">
        <v>6</v>
      </c>
      <c r="Q1422" s="341">
        <v>1.944</v>
      </c>
      <c r="R1422" s="342">
        <v>17.04</v>
      </c>
      <c r="S1422" s="342" t="s">
        <v>106</v>
      </c>
    </row>
    <row r="1423" spans="1:19" ht="14.25" customHeight="1" x14ac:dyDescent="0.3">
      <c r="A1423" s="335" t="s">
        <v>2853</v>
      </c>
      <c r="B1423" s="335" t="s">
        <v>56</v>
      </c>
      <c r="C1423" s="335" t="s">
        <v>27</v>
      </c>
      <c r="D1423" s="335" t="s">
        <v>2860</v>
      </c>
      <c r="E1423" s="336" t="s">
        <v>2861</v>
      </c>
      <c r="F1423" s="336" t="s">
        <v>60</v>
      </c>
      <c r="G1423" s="337">
        <v>2</v>
      </c>
      <c r="H1423" s="338">
        <v>0</v>
      </c>
      <c r="I1423" s="339">
        <v>27522.689612464499</v>
      </c>
      <c r="J1423" s="340">
        <v>55045.379224928998</v>
      </c>
      <c r="K1423" s="335" t="s">
        <v>2862</v>
      </c>
      <c r="L1423" s="335">
        <v>1</v>
      </c>
      <c r="M1423" s="335" t="s">
        <v>2863</v>
      </c>
      <c r="N1423" s="339">
        <v>2</v>
      </c>
      <c r="O1423" s="341">
        <v>2</v>
      </c>
      <c r="P1423" s="341">
        <v>6</v>
      </c>
      <c r="Q1423" s="341">
        <v>12</v>
      </c>
      <c r="R1423" s="342">
        <v>17.04</v>
      </c>
      <c r="S1423" s="342" t="s">
        <v>106</v>
      </c>
    </row>
    <row r="1424" spans="1:19" ht="14.25" customHeight="1" x14ac:dyDescent="0.3">
      <c r="A1424" s="335" t="s">
        <v>2853</v>
      </c>
      <c r="B1424" s="335" t="s">
        <v>56</v>
      </c>
      <c r="C1424" s="335" t="s">
        <v>57</v>
      </c>
      <c r="D1424" s="343" t="s">
        <v>58</v>
      </c>
      <c r="E1424" s="336" t="s">
        <v>59</v>
      </c>
      <c r="F1424" s="336" t="s">
        <v>60</v>
      </c>
      <c r="G1424" s="337">
        <v>0.75</v>
      </c>
      <c r="H1424" s="338">
        <v>0</v>
      </c>
      <c r="I1424" s="339">
        <v>60860.580776572002</v>
      </c>
      <c r="J1424" s="340">
        <v>45645.435582429003</v>
      </c>
      <c r="K1424" s="335" t="s">
        <v>2862</v>
      </c>
      <c r="L1424" s="335">
        <v>2</v>
      </c>
      <c r="M1424" s="335" t="s">
        <v>2864</v>
      </c>
      <c r="N1424" s="339">
        <v>2</v>
      </c>
      <c r="O1424" s="341">
        <v>0.375</v>
      </c>
      <c r="P1424" s="341">
        <v>6</v>
      </c>
      <c r="Q1424" s="341">
        <v>2.25</v>
      </c>
      <c r="R1424" s="342">
        <v>17.04</v>
      </c>
      <c r="S1424" s="342" t="s">
        <v>106</v>
      </c>
    </row>
    <row r="1425" spans="1:19" ht="14.25" customHeight="1" x14ac:dyDescent="0.3">
      <c r="A1425" s="335" t="s">
        <v>2853</v>
      </c>
      <c r="B1425" s="335" t="s">
        <v>56</v>
      </c>
      <c r="C1425" s="335" t="s">
        <v>57</v>
      </c>
      <c r="D1425" s="343" t="s">
        <v>63</v>
      </c>
      <c r="E1425" s="336" t="s">
        <v>64</v>
      </c>
      <c r="F1425" s="336" t="s">
        <v>60</v>
      </c>
      <c r="G1425" s="337">
        <v>0.75</v>
      </c>
      <c r="H1425" s="338">
        <v>0</v>
      </c>
      <c r="I1425" s="339">
        <v>85927.097156571996</v>
      </c>
      <c r="J1425" s="340">
        <v>64445.322867429</v>
      </c>
      <c r="K1425" s="335" t="s">
        <v>2862</v>
      </c>
      <c r="L1425" s="335">
        <v>3</v>
      </c>
      <c r="M1425" s="335" t="s">
        <v>2865</v>
      </c>
      <c r="N1425" s="339">
        <v>2</v>
      </c>
      <c r="O1425" s="341">
        <v>0.375</v>
      </c>
      <c r="P1425" s="341">
        <v>6</v>
      </c>
      <c r="Q1425" s="341">
        <v>2.25</v>
      </c>
      <c r="R1425" s="342">
        <v>17.04</v>
      </c>
      <c r="S1425" s="342" t="s">
        <v>106</v>
      </c>
    </row>
    <row r="1426" spans="1:19" ht="14.25" customHeight="1" x14ac:dyDescent="0.3">
      <c r="A1426" s="335" t="s">
        <v>2866</v>
      </c>
      <c r="B1426" s="335" t="s">
        <v>20</v>
      </c>
      <c r="C1426" s="335"/>
      <c r="D1426" s="335" t="s">
        <v>67</v>
      </c>
      <c r="E1426" s="336" t="s">
        <v>68</v>
      </c>
      <c r="F1426" s="336"/>
      <c r="G1426" s="337">
        <v>0.5</v>
      </c>
      <c r="H1426" s="338">
        <v>0</v>
      </c>
      <c r="I1426" s="339">
        <v>571.17949098076099</v>
      </c>
      <c r="J1426" s="340">
        <v>285.58974549038101</v>
      </c>
      <c r="K1426" s="335" t="s">
        <v>2867</v>
      </c>
      <c r="L1426" s="335">
        <v>1</v>
      </c>
      <c r="M1426" s="335" t="s">
        <v>2868</v>
      </c>
      <c r="N1426" s="339">
        <v>3.25</v>
      </c>
      <c r="O1426" s="341">
        <v>0.5</v>
      </c>
      <c r="P1426" s="341">
        <v>260</v>
      </c>
      <c r="Q1426" s="341">
        <v>130</v>
      </c>
      <c r="R1426" s="342">
        <v>18.010000000000002</v>
      </c>
      <c r="S1426" s="342" t="s">
        <v>25</v>
      </c>
    </row>
    <row r="1427" spans="1:19" ht="14.25" customHeight="1" x14ac:dyDescent="0.3">
      <c r="A1427" s="335" t="s">
        <v>2866</v>
      </c>
      <c r="B1427" s="335" t="s">
        <v>20</v>
      </c>
      <c r="C1427" s="335"/>
      <c r="D1427" s="335" t="s">
        <v>775</v>
      </c>
      <c r="E1427" s="336" t="s">
        <v>776</v>
      </c>
      <c r="F1427" s="336"/>
      <c r="G1427" s="337">
        <v>1</v>
      </c>
      <c r="H1427" s="338">
        <v>0</v>
      </c>
      <c r="I1427" s="339">
        <v>5063.0947914732396</v>
      </c>
      <c r="J1427" s="340">
        <v>5063.0947914732396</v>
      </c>
      <c r="K1427" s="335" t="s">
        <v>2867</v>
      </c>
      <c r="L1427" s="335">
        <v>2</v>
      </c>
      <c r="M1427" s="335" t="s">
        <v>2869</v>
      </c>
      <c r="N1427" s="339">
        <v>3.25</v>
      </c>
      <c r="O1427" s="341">
        <v>1</v>
      </c>
      <c r="P1427" s="341">
        <v>260</v>
      </c>
      <c r="Q1427" s="341">
        <v>260</v>
      </c>
      <c r="R1427" s="342">
        <v>18.010000000000002</v>
      </c>
      <c r="S1427" s="342" t="s">
        <v>25</v>
      </c>
    </row>
    <row r="1428" spans="1:19" ht="14.25" customHeight="1" x14ac:dyDescent="0.3">
      <c r="A1428" s="335" t="s">
        <v>2866</v>
      </c>
      <c r="B1428" s="335" t="s">
        <v>20</v>
      </c>
      <c r="C1428" s="335"/>
      <c r="D1428" s="335" t="s">
        <v>578</v>
      </c>
      <c r="E1428" s="336" t="s">
        <v>579</v>
      </c>
      <c r="F1428" s="336"/>
      <c r="G1428" s="337">
        <v>0.5</v>
      </c>
      <c r="H1428" s="338">
        <v>0</v>
      </c>
      <c r="I1428" s="339">
        <v>140.198092594309</v>
      </c>
      <c r="J1428" s="340">
        <v>70.099046297154501</v>
      </c>
      <c r="K1428" s="335" t="s">
        <v>2867</v>
      </c>
      <c r="L1428" s="335">
        <v>3</v>
      </c>
      <c r="M1428" s="335" t="s">
        <v>2870</v>
      </c>
      <c r="N1428" s="339">
        <v>3.25</v>
      </c>
      <c r="O1428" s="341">
        <v>0.5</v>
      </c>
      <c r="P1428" s="341">
        <v>260</v>
      </c>
      <c r="Q1428" s="341">
        <v>130</v>
      </c>
      <c r="R1428" s="342">
        <v>18.010000000000002</v>
      </c>
      <c r="S1428" s="342" t="s">
        <v>25</v>
      </c>
    </row>
    <row r="1429" spans="1:19" ht="14.25" customHeight="1" x14ac:dyDescent="0.3">
      <c r="A1429" s="335" t="s">
        <v>2866</v>
      </c>
      <c r="B1429" s="335" t="s">
        <v>26</v>
      </c>
      <c r="C1429" s="335" t="s">
        <v>27</v>
      </c>
      <c r="D1429" s="335" t="s">
        <v>96</v>
      </c>
      <c r="E1429" s="336" t="s">
        <v>97</v>
      </c>
      <c r="F1429" s="336" t="s">
        <v>98</v>
      </c>
      <c r="G1429" s="337">
        <v>3530.1140378925602</v>
      </c>
      <c r="H1429" s="338">
        <v>0</v>
      </c>
      <c r="I1429" s="339">
        <v>1</v>
      </c>
      <c r="J1429" s="340">
        <v>3530.1140378925602</v>
      </c>
      <c r="K1429" s="335" t="s">
        <v>2871</v>
      </c>
      <c r="L1429" s="335">
        <v>1</v>
      </c>
      <c r="M1429" s="335" t="s">
        <v>2872</v>
      </c>
      <c r="N1429" s="339">
        <v>3.25</v>
      </c>
      <c r="O1429" s="341">
        <v>3530.1140378925602</v>
      </c>
      <c r="P1429" s="341">
        <v>260</v>
      </c>
      <c r="Q1429" s="341">
        <v>917829.64985206595</v>
      </c>
      <c r="R1429" s="342">
        <v>18.010000000000002</v>
      </c>
      <c r="S1429" s="342" t="s">
        <v>25</v>
      </c>
    </row>
    <row r="1430" spans="1:19" ht="14.25" customHeight="1" x14ac:dyDescent="0.3">
      <c r="A1430" s="335" t="s">
        <v>2866</v>
      </c>
      <c r="B1430" s="335" t="s">
        <v>26</v>
      </c>
      <c r="C1430" s="335" t="s">
        <v>27</v>
      </c>
      <c r="D1430" s="335" t="s">
        <v>779</v>
      </c>
      <c r="E1430" s="336" t="s">
        <v>780</v>
      </c>
      <c r="F1430" s="336" t="s">
        <v>35</v>
      </c>
      <c r="G1430" s="337">
        <v>3</v>
      </c>
      <c r="H1430" s="338">
        <v>0.1</v>
      </c>
      <c r="I1430" s="339">
        <v>282.29000000000002</v>
      </c>
      <c r="J1430" s="340">
        <v>931.55700000000002</v>
      </c>
      <c r="K1430" s="335" t="s">
        <v>2871</v>
      </c>
      <c r="L1430" s="335">
        <v>2</v>
      </c>
      <c r="M1430" s="335" t="s">
        <v>2873</v>
      </c>
      <c r="N1430" s="339">
        <v>3.25</v>
      </c>
      <c r="O1430" s="341">
        <v>3</v>
      </c>
      <c r="P1430" s="341">
        <v>260</v>
      </c>
      <c r="Q1430" s="341">
        <v>780</v>
      </c>
      <c r="R1430" s="342">
        <v>18.010000000000002</v>
      </c>
      <c r="S1430" s="342" t="s">
        <v>25</v>
      </c>
    </row>
    <row r="1431" spans="1:19" ht="14.25" customHeight="1" x14ac:dyDescent="0.3">
      <c r="A1431" s="335" t="s">
        <v>2866</v>
      </c>
      <c r="B1431" s="335" t="s">
        <v>26</v>
      </c>
      <c r="C1431" s="335" t="s">
        <v>27</v>
      </c>
      <c r="D1431" s="335" t="s">
        <v>783</v>
      </c>
      <c r="E1431" s="336" t="s">
        <v>784</v>
      </c>
      <c r="F1431" s="336" t="s">
        <v>744</v>
      </c>
      <c r="G1431" s="337">
        <v>5</v>
      </c>
      <c r="H1431" s="338">
        <v>0.1</v>
      </c>
      <c r="I1431" s="339">
        <v>635.55999999999995</v>
      </c>
      <c r="J1431" s="340">
        <v>3495.58</v>
      </c>
      <c r="K1431" s="335" t="s">
        <v>2871</v>
      </c>
      <c r="L1431" s="335">
        <v>3</v>
      </c>
      <c r="M1431" s="335" t="s">
        <v>2874</v>
      </c>
      <c r="N1431" s="339">
        <v>3.25</v>
      </c>
      <c r="O1431" s="341">
        <v>5</v>
      </c>
      <c r="P1431" s="341">
        <v>260</v>
      </c>
      <c r="Q1431" s="341">
        <v>1300</v>
      </c>
      <c r="R1431" s="342">
        <v>18.010000000000002</v>
      </c>
      <c r="S1431" s="342" t="s">
        <v>25</v>
      </c>
    </row>
    <row r="1432" spans="1:19" ht="14.25" customHeight="1" x14ac:dyDescent="0.3">
      <c r="A1432" s="335" t="s">
        <v>2866</v>
      </c>
      <c r="B1432" s="335" t="s">
        <v>26</v>
      </c>
      <c r="C1432" s="335" t="s">
        <v>27</v>
      </c>
      <c r="D1432" s="335" t="s">
        <v>786</v>
      </c>
      <c r="E1432" s="336" t="s">
        <v>787</v>
      </c>
      <c r="F1432" s="336" t="s">
        <v>35</v>
      </c>
      <c r="G1432" s="337">
        <v>2</v>
      </c>
      <c r="H1432" s="338">
        <v>0.1</v>
      </c>
      <c r="I1432" s="339">
        <v>184.87</v>
      </c>
      <c r="J1432" s="340">
        <v>406.714</v>
      </c>
      <c r="K1432" s="335" t="s">
        <v>2871</v>
      </c>
      <c r="L1432" s="335">
        <v>4</v>
      </c>
      <c r="M1432" s="335" t="s">
        <v>2875</v>
      </c>
      <c r="N1432" s="339">
        <v>3.25</v>
      </c>
      <c r="O1432" s="341">
        <v>2</v>
      </c>
      <c r="P1432" s="341">
        <v>260</v>
      </c>
      <c r="Q1432" s="341">
        <v>520</v>
      </c>
      <c r="R1432" s="342">
        <v>18.010000000000002</v>
      </c>
      <c r="S1432" s="342" t="s">
        <v>25</v>
      </c>
    </row>
    <row r="1433" spans="1:19" ht="14.25" customHeight="1" x14ac:dyDescent="0.3">
      <c r="A1433" s="335" t="s">
        <v>2866</v>
      </c>
      <c r="B1433" s="335" t="s">
        <v>26</v>
      </c>
      <c r="C1433" s="335" t="s">
        <v>27</v>
      </c>
      <c r="D1433" s="335" t="s">
        <v>789</v>
      </c>
      <c r="E1433" s="336" t="s">
        <v>790</v>
      </c>
      <c r="F1433" s="336" t="s">
        <v>744</v>
      </c>
      <c r="G1433" s="337">
        <v>7.5</v>
      </c>
      <c r="H1433" s="338">
        <v>0.1</v>
      </c>
      <c r="I1433" s="339">
        <v>316.44450000000001</v>
      </c>
      <c r="J1433" s="340">
        <v>2610.6671249999999</v>
      </c>
      <c r="K1433" s="335" t="s">
        <v>2871</v>
      </c>
      <c r="L1433" s="335">
        <v>5</v>
      </c>
      <c r="M1433" s="335" t="s">
        <v>2876</v>
      </c>
      <c r="N1433" s="339">
        <v>3.25</v>
      </c>
      <c r="O1433" s="341">
        <v>7.5</v>
      </c>
      <c r="P1433" s="341">
        <v>260</v>
      </c>
      <c r="Q1433" s="341">
        <v>1950</v>
      </c>
      <c r="R1433" s="342">
        <v>18.010000000000002</v>
      </c>
      <c r="S1433" s="342" t="s">
        <v>25</v>
      </c>
    </row>
    <row r="1434" spans="1:19" ht="14.25" customHeight="1" x14ac:dyDescent="0.3">
      <c r="A1434" s="335" t="s">
        <v>2866</v>
      </c>
      <c r="B1434" s="335" t="s">
        <v>26</v>
      </c>
      <c r="C1434" s="335" t="s">
        <v>27</v>
      </c>
      <c r="D1434" s="335" t="s">
        <v>792</v>
      </c>
      <c r="E1434" s="336" t="s">
        <v>793</v>
      </c>
      <c r="F1434" s="336" t="s">
        <v>744</v>
      </c>
      <c r="G1434" s="337">
        <v>5</v>
      </c>
      <c r="H1434" s="338">
        <v>0.1</v>
      </c>
      <c r="I1434" s="339">
        <v>509.31490000000002</v>
      </c>
      <c r="J1434" s="340">
        <v>2801.2319499999999</v>
      </c>
      <c r="K1434" s="335" t="s">
        <v>2871</v>
      </c>
      <c r="L1434" s="335">
        <v>6</v>
      </c>
      <c r="M1434" s="335" t="s">
        <v>2877</v>
      </c>
      <c r="N1434" s="339">
        <v>3.25</v>
      </c>
      <c r="O1434" s="341">
        <v>5</v>
      </c>
      <c r="P1434" s="341">
        <v>260</v>
      </c>
      <c r="Q1434" s="341">
        <v>1300</v>
      </c>
      <c r="R1434" s="342">
        <v>18.010000000000002</v>
      </c>
      <c r="S1434" s="342" t="s">
        <v>25</v>
      </c>
    </row>
    <row r="1435" spans="1:19" ht="14.25" customHeight="1" x14ac:dyDescent="0.3">
      <c r="A1435" s="335" t="s">
        <v>2866</v>
      </c>
      <c r="B1435" s="335" t="s">
        <v>26</v>
      </c>
      <c r="C1435" s="335" t="s">
        <v>27</v>
      </c>
      <c r="D1435" s="335" t="s">
        <v>795</v>
      </c>
      <c r="E1435" s="336" t="s">
        <v>796</v>
      </c>
      <c r="F1435" s="336" t="s">
        <v>744</v>
      </c>
      <c r="G1435" s="337">
        <v>7.5</v>
      </c>
      <c r="H1435" s="338">
        <v>0.1</v>
      </c>
      <c r="I1435" s="339">
        <v>509.31490000000002</v>
      </c>
      <c r="J1435" s="340">
        <v>4201.847925</v>
      </c>
      <c r="K1435" s="335" t="s">
        <v>2871</v>
      </c>
      <c r="L1435" s="335">
        <v>7</v>
      </c>
      <c r="M1435" s="335" t="s">
        <v>2878</v>
      </c>
      <c r="N1435" s="339">
        <v>3.25</v>
      </c>
      <c r="O1435" s="341">
        <v>7.5</v>
      </c>
      <c r="P1435" s="341">
        <v>260</v>
      </c>
      <c r="Q1435" s="341">
        <v>1950</v>
      </c>
      <c r="R1435" s="342">
        <v>18.010000000000002</v>
      </c>
      <c r="S1435" s="342" t="s">
        <v>25</v>
      </c>
    </row>
    <row r="1436" spans="1:19" ht="14.25" customHeight="1" x14ac:dyDescent="0.3">
      <c r="A1436" s="335" t="s">
        <v>2866</v>
      </c>
      <c r="B1436" s="335" t="s">
        <v>26</v>
      </c>
      <c r="C1436" s="335" t="s">
        <v>27</v>
      </c>
      <c r="D1436" s="335" t="s">
        <v>874</v>
      </c>
      <c r="E1436" s="336" t="s">
        <v>875</v>
      </c>
      <c r="F1436" s="336" t="s">
        <v>35</v>
      </c>
      <c r="G1436" s="337">
        <v>1</v>
      </c>
      <c r="H1436" s="338">
        <v>0.05</v>
      </c>
      <c r="I1436" s="339">
        <v>2148.7603305785101</v>
      </c>
      <c r="J1436" s="340">
        <v>2256.19834710744</v>
      </c>
      <c r="K1436" s="335" t="s">
        <v>2871</v>
      </c>
      <c r="L1436" s="335">
        <v>8</v>
      </c>
      <c r="M1436" s="335" t="s">
        <v>2879</v>
      </c>
      <c r="N1436" s="339">
        <v>3.25</v>
      </c>
      <c r="O1436" s="341">
        <v>1</v>
      </c>
      <c r="P1436" s="341">
        <v>260</v>
      </c>
      <c r="Q1436" s="341">
        <v>260</v>
      </c>
      <c r="R1436" s="342">
        <v>18.010000000000002</v>
      </c>
      <c r="S1436" s="342" t="s">
        <v>25</v>
      </c>
    </row>
    <row r="1437" spans="1:19" ht="14.25" customHeight="1" x14ac:dyDescent="0.3">
      <c r="A1437" s="335" t="s">
        <v>2866</v>
      </c>
      <c r="B1437" s="335" t="s">
        <v>26</v>
      </c>
      <c r="C1437" s="335" t="s">
        <v>27</v>
      </c>
      <c r="D1437" s="335" t="s">
        <v>801</v>
      </c>
      <c r="E1437" s="336" t="s">
        <v>802</v>
      </c>
      <c r="F1437" s="336" t="s">
        <v>35</v>
      </c>
      <c r="G1437" s="337">
        <v>0.5</v>
      </c>
      <c r="H1437" s="338">
        <v>0.05</v>
      </c>
      <c r="I1437" s="339">
        <v>202.42</v>
      </c>
      <c r="J1437" s="340">
        <v>106.2705</v>
      </c>
      <c r="K1437" s="335" t="s">
        <v>2871</v>
      </c>
      <c r="L1437" s="335">
        <v>9</v>
      </c>
      <c r="M1437" s="335" t="s">
        <v>2880</v>
      </c>
      <c r="N1437" s="339">
        <v>3.25</v>
      </c>
      <c r="O1437" s="341">
        <v>0.5</v>
      </c>
      <c r="P1437" s="341">
        <v>260</v>
      </c>
      <c r="Q1437" s="341">
        <v>130</v>
      </c>
      <c r="R1437" s="342">
        <v>18.010000000000002</v>
      </c>
      <c r="S1437" s="342" t="s">
        <v>25</v>
      </c>
    </row>
    <row r="1438" spans="1:19" ht="14.25" customHeight="1" x14ac:dyDescent="0.3">
      <c r="A1438" s="335" t="s">
        <v>2866</v>
      </c>
      <c r="B1438" s="335" t="s">
        <v>56</v>
      </c>
      <c r="C1438" s="335" t="s">
        <v>27</v>
      </c>
      <c r="D1438" s="335" t="s">
        <v>2881</v>
      </c>
      <c r="E1438" s="336" t="s">
        <v>2882</v>
      </c>
      <c r="F1438" s="336" t="s">
        <v>60</v>
      </c>
      <c r="G1438" s="337">
        <v>3.25</v>
      </c>
      <c r="H1438" s="338">
        <v>0</v>
      </c>
      <c r="I1438" s="339">
        <v>35416.5</v>
      </c>
      <c r="J1438" s="340">
        <v>115103.625</v>
      </c>
      <c r="K1438" s="335" t="s">
        <v>2883</v>
      </c>
      <c r="L1438" s="335">
        <v>1</v>
      </c>
      <c r="M1438" s="335" t="s">
        <v>2884</v>
      </c>
      <c r="N1438" s="339">
        <v>3.25</v>
      </c>
      <c r="O1438" s="341">
        <v>3.25</v>
      </c>
      <c r="P1438" s="341">
        <v>260</v>
      </c>
      <c r="Q1438" s="341">
        <v>845</v>
      </c>
      <c r="R1438" s="342">
        <v>18.010000000000002</v>
      </c>
      <c r="S1438" s="342" t="s">
        <v>25</v>
      </c>
    </row>
    <row r="1439" spans="1:19" ht="14.25" customHeight="1" x14ac:dyDescent="0.3">
      <c r="A1439" s="335" t="s">
        <v>2885</v>
      </c>
      <c r="B1439" s="335" t="s">
        <v>56</v>
      </c>
      <c r="C1439" s="335" t="s">
        <v>27</v>
      </c>
      <c r="D1439" s="335" t="s">
        <v>2881</v>
      </c>
      <c r="E1439" s="336" t="s">
        <v>2882</v>
      </c>
      <c r="F1439" s="336" t="s">
        <v>60</v>
      </c>
      <c r="G1439" s="337">
        <v>3.25</v>
      </c>
      <c r="H1439" s="338">
        <v>0</v>
      </c>
      <c r="I1439" s="339">
        <v>35416.5</v>
      </c>
      <c r="J1439" s="340">
        <v>115103.625</v>
      </c>
      <c r="K1439" s="335" t="s">
        <v>2886</v>
      </c>
      <c r="L1439" s="335">
        <v>1</v>
      </c>
      <c r="M1439" s="335" t="s">
        <v>2887</v>
      </c>
      <c r="N1439" s="339">
        <v>3.25</v>
      </c>
      <c r="O1439" s="341">
        <v>3.25</v>
      </c>
      <c r="P1439" s="341">
        <v>62</v>
      </c>
      <c r="Q1439" s="341">
        <v>201.5</v>
      </c>
      <c r="R1439" s="342">
        <v>18.02</v>
      </c>
      <c r="S1439" s="342" t="s">
        <v>25</v>
      </c>
    </row>
    <row r="1440" spans="1:19" ht="14.25" customHeight="1" x14ac:dyDescent="0.3">
      <c r="A1440" s="335" t="s">
        <v>2885</v>
      </c>
      <c r="B1440" s="335" t="s">
        <v>20</v>
      </c>
      <c r="C1440" s="335"/>
      <c r="D1440" s="335" t="s">
        <v>67</v>
      </c>
      <c r="E1440" s="336" t="s">
        <v>68</v>
      </c>
      <c r="F1440" s="336"/>
      <c r="G1440" s="337">
        <v>0.5</v>
      </c>
      <c r="H1440" s="338">
        <v>0</v>
      </c>
      <c r="I1440" s="339">
        <v>571.17949098076099</v>
      </c>
      <c r="J1440" s="340">
        <v>285.58974549038101</v>
      </c>
      <c r="K1440" s="335" t="s">
        <v>2888</v>
      </c>
      <c r="L1440" s="335">
        <v>1</v>
      </c>
      <c r="M1440" s="335" t="s">
        <v>2889</v>
      </c>
      <c r="N1440" s="339">
        <v>3.25</v>
      </c>
      <c r="O1440" s="341">
        <v>0.5</v>
      </c>
      <c r="P1440" s="341">
        <v>62</v>
      </c>
      <c r="Q1440" s="341">
        <v>31</v>
      </c>
      <c r="R1440" s="342">
        <v>18.02</v>
      </c>
      <c r="S1440" s="342" t="s">
        <v>25</v>
      </c>
    </row>
    <row r="1441" spans="1:19" ht="14.25" customHeight="1" x14ac:dyDescent="0.3">
      <c r="A1441" s="335" t="s">
        <v>2885</v>
      </c>
      <c r="B1441" s="335" t="s">
        <v>20</v>
      </c>
      <c r="C1441" s="335"/>
      <c r="D1441" s="335" t="s">
        <v>775</v>
      </c>
      <c r="E1441" s="336" t="s">
        <v>776</v>
      </c>
      <c r="F1441" s="336"/>
      <c r="G1441" s="337">
        <v>1</v>
      </c>
      <c r="H1441" s="338">
        <v>0</v>
      </c>
      <c r="I1441" s="339">
        <v>5063.0947914732396</v>
      </c>
      <c r="J1441" s="340">
        <v>5063.0947914732396</v>
      </c>
      <c r="K1441" s="335" t="s">
        <v>2888</v>
      </c>
      <c r="L1441" s="335">
        <v>2</v>
      </c>
      <c r="M1441" s="335" t="s">
        <v>2890</v>
      </c>
      <c r="N1441" s="339">
        <v>3.25</v>
      </c>
      <c r="O1441" s="341">
        <v>1</v>
      </c>
      <c r="P1441" s="341">
        <v>62</v>
      </c>
      <c r="Q1441" s="341">
        <v>62</v>
      </c>
      <c r="R1441" s="342">
        <v>18.02</v>
      </c>
      <c r="S1441" s="342" t="s">
        <v>25</v>
      </c>
    </row>
    <row r="1442" spans="1:19" ht="14.25" customHeight="1" x14ac:dyDescent="0.3">
      <c r="A1442" s="335" t="s">
        <v>2885</v>
      </c>
      <c r="B1442" s="335" t="s">
        <v>20</v>
      </c>
      <c r="C1442" s="335"/>
      <c r="D1442" s="335" t="s">
        <v>578</v>
      </c>
      <c r="E1442" s="336" t="s">
        <v>579</v>
      </c>
      <c r="F1442" s="336"/>
      <c r="G1442" s="337">
        <v>0.5</v>
      </c>
      <c r="H1442" s="338">
        <v>0</v>
      </c>
      <c r="I1442" s="339">
        <v>140.198092594309</v>
      </c>
      <c r="J1442" s="340">
        <v>70.099046297154501</v>
      </c>
      <c r="K1442" s="335" t="s">
        <v>2888</v>
      </c>
      <c r="L1442" s="335">
        <v>3</v>
      </c>
      <c r="M1442" s="335" t="s">
        <v>2891</v>
      </c>
      <c r="N1442" s="339">
        <v>3.25</v>
      </c>
      <c r="O1442" s="341">
        <v>0.5</v>
      </c>
      <c r="P1442" s="341">
        <v>62</v>
      </c>
      <c r="Q1442" s="341">
        <v>31</v>
      </c>
      <c r="R1442" s="342">
        <v>18.02</v>
      </c>
      <c r="S1442" s="342" t="s">
        <v>25</v>
      </c>
    </row>
    <row r="1443" spans="1:19" ht="14.25" customHeight="1" x14ac:dyDescent="0.3">
      <c r="A1443" s="335" t="s">
        <v>2885</v>
      </c>
      <c r="B1443" s="335" t="s">
        <v>26</v>
      </c>
      <c r="C1443" s="335" t="s">
        <v>27</v>
      </c>
      <c r="D1443" s="335" t="s">
        <v>96</v>
      </c>
      <c r="E1443" s="336" t="s">
        <v>97</v>
      </c>
      <c r="F1443" s="336" t="s">
        <v>98</v>
      </c>
      <c r="G1443" s="337">
        <v>3100.945995</v>
      </c>
      <c r="H1443" s="338">
        <v>0</v>
      </c>
      <c r="I1443" s="339">
        <v>1</v>
      </c>
      <c r="J1443" s="340">
        <v>3100.945995</v>
      </c>
      <c r="K1443" s="335" t="s">
        <v>2892</v>
      </c>
      <c r="L1443" s="335">
        <v>1</v>
      </c>
      <c r="M1443" s="335" t="s">
        <v>2893</v>
      </c>
      <c r="N1443" s="339">
        <v>3.25</v>
      </c>
      <c r="O1443" s="341">
        <v>3100.945995</v>
      </c>
      <c r="P1443" s="341">
        <v>62</v>
      </c>
      <c r="Q1443" s="341">
        <v>192258.65169</v>
      </c>
      <c r="R1443" s="342">
        <v>18.02</v>
      </c>
      <c r="S1443" s="342" t="s">
        <v>25</v>
      </c>
    </row>
    <row r="1444" spans="1:19" ht="14.25" customHeight="1" x14ac:dyDescent="0.3">
      <c r="A1444" s="335" t="s">
        <v>2885</v>
      </c>
      <c r="B1444" s="335" t="s">
        <v>26</v>
      </c>
      <c r="C1444" s="335" t="s">
        <v>27</v>
      </c>
      <c r="D1444" s="335" t="s">
        <v>779</v>
      </c>
      <c r="E1444" s="336" t="s">
        <v>780</v>
      </c>
      <c r="F1444" s="336" t="s">
        <v>35</v>
      </c>
      <c r="G1444" s="337">
        <v>3</v>
      </c>
      <c r="H1444" s="338">
        <v>0.1</v>
      </c>
      <c r="I1444" s="339">
        <v>282.29000000000002</v>
      </c>
      <c r="J1444" s="340">
        <v>931.55700000000002</v>
      </c>
      <c r="K1444" s="335" t="s">
        <v>2892</v>
      </c>
      <c r="L1444" s="335">
        <v>2</v>
      </c>
      <c r="M1444" s="335" t="s">
        <v>2894</v>
      </c>
      <c r="N1444" s="339">
        <v>3.25</v>
      </c>
      <c r="O1444" s="341">
        <v>3</v>
      </c>
      <c r="P1444" s="341">
        <v>62</v>
      </c>
      <c r="Q1444" s="341">
        <v>186</v>
      </c>
      <c r="R1444" s="342">
        <v>18.02</v>
      </c>
      <c r="S1444" s="342" t="s">
        <v>25</v>
      </c>
    </row>
    <row r="1445" spans="1:19" ht="14.25" customHeight="1" x14ac:dyDescent="0.3">
      <c r="A1445" s="335" t="s">
        <v>2885</v>
      </c>
      <c r="B1445" s="335" t="s">
        <v>26</v>
      </c>
      <c r="C1445" s="335" t="s">
        <v>27</v>
      </c>
      <c r="D1445" s="335" t="s">
        <v>783</v>
      </c>
      <c r="E1445" s="336" t="s">
        <v>784</v>
      </c>
      <c r="F1445" s="336" t="s">
        <v>744</v>
      </c>
      <c r="G1445" s="337">
        <v>5</v>
      </c>
      <c r="H1445" s="338">
        <v>0.1</v>
      </c>
      <c r="I1445" s="339">
        <v>635.55999999999995</v>
      </c>
      <c r="J1445" s="340">
        <v>3495.58</v>
      </c>
      <c r="K1445" s="335" t="s">
        <v>2892</v>
      </c>
      <c r="L1445" s="335">
        <v>3</v>
      </c>
      <c r="M1445" s="335" t="s">
        <v>2895</v>
      </c>
      <c r="N1445" s="339">
        <v>3.25</v>
      </c>
      <c r="O1445" s="341">
        <v>5</v>
      </c>
      <c r="P1445" s="341">
        <v>62</v>
      </c>
      <c r="Q1445" s="341">
        <v>310</v>
      </c>
      <c r="R1445" s="342">
        <v>18.02</v>
      </c>
      <c r="S1445" s="342" t="s">
        <v>25</v>
      </c>
    </row>
    <row r="1446" spans="1:19" ht="14.25" customHeight="1" x14ac:dyDescent="0.3">
      <c r="A1446" s="335" t="s">
        <v>2885</v>
      </c>
      <c r="B1446" s="335" t="s">
        <v>26</v>
      </c>
      <c r="C1446" s="335" t="s">
        <v>27</v>
      </c>
      <c r="D1446" s="335" t="s">
        <v>786</v>
      </c>
      <c r="E1446" s="336" t="s">
        <v>787</v>
      </c>
      <c r="F1446" s="336" t="s">
        <v>35</v>
      </c>
      <c r="G1446" s="337">
        <v>2</v>
      </c>
      <c r="H1446" s="338">
        <v>0.1</v>
      </c>
      <c r="I1446" s="339">
        <v>184.87</v>
      </c>
      <c r="J1446" s="340">
        <v>406.714</v>
      </c>
      <c r="K1446" s="335" t="s">
        <v>2892</v>
      </c>
      <c r="L1446" s="335">
        <v>4</v>
      </c>
      <c r="M1446" s="335" t="s">
        <v>2896</v>
      </c>
      <c r="N1446" s="339">
        <v>3.25</v>
      </c>
      <c r="O1446" s="341">
        <v>2</v>
      </c>
      <c r="P1446" s="341">
        <v>62</v>
      </c>
      <c r="Q1446" s="341">
        <v>124</v>
      </c>
      <c r="R1446" s="342">
        <v>18.02</v>
      </c>
      <c r="S1446" s="342" t="s">
        <v>25</v>
      </c>
    </row>
    <row r="1447" spans="1:19" ht="14.25" customHeight="1" x14ac:dyDescent="0.3">
      <c r="A1447" s="335" t="s">
        <v>2885</v>
      </c>
      <c r="B1447" s="335" t="s">
        <v>26</v>
      </c>
      <c r="C1447" s="335" t="s">
        <v>27</v>
      </c>
      <c r="D1447" s="335" t="s">
        <v>789</v>
      </c>
      <c r="E1447" s="336" t="s">
        <v>790</v>
      </c>
      <c r="F1447" s="336" t="s">
        <v>744</v>
      </c>
      <c r="G1447" s="337">
        <v>7.5</v>
      </c>
      <c r="H1447" s="338">
        <v>0.1</v>
      </c>
      <c r="I1447" s="339">
        <v>316.44450000000001</v>
      </c>
      <c r="J1447" s="340">
        <v>2610.6671249999999</v>
      </c>
      <c r="K1447" s="335" t="s">
        <v>2892</v>
      </c>
      <c r="L1447" s="335">
        <v>5</v>
      </c>
      <c r="M1447" s="335" t="s">
        <v>2897</v>
      </c>
      <c r="N1447" s="339">
        <v>3.25</v>
      </c>
      <c r="O1447" s="341">
        <v>7.5</v>
      </c>
      <c r="P1447" s="341">
        <v>62</v>
      </c>
      <c r="Q1447" s="341">
        <v>465</v>
      </c>
      <c r="R1447" s="342">
        <v>18.02</v>
      </c>
      <c r="S1447" s="342" t="s">
        <v>25</v>
      </c>
    </row>
    <row r="1448" spans="1:19" ht="14.25" customHeight="1" x14ac:dyDescent="0.3">
      <c r="A1448" s="335" t="s">
        <v>2885</v>
      </c>
      <c r="B1448" s="335" t="s">
        <v>26</v>
      </c>
      <c r="C1448" s="335" t="s">
        <v>27</v>
      </c>
      <c r="D1448" s="335" t="s">
        <v>792</v>
      </c>
      <c r="E1448" s="336" t="s">
        <v>793</v>
      </c>
      <c r="F1448" s="336" t="s">
        <v>744</v>
      </c>
      <c r="G1448" s="337">
        <v>5</v>
      </c>
      <c r="H1448" s="338">
        <v>0.1</v>
      </c>
      <c r="I1448" s="339">
        <v>509.31490000000002</v>
      </c>
      <c r="J1448" s="340">
        <v>2801.2319499999999</v>
      </c>
      <c r="K1448" s="335" t="s">
        <v>2892</v>
      </c>
      <c r="L1448" s="335">
        <v>6</v>
      </c>
      <c r="M1448" s="335" t="s">
        <v>2898</v>
      </c>
      <c r="N1448" s="339">
        <v>3.25</v>
      </c>
      <c r="O1448" s="341">
        <v>5</v>
      </c>
      <c r="P1448" s="341">
        <v>62</v>
      </c>
      <c r="Q1448" s="341">
        <v>310</v>
      </c>
      <c r="R1448" s="342">
        <v>18.02</v>
      </c>
      <c r="S1448" s="342" t="s">
        <v>25</v>
      </c>
    </row>
    <row r="1449" spans="1:19" ht="14.25" customHeight="1" x14ac:dyDescent="0.3">
      <c r="A1449" s="335" t="s">
        <v>2885</v>
      </c>
      <c r="B1449" s="335" t="s">
        <v>26</v>
      </c>
      <c r="C1449" s="335" t="s">
        <v>27</v>
      </c>
      <c r="D1449" s="335" t="s">
        <v>795</v>
      </c>
      <c r="E1449" s="336" t="s">
        <v>796</v>
      </c>
      <c r="F1449" s="336" t="s">
        <v>744</v>
      </c>
      <c r="G1449" s="337">
        <v>7.5</v>
      </c>
      <c r="H1449" s="338">
        <v>0.1</v>
      </c>
      <c r="I1449" s="339">
        <v>509.31490000000002</v>
      </c>
      <c r="J1449" s="340">
        <v>4201.847925</v>
      </c>
      <c r="K1449" s="335" t="s">
        <v>2892</v>
      </c>
      <c r="L1449" s="335">
        <v>7</v>
      </c>
      <c r="M1449" s="335" t="s">
        <v>2899</v>
      </c>
      <c r="N1449" s="339">
        <v>3.25</v>
      </c>
      <c r="O1449" s="341">
        <v>7.5</v>
      </c>
      <c r="P1449" s="341">
        <v>62</v>
      </c>
      <c r="Q1449" s="341">
        <v>465</v>
      </c>
      <c r="R1449" s="342">
        <v>18.02</v>
      </c>
      <c r="S1449" s="342" t="s">
        <v>25</v>
      </c>
    </row>
    <row r="1450" spans="1:19" ht="14.25" customHeight="1" x14ac:dyDescent="0.3">
      <c r="A1450" s="335" t="s">
        <v>2885</v>
      </c>
      <c r="B1450" s="335" t="s">
        <v>26</v>
      </c>
      <c r="C1450" s="335" t="s">
        <v>27</v>
      </c>
      <c r="D1450" s="335" t="s">
        <v>798</v>
      </c>
      <c r="E1450" s="336" t="s">
        <v>799</v>
      </c>
      <c r="F1450" s="336" t="s">
        <v>35</v>
      </c>
      <c r="G1450" s="337">
        <v>1</v>
      </c>
      <c r="H1450" s="338">
        <v>0.05</v>
      </c>
      <c r="I1450" s="339">
        <v>202.42</v>
      </c>
      <c r="J1450" s="340">
        <v>212.541</v>
      </c>
      <c r="K1450" s="335" t="s">
        <v>2892</v>
      </c>
      <c r="L1450" s="335">
        <v>8</v>
      </c>
      <c r="M1450" s="335" t="s">
        <v>2900</v>
      </c>
      <c r="N1450" s="339">
        <v>3.25</v>
      </c>
      <c r="O1450" s="341">
        <v>1</v>
      </c>
      <c r="P1450" s="341">
        <v>62</v>
      </c>
      <c r="Q1450" s="341">
        <v>62</v>
      </c>
      <c r="R1450" s="342">
        <v>18.02</v>
      </c>
      <c r="S1450" s="342" t="s">
        <v>25</v>
      </c>
    </row>
    <row r="1451" spans="1:19" ht="14.25" customHeight="1" x14ac:dyDescent="0.3">
      <c r="A1451" s="335" t="s">
        <v>2885</v>
      </c>
      <c r="B1451" s="335" t="s">
        <v>26</v>
      </c>
      <c r="C1451" s="335" t="s">
        <v>27</v>
      </c>
      <c r="D1451" s="335" t="s">
        <v>801</v>
      </c>
      <c r="E1451" s="336" t="s">
        <v>802</v>
      </c>
      <c r="F1451" s="336" t="s">
        <v>35</v>
      </c>
      <c r="G1451" s="337">
        <v>0.5</v>
      </c>
      <c r="H1451" s="338">
        <v>0.05</v>
      </c>
      <c r="I1451" s="339">
        <v>202.42</v>
      </c>
      <c r="J1451" s="340">
        <v>106.2705</v>
      </c>
      <c r="K1451" s="335" t="s">
        <v>2892</v>
      </c>
      <c r="L1451" s="335">
        <v>9</v>
      </c>
      <c r="M1451" s="335" t="s">
        <v>2901</v>
      </c>
      <c r="N1451" s="339">
        <v>3.25</v>
      </c>
      <c r="O1451" s="341">
        <v>0.5</v>
      </c>
      <c r="P1451" s="341">
        <v>62</v>
      </c>
      <c r="Q1451" s="341">
        <v>31</v>
      </c>
      <c r="R1451" s="342">
        <v>18.02</v>
      </c>
      <c r="S1451" s="342" t="s">
        <v>25</v>
      </c>
    </row>
    <row r="1452" spans="1:19" ht="14.25" customHeight="1" x14ac:dyDescent="0.3">
      <c r="A1452" s="335" t="s">
        <v>2902</v>
      </c>
      <c r="B1452" s="335" t="s">
        <v>56</v>
      </c>
      <c r="C1452" s="335" t="s">
        <v>27</v>
      </c>
      <c r="D1452" s="335" t="s">
        <v>2881</v>
      </c>
      <c r="E1452" s="336" t="s">
        <v>2882</v>
      </c>
      <c r="F1452" s="336" t="s">
        <v>60</v>
      </c>
      <c r="G1452" s="337">
        <v>3.25</v>
      </c>
      <c r="H1452" s="338">
        <v>0</v>
      </c>
      <c r="I1452" s="339">
        <v>35416.5</v>
      </c>
      <c r="J1452" s="340">
        <v>115103.625</v>
      </c>
      <c r="K1452" s="335" t="s">
        <v>2903</v>
      </c>
      <c r="L1452" s="335">
        <v>1</v>
      </c>
      <c r="M1452" s="335" t="s">
        <v>2904</v>
      </c>
      <c r="N1452" s="339">
        <v>3.25</v>
      </c>
      <c r="O1452" s="341">
        <v>3.25</v>
      </c>
      <c r="P1452" s="341" t="s">
        <v>25</v>
      </c>
      <c r="Q1452" s="341">
        <v>0</v>
      </c>
      <c r="R1452" s="342" t="s">
        <v>25</v>
      </c>
      <c r="S1452" s="342" t="s">
        <v>25</v>
      </c>
    </row>
    <row r="1453" spans="1:19" ht="14.25" customHeight="1" x14ac:dyDescent="0.3">
      <c r="A1453" s="335" t="s">
        <v>2905</v>
      </c>
      <c r="B1453" s="335" t="s">
        <v>56</v>
      </c>
      <c r="C1453" s="335" t="s">
        <v>27</v>
      </c>
      <c r="D1453" s="335" t="s">
        <v>2881</v>
      </c>
      <c r="E1453" s="336" t="s">
        <v>2882</v>
      </c>
      <c r="F1453" s="336" t="s">
        <v>60</v>
      </c>
      <c r="G1453" s="337">
        <v>3.25</v>
      </c>
      <c r="H1453" s="338">
        <v>0</v>
      </c>
      <c r="I1453" s="339">
        <v>35416.5</v>
      </c>
      <c r="J1453" s="340">
        <v>115103.625</v>
      </c>
      <c r="K1453" s="335" t="s">
        <v>2906</v>
      </c>
      <c r="L1453" s="335">
        <v>1</v>
      </c>
      <c r="M1453" s="335" t="s">
        <v>2907</v>
      </c>
      <c r="N1453" s="339">
        <v>3.25</v>
      </c>
      <c r="O1453" s="341">
        <v>3.25</v>
      </c>
      <c r="P1453" s="341" t="s">
        <v>25</v>
      </c>
      <c r="Q1453" s="341">
        <v>0</v>
      </c>
      <c r="R1453" s="342" t="s">
        <v>25</v>
      </c>
      <c r="S1453" s="342" t="s">
        <v>25</v>
      </c>
    </row>
    <row r="1454" spans="1:19" ht="14.25" customHeight="1" x14ac:dyDescent="0.3">
      <c r="A1454" s="335" t="s">
        <v>2902</v>
      </c>
      <c r="B1454" s="335" t="s">
        <v>20</v>
      </c>
      <c r="C1454" s="335"/>
      <c r="D1454" s="335" t="s">
        <v>67</v>
      </c>
      <c r="E1454" s="336" t="s">
        <v>68</v>
      </c>
      <c r="F1454" s="336"/>
      <c r="G1454" s="337">
        <v>0.5</v>
      </c>
      <c r="H1454" s="338">
        <v>0</v>
      </c>
      <c r="I1454" s="339">
        <v>571.17949098076099</v>
      </c>
      <c r="J1454" s="340">
        <v>285.58974549038101</v>
      </c>
      <c r="K1454" s="335" t="s">
        <v>2908</v>
      </c>
      <c r="L1454" s="335">
        <v>1</v>
      </c>
      <c r="M1454" s="335" t="s">
        <v>2909</v>
      </c>
      <c r="N1454" s="339">
        <v>3.25</v>
      </c>
      <c r="O1454" s="341">
        <v>0.5</v>
      </c>
      <c r="P1454" s="341" t="s">
        <v>25</v>
      </c>
      <c r="Q1454" s="341">
        <v>0</v>
      </c>
      <c r="R1454" s="342" t="s">
        <v>25</v>
      </c>
      <c r="S1454" s="342" t="s">
        <v>25</v>
      </c>
    </row>
    <row r="1455" spans="1:19" ht="14.25" customHeight="1" x14ac:dyDescent="0.3">
      <c r="A1455" s="335" t="s">
        <v>2902</v>
      </c>
      <c r="B1455" s="335" t="s">
        <v>20</v>
      </c>
      <c r="C1455" s="335"/>
      <c r="D1455" s="335" t="s">
        <v>775</v>
      </c>
      <c r="E1455" s="336" t="s">
        <v>776</v>
      </c>
      <c r="F1455" s="336"/>
      <c r="G1455" s="337">
        <v>1</v>
      </c>
      <c r="H1455" s="338">
        <v>0</v>
      </c>
      <c r="I1455" s="339">
        <v>5063.0947914732396</v>
      </c>
      <c r="J1455" s="340">
        <v>5063.0947914732396</v>
      </c>
      <c r="K1455" s="335" t="s">
        <v>2908</v>
      </c>
      <c r="L1455" s="335">
        <v>2</v>
      </c>
      <c r="M1455" s="335" t="s">
        <v>2910</v>
      </c>
      <c r="N1455" s="339">
        <v>3.25</v>
      </c>
      <c r="O1455" s="341">
        <v>1</v>
      </c>
      <c r="P1455" s="341" t="s">
        <v>25</v>
      </c>
      <c r="Q1455" s="341">
        <v>0</v>
      </c>
      <c r="R1455" s="342" t="s">
        <v>25</v>
      </c>
      <c r="S1455" s="342" t="s">
        <v>25</v>
      </c>
    </row>
    <row r="1456" spans="1:19" ht="14.25" customHeight="1" x14ac:dyDescent="0.3">
      <c r="A1456" s="335" t="s">
        <v>2902</v>
      </c>
      <c r="B1456" s="335" t="s">
        <v>20</v>
      </c>
      <c r="C1456" s="335"/>
      <c r="D1456" s="335" t="s">
        <v>578</v>
      </c>
      <c r="E1456" s="336" t="s">
        <v>579</v>
      </c>
      <c r="F1456" s="336"/>
      <c r="G1456" s="337">
        <v>0.5</v>
      </c>
      <c r="H1456" s="338">
        <v>0</v>
      </c>
      <c r="I1456" s="339">
        <v>140.198092594309</v>
      </c>
      <c r="J1456" s="340">
        <v>70.099046297154501</v>
      </c>
      <c r="K1456" s="335" t="s">
        <v>2908</v>
      </c>
      <c r="L1456" s="335">
        <v>3</v>
      </c>
      <c r="M1456" s="335" t="s">
        <v>2911</v>
      </c>
      <c r="N1456" s="339">
        <v>3.25</v>
      </c>
      <c r="O1456" s="341">
        <v>0.5</v>
      </c>
      <c r="P1456" s="341" t="s">
        <v>25</v>
      </c>
      <c r="Q1456" s="341">
        <v>0</v>
      </c>
      <c r="R1456" s="342" t="s">
        <v>25</v>
      </c>
      <c r="S1456" s="342" t="s">
        <v>25</v>
      </c>
    </row>
    <row r="1457" spans="1:19" ht="14.25" customHeight="1" x14ac:dyDescent="0.3">
      <c r="A1457" s="335" t="s">
        <v>2902</v>
      </c>
      <c r="B1457" s="335" t="s">
        <v>26</v>
      </c>
      <c r="C1457" s="335" t="s">
        <v>27</v>
      </c>
      <c r="D1457" s="335" t="s">
        <v>779</v>
      </c>
      <c r="E1457" s="336" t="s">
        <v>780</v>
      </c>
      <c r="F1457" s="336" t="s">
        <v>35</v>
      </c>
      <c r="G1457" s="337">
        <v>3</v>
      </c>
      <c r="H1457" s="338">
        <v>0.1</v>
      </c>
      <c r="I1457" s="339">
        <v>282.29000000000002</v>
      </c>
      <c r="J1457" s="340">
        <v>931.55700000000002</v>
      </c>
      <c r="K1457" s="335" t="s">
        <v>2912</v>
      </c>
      <c r="L1457" s="335">
        <v>1</v>
      </c>
      <c r="M1457" s="335" t="s">
        <v>2913</v>
      </c>
      <c r="N1457" s="339">
        <v>3.25</v>
      </c>
      <c r="O1457" s="341">
        <v>3</v>
      </c>
      <c r="P1457" s="341" t="s">
        <v>25</v>
      </c>
      <c r="Q1457" s="341">
        <v>0</v>
      </c>
      <c r="R1457" s="342" t="s">
        <v>25</v>
      </c>
      <c r="S1457" s="342" t="s">
        <v>25</v>
      </c>
    </row>
    <row r="1458" spans="1:19" ht="14.25" customHeight="1" x14ac:dyDescent="0.3">
      <c r="A1458" s="335" t="s">
        <v>2902</v>
      </c>
      <c r="B1458" s="335" t="s">
        <v>26</v>
      </c>
      <c r="C1458" s="335" t="s">
        <v>27</v>
      </c>
      <c r="D1458" s="335" t="s">
        <v>783</v>
      </c>
      <c r="E1458" s="336" t="s">
        <v>784</v>
      </c>
      <c r="F1458" s="336" t="s">
        <v>744</v>
      </c>
      <c r="G1458" s="337">
        <v>5</v>
      </c>
      <c r="H1458" s="338">
        <v>0.1</v>
      </c>
      <c r="I1458" s="339">
        <v>635.55999999999995</v>
      </c>
      <c r="J1458" s="340">
        <v>3495.58</v>
      </c>
      <c r="K1458" s="335" t="s">
        <v>2912</v>
      </c>
      <c r="L1458" s="335">
        <v>2</v>
      </c>
      <c r="M1458" s="335" t="s">
        <v>2914</v>
      </c>
      <c r="N1458" s="339">
        <v>3.25</v>
      </c>
      <c r="O1458" s="341">
        <v>5</v>
      </c>
      <c r="P1458" s="341" t="s">
        <v>25</v>
      </c>
      <c r="Q1458" s="341">
        <v>0</v>
      </c>
      <c r="R1458" s="342" t="s">
        <v>25</v>
      </c>
      <c r="S1458" s="342" t="s">
        <v>25</v>
      </c>
    </row>
    <row r="1459" spans="1:19" ht="14.25" customHeight="1" x14ac:dyDescent="0.3">
      <c r="A1459" s="335" t="s">
        <v>2902</v>
      </c>
      <c r="B1459" s="335" t="s">
        <v>26</v>
      </c>
      <c r="C1459" s="335" t="s">
        <v>27</v>
      </c>
      <c r="D1459" s="335" t="s">
        <v>786</v>
      </c>
      <c r="E1459" s="336" t="s">
        <v>787</v>
      </c>
      <c r="F1459" s="336" t="s">
        <v>35</v>
      </c>
      <c r="G1459" s="337">
        <v>2</v>
      </c>
      <c r="H1459" s="338">
        <v>0.1</v>
      </c>
      <c r="I1459" s="339">
        <v>184.87</v>
      </c>
      <c r="J1459" s="340">
        <v>406.714</v>
      </c>
      <c r="K1459" s="335" t="s">
        <v>2912</v>
      </c>
      <c r="L1459" s="335">
        <v>3</v>
      </c>
      <c r="M1459" s="335" t="s">
        <v>2915</v>
      </c>
      <c r="N1459" s="339">
        <v>3.25</v>
      </c>
      <c r="O1459" s="341">
        <v>2</v>
      </c>
      <c r="P1459" s="341" t="s">
        <v>25</v>
      </c>
      <c r="Q1459" s="341">
        <v>0</v>
      </c>
      <c r="R1459" s="342" t="s">
        <v>25</v>
      </c>
      <c r="S1459" s="342" t="s">
        <v>25</v>
      </c>
    </row>
    <row r="1460" spans="1:19" ht="14.25" customHeight="1" x14ac:dyDescent="0.3">
      <c r="A1460" s="335" t="s">
        <v>2902</v>
      </c>
      <c r="B1460" s="335" t="s">
        <v>26</v>
      </c>
      <c r="C1460" s="335" t="s">
        <v>27</v>
      </c>
      <c r="D1460" s="335" t="s">
        <v>789</v>
      </c>
      <c r="E1460" s="336" t="s">
        <v>790</v>
      </c>
      <c r="F1460" s="336" t="s">
        <v>744</v>
      </c>
      <c r="G1460" s="337">
        <v>7.5</v>
      </c>
      <c r="H1460" s="338">
        <v>0.1</v>
      </c>
      <c r="I1460" s="339">
        <v>316.44450000000001</v>
      </c>
      <c r="J1460" s="340">
        <v>2610.6671249999999</v>
      </c>
      <c r="K1460" s="335" t="s">
        <v>2912</v>
      </c>
      <c r="L1460" s="335">
        <v>4</v>
      </c>
      <c r="M1460" s="335" t="s">
        <v>2916</v>
      </c>
      <c r="N1460" s="339">
        <v>3.25</v>
      </c>
      <c r="O1460" s="341">
        <v>7.5</v>
      </c>
      <c r="P1460" s="341" t="s">
        <v>25</v>
      </c>
      <c r="Q1460" s="341">
        <v>0</v>
      </c>
      <c r="R1460" s="342" t="s">
        <v>25</v>
      </c>
      <c r="S1460" s="342" t="s">
        <v>25</v>
      </c>
    </row>
    <row r="1461" spans="1:19" ht="14.25" customHeight="1" x14ac:dyDescent="0.3">
      <c r="A1461" s="335" t="s">
        <v>2902</v>
      </c>
      <c r="B1461" s="335" t="s">
        <v>26</v>
      </c>
      <c r="C1461" s="335" t="s">
        <v>27</v>
      </c>
      <c r="D1461" s="335" t="s">
        <v>792</v>
      </c>
      <c r="E1461" s="336" t="s">
        <v>793</v>
      </c>
      <c r="F1461" s="336" t="s">
        <v>744</v>
      </c>
      <c r="G1461" s="337">
        <v>5</v>
      </c>
      <c r="H1461" s="338">
        <v>0.1</v>
      </c>
      <c r="I1461" s="339">
        <v>509.31490000000002</v>
      </c>
      <c r="J1461" s="340">
        <v>2801.2319499999999</v>
      </c>
      <c r="K1461" s="335" t="s">
        <v>2912</v>
      </c>
      <c r="L1461" s="335">
        <v>5</v>
      </c>
      <c r="M1461" s="335" t="s">
        <v>2917</v>
      </c>
      <c r="N1461" s="339">
        <v>3.25</v>
      </c>
      <c r="O1461" s="341">
        <v>5</v>
      </c>
      <c r="P1461" s="341" t="s">
        <v>25</v>
      </c>
      <c r="Q1461" s="341">
        <v>0</v>
      </c>
      <c r="R1461" s="342" t="s">
        <v>25</v>
      </c>
      <c r="S1461" s="342" t="s">
        <v>25</v>
      </c>
    </row>
    <row r="1462" spans="1:19" ht="14.25" customHeight="1" x14ac:dyDescent="0.3">
      <c r="A1462" s="335" t="s">
        <v>2902</v>
      </c>
      <c r="B1462" s="335" t="s">
        <v>26</v>
      </c>
      <c r="C1462" s="335" t="s">
        <v>27</v>
      </c>
      <c r="D1462" s="335" t="s">
        <v>795</v>
      </c>
      <c r="E1462" s="336" t="s">
        <v>796</v>
      </c>
      <c r="F1462" s="336" t="s">
        <v>744</v>
      </c>
      <c r="G1462" s="337">
        <v>7.5</v>
      </c>
      <c r="H1462" s="338">
        <v>0.1</v>
      </c>
      <c r="I1462" s="339">
        <v>509.31490000000002</v>
      </c>
      <c r="J1462" s="340">
        <v>4201.847925</v>
      </c>
      <c r="K1462" s="335" t="s">
        <v>2912</v>
      </c>
      <c r="L1462" s="335">
        <v>6</v>
      </c>
      <c r="M1462" s="335" t="s">
        <v>2918</v>
      </c>
      <c r="N1462" s="339">
        <v>3.25</v>
      </c>
      <c r="O1462" s="341">
        <v>7.5</v>
      </c>
      <c r="P1462" s="341" t="s">
        <v>25</v>
      </c>
      <c r="Q1462" s="341">
        <v>0</v>
      </c>
      <c r="R1462" s="342" t="s">
        <v>25</v>
      </c>
      <c r="S1462" s="342" t="s">
        <v>25</v>
      </c>
    </row>
    <row r="1463" spans="1:19" ht="14.25" customHeight="1" x14ac:dyDescent="0.3">
      <c r="A1463" s="335" t="s">
        <v>2902</v>
      </c>
      <c r="B1463" s="335" t="s">
        <v>26</v>
      </c>
      <c r="C1463" s="335" t="s">
        <v>27</v>
      </c>
      <c r="D1463" s="335" t="s">
        <v>798</v>
      </c>
      <c r="E1463" s="336" t="s">
        <v>799</v>
      </c>
      <c r="F1463" s="336" t="s">
        <v>35</v>
      </c>
      <c r="G1463" s="337">
        <v>1</v>
      </c>
      <c r="H1463" s="338">
        <v>0.05</v>
      </c>
      <c r="I1463" s="339">
        <v>202.42</v>
      </c>
      <c r="J1463" s="340">
        <v>212.541</v>
      </c>
      <c r="K1463" s="335" t="s">
        <v>2912</v>
      </c>
      <c r="L1463" s="335">
        <v>7</v>
      </c>
      <c r="M1463" s="335" t="s">
        <v>2919</v>
      </c>
      <c r="N1463" s="339">
        <v>3.25</v>
      </c>
      <c r="O1463" s="341">
        <v>1</v>
      </c>
      <c r="P1463" s="341" t="s">
        <v>25</v>
      </c>
      <c r="Q1463" s="341">
        <v>0</v>
      </c>
      <c r="R1463" s="342" t="s">
        <v>25</v>
      </c>
      <c r="S1463" s="342" t="s">
        <v>25</v>
      </c>
    </row>
    <row r="1464" spans="1:19" ht="14.25" customHeight="1" x14ac:dyDescent="0.3">
      <c r="A1464" s="335" t="s">
        <v>2902</v>
      </c>
      <c r="B1464" s="335" t="s">
        <v>26</v>
      </c>
      <c r="C1464" s="335" t="s">
        <v>27</v>
      </c>
      <c r="D1464" s="335" t="s">
        <v>801</v>
      </c>
      <c r="E1464" s="336" t="s">
        <v>802</v>
      </c>
      <c r="F1464" s="336" t="s">
        <v>35</v>
      </c>
      <c r="G1464" s="337">
        <v>0.5</v>
      </c>
      <c r="H1464" s="338">
        <v>0.05</v>
      </c>
      <c r="I1464" s="339">
        <v>202.42</v>
      </c>
      <c r="J1464" s="340">
        <v>106.2705</v>
      </c>
      <c r="K1464" s="335" t="s">
        <v>2912</v>
      </c>
      <c r="L1464" s="335">
        <v>8</v>
      </c>
      <c r="M1464" s="335" t="s">
        <v>2920</v>
      </c>
      <c r="N1464" s="339">
        <v>3.25</v>
      </c>
      <c r="O1464" s="341">
        <v>0.5</v>
      </c>
      <c r="P1464" s="341" t="s">
        <v>25</v>
      </c>
      <c r="Q1464" s="341">
        <v>0</v>
      </c>
      <c r="R1464" s="342" t="s">
        <v>25</v>
      </c>
      <c r="S1464" s="342" t="s">
        <v>25</v>
      </c>
    </row>
    <row r="1465" spans="1:19" ht="14.25" customHeight="1" x14ac:dyDescent="0.3">
      <c r="A1465" s="335" t="s">
        <v>2921</v>
      </c>
      <c r="B1465" s="335" t="s">
        <v>56</v>
      </c>
      <c r="C1465" s="335" t="s">
        <v>27</v>
      </c>
      <c r="D1465" s="335" t="s">
        <v>2881</v>
      </c>
      <c r="E1465" s="336" t="s">
        <v>2882</v>
      </c>
      <c r="F1465" s="336" t="s">
        <v>60</v>
      </c>
      <c r="G1465" s="337">
        <v>3.25</v>
      </c>
      <c r="H1465" s="338">
        <v>0</v>
      </c>
      <c r="I1465" s="339">
        <v>35416.5</v>
      </c>
      <c r="J1465" s="340">
        <v>115103.625</v>
      </c>
      <c r="K1465" s="335" t="s">
        <v>2922</v>
      </c>
      <c r="L1465" s="335">
        <v>1</v>
      </c>
      <c r="M1465" s="335" t="s">
        <v>2923</v>
      </c>
      <c r="N1465" s="339">
        <v>3.25</v>
      </c>
      <c r="O1465" s="341">
        <v>3.25</v>
      </c>
      <c r="P1465" s="341" t="s">
        <v>25</v>
      </c>
      <c r="Q1465" s="341">
        <v>0</v>
      </c>
      <c r="R1465" s="342" t="s">
        <v>25</v>
      </c>
      <c r="S1465" s="342" t="s">
        <v>25</v>
      </c>
    </row>
    <row r="1466" spans="1:19" ht="14.25" customHeight="1" x14ac:dyDescent="0.3">
      <c r="A1466" s="335" t="s">
        <v>2924</v>
      </c>
      <c r="B1466" s="335" t="s">
        <v>56</v>
      </c>
      <c r="C1466" s="335" t="s">
        <v>27</v>
      </c>
      <c r="D1466" s="335" t="s">
        <v>2881</v>
      </c>
      <c r="E1466" s="336" t="s">
        <v>2882</v>
      </c>
      <c r="F1466" s="336" t="s">
        <v>60</v>
      </c>
      <c r="G1466" s="337">
        <v>3.25</v>
      </c>
      <c r="H1466" s="338">
        <v>0</v>
      </c>
      <c r="I1466" s="339">
        <v>35416.5</v>
      </c>
      <c r="J1466" s="340">
        <v>115103.625</v>
      </c>
      <c r="K1466" s="335" t="s">
        <v>2925</v>
      </c>
      <c r="L1466" s="335">
        <v>1</v>
      </c>
      <c r="M1466" s="335" t="s">
        <v>2926</v>
      </c>
      <c r="N1466" s="339">
        <v>3.25</v>
      </c>
      <c r="O1466" s="341">
        <v>3.25</v>
      </c>
      <c r="P1466" s="341" t="s">
        <v>25</v>
      </c>
      <c r="Q1466" s="341">
        <v>0</v>
      </c>
      <c r="R1466" s="342" t="s">
        <v>25</v>
      </c>
      <c r="S1466" s="342" t="s">
        <v>25</v>
      </c>
    </row>
    <row r="1467" spans="1:19" ht="14.25" customHeight="1" x14ac:dyDescent="0.3">
      <c r="A1467" s="335" t="s">
        <v>2905</v>
      </c>
      <c r="B1467" s="335" t="s">
        <v>20</v>
      </c>
      <c r="C1467" s="335"/>
      <c r="D1467" s="335" t="s">
        <v>67</v>
      </c>
      <c r="E1467" s="336" t="s">
        <v>68</v>
      </c>
      <c r="F1467" s="336"/>
      <c r="G1467" s="337">
        <v>0.5</v>
      </c>
      <c r="H1467" s="338">
        <v>0</v>
      </c>
      <c r="I1467" s="339">
        <v>571.17949098076099</v>
      </c>
      <c r="J1467" s="340">
        <v>285.58974549038101</v>
      </c>
      <c r="K1467" s="335" t="s">
        <v>2927</v>
      </c>
      <c r="L1467" s="335">
        <v>1</v>
      </c>
      <c r="M1467" s="335" t="s">
        <v>2928</v>
      </c>
      <c r="N1467" s="339">
        <v>3.25</v>
      </c>
      <c r="O1467" s="341">
        <v>0.5</v>
      </c>
      <c r="P1467" s="341" t="s">
        <v>25</v>
      </c>
      <c r="Q1467" s="341">
        <v>0</v>
      </c>
      <c r="R1467" s="342" t="s">
        <v>25</v>
      </c>
      <c r="S1467" s="342" t="s">
        <v>25</v>
      </c>
    </row>
    <row r="1468" spans="1:19" ht="14.25" customHeight="1" x14ac:dyDescent="0.3">
      <c r="A1468" s="335" t="s">
        <v>2905</v>
      </c>
      <c r="B1468" s="335" t="s">
        <v>20</v>
      </c>
      <c r="C1468" s="335"/>
      <c r="D1468" s="335" t="s">
        <v>775</v>
      </c>
      <c r="E1468" s="336" t="s">
        <v>776</v>
      </c>
      <c r="F1468" s="336"/>
      <c r="G1468" s="337">
        <v>1</v>
      </c>
      <c r="H1468" s="338">
        <v>0</v>
      </c>
      <c r="I1468" s="339">
        <v>5063.0947914732396</v>
      </c>
      <c r="J1468" s="340">
        <v>5063.0947914732396</v>
      </c>
      <c r="K1468" s="335" t="s">
        <v>2927</v>
      </c>
      <c r="L1468" s="335">
        <v>2</v>
      </c>
      <c r="M1468" s="335" t="s">
        <v>2929</v>
      </c>
      <c r="N1468" s="339">
        <v>3.25</v>
      </c>
      <c r="O1468" s="341">
        <v>1</v>
      </c>
      <c r="P1468" s="341" t="s">
        <v>25</v>
      </c>
      <c r="Q1468" s="341">
        <v>0</v>
      </c>
      <c r="R1468" s="342" t="s">
        <v>25</v>
      </c>
      <c r="S1468" s="342" t="s">
        <v>25</v>
      </c>
    </row>
    <row r="1469" spans="1:19" ht="14.25" customHeight="1" x14ac:dyDescent="0.3">
      <c r="A1469" s="335" t="s">
        <v>2905</v>
      </c>
      <c r="B1469" s="335" t="s">
        <v>20</v>
      </c>
      <c r="C1469" s="335"/>
      <c r="D1469" s="335" t="s">
        <v>578</v>
      </c>
      <c r="E1469" s="336" t="s">
        <v>579</v>
      </c>
      <c r="F1469" s="336"/>
      <c r="G1469" s="337">
        <v>0.5</v>
      </c>
      <c r="H1469" s="338">
        <v>0</v>
      </c>
      <c r="I1469" s="339">
        <v>140.198092594309</v>
      </c>
      <c r="J1469" s="340">
        <v>70.099046297154501</v>
      </c>
      <c r="K1469" s="335" t="s">
        <v>2927</v>
      </c>
      <c r="L1469" s="335">
        <v>3</v>
      </c>
      <c r="M1469" s="335" t="s">
        <v>2930</v>
      </c>
      <c r="N1469" s="339">
        <v>3.25</v>
      </c>
      <c r="O1469" s="341">
        <v>0.5</v>
      </c>
      <c r="P1469" s="341" t="s">
        <v>25</v>
      </c>
      <c r="Q1469" s="341">
        <v>0</v>
      </c>
      <c r="R1469" s="342" t="s">
        <v>25</v>
      </c>
      <c r="S1469" s="342" t="s">
        <v>25</v>
      </c>
    </row>
    <row r="1470" spans="1:19" ht="14.25" customHeight="1" x14ac:dyDescent="0.3">
      <c r="A1470" s="335" t="s">
        <v>2905</v>
      </c>
      <c r="B1470" s="335" t="s">
        <v>26</v>
      </c>
      <c r="C1470" s="335" t="s">
        <v>27</v>
      </c>
      <c r="D1470" s="335" t="s">
        <v>779</v>
      </c>
      <c r="E1470" s="336" t="s">
        <v>780</v>
      </c>
      <c r="F1470" s="336" t="s">
        <v>35</v>
      </c>
      <c r="G1470" s="337">
        <v>3</v>
      </c>
      <c r="H1470" s="338">
        <v>0.1</v>
      </c>
      <c r="I1470" s="339">
        <v>282.29000000000002</v>
      </c>
      <c r="J1470" s="340">
        <v>931.55700000000002</v>
      </c>
      <c r="K1470" s="335" t="s">
        <v>2931</v>
      </c>
      <c r="L1470" s="335">
        <v>1</v>
      </c>
      <c r="M1470" s="335" t="s">
        <v>2932</v>
      </c>
      <c r="N1470" s="339">
        <v>3.25</v>
      </c>
      <c r="O1470" s="341">
        <v>3</v>
      </c>
      <c r="P1470" s="341" t="s">
        <v>25</v>
      </c>
      <c r="Q1470" s="341">
        <v>0</v>
      </c>
      <c r="R1470" s="342" t="s">
        <v>25</v>
      </c>
      <c r="S1470" s="342" t="s">
        <v>25</v>
      </c>
    </row>
    <row r="1471" spans="1:19" ht="14.25" customHeight="1" x14ac:dyDescent="0.3">
      <c r="A1471" s="335" t="s">
        <v>2905</v>
      </c>
      <c r="B1471" s="335" t="s">
        <v>26</v>
      </c>
      <c r="C1471" s="335" t="s">
        <v>27</v>
      </c>
      <c r="D1471" s="335" t="s">
        <v>783</v>
      </c>
      <c r="E1471" s="336" t="s">
        <v>784</v>
      </c>
      <c r="F1471" s="336" t="s">
        <v>744</v>
      </c>
      <c r="G1471" s="337">
        <v>5</v>
      </c>
      <c r="H1471" s="338">
        <v>0.1</v>
      </c>
      <c r="I1471" s="339">
        <v>635.55999999999995</v>
      </c>
      <c r="J1471" s="340">
        <v>3495.58</v>
      </c>
      <c r="K1471" s="335" t="s">
        <v>2931</v>
      </c>
      <c r="L1471" s="335">
        <v>2</v>
      </c>
      <c r="M1471" s="335" t="s">
        <v>2933</v>
      </c>
      <c r="N1471" s="339">
        <v>3.25</v>
      </c>
      <c r="O1471" s="341">
        <v>5</v>
      </c>
      <c r="P1471" s="341" t="s">
        <v>25</v>
      </c>
      <c r="Q1471" s="341">
        <v>0</v>
      </c>
      <c r="R1471" s="342" t="s">
        <v>25</v>
      </c>
      <c r="S1471" s="342" t="s">
        <v>25</v>
      </c>
    </row>
    <row r="1472" spans="1:19" ht="14.25" customHeight="1" x14ac:dyDescent="0.3">
      <c r="A1472" s="335" t="s">
        <v>2905</v>
      </c>
      <c r="B1472" s="335" t="s">
        <v>26</v>
      </c>
      <c r="C1472" s="335" t="s">
        <v>27</v>
      </c>
      <c r="D1472" s="335" t="s">
        <v>786</v>
      </c>
      <c r="E1472" s="336" t="s">
        <v>787</v>
      </c>
      <c r="F1472" s="336" t="s">
        <v>35</v>
      </c>
      <c r="G1472" s="337">
        <v>2</v>
      </c>
      <c r="H1472" s="338">
        <v>0.1</v>
      </c>
      <c r="I1472" s="339">
        <v>184.87</v>
      </c>
      <c r="J1472" s="340">
        <v>406.714</v>
      </c>
      <c r="K1472" s="335" t="s">
        <v>2931</v>
      </c>
      <c r="L1472" s="335">
        <v>3</v>
      </c>
      <c r="M1472" s="335" t="s">
        <v>2934</v>
      </c>
      <c r="N1472" s="339">
        <v>3.25</v>
      </c>
      <c r="O1472" s="341">
        <v>2</v>
      </c>
      <c r="P1472" s="341" t="s">
        <v>25</v>
      </c>
      <c r="Q1472" s="341">
        <v>0</v>
      </c>
      <c r="R1472" s="342" t="s">
        <v>25</v>
      </c>
      <c r="S1472" s="342" t="s">
        <v>25</v>
      </c>
    </row>
    <row r="1473" spans="1:19" ht="14.25" customHeight="1" x14ac:dyDescent="0.3">
      <c r="A1473" s="335" t="s">
        <v>2905</v>
      </c>
      <c r="B1473" s="335" t="s">
        <v>26</v>
      </c>
      <c r="C1473" s="335" t="s">
        <v>27</v>
      </c>
      <c r="D1473" s="335" t="s">
        <v>789</v>
      </c>
      <c r="E1473" s="336" t="s">
        <v>790</v>
      </c>
      <c r="F1473" s="336" t="s">
        <v>744</v>
      </c>
      <c r="G1473" s="337">
        <v>7.5</v>
      </c>
      <c r="H1473" s="338">
        <v>0.1</v>
      </c>
      <c r="I1473" s="339">
        <v>316.44450000000001</v>
      </c>
      <c r="J1473" s="340">
        <v>2610.6671249999999</v>
      </c>
      <c r="K1473" s="335" t="s">
        <v>2931</v>
      </c>
      <c r="L1473" s="335">
        <v>4</v>
      </c>
      <c r="M1473" s="335" t="s">
        <v>2935</v>
      </c>
      <c r="N1473" s="339">
        <v>3.25</v>
      </c>
      <c r="O1473" s="341">
        <v>7.5</v>
      </c>
      <c r="P1473" s="341" t="s">
        <v>25</v>
      </c>
      <c r="Q1473" s="341">
        <v>0</v>
      </c>
      <c r="R1473" s="342" t="s">
        <v>25</v>
      </c>
      <c r="S1473" s="342" t="s">
        <v>25</v>
      </c>
    </row>
    <row r="1474" spans="1:19" ht="14.25" customHeight="1" x14ac:dyDescent="0.3">
      <c r="A1474" s="335" t="s">
        <v>2905</v>
      </c>
      <c r="B1474" s="335" t="s">
        <v>26</v>
      </c>
      <c r="C1474" s="335" t="s">
        <v>27</v>
      </c>
      <c r="D1474" s="335" t="s">
        <v>792</v>
      </c>
      <c r="E1474" s="336" t="s">
        <v>793</v>
      </c>
      <c r="F1474" s="336" t="s">
        <v>744</v>
      </c>
      <c r="G1474" s="337">
        <v>5</v>
      </c>
      <c r="H1474" s="338">
        <v>0.1</v>
      </c>
      <c r="I1474" s="339">
        <v>509.31490000000002</v>
      </c>
      <c r="J1474" s="340">
        <v>2801.2319499999999</v>
      </c>
      <c r="K1474" s="335" t="s">
        <v>2931</v>
      </c>
      <c r="L1474" s="335">
        <v>5</v>
      </c>
      <c r="M1474" s="335" t="s">
        <v>2936</v>
      </c>
      <c r="N1474" s="339">
        <v>3.25</v>
      </c>
      <c r="O1474" s="341">
        <v>5</v>
      </c>
      <c r="P1474" s="341" t="s">
        <v>25</v>
      </c>
      <c r="Q1474" s="341">
        <v>0</v>
      </c>
      <c r="R1474" s="342" t="s">
        <v>25</v>
      </c>
      <c r="S1474" s="342" t="s">
        <v>25</v>
      </c>
    </row>
    <row r="1475" spans="1:19" ht="14.25" customHeight="1" x14ac:dyDescent="0.3">
      <c r="A1475" s="335" t="s">
        <v>2905</v>
      </c>
      <c r="B1475" s="335" t="s">
        <v>26</v>
      </c>
      <c r="C1475" s="335" t="s">
        <v>27</v>
      </c>
      <c r="D1475" s="335" t="s">
        <v>795</v>
      </c>
      <c r="E1475" s="336" t="s">
        <v>796</v>
      </c>
      <c r="F1475" s="336" t="s">
        <v>744</v>
      </c>
      <c r="G1475" s="337">
        <v>7.5</v>
      </c>
      <c r="H1475" s="338">
        <v>0.1</v>
      </c>
      <c r="I1475" s="339">
        <v>509.31490000000002</v>
      </c>
      <c r="J1475" s="340">
        <v>4201.847925</v>
      </c>
      <c r="K1475" s="335" t="s">
        <v>2931</v>
      </c>
      <c r="L1475" s="335">
        <v>6</v>
      </c>
      <c r="M1475" s="335" t="s">
        <v>2937</v>
      </c>
      <c r="N1475" s="339">
        <v>3.25</v>
      </c>
      <c r="O1475" s="341">
        <v>7.5</v>
      </c>
      <c r="P1475" s="341" t="s">
        <v>25</v>
      </c>
      <c r="Q1475" s="341">
        <v>0</v>
      </c>
      <c r="R1475" s="342" t="s">
        <v>25</v>
      </c>
      <c r="S1475" s="342" t="s">
        <v>25</v>
      </c>
    </row>
    <row r="1476" spans="1:19" ht="14.25" customHeight="1" x14ac:dyDescent="0.3">
      <c r="A1476" s="335" t="s">
        <v>2905</v>
      </c>
      <c r="B1476" s="335" t="s">
        <v>26</v>
      </c>
      <c r="C1476" s="335" t="s">
        <v>27</v>
      </c>
      <c r="D1476" s="335" t="s">
        <v>798</v>
      </c>
      <c r="E1476" s="336" t="s">
        <v>799</v>
      </c>
      <c r="F1476" s="336" t="s">
        <v>35</v>
      </c>
      <c r="G1476" s="337">
        <v>1</v>
      </c>
      <c r="H1476" s="338">
        <v>0.05</v>
      </c>
      <c r="I1476" s="339">
        <v>202.42</v>
      </c>
      <c r="J1476" s="340">
        <v>212.541</v>
      </c>
      <c r="K1476" s="335" t="s">
        <v>2931</v>
      </c>
      <c r="L1476" s="335">
        <v>7</v>
      </c>
      <c r="M1476" s="335" t="s">
        <v>2938</v>
      </c>
      <c r="N1476" s="339">
        <v>3.25</v>
      </c>
      <c r="O1476" s="341">
        <v>1</v>
      </c>
      <c r="P1476" s="341" t="s">
        <v>25</v>
      </c>
      <c r="Q1476" s="341">
        <v>0</v>
      </c>
      <c r="R1476" s="342" t="s">
        <v>25</v>
      </c>
      <c r="S1476" s="342" t="s">
        <v>25</v>
      </c>
    </row>
    <row r="1477" spans="1:19" ht="14.25" customHeight="1" x14ac:dyDescent="0.3">
      <c r="A1477" s="335" t="s">
        <v>2905</v>
      </c>
      <c r="B1477" s="335" t="s">
        <v>26</v>
      </c>
      <c r="C1477" s="335" t="s">
        <v>27</v>
      </c>
      <c r="D1477" s="335" t="s">
        <v>801</v>
      </c>
      <c r="E1477" s="336" t="s">
        <v>802</v>
      </c>
      <c r="F1477" s="336" t="s">
        <v>35</v>
      </c>
      <c r="G1477" s="337">
        <v>0.5</v>
      </c>
      <c r="H1477" s="338">
        <v>0.05</v>
      </c>
      <c r="I1477" s="339">
        <v>202.42</v>
      </c>
      <c r="J1477" s="340">
        <v>106.2705</v>
      </c>
      <c r="K1477" s="335" t="s">
        <v>2931</v>
      </c>
      <c r="L1477" s="335">
        <v>8</v>
      </c>
      <c r="M1477" s="335" t="s">
        <v>2939</v>
      </c>
      <c r="N1477" s="339">
        <v>3.25</v>
      </c>
      <c r="O1477" s="341">
        <v>0.5</v>
      </c>
      <c r="P1477" s="341" t="s">
        <v>25</v>
      </c>
      <c r="Q1477" s="341">
        <v>0</v>
      </c>
      <c r="R1477" s="342" t="s">
        <v>25</v>
      </c>
      <c r="S1477" s="342" t="s">
        <v>25</v>
      </c>
    </row>
    <row r="1478" spans="1:19" ht="14.25" customHeight="1" x14ac:dyDescent="0.3">
      <c r="A1478" s="335" t="s">
        <v>2940</v>
      </c>
      <c r="B1478" s="335" t="s">
        <v>56</v>
      </c>
      <c r="C1478" s="335" t="s">
        <v>27</v>
      </c>
      <c r="D1478" s="335" t="s">
        <v>2881</v>
      </c>
      <c r="E1478" s="336" t="s">
        <v>2882</v>
      </c>
      <c r="F1478" s="336" t="s">
        <v>60</v>
      </c>
      <c r="G1478" s="337">
        <v>3.25</v>
      </c>
      <c r="H1478" s="338">
        <v>0</v>
      </c>
      <c r="I1478" s="339">
        <v>35416.5</v>
      </c>
      <c r="J1478" s="340">
        <v>115103.625</v>
      </c>
      <c r="K1478" s="335" t="s">
        <v>2941</v>
      </c>
      <c r="L1478" s="335">
        <v>1</v>
      </c>
      <c r="M1478" s="335" t="s">
        <v>2942</v>
      </c>
      <c r="N1478" s="339">
        <v>3.25</v>
      </c>
      <c r="O1478" s="341">
        <v>3.25</v>
      </c>
      <c r="P1478" s="341">
        <v>226</v>
      </c>
      <c r="Q1478" s="341">
        <v>734.5</v>
      </c>
      <c r="R1478" s="342">
        <v>18.07</v>
      </c>
      <c r="S1478" s="342" t="s">
        <v>25</v>
      </c>
    </row>
    <row r="1479" spans="1:19" ht="14.25" customHeight="1" x14ac:dyDescent="0.3">
      <c r="A1479" s="335" t="s">
        <v>2943</v>
      </c>
      <c r="B1479" s="335" t="s">
        <v>56</v>
      </c>
      <c r="C1479" s="335" t="s">
        <v>27</v>
      </c>
      <c r="D1479" s="335" t="s">
        <v>2881</v>
      </c>
      <c r="E1479" s="336" t="s">
        <v>2882</v>
      </c>
      <c r="F1479" s="336" t="s">
        <v>60</v>
      </c>
      <c r="G1479" s="337">
        <v>3.25</v>
      </c>
      <c r="H1479" s="338">
        <v>0</v>
      </c>
      <c r="I1479" s="339">
        <v>35416.5</v>
      </c>
      <c r="J1479" s="340">
        <v>115103.625</v>
      </c>
      <c r="K1479" s="335" t="s">
        <v>2944</v>
      </c>
      <c r="L1479" s="335">
        <v>1</v>
      </c>
      <c r="M1479" s="335" t="s">
        <v>2945</v>
      </c>
      <c r="N1479" s="339">
        <v>3.25</v>
      </c>
      <c r="O1479" s="341">
        <v>3.25</v>
      </c>
      <c r="P1479" s="341">
        <v>32</v>
      </c>
      <c r="Q1479" s="341">
        <v>104</v>
      </c>
      <c r="R1479" s="342">
        <v>18.079999999999998</v>
      </c>
      <c r="S1479" s="342" t="s">
        <v>25</v>
      </c>
    </row>
    <row r="1480" spans="1:19" ht="14.25" customHeight="1" x14ac:dyDescent="0.3">
      <c r="A1480" s="335" t="s">
        <v>2921</v>
      </c>
      <c r="B1480" s="335" t="s">
        <v>20</v>
      </c>
      <c r="C1480" s="335"/>
      <c r="D1480" s="335" t="s">
        <v>67</v>
      </c>
      <c r="E1480" s="336" t="s">
        <v>68</v>
      </c>
      <c r="F1480" s="336"/>
      <c r="G1480" s="337">
        <v>0.5</v>
      </c>
      <c r="H1480" s="338">
        <v>0</v>
      </c>
      <c r="I1480" s="339">
        <v>571.17949098076099</v>
      </c>
      <c r="J1480" s="340">
        <v>285.58974549038101</v>
      </c>
      <c r="K1480" s="335" t="s">
        <v>2946</v>
      </c>
      <c r="L1480" s="335">
        <v>1</v>
      </c>
      <c r="M1480" s="335" t="s">
        <v>2947</v>
      </c>
      <c r="N1480" s="339">
        <v>3.25</v>
      </c>
      <c r="O1480" s="341">
        <v>0.5</v>
      </c>
      <c r="P1480" s="341" t="s">
        <v>25</v>
      </c>
      <c r="Q1480" s="341">
        <v>0</v>
      </c>
      <c r="R1480" s="342" t="s">
        <v>25</v>
      </c>
      <c r="S1480" s="342" t="s">
        <v>25</v>
      </c>
    </row>
    <row r="1481" spans="1:19" ht="14.25" customHeight="1" x14ac:dyDescent="0.3">
      <c r="A1481" s="335" t="s">
        <v>2921</v>
      </c>
      <c r="B1481" s="335" t="s">
        <v>20</v>
      </c>
      <c r="C1481" s="335"/>
      <c r="D1481" s="335" t="s">
        <v>775</v>
      </c>
      <c r="E1481" s="336" t="s">
        <v>776</v>
      </c>
      <c r="F1481" s="336"/>
      <c r="G1481" s="337">
        <v>1</v>
      </c>
      <c r="H1481" s="338">
        <v>0</v>
      </c>
      <c r="I1481" s="339">
        <v>5063.0947914732396</v>
      </c>
      <c r="J1481" s="340">
        <v>5063.0947914732396</v>
      </c>
      <c r="K1481" s="335" t="s">
        <v>2946</v>
      </c>
      <c r="L1481" s="335">
        <v>2</v>
      </c>
      <c r="M1481" s="335" t="s">
        <v>2948</v>
      </c>
      <c r="N1481" s="339">
        <v>3.25</v>
      </c>
      <c r="O1481" s="341">
        <v>1</v>
      </c>
      <c r="P1481" s="341" t="s">
        <v>25</v>
      </c>
      <c r="Q1481" s="341">
        <v>0</v>
      </c>
      <c r="R1481" s="342" t="s">
        <v>25</v>
      </c>
      <c r="S1481" s="342" t="s">
        <v>25</v>
      </c>
    </row>
    <row r="1482" spans="1:19" ht="14.25" customHeight="1" x14ac:dyDescent="0.3">
      <c r="A1482" s="335" t="s">
        <v>2921</v>
      </c>
      <c r="B1482" s="335" t="s">
        <v>20</v>
      </c>
      <c r="C1482" s="335"/>
      <c r="D1482" s="335" t="s">
        <v>578</v>
      </c>
      <c r="E1482" s="336" t="s">
        <v>579</v>
      </c>
      <c r="F1482" s="336"/>
      <c r="G1482" s="337">
        <v>0.5</v>
      </c>
      <c r="H1482" s="338">
        <v>0</v>
      </c>
      <c r="I1482" s="339">
        <v>140.198092594309</v>
      </c>
      <c r="J1482" s="340">
        <v>70.099046297154501</v>
      </c>
      <c r="K1482" s="335" t="s">
        <v>2946</v>
      </c>
      <c r="L1482" s="335">
        <v>3</v>
      </c>
      <c r="M1482" s="335" t="s">
        <v>2949</v>
      </c>
      <c r="N1482" s="339">
        <v>3.25</v>
      </c>
      <c r="O1482" s="341">
        <v>0.5</v>
      </c>
      <c r="P1482" s="341" t="s">
        <v>25</v>
      </c>
      <c r="Q1482" s="341">
        <v>0</v>
      </c>
      <c r="R1482" s="342" t="s">
        <v>25</v>
      </c>
      <c r="S1482" s="342" t="s">
        <v>25</v>
      </c>
    </row>
    <row r="1483" spans="1:19" ht="14.25" customHeight="1" x14ac:dyDescent="0.3">
      <c r="A1483" s="335" t="s">
        <v>2921</v>
      </c>
      <c r="B1483" s="335" t="s">
        <v>26</v>
      </c>
      <c r="C1483" s="335" t="s">
        <v>27</v>
      </c>
      <c r="D1483" s="335" t="s">
        <v>779</v>
      </c>
      <c r="E1483" s="336" t="s">
        <v>780</v>
      </c>
      <c r="F1483" s="336" t="s">
        <v>35</v>
      </c>
      <c r="G1483" s="337">
        <v>3</v>
      </c>
      <c r="H1483" s="338">
        <v>0.1</v>
      </c>
      <c r="I1483" s="339">
        <v>282.29000000000002</v>
      </c>
      <c r="J1483" s="340">
        <v>931.55700000000002</v>
      </c>
      <c r="K1483" s="335" t="s">
        <v>2950</v>
      </c>
      <c r="L1483" s="335">
        <v>1</v>
      </c>
      <c r="M1483" s="335" t="s">
        <v>2951</v>
      </c>
      <c r="N1483" s="339">
        <v>3.25</v>
      </c>
      <c r="O1483" s="341">
        <v>3</v>
      </c>
      <c r="P1483" s="341" t="s">
        <v>25</v>
      </c>
      <c r="Q1483" s="341">
        <v>0</v>
      </c>
      <c r="R1483" s="342" t="s">
        <v>25</v>
      </c>
      <c r="S1483" s="342" t="s">
        <v>25</v>
      </c>
    </row>
    <row r="1484" spans="1:19" ht="14.25" customHeight="1" x14ac:dyDescent="0.3">
      <c r="A1484" s="335" t="s">
        <v>2921</v>
      </c>
      <c r="B1484" s="335" t="s">
        <v>26</v>
      </c>
      <c r="C1484" s="335" t="s">
        <v>27</v>
      </c>
      <c r="D1484" s="335" t="s">
        <v>783</v>
      </c>
      <c r="E1484" s="336" t="s">
        <v>784</v>
      </c>
      <c r="F1484" s="336" t="s">
        <v>744</v>
      </c>
      <c r="G1484" s="337">
        <v>5</v>
      </c>
      <c r="H1484" s="338">
        <v>0.1</v>
      </c>
      <c r="I1484" s="339">
        <v>635.55999999999995</v>
      </c>
      <c r="J1484" s="340">
        <v>3495.58</v>
      </c>
      <c r="K1484" s="335" t="s">
        <v>2950</v>
      </c>
      <c r="L1484" s="335">
        <v>2</v>
      </c>
      <c r="M1484" s="335" t="s">
        <v>2952</v>
      </c>
      <c r="N1484" s="339">
        <v>3.25</v>
      </c>
      <c r="O1484" s="341">
        <v>5</v>
      </c>
      <c r="P1484" s="341" t="s">
        <v>25</v>
      </c>
      <c r="Q1484" s="341">
        <v>0</v>
      </c>
      <c r="R1484" s="342" t="s">
        <v>25</v>
      </c>
      <c r="S1484" s="342" t="s">
        <v>25</v>
      </c>
    </row>
    <row r="1485" spans="1:19" ht="14.25" customHeight="1" x14ac:dyDescent="0.3">
      <c r="A1485" s="335" t="s">
        <v>2921</v>
      </c>
      <c r="B1485" s="335" t="s">
        <v>26</v>
      </c>
      <c r="C1485" s="335" t="s">
        <v>27</v>
      </c>
      <c r="D1485" s="335" t="s">
        <v>786</v>
      </c>
      <c r="E1485" s="336" t="s">
        <v>787</v>
      </c>
      <c r="F1485" s="336" t="s">
        <v>35</v>
      </c>
      <c r="G1485" s="337">
        <v>2</v>
      </c>
      <c r="H1485" s="338">
        <v>0.1</v>
      </c>
      <c r="I1485" s="339">
        <v>184.87</v>
      </c>
      <c r="J1485" s="340">
        <v>406.714</v>
      </c>
      <c r="K1485" s="335" t="s">
        <v>2950</v>
      </c>
      <c r="L1485" s="335">
        <v>3</v>
      </c>
      <c r="M1485" s="335" t="s">
        <v>2953</v>
      </c>
      <c r="N1485" s="339">
        <v>3.25</v>
      </c>
      <c r="O1485" s="341">
        <v>2</v>
      </c>
      <c r="P1485" s="341" t="s">
        <v>25</v>
      </c>
      <c r="Q1485" s="341">
        <v>0</v>
      </c>
      <c r="R1485" s="342" t="s">
        <v>25</v>
      </c>
      <c r="S1485" s="342" t="s">
        <v>25</v>
      </c>
    </row>
    <row r="1486" spans="1:19" ht="14.25" customHeight="1" x14ac:dyDescent="0.3">
      <c r="A1486" s="335" t="s">
        <v>2921</v>
      </c>
      <c r="B1486" s="335" t="s">
        <v>26</v>
      </c>
      <c r="C1486" s="335" t="s">
        <v>27</v>
      </c>
      <c r="D1486" s="335" t="s">
        <v>789</v>
      </c>
      <c r="E1486" s="336" t="s">
        <v>790</v>
      </c>
      <c r="F1486" s="336" t="s">
        <v>744</v>
      </c>
      <c r="G1486" s="337">
        <v>7.5</v>
      </c>
      <c r="H1486" s="338">
        <v>0.1</v>
      </c>
      <c r="I1486" s="339">
        <v>316.44450000000001</v>
      </c>
      <c r="J1486" s="340">
        <v>2610.6671249999999</v>
      </c>
      <c r="K1486" s="335" t="s">
        <v>2950</v>
      </c>
      <c r="L1486" s="335">
        <v>4</v>
      </c>
      <c r="M1486" s="335" t="s">
        <v>2954</v>
      </c>
      <c r="N1486" s="339">
        <v>3.25</v>
      </c>
      <c r="O1486" s="341">
        <v>7.5</v>
      </c>
      <c r="P1486" s="341" t="s">
        <v>25</v>
      </c>
      <c r="Q1486" s="341">
        <v>0</v>
      </c>
      <c r="R1486" s="342" t="s">
        <v>25</v>
      </c>
      <c r="S1486" s="342" t="s">
        <v>25</v>
      </c>
    </row>
    <row r="1487" spans="1:19" ht="14.25" customHeight="1" x14ac:dyDescent="0.3">
      <c r="A1487" s="335" t="s">
        <v>2921</v>
      </c>
      <c r="B1487" s="335" t="s">
        <v>26</v>
      </c>
      <c r="C1487" s="335" t="s">
        <v>27</v>
      </c>
      <c r="D1487" s="335" t="s">
        <v>792</v>
      </c>
      <c r="E1487" s="336" t="s">
        <v>793</v>
      </c>
      <c r="F1487" s="336" t="s">
        <v>744</v>
      </c>
      <c r="G1487" s="337">
        <v>5</v>
      </c>
      <c r="H1487" s="338">
        <v>0.1</v>
      </c>
      <c r="I1487" s="339">
        <v>509.31490000000002</v>
      </c>
      <c r="J1487" s="340">
        <v>2801.2319499999999</v>
      </c>
      <c r="K1487" s="335" t="s">
        <v>2950</v>
      </c>
      <c r="L1487" s="335">
        <v>5</v>
      </c>
      <c r="M1487" s="335" t="s">
        <v>2955</v>
      </c>
      <c r="N1487" s="339">
        <v>3.25</v>
      </c>
      <c r="O1487" s="341">
        <v>5</v>
      </c>
      <c r="P1487" s="341" t="s">
        <v>25</v>
      </c>
      <c r="Q1487" s="341">
        <v>0</v>
      </c>
      <c r="R1487" s="342" t="s">
        <v>25</v>
      </c>
      <c r="S1487" s="342" t="s">
        <v>25</v>
      </c>
    </row>
    <row r="1488" spans="1:19" ht="14.25" customHeight="1" x14ac:dyDescent="0.3">
      <c r="A1488" s="335" t="s">
        <v>2921</v>
      </c>
      <c r="B1488" s="335" t="s">
        <v>26</v>
      </c>
      <c r="C1488" s="335" t="s">
        <v>27</v>
      </c>
      <c r="D1488" s="335" t="s">
        <v>795</v>
      </c>
      <c r="E1488" s="336" t="s">
        <v>796</v>
      </c>
      <c r="F1488" s="336" t="s">
        <v>744</v>
      </c>
      <c r="G1488" s="337">
        <v>7.5</v>
      </c>
      <c r="H1488" s="338">
        <v>0.1</v>
      </c>
      <c r="I1488" s="339">
        <v>509.31490000000002</v>
      </c>
      <c r="J1488" s="340">
        <v>4201.847925</v>
      </c>
      <c r="K1488" s="335" t="s">
        <v>2950</v>
      </c>
      <c r="L1488" s="335">
        <v>6</v>
      </c>
      <c r="M1488" s="335" t="s">
        <v>2956</v>
      </c>
      <c r="N1488" s="339">
        <v>3.25</v>
      </c>
      <c r="O1488" s="341">
        <v>7.5</v>
      </c>
      <c r="P1488" s="341" t="s">
        <v>25</v>
      </c>
      <c r="Q1488" s="341">
        <v>0</v>
      </c>
      <c r="R1488" s="342" t="s">
        <v>25</v>
      </c>
      <c r="S1488" s="342" t="s">
        <v>25</v>
      </c>
    </row>
    <row r="1489" spans="1:19" ht="14.25" customHeight="1" x14ac:dyDescent="0.3">
      <c r="A1489" s="335" t="s">
        <v>2921</v>
      </c>
      <c r="B1489" s="335" t="s">
        <v>26</v>
      </c>
      <c r="C1489" s="335" t="s">
        <v>27</v>
      </c>
      <c r="D1489" s="335" t="s">
        <v>798</v>
      </c>
      <c r="E1489" s="336" t="s">
        <v>799</v>
      </c>
      <c r="F1489" s="336" t="s">
        <v>35</v>
      </c>
      <c r="G1489" s="337">
        <v>1</v>
      </c>
      <c r="H1489" s="338">
        <v>0.05</v>
      </c>
      <c r="I1489" s="339">
        <v>202.42</v>
      </c>
      <c r="J1489" s="340">
        <v>212.541</v>
      </c>
      <c r="K1489" s="335" t="s">
        <v>2950</v>
      </c>
      <c r="L1489" s="335">
        <v>7</v>
      </c>
      <c r="M1489" s="335" t="s">
        <v>2957</v>
      </c>
      <c r="N1489" s="339">
        <v>3.25</v>
      </c>
      <c r="O1489" s="341">
        <v>1</v>
      </c>
      <c r="P1489" s="341" t="s">
        <v>25</v>
      </c>
      <c r="Q1489" s="341">
        <v>0</v>
      </c>
      <c r="R1489" s="342" t="s">
        <v>25</v>
      </c>
      <c r="S1489" s="342" t="s">
        <v>25</v>
      </c>
    </row>
    <row r="1490" spans="1:19" ht="14.25" customHeight="1" x14ac:dyDescent="0.3">
      <c r="A1490" s="335" t="s">
        <v>2921</v>
      </c>
      <c r="B1490" s="335" t="s">
        <v>26</v>
      </c>
      <c r="C1490" s="335" t="s">
        <v>27</v>
      </c>
      <c r="D1490" s="335" t="s">
        <v>801</v>
      </c>
      <c r="E1490" s="336" t="s">
        <v>802</v>
      </c>
      <c r="F1490" s="336" t="s">
        <v>35</v>
      </c>
      <c r="G1490" s="337">
        <v>0.5</v>
      </c>
      <c r="H1490" s="338">
        <v>0.05</v>
      </c>
      <c r="I1490" s="339">
        <v>202.42</v>
      </c>
      <c r="J1490" s="340">
        <v>106.2705</v>
      </c>
      <c r="K1490" s="335" t="s">
        <v>2950</v>
      </c>
      <c r="L1490" s="335">
        <v>8</v>
      </c>
      <c r="M1490" s="335" t="s">
        <v>2958</v>
      </c>
      <c r="N1490" s="339">
        <v>3.25</v>
      </c>
      <c r="O1490" s="341">
        <v>0.5</v>
      </c>
      <c r="P1490" s="341" t="s">
        <v>25</v>
      </c>
      <c r="Q1490" s="341">
        <v>0</v>
      </c>
      <c r="R1490" s="342" t="s">
        <v>25</v>
      </c>
      <c r="S1490" s="342" t="s">
        <v>25</v>
      </c>
    </row>
    <row r="1491" spans="1:19" ht="14.25" customHeight="1" x14ac:dyDescent="0.3">
      <c r="A1491" s="335" t="s">
        <v>2959</v>
      </c>
      <c r="B1491" s="335" t="s">
        <v>56</v>
      </c>
      <c r="C1491" s="335" t="s">
        <v>27</v>
      </c>
      <c r="D1491" s="335" t="s">
        <v>2881</v>
      </c>
      <c r="E1491" s="336" t="s">
        <v>2882</v>
      </c>
      <c r="F1491" s="336" t="s">
        <v>60</v>
      </c>
      <c r="G1491" s="337">
        <v>3.25</v>
      </c>
      <c r="H1491" s="338">
        <v>0</v>
      </c>
      <c r="I1491" s="339">
        <v>35416.5</v>
      </c>
      <c r="J1491" s="340">
        <v>115103.625</v>
      </c>
      <c r="K1491" s="335" t="s">
        <v>2960</v>
      </c>
      <c r="L1491" s="335">
        <v>1</v>
      </c>
      <c r="M1491" s="335" t="s">
        <v>2961</v>
      </c>
      <c r="N1491" s="339">
        <v>3.25</v>
      </c>
      <c r="O1491" s="341">
        <v>3.25</v>
      </c>
      <c r="P1491" s="341" t="s">
        <v>25</v>
      </c>
      <c r="Q1491" s="341">
        <v>0</v>
      </c>
      <c r="R1491" s="342" t="s">
        <v>25</v>
      </c>
      <c r="S1491" s="342" t="s">
        <v>25</v>
      </c>
    </row>
    <row r="1492" spans="1:19" ht="14.25" customHeight="1" x14ac:dyDescent="0.3">
      <c r="A1492" s="335" t="s">
        <v>2962</v>
      </c>
      <c r="B1492" s="335" t="s">
        <v>56</v>
      </c>
      <c r="C1492" s="335" t="s">
        <v>27</v>
      </c>
      <c r="D1492" s="335" t="s">
        <v>2881</v>
      </c>
      <c r="E1492" s="336" t="s">
        <v>2882</v>
      </c>
      <c r="F1492" s="336" t="s">
        <v>60</v>
      </c>
      <c r="G1492" s="337">
        <v>3.25</v>
      </c>
      <c r="H1492" s="338">
        <v>0</v>
      </c>
      <c r="I1492" s="339">
        <v>35416.5</v>
      </c>
      <c r="J1492" s="340">
        <v>115103.625</v>
      </c>
      <c r="K1492" s="335" t="s">
        <v>2963</v>
      </c>
      <c r="L1492" s="335">
        <v>1</v>
      </c>
      <c r="M1492" s="335" t="s">
        <v>2964</v>
      </c>
      <c r="N1492" s="339">
        <v>3.25</v>
      </c>
      <c r="O1492" s="341">
        <v>3.25</v>
      </c>
      <c r="P1492" s="341" t="s">
        <v>25</v>
      </c>
      <c r="Q1492" s="341">
        <v>0</v>
      </c>
      <c r="R1492" s="342" t="s">
        <v>25</v>
      </c>
      <c r="S1492" s="342" t="s">
        <v>25</v>
      </c>
    </row>
    <row r="1493" spans="1:19" ht="14.25" customHeight="1" x14ac:dyDescent="0.3">
      <c r="A1493" s="335" t="s">
        <v>2924</v>
      </c>
      <c r="B1493" s="335" t="s">
        <v>20</v>
      </c>
      <c r="C1493" s="335"/>
      <c r="D1493" s="335" t="s">
        <v>67</v>
      </c>
      <c r="E1493" s="336" t="s">
        <v>68</v>
      </c>
      <c r="F1493" s="336"/>
      <c r="G1493" s="337">
        <v>0.5</v>
      </c>
      <c r="H1493" s="338">
        <v>0</v>
      </c>
      <c r="I1493" s="339">
        <v>571.17949098076099</v>
      </c>
      <c r="J1493" s="340">
        <v>285.58974549038101</v>
      </c>
      <c r="K1493" s="335" t="s">
        <v>2965</v>
      </c>
      <c r="L1493" s="335">
        <v>1</v>
      </c>
      <c r="M1493" s="335" t="s">
        <v>2966</v>
      </c>
      <c r="N1493" s="339">
        <v>3.25</v>
      </c>
      <c r="O1493" s="341">
        <v>0.5</v>
      </c>
      <c r="P1493" s="341" t="s">
        <v>25</v>
      </c>
      <c r="Q1493" s="341">
        <v>0</v>
      </c>
      <c r="R1493" s="342" t="s">
        <v>25</v>
      </c>
      <c r="S1493" s="342" t="s">
        <v>25</v>
      </c>
    </row>
    <row r="1494" spans="1:19" ht="14.25" customHeight="1" x14ac:dyDescent="0.3">
      <c r="A1494" s="335" t="s">
        <v>2924</v>
      </c>
      <c r="B1494" s="335" t="s">
        <v>20</v>
      </c>
      <c r="C1494" s="335"/>
      <c r="D1494" s="335" t="s">
        <v>775</v>
      </c>
      <c r="E1494" s="336" t="s">
        <v>776</v>
      </c>
      <c r="F1494" s="336"/>
      <c r="G1494" s="337">
        <v>1</v>
      </c>
      <c r="H1494" s="338">
        <v>0</v>
      </c>
      <c r="I1494" s="339">
        <v>5063.0947914732396</v>
      </c>
      <c r="J1494" s="340">
        <v>5063.0947914732396</v>
      </c>
      <c r="K1494" s="335" t="s">
        <v>2965</v>
      </c>
      <c r="L1494" s="335">
        <v>2</v>
      </c>
      <c r="M1494" s="335" t="s">
        <v>2967</v>
      </c>
      <c r="N1494" s="339">
        <v>3.25</v>
      </c>
      <c r="O1494" s="341">
        <v>1</v>
      </c>
      <c r="P1494" s="341" t="s">
        <v>25</v>
      </c>
      <c r="Q1494" s="341">
        <v>0</v>
      </c>
      <c r="R1494" s="342" t="s">
        <v>25</v>
      </c>
      <c r="S1494" s="342" t="s">
        <v>25</v>
      </c>
    </row>
    <row r="1495" spans="1:19" ht="14.25" customHeight="1" x14ac:dyDescent="0.3">
      <c r="A1495" s="335" t="s">
        <v>2924</v>
      </c>
      <c r="B1495" s="335" t="s">
        <v>20</v>
      </c>
      <c r="C1495" s="335"/>
      <c r="D1495" s="335" t="s">
        <v>578</v>
      </c>
      <c r="E1495" s="336" t="s">
        <v>579</v>
      </c>
      <c r="F1495" s="336"/>
      <c r="G1495" s="337">
        <v>0.5</v>
      </c>
      <c r="H1495" s="338">
        <v>0</v>
      </c>
      <c r="I1495" s="339">
        <v>140.198092594309</v>
      </c>
      <c r="J1495" s="340">
        <v>70.099046297154501</v>
      </c>
      <c r="K1495" s="335" t="s">
        <v>2965</v>
      </c>
      <c r="L1495" s="335">
        <v>3</v>
      </c>
      <c r="M1495" s="335" t="s">
        <v>2968</v>
      </c>
      <c r="N1495" s="339">
        <v>3.25</v>
      </c>
      <c r="O1495" s="341">
        <v>0.5</v>
      </c>
      <c r="P1495" s="341" t="s">
        <v>25</v>
      </c>
      <c r="Q1495" s="341">
        <v>0</v>
      </c>
      <c r="R1495" s="342" t="s">
        <v>25</v>
      </c>
      <c r="S1495" s="342" t="s">
        <v>25</v>
      </c>
    </row>
    <row r="1496" spans="1:19" ht="14.25" customHeight="1" x14ac:dyDescent="0.3">
      <c r="A1496" s="335" t="s">
        <v>2924</v>
      </c>
      <c r="B1496" s="335" t="s">
        <v>26</v>
      </c>
      <c r="C1496" s="335" t="s">
        <v>27</v>
      </c>
      <c r="D1496" s="335" t="s">
        <v>779</v>
      </c>
      <c r="E1496" s="336" t="s">
        <v>780</v>
      </c>
      <c r="F1496" s="336" t="s">
        <v>35</v>
      </c>
      <c r="G1496" s="337">
        <v>3</v>
      </c>
      <c r="H1496" s="338">
        <v>0.1</v>
      </c>
      <c r="I1496" s="339">
        <v>282.29000000000002</v>
      </c>
      <c r="J1496" s="340">
        <v>931.55700000000002</v>
      </c>
      <c r="K1496" s="335" t="s">
        <v>2969</v>
      </c>
      <c r="L1496" s="335">
        <v>1</v>
      </c>
      <c r="M1496" s="335" t="s">
        <v>2970</v>
      </c>
      <c r="N1496" s="339">
        <v>3.25</v>
      </c>
      <c r="O1496" s="341">
        <v>3</v>
      </c>
      <c r="P1496" s="341" t="s">
        <v>25</v>
      </c>
      <c r="Q1496" s="341">
        <v>0</v>
      </c>
      <c r="R1496" s="342" t="s">
        <v>25</v>
      </c>
      <c r="S1496" s="342" t="s">
        <v>25</v>
      </c>
    </row>
    <row r="1497" spans="1:19" ht="14.25" customHeight="1" x14ac:dyDescent="0.3">
      <c r="A1497" s="335" t="s">
        <v>2924</v>
      </c>
      <c r="B1497" s="335" t="s">
        <v>26</v>
      </c>
      <c r="C1497" s="335" t="s">
        <v>27</v>
      </c>
      <c r="D1497" s="335" t="s">
        <v>783</v>
      </c>
      <c r="E1497" s="336" t="s">
        <v>784</v>
      </c>
      <c r="F1497" s="336" t="s">
        <v>744</v>
      </c>
      <c r="G1497" s="337">
        <v>5</v>
      </c>
      <c r="H1497" s="338">
        <v>0.1</v>
      </c>
      <c r="I1497" s="339">
        <v>635.55999999999995</v>
      </c>
      <c r="J1497" s="340">
        <v>3495.58</v>
      </c>
      <c r="K1497" s="335" t="s">
        <v>2969</v>
      </c>
      <c r="L1497" s="335">
        <v>2</v>
      </c>
      <c r="M1497" s="335" t="s">
        <v>2971</v>
      </c>
      <c r="N1497" s="339">
        <v>3.25</v>
      </c>
      <c r="O1497" s="341">
        <v>5</v>
      </c>
      <c r="P1497" s="341" t="s">
        <v>25</v>
      </c>
      <c r="Q1497" s="341">
        <v>0</v>
      </c>
      <c r="R1497" s="342" t="s">
        <v>25</v>
      </c>
      <c r="S1497" s="342" t="s">
        <v>25</v>
      </c>
    </row>
    <row r="1498" spans="1:19" ht="14.25" customHeight="1" x14ac:dyDescent="0.3">
      <c r="A1498" s="335" t="s">
        <v>2924</v>
      </c>
      <c r="B1498" s="335" t="s">
        <v>26</v>
      </c>
      <c r="C1498" s="335" t="s">
        <v>27</v>
      </c>
      <c r="D1498" s="335" t="s">
        <v>786</v>
      </c>
      <c r="E1498" s="336" t="s">
        <v>787</v>
      </c>
      <c r="F1498" s="336" t="s">
        <v>35</v>
      </c>
      <c r="G1498" s="337">
        <v>2</v>
      </c>
      <c r="H1498" s="338">
        <v>0.1</v>
      </c>
      <c r="I1498" s="339">
        <v>184.87</v>
      </c>
      <c r="J1498" s="340">
        <v>406.714</v>
      </c>
      <c r="K1498" s="335" t="s">
        <v>2969</v>
      </c>
      <c r="L1498" s="335">
        <v>3</v>
      </c>
      <c r="M1498" s="335" t="s">
        <v>2972</v>
      </c>
      <c r="N1498" s="339">
        <v>3.25</v>
      </c>
      <c r="O1498" s="341">
        <v>2</v>
      </c>
      <c r="P1498" s="341" t="s">
        <v>25</v>
      </c>
      <c r="Q1498" s="341">
        <v>0</v>
      </c>
      <c r="R1498" s="342" t="s">
        <v>25</v>
      </c>
      <c r="S1498" s="342" t="s">
        <v>25</v>
      </c>
    </row>
    <row r="1499" spans="1:19" ht="14.25" customHeight="1" x14ac:dyDescent="0.3">
      <c r="A1499" s="335" t="s">
        <v>2924</v>
      </c>
      <c r="B1499" s="335" t="s">
        <v>26</v>
      </c>
      <c r="C1499" s="335" t="s">
        <v>27</v>
      </c>
      <c r="D1499" s="335" t="s">
        <v>789</v>
      </c>
      <c r="E1499" s="336" t="s">
        <v>790</v>
      </c>
      <c r="F1499" s="336" t="s">
        <v>744</v>
      </c>
      <c r="G1499" s="337">
        <v>7.5</v>
      </c>
      <c r="H1499" s="338">
        <v>0.1</v>
      </c>
      <c r="I1499" s="339">
        <v>316.44450000000001</v>
      </c>
      <c r="J1499" s="340">
        <v>2610.6671249999999</v>
      </c>
      <c r="K1499" s="335" t="s">
        <v>2969</v>
      </c>
      <c r="L1499" s="335">
        <v>4</v>
      </c>
      <c r="M1499" s="335" t="s">
        <v>2973</v>
      </c>
      <c r="N1499" s="339">
        <v>3.25</v>
      </c>
      <c r="O1499" s="341">
        <v>7.5</v>
      </c>
      <c r="P1499" s="341" t="s">
        <v>25</v>
      </c>
      <c r="Q1499" s="341">
        <v>0</v>
      </c>
      <c r="R1499" s="342" t="s">
        <v>25</v>
      </c>
      <c r="S1499" s="342" t="s">
        <v>25</v>
      </c>
    </row>
    <row r="1500" spans="1:19" ht="14.25" customHeight="1" x14ac:dyDescent="0.3">
      <c r="A1500" s="335" t="s">
        <v>2924</v>
      </c>
      <c r="B1500" s="335" t="s">
        <v>26</v>
      </c>
      <c r="C1500" s="335" t="s">
        <v>27</v>
      </c>
      <c r="D1500" s="335" t="s">
        <v>792</v>
      </c>
      <c r="E1500" s="336" t="s">
        <v>793</v>
      </c>
      <c r="F1500" s="336" t="s">
        <v>744</v>
      </c>
      <c r="G1500" s="337">
        <v>5</v>
      </c>
      <c r="H1500" s="338">
        <v>0.1</v>
      </c>
      <c r="I1500" s="339">
        <v>509.31490000000002</v>
      </c>
      <c r="J1500" s="340">
        <v>2801.2319499999999</v>
      </c>
      <c r="K1500" s="335" t="s">
        <v>2969</v>
      </c>
      <c r="L1500" s="335">
        <v>5</v>
      </c>
      <c r="M1500" s="335" t="s">
        <v>2974</v>
      </c>
      <c r="N1500" s="339">
        <v>3.25</v>
      </c>
      <c r="O1500" s="341">
        <v>5</v>
      </c>
      <c r="P1500" s="341" t="s">
        <v>25</v>
      </c>
      <c r="Q1500" s="341">
        <v>0</v>
      </c>
      <c r="R1500" s="342" t="s">
        <v>25</v>
      </c>
      <c r="S1500" s="342" t="s">
        <v>25</v>
      </c>
    </row>
    <row r="1501" spans="1:19" ht="14.25" customHeight="1" x14ac:dyDescent="0.3">
      <c r="A1501" s="335" t="s">
        <v>2924</v>
      </c>
      <c r="B1501" s="335" t="s">
        <v>26</v>
      </c>
      <c r="C1501" s="335" t="s">
        <v>27</v>
      </c>
      <c r="D1501" s="335" t="s">
        <v>795</v>
      </c>
      <c r="E1501" s="336" t="s">
        <v>796</v>
      </c>
      <c r="F1501" s="336" t="s">
        <v>744</v>
      </c>
      <c r="G1501" s="337">
        <v>7.5</v>
      </c>
      <c r="H1501" s="338">
        <v>0.1</v>
      </c>
      <c r="I1501" s="339">
        <v>509.31490000000002</v>
      </c>
      <c r="J1501" s="340">
        <v>4201.847925</v>
      </c>
      <c r="K1501" s="335" t="s">
        <v>2969</v>
      </c>
      <c r="L1501" s="335">
        <v>6</v>
      </c>
      <c r="M1501" s="335" t="s">
        <v>2975</v>
      </c>
      <c r="N1501" s="339">
        <v>3.25</v>
      </c>
      <c r="O1501" s="341">
        <v>7.5</v>
      </c>
      <c r="P1501" s="341" t="s">
        <v>25</v>
      </c>
      <c r="Q1501" s="341">
        <v>0</v>
      </c>
      <c r="R1501" s="342" t="s">
        <v>25</v>
      </c>
      <c r="S1501" s="342" t="s">
        <v>25</v>
      </c>
    </row>
    <row r="1502" spans="1:19" ht="14.25" customHeight="1" x14ac:dyDescent="0.3">
      <c r="A1502" s="335" t="s">
        <v>2924</v>
      </c>
      <c r="B1502" s="335" t="s">
        <v>26</v>
      </c>
      <c r="C1502" s="335" t="s">
        <v>27</v>
      </c>
      <c r="D1502" s="335" t="s">
        <v>798</v>
      </c>
      <c r="E1502" s="336" t="s">
        <v>799</v>
      </c>
      <c r="F1502" s="336" t="s">
        <v>35</v>
      </c>
      <c r="G1502" s="337">
        <v>1</v>
      </c>
      <c r="H1502" s="338">
        <v>0.05</v>
      </c>
      <c r="I1502" s="339">
        <v>202.42</v>
      </c>
      <c r="J1502" s="340">
        <v>212.541</v>
      </c>
      <c r="K1502" s="335" t="s">
        <v>2969</v>
      </c>
      <c r="L1502" s="335">
        <v>7</v>
      </c>
      <c r="M1502" s="335" t="s">
        <v>2976</v>
      </c>
      <c r="N1502" s="339">
        <v>3.25</v>
      </c>
      <c r="O1502" s="341">
        <v>1</v>
      </c>
      <c r="P1502" s="341" t="s">
        <v>25</v>
      </c>
      <c r="Q1502" s="341">
        <v>0</v>
      </c>
      <c r="R1502" s="342" t="s">
        <v>25</v>
      </c>
      <c r="S1502" s="342" t="s">
        <v>25</v>
      </c>
    </row>
    <row r="1503" spans="1:19" ht="14.25" customHeight="1" x14ac:dyDescent="0.3">
      <c r="A1503" s="335" t="s">
        <v>2924</v>
      </c>
      <c r="B1503" s="335" t="s">
        <v>26</v>
      </c>
      <c r="C1503" s="335" t="s">
        <v>27</v>
      </c>
      <c r="D1503" s="335" t="s">
        <v>801</v>
      </c>
      <c r="E1503" s="336" t="s">
        <v>802</v>
      </c>
      <c r="F1503" s="336" t="s">
        <v>35</v>
      </c>
      <c r="G1503" s="337">
        <v>0.5</v>
      </c>
      <c r="H1503" s="338">
        <v>0.05</v>
      </c>
      <c r="I1503" s="339">
        <v>202.42</v>
      </c>
      <c r="J1503" s="340">
        <v>106.2705</v>
      </c>
      <c r="K1503" s="335" t="s">
        <v>2969</v>
      </c>
      <c r="L1503" s="335">
        <v>8</v>
      </c>
      <c r="M1503" s="335" t="s">
        <v>2977</v>
      </c>
      <c r="N1503" s="339">
        <v>3.25</v>
      </c>
      <c r="O1503" s="341">
        <v>0.5</v>
      </c>
      <c r="P1503" s="341" t="s">
        <v>25</v>
      </c>
      <c r="Q1503" s="341">
        <v>0</v>
      </c>
      <c r="R1503" s="342" t="s">
        <v>25</v>
      </c>
      <c r="S1503" s="342" t="s">
        <v>25</v>
      </c>
    </row>
    <row r="1504" spans="1:19" ht="14.25" customHeight="1" x14ac:dyDescent="0.3">
      <c r="A1504" s="335" t="s">
        <v>2978</v>
      </c>
      <c r="B1504" s="335" t="s">
        <v>56</v>
      </c>
      <c r="C1504" s="335" t="s">
        <v>27</v>
      </c>
      <c r="D1504" s="335" t="s">
        <v>2979</v>
      </c>
      <c r="E1504" s="336" t="s">
        <v>2980</v>
      </c>
      <c r="F1504" s="336" t="s">
        <v>60</v>
      </c>
      <c r="G1504" s="337">
        <v>5</v>
      </c>
      <c r="H1504" s="338">
        <v>0</v>
      </c>
      <c r="I1504" s="339">
        <v>24807.3</v>
      </c>
      <c r="J1504" s="340">
        <v>124036.5</v>
      </c>
      <c r="K1504" s="335" t="s">
        <v>2981</v>
      </c>
      <c r="L1504" s="335">
        <v>1</v>
      </c>
      <c r="M1504" s="335" t="s">
        <v>2982</v>
      </c>
      <c r="N1504" s="339">
        <v>5</v>
      </c>
      <c r="O1504" s="341">
        <v>5</v>
      </c>
      <c r="P1504" s="341">
        <v>26</v>
      </c>
      <c r="Q1504" s="341">
        <v>130</v>
      </c>
      <c r="R1504" s="342">
        <v>18.11</v>
      </c>
      <c r="S1504" s="342" t="s">
        <v>25</v>
      </c>
    </row>
    <row r="1505" spans="1:19" ht="14.25" customHeight="1" x14ac:dyDescent="0.3">
      <c r="A1505" s="335" t="s">
        <v>2983</v>
      </c>
      <c r="B1505" s="335" t="s">
        <v>56</v>
      </c>
      <c r="C1505" s="335" t="s">
        <v>27</v>
      </c>
      <c r="D1505" s="335" t="s">
        <v>2979</v>
      </c>
      <c r="E1505" s="336" t="s">
        <v>2980</v>
      </c>
      <c r="F1505" s="336" t="s">
        <v>60</v>
      </c>
      <c r="G1505" s="337">
        <v>5</v>
      </c>
      <c r="H1505" s="338">
        <v>0</v>
      </c>
      <c r="I1505" s="339">
        <v>24807.3</v>
      </c>
      <c r="J1505" s="340">
        <v>124036.5</v>
      </c>
      <c r="K1505" s="335" t="s">
        <v>2984</v>
      </c>
      <c r="L1505" s="335">
        <v>1</v>
      </c>
      <c r="M1505" s="335" t="s">
        <v>2985</v>
      </c>
      <c r="N1505" s="339">
        <v>5</v>
      </c>
      <c r="O1505" s="341">
        <v>5</v>
      </c>
      <c r="P1505" s="341" t="s">
        <v>25</v>
      </c>
      <c r="Q1505" s="341">
        <v>0</v>
      </c>
      <c r="R1505" s="342" t="s">
        <v>25</v>
      </c>
      <c r="S1505" s="342" t="s">
        <v>25</v>
      </c>
    </row>
    <row r="1506" spans="1:19" ht="14.25" customHeight="1" x14ac:dyDescent="0.3">
      <c r="A1506" s="335" t="s">
        <v>2940</v>
      </c>
      <c r="B1506" s="335" t="s">
        <v>20</v>
      </c>
      <c r="C1506" s="335"/>
      <c r="D1506" s="335" t="s">
        <v>67</v>
      </c>
      <c r="E1506" s="336" t="s">
        <v>68</v>
      </c>
      <c r="F1506" s="336"/>
      <c r="G1506" s="337">
        <v>0.5</v>
      </c>
      <c r="H1506" s="338">
        <v>0</v>
      </c>
      <c r="I1506" s="339">
        <v>571.17949098076099</v>
      </c>
      <c r="J1506" s="340">
        <v>285.58974549038101</v>
      </c>
      <c r="K1506" s="335" t="s">
        <v>2986</v>
      </c>
      <c r="L1506" s="335">
        <v>1</v>
      </c>
      <c r="M1506" s="335" t="s">
        <v>2987</v>
      </c>
      <c r="N1506" s="339">
        <v>3.25</v>
      </c>
      <c r="O1506" s="341">
        <v>0.5</v>
      </c>
      <c r="P1506" s="341">
        <v>226</v>
      </c>
      <c r="Q1506" s="341">
        <v>113</v>
      </c>
      <c r="R1506" s="342">
        <v>18.07</v>
      </c>
      <c r="S1506" s="342" t="s">
        <v>25</v>
      </c>
    </row>
    <row r="1507" spans="1:19" ht="14.25" customHeight="1" x14ac:dyDescent="0.3">
      <c r="A1507" s="335" t="s">
        <v>2940</v>
      </c>
      <c r="B1507" s="335" t="s">
        <v>20</v>
      </c>
      <c r="C1507" s="335"/>
      <c r="D1507" s="335" t="s">
        <v>775</v>
      </c>
      <c r="E1507" s="336" t="s">
        <v>776</v>
      </c>
      <c r="F1507" s="336"/>
      <c r="G1507" s="337">
        <v>1</v>
      </c>
      <c r="H1507" s="338">
        <v>0</v>
      </c>
      <c r="I1507" s="339">
        <v>5063.0947914732396</v>
      </c>
      <c r="J1507" s="340">
        <v>5063.0947914732396</v>
      </c>
      <c r="K1507" s="335" t="s">
        <v>2986</v>
      </c>
      <c r="L1507" s="335">
        <v>2</v>
      </c>
      <c r="M1507" s="335" t="s">
        <v>2988</v>
      </c>
      <c r="N1507" s="339">
        <v>3.25</v>
      </c>
      <c r="O1507" s="341">
        <v>1</v>
      </c>
      <c r="P1507" s="341">
        <v>226</v>
      </c>
      <c r="Q1507" s="341">
        <v>226</v>
      </c>
      <c r="R1507" s="342">
        <v>18.07</v>
      </c>
      <c r="S1507" s="342" t="s">
        <v>25</v>
      </c>
    </row>
    <row r="1508" spans="1:19" ht="14.25" customHeight="1" x14ac:dyDescent="0.3">
      <c r="A1508" s="335" t="s">
        <v>2940</v>
      </c>
      <c r="B1508" s="335" t="s">
        <v>20</v>
      </c>
      <c r="C1508" s="335"/>
      <c r="D1508" s="335" t="s">
        <v>578</v>
      </c>
      <c r="E1508" s="336" t="s">
        <v>579</v>
      </c>
      <c r="F1508" s="336"/>
      <c r="G1508" s="337">
        <v>0.5</v>
      </c>
      <c r="H1508" s="338">
        <v>0</v>
      </c>
      <c r="I1508" s="339">
        <v>140.198092594309</v>
      </c>
      <c r="J1508" s="340">
        <v>70.099046297154501</v>
      </c>
      <c r="K1508" s="335" t="s">
        <v>2986</v>
      </c>
      <c r="L1508" s="335">
        <v>3</v>
      </c>
      <c r="M1508" s="335" t="s">
        <v>2989</v>
      </c>
      <c r="N1508" s="339">
        <v>3.25</v>
      </c>
      <c r="O1508" s="341">
        <v>0.5</v>
      </c>
      <c r="P1508" s="341">
        <v>226</v>
      </c>
      <c r="Q1508" s="341">
        <v>113</v>
      </c>
      <c r="R1508" s="342">
        <v>18.07</v>
      </c>
      <c r="S1508" s="342" t="s">
        <v>25</v>
      </c>
    </row>
    <row r="1509" spans="1:19" ht="14.25" customHeight="1" x14ac:dyDescent="0.3">
      <c r="A1509" s="335" t="s">
        <v>2940</v>
      </c>
      <c r="B1509" s="335" t="s">
        <v>26</v>
      </c>
      <c r="C1509" s="335" t="s">
        <v>27</v>
      </c>
      <c r="D1509" s="335" t="s">
        <v>96</v>
      </c>
      <c r="E1509" s="336" t="s">
        <v>97</v>
      </c>
      <c r="F1509" s="336" t="s">
        <v>98</v>
      </c>
      <c r="G1509" s="337">
        <v>2569.4045348999998</v>
      </c>
      <c r="H1509" s="338">
        <v>0</v>
      </c>
      <c r="I1509" s="339">
        <v>1</v>
      </c>
      <c r="J1509" s="340">
        <v>2569.4045348999998</v>
      </c>
      <c r="K1509" s="335" t="s">
        <v>2990</v>
      </c>
      <c r="L1509" s="335">
        <v>1</v>
      </c>
      <c r="M1509" s="335" t="s">
        <v>2991</v>
      </c>
      <c r="N1509" s="339">
        <v>3.25</v>
      </c>
      <c r="O1509" s="341">
        <v>2569.4045348999998</v>
      </c>
      <c r="P1509" s="341">
        <v>226</v>
      </c>
      <c r="Q1509" s="341">
        <v>580685.4248874</v>
      </c>
      <c r="R1509" s="342">
        <v>18.07</v>
      </c>
      <c r="S1509" s="342" t="s">
        <v>25</v>
      </c>
    </row>
    <row r="1510" spans="1:19" ht="14.25" customHeight="1" x14ac:dyDescent="0.3">
      <c r="A1510" s="335" t="s">
        <v>2940</v>
      </c>
      <c r="B1510" s="335" t="s">
        <v>26</v>
      </c>
      <c r="C1510" s="335" t="s">
        <v>27</v>
      </c>
      <c r="D1510" s="335" t="s">
        <v>813</v>
      </c>
      <c r="E1510" s="336" t="s">
        <v>814</v>
      </c>
      <c r="F1510" s="336" t="s">
        <v>35</v>
      </c>
      <c r="G1510" s="337">
        <v>4</v>
      </c>
      <c r="H1510" s="338">
        <v>0.1</v>
      </c>
      <c r="I1510" s="339">
        <v>225.83199999999999</v>
      </c>
      <c r="J1510" s="340">
        <v>993.66079999999999</v>
      </c>
      <c r="K1510" s="335" t="s">
        <v>2990</v>
      </c>
      <c r="L1510" s="335">
        <v>2</v>
      </c>
      <c r="M1510" s="335" t="s">
        <v>2992</v>
      </c>
      <c r="N1510" s="339">
        <v>3.25</v>
      </c>
      <c r="O1510" s="341">
        <v>4</v>
      </c>
      <c r="P1510" s="341">
        <v>226</v>
      </c>
      <c r="Q1510" s="341">
        <v>904</v>
      </c>
      <c r="R1510" s="342">
        <v>18.07</v>
      </c>
      <c r="S1510" s="342" t="s">
        <v>25</v>
      </c>
    </row>
    <row r="1511" spans="1:19" ht="14.25" customHeight="1" x14ac:dyDescent="0.3">
      <c r="A1511" s="335" t="s">
        <v>2940</v>
      </c>
      <c r="B1511" s="335" t="s">
        <v>26</v>
      </c>
      <c r="C1511" s="335" t="s">
        <v>27</v>
      </c>
      <c r="D1511" s="335" t="s">
        <v>817</v>
      </c>
      <c r="E1511" s="336" t="s">
        <v>818</v>
      </c>
      <c r="F1511" s="336" t="s">
        <v>744</v>
      </c>
      <c r="G1511" s="337">
        <v>5</v>
      </c>
      <c r="H1511" s="338">
        <v>0.05</v>
      </c>
      <c r="I1511" s="339">
        <v>472.18</v>
      </c>
      <c r="J1511" s="340">
        <v>2478.9450000000002</v>
      </c>
      <c r="K1511" s="335" t="s">
        <v>2990</v>
      </c>
      <c r="L1511" s="335">
        <v>3</v>
      </c>
      <c r="M1511" s="335" t="s">
        <v>2993</v>
      </c>
      <c r="N1511" s="339">
        <v>3.25</v>
      </c>
      <c r="O1511" s="341">
        <v>5</v>
      </c>
      <c r="P1511" s="341">
        <v>226</v>
      </c>
      <c r="Q1511" s="341">
        <v>1130</v>
      </c>
      <c r="R1511" s="342">
        <v>18.07</v>
      </c>
      <c r="S1511" s="342" t="s">
        <v>25</v>
      </c>
    </row>
    <row r="1512" spans="1:19" ht="14.25" customHeight="1" x14ac:dyDescent="0.3">
      <c r="A1512" s="335" t="s">
        <v>2940</v>
      </c>
      <c r="B1512" s="335" t="s">
        <v>26</v>
      </c>
      <c r="C1512" s="335" t="s">
        <v>27</v>
      </c>
      <c r="D1512" s="335" t="s">
        <v>820</v>
      </c>
      <c r="E1512" s="336" t="s">
        <v>821</v>
      </c>
      <c r="F1512" s="336" t="s">
        <v>35</v>
      </c>
      <c r="G1512" s="337">
        <v>1.2</v>
      </c>
      <c r="H1512" s="338">
        <v>0.1</v>
      </c>
      <c r="I1512" s="339">
        <v>110.922</v>
      </c>
      <c r="J1512" s="340">
        <v>146.41703999999999</v>
      </c>
      <c r="K1512" s="335" t="s">
        <v>2990</v>
      </c>
      <c r="L1512" s="335">
        <v>4</v>
      </c>
      <c r="M1512" s="335" t="s">
        <v>2994</v>
      </c>
      <c r="N1512" s="339">
        <v>3.25</v>
      </c>
      <c r="O1512" s="341">
        <v>1.2</v>
      </c>
      <c r="P1512" s="341">
        <v>226</v>
      </c>
      <c r="Q1512" s="341">
        <v>271.2</v>
      </c>
      <c r="R1512" s="342">
        <v>18.07</v>
      </c>
      <c r="S1512" s="342" t="s">
        <v>25</v>
      </c>
    </row>
    <row r="1513" spans="1:19" ht="14.25" customHeight="1" x14ac:dyDescent="0.3">
      <c r="A1513" s="335" t="s">
        <v>2940</v>
      </c>
      <c r="B1513" s="335" t="s">
        <v>26</v>
      </c>
      <c r="C1513" s="335" t="s">
        <v>27</v>
      </c>
      <c r="D1513" s="335" t="s">
        <v>792</v>
      </c>
      <c r="E1513" s="336" t="s">
        <v>793</v>
      </c>
      <c r="F1513" s="336" t="s">
        <v>744</v>
      </c>
      <c r="G1513" s="337">
        <v>5</v>
      </c>
      <c r="H1513" s="338">
        <v>0.1</v>
      </c>
      <c r="I1513" s="339">
        <v>509.31490000000002</v>
      </c>
      <c r="J1513" s="340">
        <v>2801.2319499999999</v>
      </c>
      <c r="K1513" s="335" t="s">
        <v>2990</v>
      </c>
      <c r="L1513" s="335">
        <v>5</v>
      </c>
      <c r="M1513" s="335" t="s">
        <v>2995</v>
      </c>
      <c r="N1513" s="339">
        <v>3.25</v>
      </c>
      <c r="O1513" s="341">
        <v>5</v>
      </c>
      <c r="P1513" s="341">
        <v>226</v>
      </c>
      <c r="Q1513" s="341">
        <v>1130</v>
      </c>
      <c r="R1513" s="342">
        <v>18.07</v>
      </c>
      <c r="S1513" s="342" t="s">
        <v>25</v>
      </c>
    </row>
    <row r="1514" spans="1:19" ht="14.25" customHeight="1" x14ac:dyDescent="0.3">
      <c r="A1514" s="335" t="s">
        <v>2940</v>
      </c>
      <c r="B1514" s="335" t="s">
        <v>26</v>
      </c>
      <c r="C1514" s="335" t="s">
        <v>27</v>
      </c>
      <c r="D1514" s="335" t="s">
        <v>795</v>
      </c>
      <c r="E1514" s="336" t="s">
        <v>796</v>
      </c>
      <c r="F1514" s="336" t="s">
        <v>744</v>
      </c>
      <c r="G1514" s="337">
        <v>10</v>
      </c>
      <c r="H1514" s="338">
        <v>0.1</v>
      </c>
      <c r="I1514" s="339">
        <v>509.31490000000002</v>
      </c>
      <c r="J1514" s="340">
        <v>5602.4638999999997</v>
      </c>
      <c r="K1514" s="335" t="s">
        <v>2990</v>
      </c>
      <c r="L1514" s="335">
        <v>6</v>
      </c>
      <c r="M1514" s="335" t="s">
        <v>2996</v>
      </c>
      <c r="N1514" s="339">
        <v>3.25</v>
      </c>
      <c r="O1514" s="341">
        <v>10</v>
      </c>
      <c r="P1514" s="341">
        <v>226</v>
      </c>
      <c r="Q1514" s="341">
        <v>2260</v>
      </c>
      <c r="R1514" s="342">
        <v>18.07</v>
      </c>
      <c r="S1514" s="342" t="s">
        <v>25</v>
      </c>
    </row>
    <row r="1515" spans="1:19" ht="14.25" customHeight="1" x14ac:dyDescent="0.3">
      <c r="A1515" s="335" t="s">
        <v>2940</v>
      </c>
      <c r="B1515" s="335" t="s">
        <v>26</v>
      </c>
      <c r="C1515" s="335" t="s">
        <v>27</v>
      </c>
      <c r="D1515" s="335" t="s">
        <v>801</v>
      </c>
      <c r="E1515" s="336" t="s">
        <v>802</v>
      </c>
      <c r="F1515" s="336" t="s">
        <v>35</v>
      </c>
      <c r="G1515" s="337">
        <v>1</v>
      </c>
      <c r="H1515" s="338">
        <v>0.05</v>
      </c>
      <c r="I1515" s="339">
        <v>202.42</v>
      </c>
      <c r="J1515" s="340">
        <v>212.541</v>
      </c>
      <c r="K1515" s="335" t="s">
        <v>2990</v>
      </c>
      <c r="L1515" s="335">
        <v>7</v>
      </c>
      <c r="M1515" s="335" t="s">
        <v>2997</v>
      </c>
      <c r="N1515" s="339">
        <v>3.25</v>
      </c>
      <c r="O1515" s="341">
        <v>1</v>
      </c>
      <c r="P1515" s="341">
        <v>226</v>
      </c>
      <c r="Q1515" s="341">
        <v>226</v>
      </c>
      <c r="R1515" s="342">
        <v>18.07</v>
      </c>
      <c r="S1515" s="342" t="s">
        <v>25</v>
      </c>
    </row>
    <row r="1516" spans="1:19" ht="14.25" customHeight="1" x14ac:dyDescent="0.3">
      <c r="A1516" s="335" t="s">
        <v>2998</v>
      </c>
      <c r="B1516" s="335" t="s">
        <v>56</v>
      </c>
      <c r="C1516" s="335" t="s">
        <v>27</v>
      </c>
      <c r="D1516" s="335" t="s">
        <v>2979</v>
      </c>
      <c r="E1516" s="336" t="s">
        <v>2980</v>
      </c>
      <c r="F1516" s="336" t="s">
        <v>60</v>
      </c>
      <c r="G1516" s="337">
        <v>5</v>
      </c>
      <c r="H1516" s="338">
        <v>0</v>
      </c>
      <c r="I1516" s="339">
        <v>24807.3</v>
      </c>
      <c r="J1516" s="340">
        <v>124036.5</v>
      </c>
      <c r="K1516" s="335" t="s">
        <v>2999</v>
      </c>
      <c r="L1516" s="335">
        <v>1</v>
      </c>
      <c r="M1516" s="335" t="s">
        <v>3000</v>
      </c>
      <c r="N1516" s="339">
        <v>5</v>
      </c>
      <c r="O1516" s="341">
        <v>5</v>
      </c>
      <c r="P1516" s="341" t="s">
        <v>25</v>
      </c>
      <c r="Q1516" s="341">
        <v>0</v>
      </c>
      <c r="R1516" s="342" t="s">
        <v>25</v>
      </c>
      <c r="S1516" s="342" t="s">
        <v>25</v>
      </c>
    </row>
    <row r="1517" spans="1:19" ht="14.25" customHeight="1" x14ac:dyDescent="0.3">
      <c r="A1517" s="335" t="s">
        <v>3001</v>
      </c>
      <c r="B1517" s="335" t="s">
        <v>56</v>
      </c>
      <c r="C1517" s="335" t="s">
        <v>27</v>
      </c>
      <c r="D1517" s="335" t="s">
        <v>2979</v>
      </c>
      <c r="E1517" s="336" t="s">
        <v>2980</v>
      </c>
      <c r="F1517" s="336" t="s">
        <v>60</v>
      </c>
      <c r="G1517" s="337">
        <v>5</v>
      </c>
      <c r="H1517" s="338">
        <v>0</v>
      </c>
      <c r="I1517" s="339">
        <v>24807.3</v>
      </c>
      <c r="J1517" s="340">
        <v>124036.5</v>
      </c>
      <c r="K1517" s="335" t="s">
        <v>3002</v>
      </c>
      <c r="L1517" s="335">
        <v>1</v>
      </c>
      <c r="M1517" s="335" t="s">
        <v>3003</v>
      </c>
      <c r="N1517" s="339">
        <v>5</v>
      </c>
      <c r="O1517" s="341">
        <v>5</v>
      </c>
      <c r="P1517" s="341" t="s">
        <v>25</v>
      </c>
      <c r="Q1517" s="341">
        <v>0</v>
      </c>
      <c r="R1517" s="342" t="s">
        <v>25</v>
      </c>
      <c r="S1517" s="342" t="s">
        <v>25</v>
      </c>
    </row>
    <row r="1518" spans="1:19" ht="14.25" customHeight="1" x14ac:dyDescent="0.3">
      <c r="A1518" s="335" t="s">
        <v>2943</v>
      </c>
      <c r="B1518" s="335" t="s">
        <v>20</v>
      </c>
      <c r="C1518" s="335"/>
      <c r="D1518" s="335" t="s">
        <v>67</v>
      </c>
      <c r="E1518" s="336" t="s">
        <v>68</v>
      </c>
      <c r="F1518" s="336"/>
      <c r="G1518" s="337">
        <v>0.5</v>
      </c>
      <c r="H1518" s="338">
        <v>0</v>
      </c>
      <c r="I1518" s="339">
        <v>571.17949098076099</v>
      </c>
      <c r="J1518" s="340">
        <v>285.58974549038101</v>
      </c>
      <c r="K1518" s="335" t="s">
        <v>3004</v>
      </c>
      <c r="L1518" s="335">
        <v>1</v>
      </c>
      <c r="M1518" s="335" t="s">
        <v>3005</v>
      </c>
      <c r="N1518" s="339">
        <v>3.25</v>
      </c>
      <c r="O1518" s="341">
        <v>0.5</v>
      </c>
      <c r="P1518" s="341">
        <v>32</v>
      </c>
      <c r="Q1518" s="341">
        <v>16</v>
      </c>
      <c r="R1518" s="342">
        <v>18.079999999999998</v>
      </c>
      <c r="S1518" s="342" t="s">
        <v>25</v>
      </c>
    </row>
    <row r="1519" spans="1:19" ht="14.25" customHeight="1" x14ac:dyDescent="0.3">
      <c r="A1519" s="335" t="s">
        <v>2943</v>
      </c>
      <c r="B1519" s="335" t="s">
        <v>20</v>
      </c>
      <c r="C1519" s="335"/>
      <c r="D1519" s="335" t="s">
        <v>775</v>
      </c>
      <c r="E1519" s="336" t="s">
        <v>776</v>
      </c>
      <c r="F1519" s="336"/>
      <c r="G1519" s="337">
        <v>1</v>
      </c>
      <c r="H1519" s="338">
        <v>0</v>
      </c>
      <c r="I1519" s="339">
        <v>5063.0947914732396</v>
      </c>
      <c r="J1519" s="340">
        <v>5063.0947914732396</v>
      </c>
      <c r="K1519" s="335" t="s">
        <v>3004</v>
      </c>
      <c r="L1519" s="335">
        <v>2</v>
      </c>
      <c r="M1519" s="335" t="s">
        <v>3006</v>
      </c>
      <c r="N1519" s="339">
        <v>3.25</v>
      </c>
      <c r="O1519" s="341">
        <v>1</v>
      </c>
      <c r="P1519" s="341">
        <v>32</v>
      </c>
      <c r="Q1519" s="341">
        <v>32</v>
      </c>
      <c r="R1519" s="342">
        <v>18.079999999999998</v>
      </c>
      <c r="S1519" s="342" t="s">
        <v>25</v>
      </c>
    </row>
    <row r="1520" spans="1:19" ht="14.25" customHeight="1" x14ac:dyDescent="0.3">
      <c r="A1520" s="335" t="s">
        <v>2943</v>
      </c>
      <c r="B1520" s="335" t="s">
        <v>20</v>
      </c>
      <c r="C1520" s="335"/>
      <c r="D1520" s="335" t="s">
        <v>578</v>
      </c>
      <c r="E1520" s="336" t="s">
        <v>579</v>
      </c>
      <c r="F1520" s="336"/>
      <c r="G1520" s="337">
        <v>0.5</v>
      </c>
      <c r="H1520" s="338">
        <v>0</v>
      </c>
      <c r="I1520" s="339">
        <v>140.198092594309</v>
      </c>
      <c r="J1520" s="340">
        <v>70.099046297154501</v>
      </c>
      <c r="K1520" s="335" t="s">
        <v>3004</v>
      </c>
      <c r="L1520" s="335">
        <v>3</v>
      </c>
      <c r="M1520" s="335" t="s">
        <v>3007</v>
      </c>
      <c r="N1520" s="339">
        <v>3.25</v>
      </c>
      <c r="O1520" s="341">
        <v>0.5</v>
      </c>
      <c r="P1520" s="341">
        <v>32</v>
      </c>
      <c r="Q1520" s="341">
        <v>16</v>
      </c>
      <c r="R1520" s="342">
        <v>18.079999999999998</v>
      </c>
      <c r="S1520" s="342" t="s">
        <v>25</v>
      </c>
    </row>
    <row r="1521" spans="1:19" ht="14.25" customHeight="1" x14ac:dyDescent="0.3">
      <c r="A1521" s="335" t="s">
        <v>2943</v>
      </c>
      <c r="B1521" s="335" t="s">
        <v>26</v>
      </c>
      <c r="C1521" s="335" t="s">
        <v>27</v>
      </c>
      <c r="D1521" s="335" t="s">
        <v>96</v>
      </c>
      <c r="E1521" s="336" t="s">
        <v>97</v>
      </c>
      <c r="F1521" s="336" t="s">
        <v>98</v>
      </c>
      <c r="G1521" s="337">
        <v>5975.3668799999996</v>
      </c>
      <c r="H1521" s="338">
        <v>0</v>
      </c>
      <c r="I1521" s="339">
        <v>1</v>
      </c>
      <c r="J1521" s="340">
        <v>5975.3668799999996</v>
      </c>
      <c r="K1521" s="335" t="s">
        <v>3008</v>
      </c>
      <c r="L1521" s="335">
        <v>1</v>
      </c>
      <c r="M1521" s="335" t="s">
        <v>3009</v>
      </c>
      <c r="N1521" s="339">
        <v>3.25</v>
      </c>
      <c r="O1521" s="341">
        <v>5975.3668799999996</v>
      </c>
      <c r="P1521" s="341">
        <v>32</v>
      </c>
      <c r="Q1521" s="341">
        <v>191211.74015999999</v>
      </c>
      <c r="R1521" s="342">
        <v>18.079999999999998</v>
      </c>
      <c r="S1521" s="342" t="s">
        <v>25</v>
      </c>
    </row>
    <row r="1522" spans="1:19" ht="14.25" customHeight="1" x14ac:dyDescent="0.3">
      <c r="A1522" s="335" t="s">
        <v>2943</v>
      </c>
      <c r="B1522" s="335" t="s">
        <v>26</v>
      </c>
      <c r="C1522" s="335" t="s">
        <v>27</v>
      </c>
      <c r="D1522" s="335" t="s">
        <v>887</v>
      </c>
      <c r="E1522" s="336" t="s">
        <v>888</v>
      </c>
      <c r="F1522" s="336" t="s">
        <v>35</v>
      </c>
      <c r="G1522" s="337">
        <v>3</v>
      </c>
      <c r="H1522" s="338">
        <v>0.1</v>
      </c>
      <c r="I1522" s="339">
        <v>351.14</v>
      </c>
      <c r="J1522" s="340">
        <v>1158.7619999999999</v>
      </c>
      <c r="K1522" s="335" t="s">
        <v>3008</v>
      </c>
      <c r="L1522" s="335">
        <v>2</v>
      </c>
      <c r="M1522" s="335" t="s">
        <v>3010</v>
      </c>
      <c r="N1522" s="339">
        <v>3.25</v>
      </c>
      <c r="O1522" s="341">
        <v>3</v>
      </c>
      <c r="P1522" s="341">
        <v>32</v>
      </c>
      <c r="Q1522" s="341">
        <v>96</v>
      </c>
      <c r="R1522" s="342">
        <v>18.079999999999998</v>
      </c>
      <c r="S1522" s="342" t="s">
        <v>25</v>
      </c>
    </row>
    <row r="1523" spans="1:19" ht="14.25" customHeight="1" x14ac:dyDescent="0.3">
      <c r="A1523" s="335" t="s">
        <v>2943</v>
      </c>
      <c r="B1523" s="335" t="s">
        <v>26</v>
      </c>
      <c r="C1523" s="335" t="s">
        <v>27</v>
      </c>
      <c r="D1523" s="335" t="s">
        <v>891</v>
      </c>
      <c r="E1523" s="336" t="s">
        <v>892</v>
      </c>
      <c r="F1523" s="336" t="s">
        <v>744</v>
      </c>
      <c r="G1523" s="337">
        <v>7.5</v>
      </c>
      <c r="H1523" s="338">
        <v>0.1</v>
      </c>
      <c r="I1523" s="339">
        <v>666.92666666666696</v>
      </c>
      <c r="J1523" s="340">
        <v>5502.1450000000004</v>
      </c>
      <c r="K1523" s="335" t="s">
        <v>3008</v>
      </c>
      <c r="L1523" s="335">
        <v>3</v>
      </c>
      <c r="M1523" s="335" t="s">
        <v>3011</v>
      </c>
      <c r="N1523" s="339">
        <v>3.25</v>
      </c>
      <c r="O1523" s="341">
        <v>7.5</v>
      </c>
      <c r="P1523" s="341">
        <v>32</v>
      </c>
      <c r="Q1523" s="341">
        <v>240</v>
      </c>
      <c r="R1523" s="342">
        <v>18.079999999999998</v>
      </c>
      <c r="S1523" s="342" t="s">
        <v>25</v>
      </c>
    </row>
    <row r="1524" spans="1:19" ht="14.25" customHeight="1" x14ac:dyDescent="0.3">
      <c r="A1524" s="335" t="s">
        <v>2943</v>
      </c>
      <c r="B1524" s="335" t="s">
        <v>26</v>
      </c>
      <c r="C1524" s="335" t="s">
        <v>27</v>
      </c>
      <c r="D1524" s="335" t="s">
        <v>894</v>
      </c>
      <c r="E1524" s="336" t="s">
        <v>895</v>
      </c>
      <c r="F1524" s="336" t="s">
        <v>35</v>
      </c>
      <c r="G1524" s="337">
        <v>3</v>
      </c>
      <c r="H1524" s="338">
        <v>0.1</v>
      </c>
      <c r="I1524" s="339">
        <v>280.10000000000002</v>
      </c>
      <c r="J1524" s="340">
        <v>924.33</v>
      </c>
      <c r="K1524" s="335" t="s">
        <v>3008</v>
      </c>
      <c r="L1524" s="335">
        <v>4</v>
      </c>
      <c r="M1524" s="335" t="s">
        <v>3012</v>
      </c>
      <c r="N1524" s="339">
        <v>3.25</v>
      </c>
      <c r="O1524" s="341">
        <v>3</v>
      </c>
      <c r="P1524" s="341">
        <v>32</v>
      </c>
      <c r="Q1524" s="341">
        <v>96</v>
      </c>
      <c r="R1524" s="342">
        <v>18.079999999999998</v>
      </c>
      <c r="S1524" s="342" t="s">
        <v>25</v>
      </c>
    </row>
    <row r="1525" spans="1:19" ht="14.25" customHeight="1" x14ac:dyDescent="0.3">
      <c r="A1525" s="335" t="s">
        <v>2943</v>
      </c>
      <c r="B1525" s="335" t="s">
        <v>26</v>
      </c>
      <c r="C1525" s="335" t="s">
        <v>27</v>
      </c>
      <c r="D1525" s="335" t="s">
        <v>897</v>
      </c>
      <c r="E1525" s="336" t="s">
        <v>898</v>
      </c>
      <c r="F1525" s="336" t="s">
        <v>744</v>
      </c>
      <c r="G1525" s="337">
        <v>22.5</v>
      </c>
      <c r="H1525" s="338">
        <v>0.1</v>
      </c>
      <c r="I1525" s="339">
        <v>834.6</v>
      </c>
      <c r="J1525" s="340">
        <v>20656.349999999999</v>
      </c>
      <c r="K1525" s="335" t="s">
        <v>3008</v>
      </c>
      <c r="L1525" s="335">
        <v>5</v>
      </c>
      <c r="M1525" s="335" t="s">
        <v>3013</v>
      </c>
      <c r="N1525" s="339">
        <v>3.25</v>
      </c>
      <c r="O1525" s="341">
        <v>22.5</v>
      </c>
      <c r="P1525" s="341">
        <v>32</v>
      </c>
      <c r="Q1525" s="341">
        <v>720</v>
      </c>
      <c r="R1525" s="342">
        <v>18.079999999999998</v>
      </c>
      <c r="S1525" s="342" t="s">
        <v>25</v>
      </c>
    </row>
    <row r="1526" spans="1:19" ht="14.25" customHeight="1" x14ac:dyDescent="0.3">
      <c r="A1526" s="335" t="s">
        <v>2943</v>
      </c>
      <c r="B1526" s="335" t="s">
        <v>26</v>
      </c>
      <c r="C1526" s="335" t="s">
        <v>27</v>
      </c>
      <c r="D1526" s="335" t="s">
        <v>801</v>
      </c>
      <c r="E1526" s="336" t="s">
        <v>802</v>
      </c>
      <c r="F1526" s="336" t="s">
        <v>35</v>
      </c>
      <c r="G1526" s="337">
        <v>1</v>
      </c>
      <c r="H1526" s="338">
        <v>0.05</v>
      </c>
      <c r="I1526" s="339">
        <v>202.42</v>
      </c>
      <c r="J1526" s="340">
        <v>212.541</v>
      </c>
      <c r="K1526" s="335" t="s">
        <v>3008</v>
      </c>
      <c r="L1526" s="335">
        <v>6</v>
      </c>
      <c r="M1526" s="335" t="s">
        <v>3014</v>
      </c>
      <c r="N1526" s="339">
        <v>3.25</v>
      </c>
      <c r="O1526" s="341">
        <v>1</v>
      </c>
      <c r="P1526" s="341">
        <v>32</v>
      </c>
      <c r="Q1526" s="341">
        <v>32</v>
      </c>
      <c r="R1526" s="342">
        <v>18.079999999999998</v>
      </c>
      <c r="S1526" s="342" t="s">
        <v>25</v>
      </c>
    </row>
    <row r="1527" spans="1:19" ht="14.25" customHeight="1" x14ac:dyDescent="0.3">
      <c r="A1527" s="335" t="s">
        <v>3015</v>
      </c>
      <c r="B1527" s="335" t="s">
        <v>56</v>
      </c>
      <c r="C1527" s="335" t="s">
        <v>27</v>
      </c>
      <c r="D1527" s="335" t="s">
        <v>2979</v>
      </c>
      <c r="E1527" s="336" t="s">
        <v>2980</v>
      </c>
      <c r="F1527" s="336" t="s">
        <v>60</v>
      </c>
      <c r="G1527" s="337">
        <v>5</v>
      </c>
      <c r="H1527" s="338">
        <v>0</v>
      </c>
      <c r="I1527" s="339">
        <v>24807.3</v>
      </c>
      <c r="J1527" s="340">
        <v>124036.5</v>
      </c>
      <c r="K1527" s="335" t="s">
        <v>3016</v>
      </c>
      <c r="L1527" s="335">
        <v>1</v>
      </c>
      <c r="M1527" s="335" t="s">
        <v>3017</v>
      </c>
      <c r="N1527" s="339">
        <v>5</v>
      </c>
      <c r="O1527" s="341">
        <v>5</v>
      </c>
      <c r="P1527" s="341" t="s">
        <v>25</v>
      </c>
      <c r="Q1527" s="341">
        <v>0</v>
      </c>
      <c r="R1527" s="342" t="s">
        <v>25</v>
      </c>
      <c r="S1527" s="342" t="s">
        <v>25</v>
      </c>
    </row>
    <row r="1528" spans="1:19" ht="14.25" customHeight="1" x14ac:dyDescent="0.3">
      <c r="A1528" s="335" t="s">
        <v>2959</v>
      </c>
      <c r="B1528" s="335" t="s">
        <v>20</v>
      </c>
      <c r="C1528" s="335"/>
      <c r="D1528" s="335" t="s">
        <v>67</v>
      </c>
      <c r="E1528" s="336" t="s">
        <v>68</v>
      </c>
      <c r="F1528" s="336"/>
      <c r="G1528" s="337">
        <v>0.5</v>
      </c>
      <c r="H1528" s="338">
        <v>0</v>
      </c>
      <c r="I1528" s="339">
        <v>571.17949098076099</v>
      </c>
      <c r="J1528" s="340">
        <v>285.58974549038101</v>
      </c>
      <c r="K1528" s="335" t="s">
        <v>3018</v>
      </c>
      <c r="L1528" s="335">
        <v>1</v>
      </c>
      <c r="M1528" s="335" t="s">
        <v>3019</v>
      </c>
      <c r="N1528" s="339">
        <v>3.25</v>
      </c>
      <c r="O1528" s="341">
        <v>0.5</v>
      </c>
      <c r="P1528" s="341" t="s">
        <v>25</v>
      </c>
      <c r="Q1528" s="341">
        <v>0</v>
      </c>
      <c r="R1528" s="342" t="s">
        <v>25</v>
      </c>
      <c r="S1528" s="342" t="s">
        <v>25</v>
      </c>
    </row>
    <row r="1529" spans="1:19" ht="14.25" customHeight="1" x14ac:dyDescent="0.3">
      <c r="A1529" s="335" t="s">
        <v>2959</v>
      </c>
      <c r="B1529" s="335" t="s">
        <v>20</v>
      </c>
      <c r="C1529" s="335"/>
      <c r="D1529" s="335" t="s">
        <v>775</v>
      </c>
      <c r="E1529" s="336" t="s">
        <v>776</v>
      </c>
      <c r="F1529" s="336"/>
      <c r="G1529" s="337">
        <v>1</v>
      </c>
      <c r="H1529" s="338">
        <v>0</v>
      </c>
      <c r="I1529" s="339">
        <v>5063.0947914732396</v>
      </c>
      <c r="J1529" s="340">
        <v>5063.0947914732396</v>
      </c>
      <c r="K1529" s="335" t="s">
        <v>3018</v>
      </c>
      <c r="L1529" s="335">
        <v>2</v>
      </c>
      <c r="M1529" s="335" t="s">
        <v>3020</v>
      </c>
      <c r="N1529" s="339">
        <v>3.25</v>
      </c>
      <c r="O1529" s="341">
        <v>1</v>
      </c>
      <c r="P1529" s="341" t="s">
        <v>25</v>
      </c>
      <c r="Q1529" s="341">
        <v>0</v>
      </c>
      <c r="R1529" s="342" t="s">
        <v>25</v>
      </c>
      <c r="S1529" s="342" t="s">
        <v>25</v>
      </c>
    </row>
    <row r="1530" spans="1:19" ht="14.25" customHeight="1" x14ac:dyDescent="0.3">
      <c r="A1530" s="335" t="s">
        <v>2959</v>
      </c>
      <c r="B1530" s="335" t="s">
        <v>20</v>
      </c>
      <c r="C1530" s="335"/>
      <c r="D1530" s="335" t="s">
        <v>578</v>
      </c>
      <c r="E1530" s="336" t="s">
        <v>579</v>
      </c>
      <c r="F1530" s="336"/>
      <c r="G1530" s="337">
        <v>0.5</v>
      </c>
      <c r="H1530" s="338">
        <v>0</v>
      </c>
      <c r="I1530" s="339">
        <v>140.198092594309</v>
      </c>
      <c r="J1530" s="340">
        <v>70.099046297154501</v>
      </c>
      <c r="K1530" s="335" t="s">
        <v>3018</v>
      </c>
      <c r="L1530" s="335">
        <v>3</v>
      </c>
      <c r="M1530" s="335" t="s">
        <v>3021</v>
      </c>
      <c r="N1530" s="339">
        <v>3.25</v>
      </c>
      <c r="O1530" s="341">
        <v>0.5</v>
      </c>
      <c r="P1530" s="341" t="s">
        <v>25</v>
      </c>
      <c r="Q1530" s="341">
        <v>0</v>
      </c>
      <c r="R1530" s="342" t="s">
        <v>25</v>
      </c>
      <c r="S1530" s="342" t="s">
        <v>25</v>
      </c>
    </row>
    <row r="1531" spans="1:19" ht="14.25" customHeight="1" x14ac:dyDescent="0.3">
      <c r="A1531" s="335" t="s">
        <v>2959</v>
      </c>
      <c r="B1531" s="335" t="s">
        <v>26</v>
      </c>
      <c r="C1531" s="335" t="s">
        <v>27</v>
      </c>
      <c r="D1531" s="335" t="s">
        <v>813</v>
      </c>
      <c r="E1531" s="336" t="s">
        <v>814</v>
      </c>
      <c r="F1531" s="336" t="s">
        <v>35</v>
      </c>
      <c r="G1531" s="337">
        <v>4</v>
      </c>
      <c r="H1531" s="338">
        <v>0.1</v>
      </c>
      <c r="I1531" s="339">
        <v>225.83199999999999</v>
      </c>
      <c r="J1531" s="340">
        <v>993.66079999999999</v>
      </c>
      <c r="K1531" s="335" t="s">
        <v>3022</v>
      </c>
      <c r="L1531" s="335">
        <v>1</v>
      </c>
      <c r="M1531" s="335" t="s">
        <v>3023</v>
      </c>
      <c r="N1531" s="339">
        <v>3.25</v>
      </c>
      <c r="O1531" s="341">
        <v>4</v>
      </c>
      <c r="P1531" s="341" t="s">
        <v>25</v>
      </c>
      <c r="Q1531" s="341">
        <v>0</v>
      </c>
      <c r="R1531" s="342" t="s">
        <v>25</v>
      </c>
      <c r="S1531" s="342" t="s">
        <v>25</v>
      </c>
    </row>
    <row r="1532" spans="1:19" ht="14.25" customHeight="1" x14ac:dyDescent="0.3">
      <c r="A1532" s="335" t="s">
        <v>2959</v>
      </c>
      <c r="B1532" s="335" t="s">
        <v>26</v>
      </c>
      <c r="C1532" s="335" t="s">
        <v>27</v>
      </c>
      <c r="D1532" s="335" t="s">
        <v>817</v>
      </c>
      <c r="E1532" s="336" t="s">
        <v>818</v>
      </c>
      <c r="F1532" s="336" t="s">
        <v>744</v>
      </c>
      <c r="G1532" s="337">
        <v>5</v>
      </c>
      <c r="H1532" s="338">
        <v>0.05</v>
      </c>
      <c r="I1532" s="339">
        <v>472.18</v>
      </c>
      <c r="J1532" s="340">
        <v>2478.9450000000002</v>
      </c>
      <c r="K1532" s="335" t="s">
        <v>3022</v>
      </c>
      <c r="L1532" s="335">
        <v>2</v>
      </c>
      <c r="M1532" s="335" t="s">
        <v>3024</v>
      </c>
      <c r="N1532" s="339">
        <v>3.25</v>
      </c>
      <c r="O1532" s="341">
        <v>5</v>
      </c>
      <c r="P1532" s="341" t="s">
        <v>25</v>
      </c>
      <c r="Q1532" s="341">
        <v>0</v>
      </c>
      <c r="R1532" s="342" t="s">
        <v>25</v>
      </c>
      <c r="S1532" s="342" t="s">
        <v>25</v>
      </c>
    </row>
    <row r="1533" spans="1:19" ht="14.25" customHeight="1" x14ac:dyDescent="0.3">
      <c r="A1533" s="335" t="s">
        <v>2959</v>
      </c>
      <c r="B1533" s="335" t="s">
        <v>26</v>
      </c>
      <c r="C1533" s="335" t="s">
        <v>27</v>
      </c>
      <c r="D1533" s="335" t="s">
        <v>820</v>
      </c>
      <c r="E1533" s="336" t="s">
        <v>821</v>
      </c>
      <c r="F1533" s="336" t="s">
        <v>35</v>
      </c>
      <c r="G1533" s="337">
        <v>1.2</v>
      </c>
      <c r="H1533" s="338">
        <v>0.1</v>
      </c>
      <c r="I1533" s="339">
        <v>110.922</v>
      </c>
      <c r="J1533" s="340">
        <v>146.41703999999999</v>
      </c>
      <c r="K1533" s="335" t="s">
        <v>3022</v>
      </c>
      <c r="L1533" s="335">
        <v>3</v>
      </c>
      <c r="M1533" s="335" t="s">
        <v>3025</v>
      </c>
      <c r="N1533" s="339">
        <v>3.25</v>
      </c>
      <c r="O1533" s="341">
        <v>1.2</v>
      </c>
      <c r="P1533" s="341" t="s">
        <v>25</v>
      </c>
      <c r="Q1533" s="341">
        <v>0</v>
      </c>
      <c r="R1533" s="342" t="s">
        <v>25</v>
      </c>
      <c r="S1533" s="342" t="s">
        <v>25</v>
      </c>
    </row>
    <row r="1534" spans="1:19" ht="14.25" customHeight="1" x14ac:dyDescent="0.3">
      <c r="A1534" s="335" t="s">
        <v>2959</v>
      </c>
      <c r="B1534" s="335" t="s">
        <v>26</v>
      </c>
      <c r="C1534" s="335" t="s">
        <v>27</v>
      </c>
      <c r="D1534" s="335" t="s">
        <v>792</v>
      </c>
      <c r="E1534" s="336" t="s">
        <v>793</v>
      </c>
      <c r="F1534" s="336" t="s">
        <v>744</v>
      </c>
      <c r="G1534" s="337">
        <v>5</v>
      </c>
      <c r="H1534" s="338">
        <v>0.1</v>
      </c>
      <c r="I1534" s="339">
        <v>509.31490000000002</v>
      </c>
      <c r="J1534" s="340">
        <v>2801.2319499999999</v>
      </c>
      <c r="K1534" s="335" t="s">
        <v>3022</v>
      </c>
      <c r="L1534" s="335">
        <v>4</v>
      </c>
      <c r="M1534" s="335" t="s">
        <v>3026</v>
      </c>
      <c r="N1534" s="339">
        <v>3.25</v>
      </c>
      <c r="O1534" s="341">
        <v>5</v>
      </c>
      <c r="P1534" s="341" t="s">
        <v>25</v>
      </c>
      <c r="Q1534" s="341">
        <v>0</v>
      </c>
      <c r="R1534" s="342" t="s">
        <v>25</v>
      </c>
      <c r="S1534" s="342" t="s">
        <v>25</v>
      </c>
    </row>
    <row r="1535" spans="1:19" ht="14.25" customHeight="1" x14ac:dyDescent="0.3">
      <c r="A1535" s="335" t="s">
        <v>2959</v>
      </c>
      <c r="B1535" s="335" t="s">
        <v>26</v>
      </c>
      <c r="C1535" s="335" t="s">
        <v>27</v>
      </c>
      <c r="D1535" s="335" t="s">
        <v>795</v>
      </c>
      <c r="E1535" s="336" t="s">
        <v>796</v>
      </c>
      <c r="F1535" s="336" t="s">
        <v>744</v>
      </c>
      <c r="G1535" s="337">
        <v>10</v>
      </c>
      <c r="H1535" s="338">
        <v>0.1</v>
      </c>
      <c r="I1535" s="339">
        <v>509.31490000000002</v>
      </c>
      <c r="J1535" s="340">
        <v>5602.4638999999997</v>
      </c>
      <c r="K1535" s="335" t="s">
        <v>3022</v>
      </c>
      <c r="L1535" s="335">
        <v>5</v>
      </c>
      <c r="M1535" s="335" t="s">
        <v>3027</v>
      </c>
      <c r="N1535" s="339">
        <v>3.25</v>
      </c>
      <c r="O1535" s="341">
        <v>10</v>
      </c>
      <c r="P1535" s="341" t="s">
        <v>25</v>
      </c>
      <c r="Q1535" s="341">
        <v>0</v>
      </c>
      <c r="R1535" s="342" t="s">
        <v>25</v>
      </c>
      <c r="S1535" s="342" t="s">
        <v>25</v>
      </c>
    </row>
    <row r="1536" spans="1:19" ht="14.25" customHeight="1" x14ac:dyDescent="0.3">
      <c r="A1536" s="335" t="s">
        <v>2959</v>
      </c>
      <c r="B1536" s="335" t="s">
        <v>26</v>
      </c>
      <c r="C1536" s="335" t="s">
        <v>27</v>
      </c>
      <c r="D1536" s="335" t="s">
        <v>801</v>
      </c>
      <c r="E1536" s="336" t="s">
        <v>802</v>
      </c>
      <c r="F1536" s="336" t="s">
        <v>35</v>
      </c>
      <c r="G1536" s="337">
        <v>1</v>
      </c>
      <c r="H1536" s="338">
        <v>0.05</v>
      </c>
      <c r="I1536" s="339">
        <v>202.42</v>
      </c>
      <c r="J1536" s="340">
        <v>212.541</v>
      </c>
      <c r="K1536" s="335" t="s">
        <v>3022</v>
      </c>
      <c r="L1536" s="335">
        <v>6</v>
      </c>
      <c r="M1536" s="335" t="s">
        <v>3028</v>
      </c>
      <c r="N1536" s="339">
        <v>3.25</v>
      </c>
      <c r="O1536" s="341">
        <v>1</v>
      </c>
      <c r="P1536" s="341" t="s">
        <v>25</v>
      </c>
      <c r="Q1536" s="341">
        <v>0</v>
      </c>
      <c r="R1536" s="342" t="s">
        <v>25</v>
      </c>
      <c r="S1536" s="342" t="s">
        <v>25</v>
      </c>
    </row>
    <row r="1537" spans="1:19" ht="14.25" customHeight="1" x14ac:dyDescent="0.3">
      <c r="A1537" s="335" t="s">
        <v>2962</v>
      </c>
      <c r="B1537" s="335" t="s">
        <v>20</v>
      </c>
      <c r="C1537" s="335"/>
      <c r="D1537" s="335" t="s">
        <v>67</v>
      </c>
      <c r="E1537" s="336" t="s">
        <v>68</v>
      </c>
      <c r="F1537" s="336"/>
      <c r="G1537" s="337">
        <v>0.5</v>
      </c>
      <c r="H1537" s="338">
        <v>0</v>
      </c>
      <c r="I1537" s="339">
        <v>571.17949098076099</v>
      </c>
      <c r="J1537" s="340">
        <v>285.58974549038101</v>
      </c>
      <c r="K1537" s="335" t="s">
        <v>3029</v>
      </c>
      <c r="L1537" s="335">
        <v>1</v>
      </c>
      <c r="M1537" s="335" t="s">
        <v>3030</v>
      </c>
      <c r="N1537" s="339">
        <v>3.25</v>
      </c>
      <c r="O1537" s="341">
        <v>0.5</v>
      </c>
      <c r="P1537" s="341" t="s">
        <v>25</v>
      </c>
      <c r="Q1537" s="341">
        <v>0</v>
      </c>
      <c r="R1537" s="342" t="s">
        <v>25</v>
      </c>
      <c r="S1537" s="342" t="s">
        <v>25</v>
      </c>
    </row>
    <row r="1538" spans="1:19" ht="14.25" customHeight="1" x14ac:dyDescent="0.3">
      <c r="A1538" s="335" t="s">
        <v>2962</v>
      </c>
      <c r="B1538" s="335" t="s">
        <v>20</v>
      </c>
      <c r="C1538" s="335"/>
      <c r="D1538" s="335" t="s">
        <v>775</v>
      </c>
      <c r="E1538" s="336" t="s">
        <v>776</v>
      </c>
      <c r="F1538" s="336"/>
      <c r="G1538" s="337">
        <v>1</v>
      </c>
      <c r="H1538" s="338">
        <v>0</v>
      </c>
      <c r="I1538" s="339">
        <v>5063.0947914732396</v>
      </c>
      <c r="J1538" s="340">
        <v>5063.0947914732396</v>
      </c>
      <c r="K1538" s="335" t="s">
        <v>3029</v>
      </c>
      <c r="L1538" s="335">
        <v>2</v>
      </c>
      <c r="M1538" s="335" t="s">
        <v>3031</v>
      </c>
      <c r="N1538" s="339">
        <v>3.25</v>
      </c>
      <c r="O1538" s="341">
        <v>1</v>
      </c>
      <c r="P1538" s="341" t="s">
        <v>25</v>
      </c>
      <c r="Q1538" s="341">
        <v>0</v>
      </c>
      <c r="R1538" s="342" t="s">
        <v>25</v>
      </c>
      <c r="S1538" s="342" t="s">
        <v>25</v>
      </c>
    </row>
    <row r="1539" spans="1:19" ht="14.25" customHeight="1" x14ac:dyDescent="0.3">
      <c r="A1539" s="335" t="s">
        <v>2962</v>
      </c>
      <c r="B1539" s="335" t="s">
        <v>20</v>
      </c>
      <c r="C1539" s="335"/>
      <c r="D1539" s="335" t="s">
        <v>578</v>
      </c>
      <c r="E1539" s="336" t="s">
        <v>579</v>
      </c>
      <c r="F1539" s="336"/>
      <c r="G1539" s="337">
        <v>0.5</v>
      </c>
      <c r="H1539" s="338">
        <v>0</v>
      </c>
      <c r="I1539" s="339">
        <v>140.198092594309</v>
      </c>
      <c r="J1539" s="340">
        <v>70.099046297154501</v>
      </c>
      <c r="K1539" s="335" t="s">
        <v>3029</v>
      </c>
      <c r="L1539" s="335">
        <v>3</v>
      </c>
      <c r="M1539" s="335" t="s">
        <v>3032</v>
      </c>
      <c r="N1539" s="339">
        <v>3.25</v>
      </c>
      <c r="O1539" s="341">
        <v>0.5</v>
      </c>
      <c r="P1539" s="341" t="s">
        <v>25</v>
      </c>
      <c r="Q1539" s="341">
        <v>0</v>
      </c>
      <c r="R1539" s="342" t="s">
        <v>25</v>
      </c>
      <c r="S1539" s="342" t="s">
        <v>25</v>
      </c>
    </row>
    <row r="1540" spans="1:19" ht="14.25" customHeight="1" x14ac:dyDescent="0.3">
      <c r="A1540" s="335" t="s">
        <v>2962</v>
      </c>
      <c r="B1540" s="335" t="s">
        <v>26</v>
      </c>
      <c r="C1540" s="335" t="s">
        <v>27</v>
      </c>
      <c r="D1540" s="335" t="s">
        <v>813</v>
      </c>
      <c r="E1540" s="336" t="s">
        <v>814</v>
      </c>
      <c r="F1540" s="336" t="s">
        <v>35</v>
      </c>
      <c r="G1540" s="337">
        <v>4</v>
      </c>
      <c r="H1540" s="338">
        <v>0.1</v>
      </c>
      <c r="I1540" s="339">
        <v>225.83199999999999</v>
      </c>
      <c r="J1540" s="340">
        <v>993.66079999999999</v>
      </c>
      <c r="K1540" s="335" t="s">
        <v>3033</v>
      </c>
      <c r="L1540" s="335">
        <v>1</v>
      </c>
      <c r="M1540" s="335" t="s">
        <v>3034</v>
      </c>
      <c r="N1540" s="339">
        <v>3.25</v>
      </c>
      <c r="O1540" s="341">
        <v>4</v>
      </c>
      <c r="P1540" s="341" t="s">
        <v>25</v>
      </c>
      <c r="Q1540" s="341">
        <v>0</v>
      </c>
      <c r="R1540" s="342" t="s">
        <v>25</v>
      </c>
      <c r="S1540" s="342" t="s">
        <v>25</v>
      </c>
    </row>
    <row r="1541" spans="1:19" ht="14.25" customHeight="1" x14ac:dyDescent="0.3">
      <c r="A1541" s="335" t="s">
        <v>2962</v>
      </c>
      <c r="B1541" s="335" t="s">
        <v>26</v>
      </c>
      <c r="C1541" s="335" t="s">
        <v>27</v>
      </c>
      <c r="D1541" s="335" t="s">
        <v>817</v>
      </c>
      <c r="E1541" s="336" t="s">
        <v>818</v>
      </c>
      <c r="F1541" s="336" t="s">
        <v>744</v>
      </c>
      <c r="G1541" s="337">
        <v>5</v>
      </c>
      <c r="H1541" s="338">
        <v>0.05</v>
      </c>
      <c r="I1541" s="339">
        <v>472.18</v>
      </c>
      <c r="J1541" s="340">
        <v>2478.9450000000002</v>
      </c>
      <c r="K1541" s="335" t="s">
        <v>3033</v>
      </c>
      <c r="L1541" s="335">
        <v>2</v>
      </c>
      <c r="M1541" s="335" t="s">
        <v>3035</v>
      </c>
      <c r="N1541" s="339">
        <v>3.25</v>
      </c>
      <c r="O1541" s="341">
        <v>5</v>
      </c>
      <c r="P1541" s="341" t="s">
        <v>25</v>
      </c>
      <c r="Q1541" s="341">
        <v>0</v>
      </c>
      <c r="R1541" s="342" t="s">
        <v>25</v>
      </c>
      <c r="S1541" s="342" t="s">
        <v>25</v>
      </c>
    </row>
    <row r="1542" spans="1:19" ht="14.25" customHeight="1" x14ac:dyDescent="0.3">
      <c r="A1542" s="335" t="s">
        <v>2962</v>
      </c>
      <c r="B1542" s="335" t="s">
        <v>26</v>
      </c>
      <c r="C1542" s="335" t="s">
        <v>27</v>
      </c>
      <c r="D1542" s="335" t="s">
        <v>820</v>
      </c>
      <c r="E1542" s="336" t="s">
        <v>821</v>
      </c>
      <c r="F1542" s="336" t="s">
        <v>35</v>
      </c>
      <c r="G1542" s="337">
        <v>1.2</v>
      </c>
      <c r="H1542" s="338">
        <v>0.1</v>
      </c>
      <c r="I1542" s="339">
        <v>110.922</v>
      </c>
      <c r="J1542" s="340">
        <v>146.41703999999999</v>
      </c>
      <c r="K1542" s="335" t="s">
        <v>3033</v>
      </c>
      <c r="L1542" s="335">
        <v>3</v>
      </c>
      <c r="M1542" s="335" t="s">
        <v>3036</v>
      </c>
      <c r="N1542" s="339">
        <v>3.25</v>
      </c>
      <c r="O1542" s="341">
        <v>1.2</v>
      </c>
      <c r="P1542" s="341" t="s">
        <v>25</v>
      </c>
      <c r="Q1542" s="341">
        <v>0</v>
      </c>
      <c r="R1542" s="342" t="s">
        <v>25</v>
      </c>
      <c r="S1542" s="342" t="s">
        <v>25</v>
      </c>
    </row>
    <row r="1543" spans="1:19" ht="14.25" customHeight="1" x14ac:dyDescent="0.3">
      <c r="A1543" s="335" t="s">
        <v>2962</v>
      </c>
      <c r="B1543" s="335" t="s">
        <v>26</v>
      </c>
      <c r="C1543" s="335" t="s">
        <v>27</v>
      </c>
      <c r="D1543" s="335" t="s">
        <v>792</v>
      </c>
      <c r="E1543" s="336" t="s">
        <v>793</v>
      </c>
      <c r="F1543" s="336" t="s">
        <v>744</v>
      </c>
      <c r="G1543" s="337">
        <v>5</v>
      </c>
      <c r="H1543" s="338">
        <v>0.1</v>
      </c>
      <c r="I1543" s="339">
        <v>509.31490000000002</v>
      </c>
      <c r="J1543" s="340">
        <v>2801.2319499999999</v>
      </c>
      <c r="K1543" s="335" t="s">
        <v>3033</v>
      </c>
      <c r="L1543" s="335">
        <v>4</v>
      </c>
      <c r="M1543" s="335" t="s">
        <v>3037</v>
      </c>
      <c r="N1543" s="339">
        <v>3.25</v>
      </c>
      <c r="O1543" s="341">
        <v>5</v>
      </c>
      <c r="P1543" s="341" t="s">
        <v>25</v>
      </c>
      <c r="Q1543" s="341">
        <v>0</v>
      </c>
      <c r="R1543" s="342" t="s">
        <v>25</v>
      </c>
      <c r="S1543" s="342" t="s">
        <v>25</v>
      </c>
    </row>
    <row r="1544" spans="1:19" ht="14.25" customHeight="1" x14ac:dyDescent="0.3">
      <c r="A1544" s="335" t="s">
        <v>2962</v>
      </c>
      <c r="B1544" s="335" t="s">
        <v>26</v>
      </c>
      <c r="C1544" s="335" t="s">
        <v>27</v>
      </c>
      <c r="D1544" s="335" t="s">
        <v>795</v>
      </c>
      <c r="E1544" s="336" t="s">
        <v>796</v>
      </c>
      <c r="F1544" s="336" t="s">
        <v>744</v>
      </c>
      <c r="G1544" s="337">
        <v>10</v>
      </c>
      <c r="H1544" s="338">
        <v>0.1</v>
      </c>
      <c r="I1544" s="339">
        <v>509.31490000000002</v>
      </c>
      <c r="J1544" s="340">
        <v>5602.4638999999997</v>
      </c>
      <c r="K1544" s="335" t="s">
        <v>3033</v>
      </c>
      <c r="L1544" s="335">
        <v>5</v>
      </c>
      <c r="M1544" s="335" t="s">
        <v>3038</v>
      </c>
      <c r="N1544" s="339">
        <v>3.25</v>
      </c>
      <c r="O1544" s="341">
        <v>10</v>
      </c>
      <c r="P1544" s="341" t="s">
        <v>25</v>
      </c>
      <c r="Q1544" s="341">
        <v>0</v>
      </c>
      <c r="R1544" s="342" t="s">
        <v>25</v>
      </c>
      <c r="S1544" s="342" t="s">
        <v>25</v>
      </c>
    </row>
    <row r="1545" spans="1:19" ht="14.25" customHeight="1" x14ac:dyDescent="0.3">
      <c r="A1545" s="335" t="s">
        <v>2962</v>
      </c>
      <c r="B1545" s="335" t="s">
        <v>26</v>
      </c>
      <c r="C1545" s="335" t="s">
        <v>27</v>
      </c>
      <c r="D1545" s="335" t="s">
        <v>801</v>
      </c>
      <c r="E1545" s="336" t="s">
        <v>802</v>
      </c>
      <c r="F1545" s="336" t="s">
        <v>35</v>
      </c>
      <c r="G1545" s="337">
        <v>1</v>
      </c>
      <c r="H1545" s="338">
        <v>0.05</v>
      </c>
      <c r="I1545" s="339">
        <v>202.42</v>
      </c>
      <c r="J1545" s="340">
        <v>212.541</v>
      </c>
      <c r="K1545" s="335" t="s">
        <v>3033</v>
      </c>
      <c r="L1545" s="335">
        <v>6</v>
      </c>
      <c r="M1545" s="335" t="s">
        <v>3039</v>
      </c>
      <c r="N1545" s="339">
        <v>3.25</v>
      </c>
      <c r="O1545" s="341">
        <v>1</v>
      </c>
      <c r="P1545" s="341" t="s">
        <v>25</v>
      </c>
      <c r="Q1545" s="341">
        <v>0</v>
      </c>
      <c r="R1545" s="342" t="s">
        <v>25</v>
      </c>
      <c r="S1545" s="342" t="s">
        <v>25</v>
      </c>
    </row>
    <row r="1546" spans="1:19" ht="14.25" customHeight="1" x14ac:dyDescent="0.3">
      <c r="A1546" s="335" t="s">
        <v>2978</v>
      </c>
      <c r="B1546" s="335" t="s">
        <v>20</v>
      </c>
      <c r="C1546" s="335"/>
      <c r="D1546" s="335" t="s">
        <v>67</v>
      </c>
      <c r="E1546" s="336" t="s">
        <v>68</v>
      </c>
      <c r="F1546" s="336"/>
      <c r="G1546" s="337">
        <v>0.5</v>
      </c>
      <c r="H1546" s="338">
        <v>0</v>
      </c>
      <c r="I1546" s="339">
        <v>571.17949098076099</v>
      </c>
      <c r="J1546" s="340">
        <v>285.58974549038101</v>
      </c>
      <c r="K1546" s="335" t="s">
        <v>3040</v>
      </c>
      <c r="L1546" s="335">
        <v>1</v>
      </c>
      <c r="M1546" s="335" t="s">
        <v>3041</v>
      </c>
      <c r="N1546" s="339">
        <v>5</v>
      </c>
      <c r="O1546" s="341">
        <v>0.5</v>
      </c>
      <c r="P1546" s="341">
        <v>26</v>
      </c>
      <c r="Q1546" s="341">
        <v>13</v>
      </c>
      <c r="R1546" s="342">
        <v>18.11</v>
      </c>
      <c r="S1546" s="342" t="s">
        <v>25</v>
      </c>
    </row>
    <row r="1547" spans="1:19" ht="14.25" customHeight="1" x14ac:dyDescent="0.3">
      <c r="A1547" s="335" t="s">
        <v>2978</v>
      </c>
      <c r="B1547" s="335" t="s">
        <v>20</v>
      </c>
      <c r="C1547" s="335"/>
      <c r="D1547" s="335" t="s">
        <v>775</v>
      </c>
      <c r="E1547" s="336" t="s">
        <v>776</v>
      </c>
      <c r="F1547" s="336"/>
      <c r="G1547" s="337">
        <v>1</v>
      </c>
      <c r="H1547" s="338">
        <v>0</v>
      </c>
      <c r="I1547" s="339">
        <v>5063.0947914732396</v>
      </c>
      <c r="J1547" s="340">
        <v>5063.0947914732396</v>
      </c>
      <c r="K1547" s="335" t="s">
        <v>3040</v>
      </c>
      <c r="L1547" s="335">
        <v>2</v>
      </c>
      <c r="M1547" s="335" t="s">
        <v>3042</v>
      </c>
      <c r="N1547" s="339">
        <v>5</v>
      </c>
      <c r="O1547" s="341">
        <v>1</v>
      </c>
      <c r="P1547" s="341">
        <v>26</v>
      </c>
      <c r="Q1547" s="341">
        <v>26</v>
      </c>
      <c r="R1547" s="342">
        <v>18.11</v>
      </c>
      <c r="S1547" s="342" t="s">
        <v>25</v>
      </c>
    </row>
    <row r="1548" spans="1:19" ht="14.25" customHeight="1" x14ac:dyDescent="0.3">
      <c r="A1548" s="335" t="s">
        <v>2978</v>
      </c>
      <c r="B1548" s="335" t="s">
        <v>20</v>
      </c>
      <c r="C1548" s="335"/>
      <c r="D1548" s="335" t="s">
        <v>578</v>
      </c>
      <c r="E1548" s="336" t="s">
        <v>579</v>
      </c>
      <c r="F1548" s="336"/>
      <c r="G1548" s="337">
        <v>0.5</v>
      </c>
      <c r="H1548" s="338">
        <v>0</v>
      </c>
      <c r="I1548" s="339">
        <v>140.198092594309</v>
      </c>
      <c r="J1548" s="340">
        <v>70.099046297154501</v>
      </c>
      <c r="K1548" s="335" t="s">
        <v>3040</v>
      </c>
      <c r="L1548" s="335">
        <v>3</v>
      </c>
      <c r="M1548" s="335" t="s">
        <v>3043</v>
      </c>
      <c r="N1548" s="339">
        <v>5</v>
      </c>
      <c r="O1548" s="341">
        <v>0.5</v>
      </c>
      <c r="P1548" s="341">
        <v>26</v>
      </c>
      <c r="Q1548" s="341">
        <v>13</v>
      </c>
      <c r="R1548" s="342">
        <v>18.11</v>
      </c>
      <c r="S1548" s="342" t="s">
        <v>25</v>
      </c>
    </row>
    <row r="1549" spans="1:19" ht="14.25" customHeight="1" x14ac:dyDescent="0.3">
      <c r="A1549" s="335" t="s">
        <v>2978</v>
      </c>
      <c r="B1549" s="335" t="s">
        <v>26</v>
      </c>
      <c r="C1549" s="335" t="s">
        <v>27</v>
      </c>
      <c r="D1549" s="335" t="s">
        <v>96</v>
      </c>
      <c r="E1549" s="336" t="s">
        <v>97</v>
      </c>
      <c r="F1549" s="336" t="s">
        <v>98</v>
      </c>
      <c r="G1549" s="337">
        <v>2097.90076125</v>
      </c>
      <c r="H1549" s="338">
        <v>0</v>
      </c>
      <c r="I1549" s="339">
        <v>1</v>
      </c>
      <c r="J1549" s="340">
        <v>2097.90076125</v>
      </c>
      <c r="K1549" s="335" t="s">
        <v>3044</v>
      </c>
      <c r="L1549" s="335">
        <v>1</v>
      </c>
      <c r="M1549" s="335" t="s">
        <v>3045</v>
      </c>
      <c r="N1549" s="339">
        <v>5</v>
      </c>
      <c r="O1549" s="341">
        <v>2097.90076125</v>
      </c>
      <c r="P1549" s="341">
        <v>26</v>
      </c>
      <c r="Q1549" s="341">
        <v>54545.419792499997</v>
      </c>
      <c r="R1549" s="342">
        <v>18.11</v>
      </c>
      <c r="S1549" s="342" t="s">
        <v>25</v>
      </c>
    </row>
    <row r="1550" spans="1:19" ht="14.25" customHeight="1" x14ac:dyDescent="0.3">
      <c r="A1550" s="335" t="s">
        <v>2978</v>
      </c>
      <c r="B1550" s="335" t="s">
        <v>26</v>
      </c>
      <c r="C1550" s="335" t="s">
        <v>27</v>
      </c>
      <c r="D1550" s="335" t="s">
        <v>887</v>
      </c>
      <c r="E1550" s="336" t="s">
        <v>888</v>
      </c>
      <c r="F1550" s="336" t="s">
        <v>35</v>
      </c>
      <c r="G1550" s="337">
        <v>4</v>
      </c>
      <c r="H1550" s="338">
        <v>0.1</v>
      </c>
      <c r="I1550" s="339">
        <v>351.14</v>
      </c>
      <c r="J1550" s="340">
        <v>1545.0160000000001</v>
      </c>
      <c r="K1550" s="335" t="s">
        <v>3044</v>
      </c>
      <c r="L1550" s="335">
        <v>2</v>
      </c>
      <c r="M1550" s="335" t="s">
        <v>3046</v>
      </c>
      <c r="N1550" s="339">
        <v>5</v>
      </c>
      <c r="O1550" s="341">
        <v>4</v>
      </c>
      <c r="P1550" s="341">
        <v>26</v>
      </c>
      <c r="Q1550" s="341">
        <v>104</v>
      </c>
      <c r="R1550" s="342">
        <v>18.11</v>
      </c>
      <c r="S1550" s="342" t="s">
        <v>25</v>
      </c>
    </row>
    <row r="1551" spans="1:19" ht="14.25" customHeight="1" x14ac:dyDescent="0.3">
      <c r="A1551" s="335" t="s">
        <v>2978</v>
      </c>
      <c r="B1551" s="335" t="s">
        <v>26</v>
      </c>
      <c r="C1551" s="335" t="s">
        <v>27</v>
      </c>
      <c r="D1551" s="335" t="s">
        <v>891</v>
      </c>
      <c r="E1551" s="336" t="s">
        <v>892</v>
      </c>
      <c r="F1551" s="336" t="s">
        <v>744</v>
      </c>
      <c r="G1551" s="337">
        <v>7.5</v>
      </c>
      <c r="H1551" s="338">
        <v>0.05</v>
      </c>
      <c r="I1551" s="339">
        <v>666.92666666666696</v>
      </c>
      <c r="J1551" s="340">
        <v>5252.0474999999997</v>
      </c>
      <c r="K1551" s="335" t="s">
        <v>3044</v>
      </c>
      <c r="L1551" s="335">
        <v>3</v>
      </c>
      <c r="M1551" s="335" t="s">
        <v>3047</v>
      </c>
      <c r="N1551" s="339">
        <v>5</v>
      </c>
      <c r="O1551" s="341">
        <v>7.5</v>
      </c>
      <c r="P1551" s="341">
        <v>26</v>
      </c>
      <c r="Q1551" s="341">
        <v>195</v>
      </c>
      <c r="R1551" s="342">
        <v>18.11</v>
      </c>
      <c r="S1551" s="342" t="s">
        <v>25</v>
      </c>
    </row>
    <row r="1552" spans="1:19" ht="14.25" customHeight="1" x14ac:dyDescent="0.3">
      <c r="A1552" s="335" t="s">
        <v>2978</v>
      </c>
      <c r="B1552" s="335" t="s">
        <v>26</v>
      </c>
      <c r="C1552" s="335" t="s">
        <v>27</v>
      </c>
      <c r="D1552" s="335" t="s">
        <v>894</v>
      </c>
      <c r="E1552" s="336" t="s">
        <v>895</v>
      </c>
      <c r="F1552" s="336" t="s">
        <v>35</v>
      </c>
      <c r="G1552" s="337">
        <v>1.2</v>
      </c>
      <c r="H1552" s="338">
        <v>0.1</v>
      </c>
      <c r="I1552" s="339">
        <v>280.10000000000002</v>
      </c>
      <c r="J1552" s="340">
        <v>369.73200000000003</v>
      </c>
      <c r="K1552" s="335" t="s">
        <v>3044</v>
      </c>
      <c r="L1552" s="335">
        <v>4</v>
      </c>
      <c r="M1552" s="335" t="s">
        <v>3048</v>
      </c>
      <c r="N1552" s="339">
        <v>5</v>
      </c>
      <c r="O1552" s="341">
        <v>1.2</v>
      </c>
      <c r="P1552" s="341">
        <v>26</v>
      </c>
      <c r="Q1552" s="341">
        <v>31.2</v>
      </c>
      <c r="R1552" s="342">
        <v>18.11</v>
      </c>
      <c r="S1552" s="342" t="s">
        <v>25</v>
      </c>
    </row>
    <row r="1553" spans="1:19" ht="14.25" customHeight="1" x14ac:dyDescent="0.3">
      <c r="A1553" s="335" t="s">
        <v>2978</v>
      </c>
      <c r="B1553" s="335" t="s">
        <v>26</v>
      </c>
      <c r="C1553" s="335" t="s">
        <v>27</v>
      </c>
      <c r="D1553" s="335" t="s">
        <v>789</v>
      </c>
      <c r="E1553" s="336" t="s">
        <v>790</v>
      </c>
      <c r="F1553" s="336" t="s">
        <v>744</v>
      </c>
      <c r="G1553" s="337">
        <v>7.5</v>
      </c>
      <c r="H1553" s="338">
        <v>0.1</v>
      </c>
      <c r="I1553" s="339">
        <v>316.44450000000001</v>
      </c>
      <c r="J1553" s="340">
        <v>2610.6671249999999</v>
      </c>
      <c r="K1553" s="335" t="s">
        <v>3044</v>
      </c>
      <c r="L1553" s="335">
        <v>5</v>
      </c>
      <c r="M1553" s="335" t="s">
        <v>3049</v>
      </c>
      <c r="N1553" s="339">
        <v>5</v>
      </c>
      <c r="O1553" s="341">
        <v>7.5</v>
      </c>
      <c r="P1553" s="341">
        <v>26</v>
      </c>
      <c r="Q1553" s="341">
        <v>195</v>
      </c>
      <c r="R1553" s="342">
        <v>18.11</v>
      </c>
      <c r="S1553" s="342" t="s">
        <v>25</v>
      </c>
    </row>
    <row r="1554" spans="1:19" ht="14.25" customHeight="1" x14ac:dyDescent="0.3">
      <c r="A1554" s="335" t="s">
        <v>2978</v>
      </c>
      <c r="B1554" s="335" t="s">
        <v>26</v>
      </c>
      <c r="C1554" s="335" t="s">
        <v>27</v>
      </c>
      <c r="D1554" s="335" t="s">
        <v>801</v>
      </c>
      <c r="E1554" s="336" t="s">
        <v>802</v>
      </c>
      <c r="F1554" s="336" t="s">
        <v>35</v>
      </c>
      <c r="G1554" s="337">
        <v>1</v>
      </c>
      <c r="H1554" s="338">
        <v>0.05</v>
      </c>
      <c r="I1554" s="339">
        <v>202.42</v>
      </c>
      <c r="J1554" s="340">
        <v>212.541</v>
      </c>
      <c r="K1554" s="335" t="s">
        <v>3044</v>
      </c>
      <c r="L1554" s="335">
        <v>6</v>
      </c>
      <c r="M1554" s="335" t="s">
        <v>3050</v>
      </c>
      <c r="N1554" s="339">
        <v>5</v>
      </c>
      <c r="O1554" s="341">
        <v>1</v>
      </c>
      <c r="P1554" s="341">
        <v>26</v>
      </c>
      <c r="Q1554" s="341">
        <v>26</v>
      </c>
      <c r="R1554" s="342">
        <v>18.11</v>
      </c>
      <c r="S1554" s="342" t="s">
        <v>25</v>
      </c>
    </row>
    <row r="1555" spans="1:19" ht="14.25" customHeight="1" x14ac:dyDescent="0.3">
      <c r="A1555" s="335" t="s">
        <v>2983</v>
      </c>
      <c r="B1555" s="335" t="s">
        <v>20</v>
      </c>
      <c r="C1555" s="335"/>
      <c r="D1555" s="335" t="s">
        <v>67</v>
      </c>
      <c r="E1555" s="336" t="s">
        <v>68</v>
      </c>
      <c r="F1555" s="336"/>
      <c r="G1555" s="337">
        <v>0.5</v>
      </c>
      <c r="H1555" s="338">
        <v>0</v>
      </c>
      <c r="I1555" s="339">
        <v>571.17949098076099</v>
      </c>
      <c r="J1555" s="340">
        <v>285.58974549038101</v>
      </c>
      <c r="K1555" s="335" t="s">
        <v>3051</v>
      </c>
      <c r="L1555" s="335">
        <v>1</v>
      </c>
      <c r="M1555" s="335" t="s">
        <v>3052</v>
      </c>
      <c r="N1555" s="339">
        <v>5</v>
      </c>
      <c r="O1555" s="341">
        <v>0.5</v>
      </c>
      <c r="P1555" s="341" t="s">
        <v>25</v>
      </c>
      <c r="Q1555" s="341">
        <v>0</v>
      </c>
      <c r="R1555" s="342" t="s">
        <v>25</v>
      </c>
      <c r="S1555" s="342" t="s">
        <v>25</v>
      </c>
    </row>
    <row r="1556" spans="1:19" ht="14.25" customHeight="1" x14ac:dyDescent="0.3">
      <c r="A1556" s="335" t="s">
        <v>2983</v>
      </c>
      <c r="B1556" s="335" t="s">
        <v>20</v>
      </c>
      <c r="C1556" s="335"/>
      <c r="D1556" s="335" t="s">
        <v>775</v>
      </c>
      <c r="E1556" s="336" t="s">
        <v>776</v>
      </c>
      <c r="F1556" s="336"/>
      <c r="G1556" s="337">
        <v>1</v>
      </c>
      <c r="H1556" s="338">
        <v>0</v>
      </c>
      <c r="I1556" s="339">
        <v>5063.0947914732396</v>
      </c>
      <c r="J1556" s="340">
        <v>5063.0947914732396</v>
      </c>
      <c r="K1556" s="335" t="s">
        <v>3051</v>
      </c>
      <c r="L1556" s="335">
        <v>2</v>
      </c>
      <c r="M1556" s="335" t="s">
        <v>3053</v>
      </c>
      <c r="N1556" s="339">
        <v>5</v>
      </c>
      <c r="O1556" s="341">
        <v>1</v>
      </c>
      <c r="P1556" s="341" t="s">
        <v>25</v>
      </c>
      <c r="Q1556" s="341">
        <v>0</v>
      </c>
      <c r="R1556" s="342" t="s">
        <v>25</v>
      </c>
      <c r="S1556" s="342" t="s">
        <v>25</v>
      </c>
    </row>
    <row r="1557" spans="1:19" ht="14.25" customHeight="1" x14ac:dyDescent="0.3">
      <c r="A1557" s="335" t="s">
        <v>2983</v>
      </c>
      <c r="B1557" s="335" t="s">
        <v>20</v>
      </c>
      <c r="C1557" s="335"/>
      <c r="D1557" s="335" t="s">
        <v>578</v>
      </c>
      <c r="E1557" s="336" t="s">
        <v>579</v>
      </c>
      <c r="F1557" s="336"/>
      <c r="G1557" s="337">
        <v>0.5</v>
      </c>
      <c r="H1557" s="338">
        <v>0</v>
      </c>
      <c r="I1557" s="339">
        <v>140.198092594309</v>
      </c>
      <c r="J1557" s="340">
        <v>70.099046297154501</v>
      </c>
      <c r="K1557" s="335" t="s">
        <v>3051</v>
      </c>
      <c r="L1557" s="335">
        <v>3</v>
      </c>
      <c r="M1557" s="335" t="s">
        <v>3054</v>
      </c>
      <c r="N1557" s="339">
        <v>5</v>
      </c>
      <c r="O1557" s="341">
        <v>0.5</v>
      </c>
      <c r="P1557" s="341" t="s">
        <v>25</v>
      </c>
      <c r="Q1557" s="341">
        <v>0</v>
      </c>
      <c r="R1557" s="342" t="s">
        <v>25</v>
      </c>
      <c r="S1557" s="342" t="s">
        <v>25</v>
      </c>
    </row>
    <row r="1558" spans="1:19" ht="14.25" customHeight="1" x14ac:dyDescent="0.3">
      <c r="A1558" s="335" t="s">
        <v>2983</v>
      </c>
      <c r="B1558" s="335" t="s">
        <v>26</v>
      </c>
      <c r="C1558" s="335" t="s">
        <v>27</v>
      </c>
      <c r="D1558" s="335" t="s">
        <v>887</v>
      </c>
      <c r="E1558" s="336" t="s">
        <v>888</v>
      </c>
      <c r="F1558" s="336" t="s">
        <v>35</v>
      </c>
      <c r="G1558" s="337">
        <v>3</v>
      </c>
      <c r="H1558" s="338">
        <v>0.1</v>
      </c>
      <c r="I1558" s="339">
        <v>351.14</v>
      </c>
      <c r="J1558" s="340">
        <v>1158.7619999999999</v>
      </c>
      <c r="K1558" s="335" t="s">
        <v>3055</v>
      </c>
      <c r="L1558" s="335">
        <v>1</v>
      </c>
      <c r="M1558" s="335" t="s">
        <v>3056</v>
      </c>
      <c r="N1558" s="339">
        <v>5</v>
      </c>
      <c r="O1558" s="341">
        <v>3</v>
      </c>
      <c r="P1558" s="341" t="s">
        <v>25</v>
      </c>
      <c r="Q1558" s="341">
        <v>0</v>
      </c>
      <c r="R1558" s="342" t="s">
        <v>25</v>
      </c>
      <c r="S1558" s="342" t="s">
        <v>25</v>
      </c>
    </row>
    <row r="1559" spans="1:19" ht="14.25" customHeight="1" x14ac:dyDescent="0.3">
      <c r="A1559" s="335" t="s">
        <v>2983</v>
      </c>
      <c r="B1559" s="335" t="s">
        <v>26</v>
      </c>
      <c r="C1559" s="335" t="s">
        <v>27</v>
      </c>
      <c r="D1559" s="335" t="s">
        <v>891</v>
      </c>
      <c r="E1559" s="336" t="s">
        <v>892</v>
      </c>
      <c r="F1559" s="336" t="s">
        <v>744</v>
      </c>
      <c r="G1559" s="337">
        <v>7.5</v>
      </c>
      <c r="H1559" s="338">
        <v>0.1</v>
      </c>
      <c r="I1559" s="339">
        <v>666.92666666666696</v>
      </c>
      <c r="J1559" s="340">
        <v>5502.1450000000004</v>
      </c>
      <c r="K1559" s="335" t="s">
        <v>3055</v>
      </c>
      <c r="L1559" s="335">
        <v>2</v>
      </c>
      <c r="M1559" s="335" t="s">
        <v>3057</v>
      </c>
      <c r="N1559" s="339">
        <v>5</v>
      </c>
      <c r="O1559" s="341">
        <v>7.5</v>
      </c>
      <c r="P1559" s="341" t="s">
        <v>25</v>
      </c>
      <c r="Q1559" s="341">
        <v>0</v>
      </c>
      <c r="R1559" s="342" t="s">
        <v>25</v>
      </c>
      <c r="S1559" s="342" t="s">
        <v>25</v>
      </c>
    </row>
    <row r="1560" spans="1:19" ht="14.25" customHeight="1" x14ac:dyDescent="0.3">
      <c r="A1560" s="335" t="s">
        <v>2983</v>
      </c>
      <c r="B1560" s="335" t="s">
        <v>26</v>
      </c>
      <c r="C1560" s="335" t="s">
        <v>27</v>
      </c>
      <c r="D1560" s="335" t="s">
        <v>894</v>
      </c>
      <c r="E1560" s="336" t="s">
        <v>895</v>
      </c>
      <c r="F1560" s="336" t="s">
        <v>35</v>
      </c>
      <c r="G1560" s="337">
        <v>3</v>
      </c>
      <c r="H1560" s="338">
        <v>0.1</v>
      </c>
      <c r="I1560" s="339">
        <v>280.10000000000002</v>
      </c>
      <c r="J1560" s="340">
        <v>924.33</v>
      </c>
      <c r="K1560" s="335" t="s">
        <v>3055</v>
      </c>
      <c r="L1560" s="335">
        <v>3</v>
      </c>
      <c r="M1560" s="335" t="s">
        <v>3058</v>
      </c>
      <c r="N1560" s="339">
        <v>5</v>
      </c>
      <c r="O1560" s="341">
        <v>3</v>
      </c>
      <c r="P1560" s="341" t="s">
        <v>25</v>
      </c>
      <c r="Q1560" s="341">
        <v>0</v>
      </c>
      <c r="R1560" s="342" t="s">
        <v>25</v>
      </c>
      <c r="S1560" s="342" t="s">
        <v>25</v>
      </c>
    </row>
    <row r="1561" spans="1:19" ht="14.25" customHeight="1" x14ac:dyDescent="0.3">
      <c r="A1561" s="335" t="s">
        <v>2983</v>
      </c>
      <c r="B1561" s="335" t="s">
        <v>26</v>
      </c>
      <c r="C1561" s="335" t="s">
        <v>27</v>
      </c>
      <c r="D1561" s="335" t="s">
        <v>897</v>
      </c>
      <c r="E1561" s="336" t="s">
        <v>898</v>
      </c>
      <c r="F1561" s="336" t="s">
        <v>744</v>
      </c>
      <c r="G1561" s="337">
        <v>22.5</v>
      </c>
      <c r="H1561" s="338">
        <v>0.1</v>
      </c>
      <c r="I1561" s="339">
        <v>834.6</v>
      </c>
      <c r="J1561" s="340">
        <v>20656.349999999999</v>
      </c>
      <c r="K1561" s="335" t="s">
        <v>3055</v>
      </c>
      <c r="L1561" s="335">
        <v>4</v>
      </c>
      <c r="M1561" s="335" t="s">
        <v>3059</v>
      </c>
      <c r="N1561" s="339">
        <v>5</v>
      </c>
      <c r="O1561" s="341">
        <v>22.5</v>
      </c>
      <c r="P1561" s="341" t="s">
        <v>25</v>
      </c>
      <c r="Q1561" s="341">
        <v>0</v>
      </c>
      <c r="R1561" s="342" t="s">
        <v>25</v>
      </c>
      <c r="S1561" s="342" t="s">
        <v>25</v>
      </c>
    </row>
    <row r="1562" spans="1:19" ht="14.25" customHeight="1" x14ac:dyDescent="0.3">
      <c r="A1562" s="335" t="s">
        <v>2983</v>
      </c>
      <c r="B1562" s="335" t="s">
        <v>26</v>
      </c>
      <c r="C1562" s="335" t="s">
        <v>27</v>
      </c>
      <c r="D1562" s="335" t="s">
        <v>801</v>
      </c>
      <c r="E1562" s="336" t="s">
        <v>802</v>
      </c>
      <c r="F1562" s="336" t="s">
        <v>35</v>
      </c>
      <c r="G1562" s="337">
        <v>1</v>
      </c>
      <c r="H1562" s="338">
        <v>0.05</v>
      </c>
      <c r="I1562" s="339">
        <v>202.42</v>
      </c>
      <c r="J1562" s="340">
        <v>212.541</v>
      </c>
      <c r="K1562" s="335" t="s">
        <v>3055</v>
      </c>
      <c r="L1562" s="335">
        <v>5</v>
      </c>
      <c r="M1562" s="335" t="s">
        <v>3060</v>
      </c>
      <c r="N1562" s="339">
        <v>5</v>
      </c>
      <c r="O1562" s="341">
        <v>1</v>
      </c>
      <c r="P1562" s="341" t="s">
        <v>25</v>
      </c>
      <c r="Q1562" s="341">
        <v>0</v>
      </c>
      <c r="R1562" s="342" t="s">
        <v>25</v>
      </c>
      <c r="S1562" s="342" t="s">
        <v>25</v>
      </c>
    </row>
    <row r="1563" spans="1:19" ht="14.25" customHeight="1" x14ac:dyDescent="0.3">
      <c r="A1563" s="335" t="s">
        <v>2998</v>
      </c>
      <c r="B1563" s="335" t="s">
        <v>20</v>
      </c>
      <c r="C1563" s="335"/>
      <c r="D1563" s="335" t="s">
        <v>67</v>
      </c>
      <c r="E1563" s="336" t="s">
        <v>68</v>
      </c>
      <c r="F1563" s="336"/>
      <c r="G1563" s="337">
        <v>0.5</v>
      </c>
      <c r="H1563" s="338">
        <v>0</v>
      </c>
      <c r="I1563" s="339">
        <v>571.17949098076099</v>
      </c>
      <c r="J1563" s="340">
        <v>285.58974549038101</v>
      </c>
      <c r="K1563" s="335" t="s">
        <v>3061</v>
      </c>
      <c r="L1563" s="335">
        <v>1</v>
      </c>
      <c r="M1563" s="335" t="s">
        <v>3062</v>
      </c>
      <c r="N1563" s="339">
        <v>5</v>
      </c>
      <c r="O1563" s="341">
        <v>0.5</v>
      </c>
      <c r="P1563" s="341" t="s">
        <v>25</v>
      </c>
      <c r="Q1563" s="341">
        <v>0</v>
      </c>
      <c r="R1563" s="342" t="s">
        <v>25</v>
      </c>
      <c r="S1563" s="342" t="s">
        <v>25</v>
      </c>
    </row>
    <row r="1564" spans="1:19" ht="14.25" customHeight="1" x14ac:dyDescent="0.3">
      <c r="A1564" s="335" t="s">
        <v>2998</v>
      </c>
      <c r="B1564" s="335" t="s">
        <v>20</v>
      </c>
      <c r="C1564" s="335"/>
      <c r="D1564" s="335" t="s">
        <v>775</v>
      </c>
      <c r="E1564" s="336" t="s">
        <v>776</v>
      </c>
      <c r="F1564" s="336"/>
      <c r="G1564" s="337">
        <v>1</v>
      </c>
      <c r="H1564" s="338">
        <v>0</v>
      </c>
      <c r="I1564" s="339">
        <v>5063.0947914732396</v>
      </c>
      <c r="J1564" s="340">
        <v>5063.0947914732396</v>
      </c>
      <c r="K1564" s="335" t="s">
        <v>3061</v>
      </c>
      <c r="L1564" s="335">
        <v>2</v>
      </c>
      <c r="M1564" s="335" t="s">
        <v>3063</v>
      </c>
      <c r="N1564" s="339">
        <v>5</v>
      </c>
      <c r="O1564" s="341">
        <v>1</v>
      </c>
      <c r="P1564" s="341" t="s">
        <v>25</v>
      </c>
      <c r="Q1564" s="341">
        <v>0</v>
      </c>
      <c r="R1564" s="342" t="s">
        <v>25</v>
      </c>
      <c r="S1564" s="342" t="s">
        <v>25</v>
      </c>
    </row>
    <row r="1565" spans="1:19" ht="14.25" customHeight="1" x14ac:dyDescent="0.3">
      <c r="A1565" s="335" t="s">
        <v>2998</v>
      </c>
      <c r="B1565" s="335" t="s">
        <v>20</v>
      </c>
      <c r="C1565" s="335"/>
      <c r="D1565" s="335" t="s">
        <v>578</v>
      </c>
      <c r="E1565" s="336" t="s">
        <v>579</v>
      </c>
      <c r="F1565" s="336"/>
      <c r="G1565" s="337">
        <v>0.5</v>
      </c>
      <c r="H1565" s="338">
        <v>0</v>
      </c>
      <c r="I1565" s="339">
        <v>140.198092594309</v>
      </c>
      <c r="J1565" s="340">
        <v>70.099046297154501</v>
      </c>
      <c r="K1565" s="335" t="s">
        <v>3061</v>
      </c>
      <c r="L1565" s="335">
        <v>3</v>
      </c>
      <c r="M1565" s="335" t="s">
        <v>3064</v>
      </c>
      <c r="N1565" s="339">
        <v>5</v>
      </c>
      <c r="O1565" s="341">
        <v>0.5</v>
      </c>
      <c r="P1565" s="341" t="s">
        <v>25</v>
      </c>
      <c r="Q1565" s="341">
        <v>0</v>
      </c>
      <c r="R1565" s="342" t="s">
        <v>25</v>
      </c>
      <c r="S1565" s="342" t="s">
        <v>25</v>
      </c>
    </row>
    <row r="1566" spans="1:19" ht="14.25" customHeight="1" x14ac:dyDescent="0.3">
      <c r="A1566" s="335" t="s">
        <v>2998</v>
      </c>
      <c r="B1566" s="335" t="s">
        <v>26</v>
      </c>
      <c r="C1566" s="335" t="s">
        <v>27</v>
      </c>
      <c r="D1566" s="335" t="s">
        <v>887</v>
      </c>
      <c r="E1566" s="336" t="s">
        <v>888</v>
      </c>
      <c r="F1566" s="336" t="s">
        <v>35</v>
      </c>
      <c r="G1566" s="337">
        <v>3</v>
      </c>
      <c r="H1566" s="338">
        <v>0.1</v>
      </c>
      <c r="I1566" s="339">
        <v>351.14</v>
      </c>
      <c r="J1566" s="340">
        <v>1158.7619999999999</v>
      </c>
      <c r="K1566" s="335" t="s">
        <v>3065</v>
      </c>
      <c r="L1566" s="335">
        <v>1</v>
      </c>
      <c r="M1566" s="335" t="s">
        <v>3066</v>
      </c>
      <c r="N1566" s="339">
        <v>5</v>
      </c>
      <c r="O1566" s="341">
        <v>3</v>
      </c>
      <c r="P1566" s="341" t="s">
        <v>25</v>
      </c>
      <c r="Q1566" s="341">
        <v>0</v>
      </c>
      <c r="R1566" s="342" t="s">
        <v>25</v>
      </c>
      <c r="S1566" s="342" t="s">
        <v>25</v>
      </c>
    </row>
    <row r="1567" spans="1:19" ht="14.25" customHeight="1" x14ac:dyDescent="0.3">
      <c r="A1567" s="335" t="s">
        <v>2998</v>
      </c>
      <c r="B1567" s="335" t="s">
        <v>26</v>
      </c>
      <c r="C1567" s="335" t="s">
        <v>27</v>
      </c>
      <c r="D1567" s="335" t="s">
        <v>891</v>
      </c>
      <c r="E1567" s="336" t="s">
        <v>892</v>
      </c>
      <c r="F1567" s="336" t="s">
        <v>744</v>
      </c>
      <c r="G1567" s="337">
        <v>7.5</v>
      </c>
      <c r="H1567" s="338">
        <v>0.1</v>
      </c>
      <c r="I1567" s="339">
        <v>666.92666666666696</v>
      </c>
      <c r="J1567" s="340">
        <v>5502.1450000000004</v>
      </c>
      <c r="K1567" s="335" t="s">
        <v>3065</v>
      </c>
      <c r="L1567" s="335">
        <v>2</v>
      </c>
      <c r="M1567" s="335" t="s">
        <v>3067</v>
      </c>
      <c r="N1567" s="339">
        <v>5</v>
      </c>
      <c r="O1567" s="341">
        <v>7.5</v>
      </c>
      <c r="P1567" s="341" t="s">
        <v>25</v>
      </c>
      <c r="Q1567" s="341">
        <v>0</v>
      </c>
      <c r="R1567" s="342" t="s">
        <v>25</v>
      </c>
      <c r="S1567" s="342" t="s">
        <v>25</v>
      </c>
    </row>
    <row r="1568" spans="1:19" ht="14.25" customHeight="1" x14ac:dyDescent="0.3">
      <c r="A1568" s="335" t="s">
        <v>2998</v>
      </c>
      <c r="B1568" s="335" t="s">
        <v>26</v>
      </c>
      <c r="C1568" s="335" t="s">
        <v>27</v>
      </c>
      <c r="D1568" s="335" t="s">
        <v>894</v>
      </c>
      <c r="E1568" s="336" t="s">
        <v>895</v>
      </c>
      <c r="F1568" s="336" t="s">
        <v>35</v>
      </c>
      <c r="G1568" s="337">
        <v>3</v>
      </c>
      <c r="H1568" s="338">
        <v>0.1</v>
      </c>
      <c r="I1568" s="339">
        <v>280.10000000000002</v>
      </c>
      <c r="J1568" s="340">
        <v>924.33</v>
      </c>
      <c r="K1568" s="335" t="s">
        <v>3065</v>
      </c>
      <c r="L1568" s="335">
        <v>3</v>
      </c>
      <c r="M1568" s="335" t="s">
        <v>3068</v>
      </c>
      <c r="N1568" s="339">
        <v>5</v>
      </c>
      <c r="O1568" s="341">
        <v>3</v>
      </c>
      <c r="P1568" s="341" t="s">
        <v>25</v>
      </c>
      <c r="Q1568" s="341">
        <v>0</v>
      </c>
      <c r="R1568" s="342" t="s">
        <v>25</v>
      </c>
      <c r="S1568" s="342" t="s">
        <v>25</v>
      </c>
    </row>
    <row r="1569" spans="1:19" ht="14.25" customHeight="1" x14ac:dyDescent="0.3">
      <c r="A1569" s="335" t="s">
        <v>2998</v>
      </c>
      <c r="B1569" s="335" t="s">
        <v>26</v>
      </c>
      <c r="C1569" s="335" t="s">
        <v>27</v>
      </c>
      <c r="D1569" s="335" t="s">
        <v>897</v>
      </c>
      <c r="E1569" s="336" t="s">
        <v>898</v>
      </c>
      <c r="F1569" s="336" t="s">
        <v>744</v>
      </c>
      <c r="G1569" s="337">
        <v>22.5</v>
      </c>
      <c r="H1569" s="338">
        <v>0.1</v>
      </c>
      <c r="I1569" s="339">
        <v>834.6</v>
      </c>
      <c r="J1569" s="340">
        <v>20656.349999999999</v>
      </c>
      <c r="K1569" s="335" t="s">
        <v>3065</v>
      </c>
      <c r="L1569" s="335">
        <v>4</v>
      </c>
      <c r="M1569" s="335" t="s">
        <v>3069</v>
      </c>
      <c r="N1569" s="339">
        <v>5</v>
      </c>
      <c r="O1569" s="341">
        <v>22.5</v>
      </c>
      <c r="P1569" s="341" t="s">
        <v>25</v>
      </c>
      <c r="Q1569" s="341">
        <v>0</v>
      </c>
      <c r="R1569" s="342" t="s">
        <v>25</v>
      </c>
      <c r="S1569" s="342" t="s">
        <v>25</v>
      </c>
    </row>
    <row r="1570" spans="1:19" ht="14.25" customHeight="1" x14ac:dyDescent="0.3">
      <c r="A1570" s="335" t="s">
        <v>2998</v>
      </c>
      <c r="B1570" s="335" t="s">
        <v>26</v>
      </c>
      <c r="C1570" s="335" t="s">
        <v>27</v>
      </c>
      <c r="D1570" s="335" t="s">
        <v>801</v>
      </c>
      <c r="E1570" s="336" t="s">
        <v>802</v>
      </c>
      <c r="F1570" s="336" t="s">
        <v>35</v>
      </c>
      <c r="G1570" s="337">
        <v>1</v>
      </c>
      <c r="H1570" s="338">
        <v>0.05</v>
      </c>
      <c r="I1570" s="339">
        <v>202.42</v>
      </c>
      <c r="J1570" s="340">
        <v>212.541</v>
      </c>
      <c r="K1570" s="335" t="s">
        <v>3065</v>
      </c>
      <c r="L1570" s="335">
        <v>5</v>
      </c>
      <c r="M1570" s="335" t="s">
        <v>3070</v>
      </c>
      <c r="N1570" s="339">
        <v>5</v>
      </c>
      <c r="O1570" s="341">
        <v>1</v>
      </c>
      <c r="P1570" s="341" t="s">
        <v>25</v>
      </c>
      <c r="Q1570" s="341">
        <v>0</v>
      </c>
      <c r="R1570" s="342" t="s">
        <v>25</v>
      </c>
      <c r="S1570" s="342" t="s">
        <v>25</v>
      </c>
    </row>
    <row r="1571" spans="1:19" ht="14.25" customHeight="1" x14ac:dyDescent="0.3">
      <c r="A1571" s="335" t="s">
        <v>3001</v>
      </c>
      <c r="B1571" s="335" t="s">
        <v>20</v>
      </c>
      <c r="C1571" s="335"/>
      <c r="D1571" s="335" t="s">
        <v>67</v>
      </c>
      <c r="E1571" s="336" t="s">
        <v>68</v>
      </c>
      <c r="F1571" s="336"/>
      <c r="G1571" s="337">
        <v>0.5</v>
      </c>
      <c r="H1571" s="338">
        <v>0</v>
      </c>
      <c r="I1571" s="339">
        <v>571.17949098076099</v>
      </c>
      <c r="J1571" s="340">
        <v>285.58974549038101</v>
      </c>
      <c r="K1571" s="335" t="s">
        <v>3071</v>
      </c>
      <c r="L1571" s="335">
        <v>1</v>
      </c>
      <c r="M1571" s="335" t="s">
        <v>3072</v>
      </c>
      <c r="N1571" s="339">
        <v>5</v>
      </c>
      <c r="O1571" s="341">
        <v>0.5</v>
      </c>
      <c r="P1571" s="341" t="s">
        <v>25</v>
      </c>
      <c r="Q1571" s="341">
        <v>0</v>
      </c>
      <c r="R1571" s="342" t="s">
        <v>25</v>
      </c>
      <c r="S1571" s="342" t="s">
        <v>25</v>
      </c>
    </row>
    <row r="1572" spans="1:19" ht="14.25" customHeight="1" x14ac:dyDescent="0.3">
      <c r="A1572" s="335" t="s">
        <v>3001</v>
      </c>
      <c r="B1572" s="335" t="s">
        <v>20</v>
      </c>
      <c r="C1572" s="335"/>
      <c r="D1572" s="335" t="s">
        <v>775</v>
      </c>
      <c r="E1572" s="336" t="s">
        <v>776</v>
      </c>
      <c r="F1572" s="336"/>
      <c r="G1572" s="337">
        <v>1</v>
      </c>
      <c r="H1572" s="338">
        <v>0</v>
      </c>
      <c r="I1572" s="339">
        <v>5063.0947914732396</v>
      </c>
      <c r="J1572" s="340">
        <v>5063.0947914732396</v>
      </c>
      <c r="K1572" s="335" t="s">
        <v>3071</v>
      </c>
      <c r="L1572" s="335">
        <v>2</v>
      </c>
      <c r="M1572" s="335" t="s">
        <v>3073</v>
      </c>
      <c r="N1572" s="339">
        <v>5</v>
      </c>
      <c r="O1572" s="341">
        <v>1</v>
      </c>
      <c r="P1572" s="341" t="s">
        <v>25</v>
      </c>
      <c r="Q1572" s="341">
        <v>0</v>
      </c>
      <c r="R1572" s="342" t="s">
        <v>25</v>
      </c>
      <c r="S1572" s="342" t="s">
        <v>25</v>
      </c>
    </row>
    <row r="1573" spans="1:19" ht="14.25" customHeight="1" x14ac:dyDescent="0.3">
      <c r="A1573" s="335" t="s">
        <v>3001</v>
      </c>
      <c r="B1573" s="335" t="s">
        <v>20</v>
      </c>
      <c r="C1573" s="335"/>
      <c r="D1573" s="335" t="s">
        <v>578</v>
      </c>
      <c r="E1573" s="336" t="s">
        <v>579</v>
      </c>
      <c r="F1573" s="336"/>
      <c r="G1573" s="337">
        <v>0.5</v>
      </c>
      <c r="H1573" s="338">
        <v>0</v>
      </c>
      <c r="I1573" s="339">
        <v>140.198092594309</v>
      </c>
      <c r="J1573" s="340">
        <v>70.099046297154501</v>
      </c>
      <c r="K1573" s="335" t="s">
        <v>3071</v>
      </c>
      <c r="L1573" s="335">
        <v>3</v>
      </c>
      <c r="M1573" s="335" t="s">
        <v>3074</v>
      </c>
      <c r="N1573" s="339">
        <v>5</v>
      </c>
      <c r="O1573" s="341">
        <v>0.5</v>
      </c>
      <c r="P1573" s="341" t="s">
        <v>25</v>
      </c>
      <c r="Q1573" s="341">
        <v>0</v>
      </c>
      <c r="R1573" s="342" t="s">
        <v>25</v>
      </c>
      <c r="S1573" s="342" t="s">
        <v>25</v>
      </c>
    </row>
    <row r="1574" spans="1:19" ht="14.25" customHeight="1" x14ac:dyDescent="0.3">
      <c r="A1574" s="335" t="s">
        <v>3001</v>
      </c>
      <c r="B1574" s="335" t="s">
        <v>26</v>
      </c>
      <c r="C1574" s="335" t="s">
        <v>27</v>
      </c>
      <c r="D1574" s="335" t="s">
        <v>887</v>
      </c>
      <c r="E1574" s="336" t="s">
        <v>888</v>
      </c>
      <c r="F1574" s="336" t="s">
        <v>35</v>
      </c>
      <c r="G1574" s="337">
        <v>3</v>
      </c>
      <c r="H1574" s="338">
        <v>0.1</v>
      </c>
      <c r="I1574" s="339">
        <v>351.14</v>
      </c>
      <c r="J1574" s="340">
        <v>1158.7619999999999</v>
      </c>
      <c r="K1574" s="335" t="s">
        <v>3075</v>
      </c>
      <c r="L1574" s="335">
        <v>1</v>
      </c>
      <c r="M1574" s="335" t="s">
        <v>3076</v>
      </c>
      <c r="N1574" s="339">
        <v>5</v>
      </c>
      <c r="O1574" s="341">
        <v>3</v>
      </c>
      <c r="P1574" s="341" t="s">
        <v>25</v>
      </c>
      <c r="Q1574" s="341">
        <v>0</v>
      </c>
      <c r="R1574" s="342" t="s">
        <v>25</v>
      </c>
      <c r="S1574" s="342" t="s">
        <v>25</v>
      </c>
    </row>
    <row r="1575" spans="1:19" ht="14.25" customHeight="1" x14ac:dyDescent="0.3">
      <c r="A1575" s="335" t="s">
        <v>3001</v>
      </c>
      <c r="B1575" s="335" t="s">
        <v>26</v>
      </c>
      <c r="C1575" s="335" t="s">
        <v>27</v>
      </c>
      <c r="D1575" s="335" t="s">
        <v>891</v>
      </c>
      <c r="E1575" s="336" t="s">
        <v>892</v>
      </c>
      <c r="F1575" s="336" t="s">
        <v>744</v>
      </c>
      <c r="G1575" s="337">
        <v>7.5</v>
      </c>
      <c r="H1575" s="338">
        <v>0.1</v>
      </c>
      <c r="I1575" s="339">
        <v>666.92666666666696</v>
      </c>
      <c r="J1575" s="340">
        <v>5502.1450000000004</v>
      </c>
      <c r="K1575" s="335" t="s">
        <v>3075</v>
      </c>
      <c r="L1575" s="335">
        <v>2</v>
      </c>
      <c r="M1575" s="335" t="s">
        <v>3077</v>
      </c>
      <c r="N1575" s="339">
        <v>5</v>
      </c>
      <c r="O1575" s="341">
        <v>7.5</v>
      </c>
      <c r="P1575" s="341" t="s">
        <v>25</v>
      </c>
      <c r="Q1575" s="341">
        <v>0</v>
      </c>
      <c r="R1575" s="342" t="s">
        <v>25</v>
      </c>
      <c r="S1575" s="342" t="s">
        <v>25</v>
      </c>
    </row>
    <row r="1576" spans="1:19" ht="14.25" customHeight="1" x14ac:dyDescent="0.3">
      <c r="A1576" s="335" t="s">
        <v>3001</v>
      </c>
      <c r="B1576" s="335" t="s">
        <v>26</v>
      </c>
      <c r="C1576" s="335" t="s">
        <v>27</v>
      </c>
      <c r="D1576" s="335" t="s">
        <v>894</v>
      </c>
      <c r="E1576" s="336" t="s">
        <v>895</v>
      </c>
      <c r="F1576" s="336" t="s">
        <v>35</v>
      </c>
      <c r="G1576" s="337">
        <v>3</v>
      </c>
      <c r="H1576" s="338">
        <v>0.1</v>
      </c>
      <c r="I1576" s="339">
        <v>280.10000000000002</v>
      </c>
      <c r="J1576" s="340">
        <v>924.33</v>
      </c>
      <c r="K1576" s="335" t="s">
        <v>3075</v>
      </c>
      <c r="L1576" s="335">
        <v>3</v>
      </c>
      <c r="M1576" s="335" t="s">
        <v>3078</v>
      </c>
      <c r="N1576" s="339">
        <v>5</v>
      </c>
      <c r="O1576" s="341">
        <v>3</v>
      </c>
      <c r="P1576" s="341" t="s">
        <v>25</v>
      </c>
      <c r="Q1576" s="341">
        <v>0</v>
      </c>
      <c r="R1576" s="342" t="s">
        <v>25</v>
      </c>
      <c r="S1576" s="342" t="s">
        <v>25</v>
      </c>
    </row>
    <row r="1577" spans="1:19" ht="14.25" customHeight="1" x14ac:dyDescent="0.3">
      <c r="A1577" s="335" t="s">
        <v>3001</v>
      </c>
      <c r="B1577" s="335" t="s">
        <v>26</v>
      </c>
      <c r="C1577" s="335" t="s">
        <v>27</v>
      </c>
      <c r="D1577" s="335" t="s">
        <v>897</v>
      </c>
      <c r="E1577" s="336" t="s">
        <v>898</v>
      </c>
      <c r="F1577" s="336" t="s">
        <v>744</v>
      </c>
      <c r="G1577" s="337">
        <v>22.5</v>
      </c>
      <c r="H1577" s="338">
        <v>0.1</v>
      </c>
      <c r="I1577" s="339">
        <v>834.6</v>
      </c>
      <c r="J1577" s="340">
        <v>20656.349999999999</v>
      </c>
      <c r="K1577" s="335" t="s">
        <v>3075</v>
      </c>
      <c r="L1577" s="335">
        <v>4</v>
      </c>
      <c r="M1577" s="335" t="s">
        <v>3079</v>
      </c>
      <c r="N1577" s="339">
        <v>5</v>
      </c>
      <c r="O1577" s="341">
        <v>22.5</v>
      </c>
      <c r="P1577" s="341" t="s">
        <v>25</v>
      </c>
      <c r="Q1577" s="341">
        <v>0</v>
      </c>
      <c r="R1577" s="342" t="s">
        <v>25</v>
      </c>
      <c r="S1577" s="342" t="s">
        <v>25</v>
      </c>
    </row>
    <row r="1578" spans="1:19" ht="14.25" customHeight="1" x14ac:dyDescent="0.3">
      <c r="A1578" s="335" t="s">
        <v>3001</v>
      </c>
      <c r="B1578" s="335" t="s">
        <v>26</v>
      </c>
      <c r="C1578" s="335" t="s">
        <v>27</v>
      </c>
      <c r="D1578" s="335" t="s">
        <v>801</v>
      </c>
      <c r="E1578" s="336" t="s">
        <v>802</v>
      </c>
      <c r="F1578" s="336" t="s">
        <v>35</v>
      </c>
      <c r="G1578" s="337">
        <v>1</v>
      </c>
      <c r="H1578" s="338">
        <v>0.05</v>
      </c>
      <c r="I1578" s="339">
        <v>202.42</v>
      </c>
      <c r="J1578" s="340">
        <v>212.541</v>
      </c>
      <c r="K1578" s="335" t="s">
        <v>3075</v>
      </c>
      <c r="L1578" s="335">
        <v>5</v>
      </c>
      <c r="M1578" s="335" t="s">
        <v>3080</v>
      </c>
      <c r="N1578" s="339">
        <v>5</v>
      </c>
      <c r="O1578" s="341">
        <v>1</v>
      </c>
      <c r="P1578" s="341" t="s">
        <v>25</v>
      </c>
      <c r="Q1578" s="341">
        <v>0</v>
      </c>
      <c r="R1578" s="342" t="s">
        <v>25</v>
      </c>
      <c r="S1578" s="342" t="s">
        <v>25</v>
      </c>
    </row>
    <row r="1579" spans="1:19" ht="14.25" customHeight="1" x14ac:dyDescent="0.3">
      <c r="A1579" s="335" t="s">
        <v>3015</v>
      </c>
      <c r="B1579" s="335" t="s">
        <v>20</v>
      </c>
      <c r="C1579" s="335"/>
      <c r="D1579" s="335" t="s">
        <v>67</v>
      </c>
      <c r="E1579" s="336" t="s">
        <v>68</v>
      </c>
      <c r="F1579" s="336"/>
      <c r="G1579" s="337">
        <v>0.5</v>
      </c>
      <c r="H1579" s="338">
        <v>0</v>
      </c>
      <c r="I1579" s="339">
        <v>571.17949098076099</v>
      </c>
      <c r="J1579" s="340">
        <v>285.58974549038101</v>
      </c>
      <c r="K1579" s="335" t="s">
        <v>3081</v>
      </c>
      <c r="L1579" s="335">
        <v>1</v>
      </c>
      <c r="M1579" s="335" t="s">
        <v>3082</v>
      </c>
      <c r="N1579" s="339">
        <v>5</v>
      </c>
      <c r="O1579" s="341">
        <v>0.5</v>
      </c>
      <c r="P1579" s="341" t="s">
        <v>25</v>
      </c>
      <c r="Q1579" s="341">
        <v>0</v>
      </c>
      <c r="R1579" s="342" t="s">
        <v>25</v>
      </c>
      <c r="S1579" s="342" t="s">
        <v>25</v>
      </c>
    </row>
    <row r="1580" spans="1:19" ht="14.25" customHeight="1" x14ac:dyDescent="0.3">
      <c r="A1580" s="335" t="s">
        <v>3015</v>
      </c>
      <c r="B1580" s="335" t="s">
        <v>20</v>
      </c>
      <c r="C1580" s="335"/>
      <c r="D1580" s="335" t="s">
        <v>775</v>
      </c>
      <c r="E1580" s="336" t="s">
        <v>776</v>
      </c>
      <c r="F1580" s="336"/>
      <c r="G1580" s="337">
        <v>1</v>
      </c>
      <c r="H1580" s="338">
        <v>0</v>
      </c>
      <c r="I1580" s="339">
        <v>5063.0947914732396</v>
      </c>
      <c r="J1580" s="340">
        <v>5063.0947914732396</v>
      </c>
      <c r="K1580" s="335" t="s">
        <v>3081</v>
      </c>
      <c r="L1580" s="335">
        <v>2</v>
      </c>
      <c r="M1580" s="335" t="s">
        <v>3083</v>
      </c>
      <c r="N1580" s="339">
        <v>5</v>
      </c>
      <c r="O1580" s="341">
        <v>1</v>
      </c>
      <c r="P1580" s="341" t="s">
        <v>25</v>
      </c>
      <c r="Q1580" s="341">
        <v>0</v>
      </c>
      <c r="R1580" s="342" t="s">
        <v>25</v>
      </c>
      <c r="S1580" s="342" t="s">
        <v>25</v>
      </c>
    </row>
    <row r="1581" spans="1:19" ht="14.25" customHeight="1" x14ac:dyDescent="0.3">
      <c r="A1581" s="335" t="s">
        <v>3015</v>
      </c>
      <c r="B1581" s="335" t="s">
        <v>20</v>
      </c>
      <c r="C1581" s="335"/>
      <c r="D1581" s="335" t="s">
        <v>578</v>
      </c>
      <c r="E1581" s="336" t="s">
        <v>579</v>
      </c>
      <c r="F1581" s="336"/>
      <c r="G1581" s="337">
        <v>0.5</v>
      </c>
      <c r="H1581" s="338">
        <v>0</v>
      </c>
      <c r="I1581" s="339">
        <v>140.198092594309</v>
      </c>
      <c r="J1581" s="340">
        <v>70.099046297154501</v>
      </c>
      <c r="K1581" s="335" t="s">
        <v>3081</v>
      </c>
      <c r="L1581" s="335">
        <v>3</v>
      </c>
      <c r="M1581" s="335" t="s">
        <v>3084</v>
      </c>
      <c r="N1581" s="339">
        <v>5</v>
      </c>
      <c r="O1581" s="341">
        <v>0.5</v>
      </c>
      <c r="P1581" s="341" t="s">
        <v>25</v>
      </c>
      <c r="Q1581" s="341">
        <v>0</v>
      </c>
      <c r="R1581" s="342" t="s">
        <v>25</v>
      </c>
      <c r="S1581" s="342" t="s">
        <v>25</v>
      </c>
    </row>
    <row r="1582" spans="1:19" ht="14.25" customHeight="1" x14ac:dyDescent="0.3">
      <c r="A1582" s="335" t="s">
        <v>3015</v>
      </c>
      <c r="B1582" s="335" t="s">
        <v>26</v>
      </c>
      <c r="C1582" s="335" t="s">
        <v>27</v>
      </c>
      <c r="D1582" s="335" t="s">
        <v>887</v>
      </c>
      <c r="E1582" s="336" t="s">
        <v>888</v>
      </c>
      <c r="F1582" s="336" t="s">
        <v>35</v>
      </c>
      <c r="G1582" s="337">
        <v>3</v>
      </c>
      <c r="H1582" s="338">
        <v>0.1</v>
      </c>
      <c r="I1582" s="339">
        <v>351.14</v>
      </c>
      <c r="J1582" s="340">
        <v>1158.7619999999999</v>
      </c>
      <c r="K1582" s="335" t="s">
        <v>3085</v>
      </c>
      <c r="L1582" s="335">
        <v>1</v>
      </c>
      <c r="M1582" s="335" t="s">
        <v>3086</v>
      </c>
      <c r="N1582" s="339">
        <v>5</v>
      </c>
      <c r="O1582" s="341">
        <v>3</v>
      </c>
      <c r="P1582" s="341" t="s">
        <v>25</v>
      </c>
      <c r="Q1582" s="341">
        <v>0</v>
      </c>
      <c r="R1582" s="342" t="s">
        <v>25</v>
      </c>
      <c r="S1582" s="342" t="s">
        <v>25</v>
      </c>
    </row>
    <row r="1583" spans="1:19" ht="14.25" customHeight="1" x14ac:dyDescent="0.3">
      <c r="A1583" s="335" t="s">
        <v>3015</v>
      </c>
      <c r="B1583" s="335" t="s">
        <v>26</v>
      </c>
      <c r="C1583" s="335" t="s">
        <v>27</v>
      </c>
      <c r="D1583" s="335" t="s">
        <v>891</v>
      </c>
      <c r="E1583" s="336" t="s">
        <v>892</v>
      </c>
      <c r="F1583" s="336" t="s">
        <v>744</v>
      </c>
      <c r="G1583" s="337">
        <v>7.5</v>
      </c>
      <c r="H1583" s="338">
        <v>0.1</v>
      </c>
      <c r="I1583" s="339">
        <v>666.92666666666696</v>
      </c>
      <c r="J1583" s="340">
        <v>5502.1450000000004</v>
      </c>
      <c r="K1583" s="335" t="s">
        <v>3085</v>
      </c>
      <c r="L1583" s="335">
        <v>2</v>
      </c>
      <c r="M1583" s="335" t="s">
        <v>3087</v>
      </c>
      <c r="N1583" s="339">
        <v>5</v>
      </c>
      <c r="O1583" s="341">
        <v>7.5</v>
      </c>
      <c r="P1583" s="341" t="s">
        <v>25</v>
      </c>
      <c r="Q1583" s="341">
        <v>0</v>
      </c>
      <c r="R1583" s="342" t="s">
        <v>25</v>
      </c>
      <c r="S1583" s="342" t="s">
        <v>25</v>
      </c>
    </row>
    <row r="1584" spans="1:19" ht="14.25" customHeight="1" x14ac:dyDescent="0.3">
      <c r="A1584" s="335" t="s">
        <v>3015</v>
      </c>
      <c r="B1584" s="335" t="s">
        <v>26</v>
      </c>
      <c r="C1584" s="335" t="s">
        <v>27</v>
      </c>
      <c r="D1584" s="335" t="s">
        <v>894</v>
      </c>
      <c r="E1584" s="336" t="s">
        <v>895</v>
      </c>
      <c r="F1584" s="336" t="s">
        <v>35</v>
      </c>
      <c r="G1584" s="337">
        <v>3</v>
      </c>
      <c r="H1584" s="338">
        <v>0.1</v>
      </c>
      <c r="I1584" s="339">
        <v>280.10000000000002</v>
      </c>
      <c r="J1584" s="340">
        <v>924.33</v>
      </c>
      <c r="K1584" s="335" t="s">
        <v>3085</v>
      </c>
      <c r="L1584" s="335">
        <v>3</v>
      </c>
      <c r="M1584" s="335" t="s">
        <v>3088</v>
      </c>
      <c r="N1584" s="339">
        <v>5</v>
      </c>
      <c r="O1584" s="341">
        <v>3</v>
      </c>
      <c r="P1584" s="341" t="s">
        <v>25</v>
      </c>
      <c r="Q1584" s="341">
        <v>0</v>
      </c>
      <c r="R1584" s="342" t="s">
        <v>25</v>
      </c>
      <c r="S1584" s="342" t="s">
        <v>25</v>
      </c>
    </row>
    <row r="1585" spans="1:19" ht="14.25" customHeight="1" x14ac:dyDescent="0.3">
      <c r="A1585" s="335" t="s">
        <v>3015</v>
      </c>
      <c r="B1585" s="335" t="s">
        <v>26</v>
      </c>
      <c r="C1585" s="335" t="s">
        <v>27</v>
      </c>
      <c r="D1585" s="335" t="s">
        <v>897</v>
      </c>
      <c r="E1585" s="336" t="s">
        <v>898</v>
      </c>
      <c r="F1585" s="336" t="s">
        <v>744</v>
      </c>
      <c r="G1585" s="337">
        <v>22.5</v>
      </c>
      <c r="H1585" s="338">
        <v>0.1</v>
      </c>
      <c r="I1585" s="339">
        <v>834.6</v>
      </c>
      <c r="J1585" s="340">
        <v>20656.349999999999</v>
      </c>
      <c r="K1585" s="335" t="s">
        <v>3085</v>
      </c>
      <c r="L1585" s="335">
        <v>4</v>
      </c>
      <c r="M1585" s="335" t="s">
        <v>3089</v>
      </c>
      <c r="N1585" s="339">
        <v>5</v>
      </c>
      <c r="O1585" s="341">
        <v>22.5</v>
      </c>
      <c r="P1585" s="341" t="s">
        <v>25</v>
      </c>
      <c r="Q1585" s="341">
        <v>0</v>
      </c>
      <c r="R1585" s="342" t="s">
        <v>25</v>
      </c>
      <c r="S1585" s="342" t="s">
        <v>25</v>
      </c>
    </row>
    <row r="1586" spans="1:19" ht="14.25" customHeight="1" x14ac:dyDescent="0.3">
      <c r="A1586" s="335" t="s">
        <v>3015</v>
      </c>
      <c r="B1586" s="335" t="s">
        <v>26</v>
      </c>
      <c r="C1586" s="335" t="s">
        <v>27</v>
      </c>
      <c r="D1586" s="335" t="s">
        <v>801</v>
      </c>
      <c r="E1586" s="336" t="s">
        <v>802</v>
      </c>
      <c r="F1586" s="336" t="s">
        <v>35</v>
      </c>
      <c r="G1586" s="337">
        <v>1</v>
      </c>
      <c r="H1586" s="338">
        <v>0.05</v>
      </c>
      <c r="I1586" s="339">
        <v>202.42</v>
      </c>
      <c r="J1586" s="340">
        <v>212.541</v>
      </c>
      <c r="K1586" s="335" t="s">
        <v>3085</v>
      </c>
      <c r="L1586" s="335">
        <v>5</v>
      </c>
      <c r="M1586" s="335" t="s">
        <v>3090</v>
      </c>
      <c r="N1586" s="339">
        <v>5</v>
      </c>
      <c r="O1586" s="341">
        <v>1</v>
      </c>
      <c r="P1586" s="341" t="s">
        <v>25</v>
      </c>
      <c r="Q1586" s="341">
        <v>0</v>
      </c>
      <c r="R1586" s="342" t="s">
        <v>25</v>
      </c>
      <c r="S1586" s="342" t="s">
        <v>25</v>
      </c>
    </row>
    <row r="1587" spans="1:19" ht="14.25" customHeight="1" x14ac:dyDescent="0.3">
      <c r="A1587" s="335" t="s">
        <v>3091</v>
      </c>
      <c r="B1587" s="335" t="s">
        <v>20</v>
      </c>
      <c r="C1587" s="335"/>
      <c r="D1587" s="335" t="s">
        <v>3092</v>
      </c>
      <c r="E1587" s="336" t="s">
        <v>3093</v>
      </c>
      <c r="F1587" s="336"/>
      <c r="G1587" s="337">
        <v>1</v>
      </c>
      <c r="H1587" s="338">
        <v>0</v>
      </c>
      <c r="I1587" s="339">
        <v>24902.845805454501</v>
      </c>
      <c r="J1587" s="340">
        <v>24902.845805454501</v>
      </c>
      <c r="K1587" s="335" t="s">
        <v>3094</v>
      </c>
      <c r="L1587" s="335">
        <v>1</v>
      </c>
      <c r="M1587" s="335" t="s">
        <v>3095</v>
      </c>
      <c r="N1587" s="339">
        <v>1</v>
      </c>
      <c r="O1587" s="341">
        <v>1</v>
      </c>
      <c r="P1587" s="341">
        <v>1</v>
      </c>
      <c r="Q1587" s="341">
        <v>1</v>
      </c>
      <c r="R1587" s="342">
        <v>18.16</v>
      </c>
      <c r="S1587" s="342" t="s">
        <v>25</v>
      </c>
    </row>
    <row r="1588" spans="1:19" ht="14.25" customHeight="1" x14ac:dyDescent="0.3">
      <c r="A1588" s="335" t="s">
        <v>3091</v>
      </c>
      <c r="B1588" s="335" t="s">
        <v>26</v>
      </c>
      <c r="C1588" s="335" t="s">
        <v>27</v>
      </c>
      <c r="D1588" s="335" t="s">
        <v>96</v>
      </c>
      <c r="E1588" s="336" t="s">
        <v>97</v>
      </c>
      <c r="F1588" s="336" t="s">
        <v>98</v>
      </c>
      <c r="G1588" s="337">
        <v>218497.83670000001</v>
      </c>
      <c r="H1588" s="338">
        <v>0</v>
      </c>
      <c r="I1588" s="339">
        <v>1</v>
      </c>
      <c r="J1588" s="340">
        <v>218497.83670000001</v>
      </c>
      <c r="K1588" s="335" t="s">
        <v>3096</v>
      </c>
      <c r="L1588" s="335">
        <v>1</v>
      </c>
      <c r="M1588" s="335" t="s">
        <v>3097</v>
      </c>
      <c r="N1588" s="339">
        <v>1</v>
      </c>
      <c r="O1588" s="341">
        <v>218497.83670000001</v>
      </c>
      <c r="P1588" s="341">
        <v>1</v>
      </c>
      <c r="Q1588" s="341">
        <v>218497.83670000001</v>
      </c>
      <c r="R1588" s="342">
        <v>18.16</v>
      </c>
      <c r="S1588" s="342" t="s">
        <v>25</v>
      </c>
    </row>
    <row r="1589" spans="1:19" ht="14.25" customHeight="1" x14ac:dyDescent="0.3">
      <c r="A1589" s="335" t="s">
        <v>3091</v>
      </c>
      <c r="B1589" s="335" t="s">
        <v>26</v>
      </c>
      <c r="C1589" s="335" t="s">
        <v>27</v>
      </c>
      <c r="D1589" s="335" t="s">
        <v>3098</v>
      </c>
      <c r="E1589" s="336" t="s">
        <v>3099</v>
      </c>
      <c r="F1589" s="336" t="s">
        <v>35</v>
      </c>
      <c r="G1589" s="337">
        <v>3</v>
      </c>
      <c r="H1589" s="338">
        <v>0</v>
      </c>
      <c r="I1589" s="339">
        <v>3656.19834710744</v>
      </c>
      <c r="J1589" s="340">
        <v>10968.5950413223</v>
      </c>
      <c r="K1589" s="335" t="s">
        <v>3096</v>
      </c>
      <c r="L1589" s="335">
        <v>2</v>
      </c>
      <c r="M1589" s="335" t="s">
        <v>3100</v>
      </c>
      <c r="N1589" s="339">
        <v>1</v>
      </c>
      <c r="O1589" s="341">
        <v>3</v>
      </c>
      <c r="P1589" s="341">
        <v>1</v>
      </c>
      <c r="Q1589" s="341">
        <v>3</v>
      </c>
      <c r="R1589" s="342">
        <v>18.16</v>
      </c>
      <c r="S1589" s="342" t="s">
        <v>25</v>
      </c>
    </row>
    <row r="1590" spans="1:19" ht="14.25" customHeight="1" x14ac:dyDescent="0.3">
      <c r="A1590" s="335" t="s">
        <v>3091</v>
      </c>
      <c r="B1590" s="335" t="s">
        <v>26</v>
      </c>
      <c r="C1590" s="335" t="s">
        <v>27</v>
      </c>
      <c r="D1590" s="335" t="s">
        <v>3101</v>
      </c>
      <c r="E1590" s="336" t="s">
        <v>3102</v>
      </c>
      <c r="F1590" s="336" t="s">
        <v>35</v>
      </c>
      <c r="G1590" s="337">
        <v>3</v>
      </c>
      <c r="H1590" s="338">
        <v>0</v>
      </c>
      <c r="I1590" s="339">
        <v>35881.19</v>
      </c>
      <c r="J1590" s="340">
        <v>107643.57</v>
      </c>
      <c r="K1590" s="335" t="s">
        <v>3096</v>
      </c>
      <c r="L1590" s="335">
        <v>3</v>
      </c>
      <c r="M1590" s="335" t="s">
        <v>3103</v>
      </c>
      <c r="N1590" s="339">
        <v>1</v>
      </c>
      <c r="O1590" s="341">
        <v>3</v>
      </c>
      <c r="P1590" s="341">
        <v>1</v>
      </c>
      <c r="Q1590" s="341">
        <v>3</v>
      </c>
      <c r="R1590" s="342">
        <v>18.16</v>
      </c>
      <c r="S1590" s="342" t="s">
        <v>25</v>
      </c>
    </row>
    <row r="1591" spans="1:19" ht="14.25" customHeight="1" x14ac:dyDescent="0.3">
      <c r="A1591" s="335" t="s">
        <v>3091</v>
      </c>
      <c r="B1591" s="335" t="s">
        <v>26</v>
      </c>
      <c r="C1591" s="335" t="s">
        <v>27</v>
      </c>
      <c r="D1591" s="335" t="s">
        <v>3104</v>
      </c>
      <c r="E1591" s="336" t="s">
        <v>3105</v>
      </c>
      <c r="F1591" s="336" t="s">
        <v>35</v>
      </c>
      <c r="G1591" s="337">
        <v>9</v>
      </c>
      <c r="H1591" s="338">
        <v>0</v>
      </c>
      <c r="I1591" s="339">
        <v>18770.66</v>
      </c>
      <c r="J1591" s="340">
        <v>168935.94</v>
      </c>
      <c r="K1591" s="335" t="s">
        <v>3096</v>
      </c>
      <c r="L1591" s="335">
        <v>4</v>
      </c>
      <c r="M1591" s="335" t="s">
        <v>3106</v>
      </c>
      <c r="N1591" s="339">
        <v>1</v>
      </c>
      <c r="O1591" s="341">
        <v>9</v>
      </c>
      <c r="P1591" s="341">
        <v>1</v>
      </c>
      <c r="Q1591" s="341">
        <v>9</v>
      </c>
      <c r="R1591" s="342">
        <v>18.16</v>
      </c>
      <c r="S1591" s="342" t="s">
        <v>25</v>
      </c>
    </row>
    <row r="1592" spans="1:19" ht="14.25" customHeight="1" x14ac:dyDescent="0.3">
      <c r="A1592" s="335" t="s">
        <v>3091</v>
      </c>
      <c r="B1592" s="335" t="s">
        <v>26</v>
      </c>
      <c r="C1592" s="335" t="s">
        <v>27</v>
      </c>
      <c r="D1592" s="335" t="s">
        <v>3107</v>
      </c>
      <c r="E1592" s="336" t="s">
        <v>3108</v>
      </c>
      <c r="F1592" s="336" t="s">
        <v>35</v>
      </c>
      <c r="G1592" s="337">
        <v>2</v>
      </c>
      <c r="H1592" s="338">
        <v>0</v>
      </c>
      <c r="I1592" s="339">
        <v>11960.81</v>
      </c>
      <c r="J1592" s="340">
        <v>23921.62</v>
      </c>
      <c r="K1592" s="335" t="s">
        <v>3096</v>
      </c>
      <c r="L1592" s="335">
        <v>5</v>
      </c>
      <c r="M1592" s="335" t="s">
        <v>3109</v>
      </c>
      <c r="N1592" s="339">
        <v>1</v>
      </c>
      <c r="O1592" s="341">
        <v>2</v>
      </c>
      <c r="P1592" s="341">
        <v>1</v>
      </c>
      <c r="Q1592" s="341">
        <v>2</v>
      </c>
      <c r="R1592" s="342">
        <v>18.16</v>
      </c>
      <c r="S1592" s="342" t="s">
        <v>25</v>
      </c>
    </row>
    <row r="1593" spans="1:19" ht="14.25" customHeight="1" x14ac:dyDescent="0.3">
      <c r="A1593" s="335" t="s">
        <v>3091</v>
      </c>
      <c r="B1593" s="335" t="s">
        <v>26</v>
      </c>
      <c r="C1593" s="335" t="s">
        <v>27</v>
      </c>
      <c r="D1593" s="335" t="s">
        <v>3110</v>
      </c>
      <c r="E1593" s="336" t="s">
        <v>3111</v>
      </c>
      <c r="F1593" s="336" t="s">
        <v>35</v>
      </c>
      <c r="G1593" s="337">
        <v>2</v>
      </c>
      <c r="H1593" s="338">
        <v>0</v>
      </c>
      <c r="I1593" s="339">
        <v>11163.59</v>
      </c>
      <c r="J1593" s="340">
        <v>22327.18</v>
      </c>
      <c r="K1593" s="335" t="s">
        <v>3096</v>
      </c>
      <c r="L1593" s="335">
        <v>6</v>
      </c>
      <c r="M1593" s="335" t="s">
        <v>3112</v>
      </c>
      <c r="N1593" s="339">
        <v>1</v>
      </c>
      <c r="O1593" s="341">
        <v>2</v>
      </c>
      <c r="P1593" s="341">
        <v>1</v>
      </c>
      <c r="Q1593" s="341">
        <v>2</v>
      </c>
      <c r="R1593" s="342">
        <v>18.16</v>
      </c>
      <c r="S1593" s="342" t="s">
        <v>25</v>
      </c>
    </row>
    <row r="1594" spans="1:19" ht="14.25" customHeight="1" x14ac:dyDescent="0.3">
      <c r="A1594" s="335" t="s">
        <v>3091</v>
      </c>
      <c r="B1594" s="335" t="s">
        <v>26</v>
      </c>
      <c r="C1594" s="335" t="s">
        <v>27</v>
      </c>
      <c r="D1594" s="335" t="s">
        <v>3113</v>
      </c>
      <c r="E1594" s="336" t="s">
        <v>3114</v>
      </c>
      <c r="F1594" s="336" t="s">
        <v>35</v>
      </c>
      <c r="G1594" s="337">
        <v>10</v>
      </c>
      <c r="H1594" s="338">
        <v>0</v>
      </c>
      <c r="I1594" s="339">
        <v>5287.23</v>
      </c>
      <c r="J1594" s="340">
        <v>52872.3</v>
      </c>
      <c r="K1594" s="335" t="s">
        <v>3096</v>
      </c>
      <c r="L1594" s="335">
        <v>7</v>
      </c>
      <c r="M1594" s="335" t="s">
        <v>3115</v>
      </c>
      <c r="N1594" s="339">
        <v>1</v>
      </c>
      <c r="O1594" s="341">
        <v>10</v>
      </c>
      <c r="P1594" s="341">
        <v>1</v>
      </c>
      <c r="Q1594" s="341">
        <v>10</v>
      </c>
      <c r="R1594" s="342">
        <v>18.16</v>
      </c>
      <c r="S1594" s="342" t="s">
        <v>25</v>
      </c>
    </row>
    <row r="1595" spans="1:19" ht="14.25" customHeight="1" x14ac:dyDescent="0.3">
      <c r="A1595" s="335" t="s">
        <v>3091</v>
      </c>
      <c r="B1595" s="335" t="s">
        <v>26</v>
      </c>
      <c r="C1595" s="335" t="s">
        <v>27</v>
      </c>
      <c r="D1595" s="335" t="s">
        <v>3116</v>
      </c>
      <c r="E1595" s="336" t="s">
        <v>3117</v>
      </c>
      <c r="F1595" s="336" t="s">
        <v>35</v>
      </c>
      <c r="G1595" s="337">
        <v>15</v>
      </c>
      <c r="H1595" s="338">
        <v>0</v>
      </c>
      <c r="I1595" s="339">
        <v>5287.23</v>
      </c>
      <c r="J1595" s="340">
        <v>79308.45</v>
      </c>
      <c r="K1595" s="335" t="s">
        <v>3096</v>
      </c>
      <c r="L1595" s="335">
        <v>8</v>
      </c>
      <c r="M1595" s="335" t="s">
        <v>3118</v>
      </c>
      <c r="N1595" s="339">
        <v>1</v>
      </c>
      <c r="O1595" s="341">
        <v>15</v>
      </c>
      <c r="P1595" s="341">
        <v>1</v>
      </c>
      <c r="Q1595" s="341">
        <v>15</v>
      </c>
      <c r="R1595" s="342">
        <v>18.16</v>
      </c>
      <c r="S1595" s="342" t="s">
        <v>25</v>
      </c>
    </row>
    <row r="1596" spans="1:19" ht="14.25" customHeight="1" x14ac:dyDescent="0.3">
      <c r="A1596" s="335" t="s">
        <v>3091</v>
      </c>
      <c r="B1596" s="335" t="s">
        <v>26</v>
      </c>
      <c r="C1596" s="335" t="s">
        <v>27</v>
      </c>
      <c r="D1596" s="335" t="s">
        <v>3119</v>
      </c>
      <c r="E1596" s="336" t="s">
        <v>3120</v>
      </c>
      <c r="F1596" s="336" t="s">
        <v>35</v>
      </c>
      <c r="G1596" s="337">
        <v>1</v>
      </c>
      <c r="H1596" s="338">
        <v>0</v>
      </c>
      <c r="I1596" s="339">
        <v>267503.51</v>
      </c>
      <c r="J1596" s="340">
        <v>267503.51</v>
      </c>
      <c r="K1596" s="335" t="s">
        <v>3096</v>
      </c>
      <c r="L1596" s="335">
        <v>9</v>
      </c>
      <c r="M1596" s="335" t="s">
        <v>3121</v>
      </c>
      <c r="N1596" s="339">
        <v>1</v>
      </c>
      <c r="O1596" s="341">
        <v>1</v>
      </c>
      <c r="P1596" s="341">
        <v>1</v>
      </c>
      <c r="Q1596" s="341">
        <v>1</v>
      </c>
      <c r="R1596" s="342">
        <v>18.16</v>
      </c>
      <c r="S1596" s="342" t="s">
        <v>25</v>
      </c>
    </row>
    <row r="1597" spans="1:19" ht="14.25" customHeight="1" x14ac:dyDescent="0.3">
      <c r="A1597" s="335" t="s">
        <v>3091</v>
      </c>
      <c r="B1597" s="335" t="s">
        <v>26</v>
      </c>
      <c r="C1597" s="335" t="s">
        <v>27</v>
      </c>
      <c r="D1597" s="335" t="s">
        <v>3122</v>
      </c>
      <c r="E1597" s="336" t="s">
        <v>3123</v>
      </c>
      <c r="F1597" s="336" t="s">
        <v>35</v>
      </c>
      <c r="G1597" s="337">
        <v>1</v>
      </c>
      <c r="H1597" s="338">
        <v>0</v>
      </c>
      <c r="I1597" s="339">
        <v>96123.97</v>
      </c>
      <c r="J1597" s="340">
        <v>96123.97</v>
      </c>
      <c r="K1597" s="335" t="s">
        <v>3096</v>
      </c>
      <c r="L1597" s="335">
        <v>10</v>
      </c>
      <c r="M1597" s="335" t="s">
        <v>3124</v>
      </c>
      <c r="N1597" s="339">
        <v>1</v>
      </c>
      <c r="O1597" s="341">
        <v>1</v>
      </c>
      <c r="P1597" s="341">
        <v>1</v>
      </c>
      <c r="Q1597" s="341">
        <v>1</v>
      </c>
      <c r="R1597" s="342">
        <v>18.16</v>
      </c>
      <c r="S1597" s="342" t="s">
        <v>25</v>
      </c>
    </row>
    <row r="1598" spans="1:19" ht="14.25" customHeight="1" x14ac:dyDescent="0.3">
      <c r="A1598" s="335" t="s">
        <v>3091</v>
      </c>
      <c r="B1598" s="335" t="s">
        <v>26</v>
      </c>
      <c r="C1598" s="335" t="s">
        <v>27</v>
      </c>
      <c r="D1598" s="335" t="s">
        <v>3125</v>
      </c>
      <c r="E1598" s="336" t="s">
        <v>3126</v>
      </c>
      <c r="F1598" s="336" t="s">
        <v>35</v>
      </c>
      <c r="G1598" s="337">
        <v>1</v>
      </c>
      <c r="H1598" s="338">
        <v>0</v>
      </c>
      <c r="I1598" s="339">
        <v>9297.0300000000007</v>
      </c>
      <c r="J1598" s="340">
        <v>9297.0300000000007</v>
      </c>
      <c r="K1598" s="335" t="s">
        <v>3096</v>
      </c>
      <c r="L1598" s="335">
        <v>11</v>
      </c>
      <c r="M1598" s="335" t="s">
        <v>3127</v>
      </c>
      <c r="N1598" s="339">
        <v>1</v>
      </c>
      <c r="O1598" s="341">
        <v>1</v>
      </c>
      <c r="P1598" s="341">
        <v>1</v>
      </c>
      <c r="Q1598" s="341">
        <v>1</v>
      </c>
      <c r="R1598" s="342">
        <v>18.16</v>
      </c>
      <c r="S1598" s="342" t="s">
        <v>25</v>
      </c>
    </row>
    <row r="1599" spans="1:19" ht="14.25" customHeight="1" x14ac:dyDescent="0.3">
      <c r="A1599" s="335" t="s">
        <v>3091</v>
      </c>
      <c r="B1599" s="335" t="s">
        <v>26</v>
      </c>
      <c r="C1599" s="335" t="s">
        <v>27</v>
      </c>
      <c r="D1599" s="335" t="s">
        <v>3128</v>
      </c>
      <c r="E1599" s="336" t="s">
        <v>3129</v>
      </c>
      <c r="F1599" s="336" t="s">
        <v>35</v>
      </c>
      <c r="G1599" s="337">
        <v>3</v>
      </c>
      <c r="H1599" s="338">
        <v>0</v>
      </c>
      <c r="I1599" s="339">
        <v>14702.99</v>
      </c>
      <c r="J1599" s="340">
        <v>44108.97</v>
      </c>
      <c r="K1599" s="335" t="s">
        <v>3096</v>
      </c>
      <c r="L1599" s="335">
        <v>12</v>
      </c>
      <c r="M1599" s="335" t="s">
        <v>3130</v>
      </c>
      <c r="N1599" s="339">
        <v>1</v>
      </c>
      <c r="O1599" s="341">
        <v>3</v>
      </c>
      <c r="P1599" s="341">
        <v>1</v>
      </c>
      <c r="Q1599" s="341">
        <v>3</v>
      </c>
      <c r="R1599" s="342">
        <v>18.16</v>
      </c>
      <c r="S1599" s="342" t="s">
        <v>25</v>
      </c>
    </row>
    <row r="1600" spans="1:19" ht="14.25" customHeight="1" x14ac:dyDescent="0.3">
      <c r="A1600" s="335" t="s">
        <v>3091</v>
      </c>
      <c r="B1600" s="335" t="s">
        <v>26</v>
      </c>
      <c r="C1600" s="335" t="s">
        <v>27</v>
      </c>
      <c r="D1600" s="335" t="s">
        <v>3131</v>
      </c>
      <c r="E1600" s="336" t="s">
        <v>3132</v>
      </c>
      <c r="F1600" s="336" t="s">
        <v>35</v>
      </c>
      <c r="G1600" s="337">
        <v>1</v>
      </c>
      <c r="H1600" s="338">
        <v>0</v>
      </c>
      <c r="I1600" s="339">
        <v>113610.28</v>
      </c>
      <c r="J1600" s="340">
        <v>113610.28</v>
      </c>
      <c r="K1600" s="335" t="s">
        <v>3096</v>
      </c>
      <c r="L1600" s="335">
        <v>13</v>
      </c>
      <c r="M1600" s="335" t="s">
        <v>3133</v>
      </c>
      <c r="N1600" s="339">
        <v>1</v>
      </c>
      <c r="O1600" s="341">
        <v>1</v>
      </c>
      <c r="P1600" s="341">
        <v>1</v>
      </c>
      <c r="Q1600" s="341">
        <v>1</v>
      </c>
      <c r="R1600" s="342">
        <v>18.16</v>
      </c>
      <c r="S1600" s="342" t="s">
        <v>25</v>
      </c>
    </row>
    <row r="1601" spans="1:19" ht="14.25" customHeight="1" x14ac:dyDescent="0.3">
      <c r="A1601" s="335" t="s">
        <v>3091</v>
      </c>
      <c r="B1601" s="335" t="s">
        <v>26</v>
      </c>
      <c r="C1601" s="335" t="s">
        <v>27</v>
      </c>
      <c r="D1601" s="335" t="s">
        <v>3134</v>
      </c>
      <c r="E1601" s="336" t="s">
        <v>3135</v>
      </c>
      <c r="F1601" s="336" t="s">
        <v>35</v>
      </c>
      <c r="G1601" s="337">
        <v>1</v>
      </c>
      <c r="H1601" s="338">
        <v>0</v>
      </c>
      <c r="I1601" s="339">
        <v>95867.7685950413</v>
      </c>
      <c r="J1601" s="340">
        <v>95867.7685950413</v>
      </c>
      <c r="K1601" s="335" t="s">
        <v>3096</v>
      </c>
      <c r="L1601" s="335">
        <v>14</v>
      </c>
      <c r="M1601" s="335" t="s">
        <v>3136</v>
      </c>
      <c r="N1601" s="339">
        <v>1</v>
      </c>
      <c r="O1601" s="341">
        <v>1</v>
      </c>
      <c r="P1601" s="341">
        <v>1</v>
      </c>
      <c r="Q1601" s="341">
        <v>1</v>
      </c>
      <c r="R1601" s="342">
        <v>18.16</v>
      </c>
      <c r="S1601" s="342" t="s">
        <v>25</v>
      </c>
    </row>
    <row r="1602" spans="1:19" ht="14.25" customHeight="1" x14ac:dyDescent="0.3">
      <c r="A1602" s="335" t="s">
        <v>3091</v>
      </c>
      <c r="B1602" s="335" t="s">
        <v>56</v>
      </c>
      <c r="C1602" s="335" t="s">
        <v>27</v>
      </c>
      <c r="D1602" s="335" t="s">
        <v>3137</v>
      </c>
      <c r="E1602" s="336" t="s">
        <v>3138</v>
      </c>
      <c r="F1602" s="336" t="s">
        <v>60</v>
      </c>
      <c r="G1602" s="337">
        <v>1</v>
      </c>
      <c r="H1602" s="338">
        <v>0</v>
      </c>
      <c r="I1602" s="339">
        <v>349202.7</v>
      </c>
      <c r="J1602" s="340">
        <v>349202.7</v>
      </c>
      <c r="K1602" s="335" t="s">
        <v>3139</v>
      </c>
      <c r="L1602" s="335">
        <v>1</v>
      </c>
      <c r="M1602" s="335" t="s">
        <v>3140</v>
      </c>
      <c r="N1602" s="339">
        <v>1</v>
      </c>
      <c r="O1602" s="341">
        <v>1</v>
      </c>
      <c r="P1602" s="341">
        <v>1</v>
      </c>
      <c r="Q1602" s="341">
        <v>1</v>
      </c>
      <c r="R1602" s="342">
        <v>18.16</v>
      </c>
      <c r="S1602" s="342" t="s">
        <v>25</v>
      </c>
    </row>
    <row r="1603" spans="1:19" ht="14.25" customHeight="1" x14ac:dyDescent="0.3">
      <c r="A1603" s="335" t="s">
        <v>3141</v>
      </c>
      <c r="B1603" s="335" t="s">
        <v>20</v>
      </c>
      <c r="C1603" s="335"/>
      <c r="D1603" s="335" t="s">
        <v>3142</v>
      </c>
      <c r="E1603" s="336" t="s">
        <v>3143</v>
      </c>
      <c r="F1603" s="336"/>
      <c r="G1603" s="337">
        <v>1</v>
      </c>
      <c r="H1603" s="338">
        <v>0</v>
      </c>
      <c r="I1603" s="339">
        <v>12375.4438807438</v>
      </c>
      <c r="J1603" s="340">
        <v>12375.4438807438</v>
      </c>
      <c r="K1603" s="335" t="s">
        <v>3144</v>
      </c>
      <c r="L1603" s="335">
        <v>1</v>
      </c>
      <c r="M1603" s="335" t="s">
        <v>3145</v>
      </c>
      <c r="N1603" s="339">
        <v>1</v>
      </c>
      <c r="O1603" s="341">
        <v>1</v>
      </c>
      <c r="P1603" s="341">
        <v>1</v>
      </c>
      <c r="Q1603" s="341">
        <v>1</v>
      </c>
      <c r="R1603" s="342">
        <v>18.170000000000002</v>
      </c>
      <c r="S1603" s="342" t="s">
        <v>25</v>
      </c>
    </row>
    <row r="1604" spans="1:19" ht="14.25" customHeight="1" x14ac:dyDescent="0.3">
      <c r="A1604" s="335" t="s">
        <v>3141</v>
      </c>
      <c r="B1604" s="335" t="s">
        <v>26</v>
      </c>
      <c r="C1604" s="335" t="s">
        <v>27</v>
      </c>
      <c r="D1604" s="335" t="s">
        <v>96</v>
      </c>
      <c r="E1604" s="336" t="s">
        <v>97</v>
      </c>
      <c r="F1604" s="336" t="s">
        <v>98</v>
      </c>
      <c r="G1604" s="337">
        <v>98702.857000000004</v>
      </c>
      <c r="H1604" s="338">
        <v>0</v>
      </c>
      <c r="I1604" s="339">
        <v>1</v>
      </c>
      <c r="J1604" s="340">
        <v>98702.857000000004</v>
      </c>
      <c r="K1604" s="335" t="s">
        <v>3146</v>
      </c>
      <c r="L1604" s="335">
        <v>1</v>
      </c>
      <c r="M1604" s="335" t="s">
        <v>3147</v>
      </c>
      <c r="N1604" s="339">
        <v>1</v>
      </c>
      <c r="O1604" s="341">
        <v>98702.857000000004</v>
      </c>
      <c r="P1604" s="341">
        <v>1</v>
      </c>
      <c r="Q1604" s="341">
        <v>98702.857000000004</v>
      </c>
      <c r="R1604" s="342">
        <v>18.170000000000002</v>
      </c>
      <c r="S1604" s="342" t="s">
        <v>25</v>
      </c>
    </row>
    <row r="1605" spans="1:19" ht="14.25" customHeight="1" x14ac:dyDescent="0.3">
      <c r="A1605" s="335" t="s">
        <v>3141</v>
      </c>
      <c r="B1605" s="335" t="s">
        <v>26</v>
      </c>
      <c r="C1605" s="335" t="s">
        <v>27</v>
      </c>
      <c r="D1605" s="335" t="s">
        <v>3098</v>
      </c>
      <c r="E1605" s="336" t="s">
        <v>3099</v>
      </c>
      <c r="F1605" s="336" t="s">
        <v>35</v>
      </c>
      <c r="G1605" s="337">
        <v>3</v>
      </c>
      <c r="H1605" s="338">
        <v>0</v>
      </c>
      <c r="I1605" s="339">
        <v>3656.19834710744</v>
      </c>
      <c r="J1605" s="340">
        <v>10968.5950413223</v>
      </c>
      <c r="K1605" s="335" t="s">
        <v>3146</v>
      </c>
      <c r="L1605" s="335">
        <v>2</v>
      </c>
      <c r="M1605" s="335" t="s">
        <v>3148</v>
      </c>
      <c r="N1605" s="339">
        <v>1</v>
      </c>
      <c r="O1605" s="341">
        <v>3</v>
      </c>
      <c r="P1605" s="341">
        <v>1</v>
      </c>
      <c r="Q1605" s="341">
        <v>3</v>
      </c>
      <c r="R1605" s="342">
        <v>18.170000000000002</v>
      </c>
      <c r="S1605" s="342" t="s">
        <v>25</v>
      </c>
    </row>
    <row r="1606" spans="1:19" ht="14.25" customHeight="1" x14ac:dyDescent="0.3">
      <c r="A1606" s="335" t="s">
        <v>3141</v>
      </c>
      <c r="B1606" s="335" t="s">
        <v>26</v>
      </c>
      <c r="C1606" s="335" t="s">
        <v>27</v>
      </c>
      <c r="D1606" s="335" t="s">
        <v>3101</v>
      </c>
      <c r="E1606" s="336" t="s">
        <v>3102</v>
      </c>
      <c r="F1606" s="336" t="s">
        <v>35</v>
      </c>
      <c r="G1606" s="337">
        <v>1</v>
      </c>
      <c r="H1606" s="338">
        <v>0</v>
      </c>
      <c r="I1606" s="339">
        <v>35881.19</v>
      </c>
      <c r="J1606" s="340">
        <v>35881.19</v>
      </c>
      <c r="K1606" s="335" t="s">
        <v>3146</v>
      </c>
      <c r="L1606" s="335">
        <v>3</v>
      </c>
      <c r="M1606" s="335" t="s">
        <v>3149</v>
      </c>
      <c r="N1606" s="339">
        <v>1</v>
      </c>
      <c r="O1606" s="341">
        <v>1</v>
      </c>
      <c r="P1606" s="341">
        <v>1</v>
      </c>
      <c r="Q1606" s="341">
        <v>1</v>
      </c>
      <c r="R1606" s="342">
        <v>18.170000000000002</v>
      </c>
      <c r="S1606" s="342" t="s">
        <v>25</v>
      </c>
    </row>
    <row r="1607" spans="1:19" ht="14.25" customHeight="1" x14ac:dyDescent="0.3">
      <c r="A1607" s="335" t="s">
        <v>3141</v>
      </c>
      <c r="B1607" s="335" t="s">
        <v>26</v>
      </c>
      <c r="C1607" s="335" t="s">
        <v>27</v>
      </c>
      <c r="D1607" s="335" t="s">
        <v>3113</v>
      </c>
      <c r="E1607" s="336" t="s">
        <v>3114</v>
      </c>
      <c r="F1607" s="336" t="s">
        <v>35</v>
      </c>
      <c r="G1607" s="337">
        <v>1</v>
      </c>
      <c r="H1607" s="338">
        <v>0</v>
      </c>
      <c r="I1607" s="339">
        <v>5287.23</v>
      </c>
      <c r="J1607" s="340">
        <v>5287.23</v>
      </c>
      <c r="K1607" s="335" t="s">
        <v>3146</v>
      </c>
      <c r="L1607" s="335">
        <v>4</v>
      </c>
      <c r="M1607" s="335" t="s">
        <v>3150</v>
      </c>
      <c r="N1607" s="339">
        <v>1</v>
      </c>
      <c r="O1607" s="341">
        <v>1</v>
      </c>
      <c r="P1607" s="341">
        <v>1</v>
      </c>
      <c r="Q1607" s="341">
        <v>1</v>
      </c>
      <c r="R1607" s="342">
        <v>18.170000000000002</v>
      </c>
      <c r="S1607" s="342" t="s">
        <v>25</v>
      </c>
    </row>
    <row r="1608" spans="1:19" ht="14.25" customHeight="1" x14ac:dyDescent="0.3">
      <c r="A1608" s="335" t="s">
        <v>3141</v>
      </c>
      <c r="B1608" s="335" t="s">
        <v>26</v>
      </c>
      <c r="C1608" s="335" t="s">
        <v>27</v>
      </c>
      <c r="D1608" s="335" t="s">
        <v>3128</v>
      </c>
      <c r="E1608" s="336" t="s">
        <v>3129</v>
      </c>
      <c r="F1608" s="336" t="s">
        <v>35</v>
      </c>
      <c r="G1608" s="337">
        <v>1</v>
      </c>
      <c r="H1608" s="338">
        <v>0</v>
      </c>
      <c r="I1608" s="339">
        <v>14702.99</v>
      </c>
      <c r="J1608" s="340">
        <v>14702.99</v>
      </c>
      <c r="K1608" s="335" t="s">
        <v>3146</v>
      </c>
      <c r="L1608" s="335">
        <v>5</v>
      </c>
      <c r="M1608" s="335" t="s">
        <v>3151</v>
      </c>
      <c r="N1608" s="339">
        <v>1</v>
      </c>
      <c r="O1608" s="341">
        <v>1</v>
      </c>
      <c r="P1608" s="341">
        <v>1</v>
      </c>
      <c r="Q1608" s="341">
        <v>1</v>
      </c>
      <c r="R1608" s="342">
        <v>18.170000000000002</v>
      </c>
      <c r="S1608" s="342" t="s">
        <v>25</v>
      </c>
    </row>
    <row r="1609" spans="1:19" ht="14.25" customHeight="1" x14ac:dyDescent="0.3">
      <c r="A1609" s="335" t="s">
        <v>3141</v>
      </c>
      <c r="B1609" s="335" t="s">
        <v>26</v>
      </c>
      <c r="C1609" s="335" t="s">
        <v>27</v>
      </c>
      <c r="D1609" s="335" t="s">
        <v>3152</v>
      </c>
      <c r="E1609" s="336" t="s">
        <v>3153</v>
      </c>
      <c r="F1609" s="336" t="s">
        <v>35</v>
      </c>
      <c r="G1609" s="337">
        <v>1</v>
      </c>
      <c r="H1609" s="338">
        <v>0</v>
      </c>
      <c r="I1609" s="339">
        <v>51844.93</v>
      </c>
      <c r="J1609" s="340">
        <v>51844.93</v>
      </c>
      <c r="K1609" s="335" t="s">
        <v>3146</v>
      </c>
      <c r="L1609" s="335">
        <v>6</v>
      </c>
      <c r="M1609" s="335" t="s">
        <v>3154</v>
      </c>
      <c r="N1609" s="339">
        <v>1</v>
      </c>
      <c r="O1609" s="341">
        <v>1</v>
      </c>
      <c r="P1609" s="341">
        <v>1</v>
      </c>
      <c r="Q1609" s="341">
        <v>1</v>
      </c>
      <c r="R1609" s="342">
        <v>18.170000000000002</v>
      </c>
      <c r="S1609" s="342" t="s">
        <v>25</v>
      </c>
    </row>
    <row r="1610" spans="1:19" ht="14.25" customHeight="1" x14ac:dyDescent="0.3">
      <c r="A1610" s="335" t="s">
        <v>3141</v>
      </c>
      <c r="B1610" s="335" t="s">
        <v>26</v>
      </c>
      <c r="C1610" s="335" t="s">
        <v>27</v>
      </c>
      <c r="D1610" s="335" t="s">
        <v>3155</v>
      </c>
      <c r="E1610" s="336" t="s">
        <v>3156</v>
      </c>
      <c r="F1610" s="336" t="s">
        <v>35</v>
      </c>
      <c r="G1610" s="337">
        <v>1</v>
      </c>
      <c r="H1610" s="338">
        <v>0</v>
      </c>
      <c r="I1610" s="339">
        <v>33851.08</v>
      </c>
      <c r="J1610" s="340">
        <v>33851.08</v>
      </c>
      <c r="K1610" s="335" t="s">
        <v>3146</v>
      </c>
      <c r="L1610" s="335">
        <v>7</v>
      </c>
      <c r="M1610" s="335" t="s">
        <v>3157</v>
      </c>
      <c r="N1610" s="339">
        <v>1</v>
      </c>
      <c r="O1610" s="341">
        <v>1</v>
      </c>
      <c r="P1610" s="341">
        <v>1</v>
      </c>
      <c r="Q1610" s="341">
        <v>1</v>
      </c>
      <c r="R1610" s="342">
        <v>18.170000000000002</v>
      </c>
      <c r="S1610" s="342" t="s">
        <v>25</v>
      </c>
    </row>
    <row r="1611" spans="1:19" ht="14.25" customHeight="1" x14ac:dyDescent="0.3">
      <c r="A1611" s="335" t="s">
        <v>3141</v>
      </c>
      <c r="B1611" s="335" t="s">
        <v>26</v>
      </c>
      <c r="C1611" s="335" t="s">
        <v>27</v>
      </c>
      <c r="D1611" s="335" t="s">
        <v>3158</v>
      </c>
      <c r="E1611" s="336" t="s">
        <v>3159</v>
      </c>
      <c r="F1611" s="336" t="s">
        <v>35</v>
      </c>
      <c r="G1611" s="337">
        <v>1</v>
      </c>
      <c r="H1611" s="338">
        <v>0</v>
      </c>
      <c r="I1611" s="339">
        <v>129189.81</v>
      </c>
      <c r="J1611" s="340">
        <v>129189.81</v>
      </c>
      <c r="K1611" s="335" t="s">
        <v>3146</v>
      </c>
      <c r="L1611" s="335">
        <v>8</v>
      </c>
      <c r="M1611" s="335" t="s">
        <v>3160</v>
      </c>
      <c r="N1611" s="339">
        <v>1</v>
      </c>
      <c r="O1611" s="341">
        <v>1</v>
      </c>
      <c r="P1611" s="341">
        <v>1</v>
      </c>
      <c r="Q1611" s="341">
        <v>1</v>
      </c>
      <c r="R1611" s="342">
        <v>18.170000000000002</v>
      </c>
      <c r="S1611" s="342" t="s">
        <v>25</v>
      </c>
    </row>
    <row r="1612" spans="1:19" ht="14.25" customHeight="1" x14ac:dyDescent="0.3">
      <c r="A1612" s="335" t="s">
        <v>3141</v>
      </c>
      <c r="B1612" s="335" t="s">
        <v>26</v>
      </c>
      <c r="C1612" s="335" t="s">
        <v>27</v>
      </c>
      <c r="D1612" s="335" t="s">
        <v>3161</v>
      </c>
      <c r="E1612" s="336" t="s">
        <v>3162</v>
      </c>
      <c r="F1612" s="336" t="s">
        <v>35</v>
      </c>
      <c r="G1612" s="337">
        <v>1</v>
      </c>
      <c r="H1612" s="338">
        <v>0</v>
      </c>
      <c r="I1612" s="339">
        <v>40000</v>
      </c>
      <c r="J1612" s="340">
        <v>40000</v>
      </c>
      <c r="K1612" s="335" t="s">
        <v>3146</v>
      </c>
      <c r="L1612" s="335">
        <v>9</v>
      </c>
      <c r="M1612" s="335" t="s">
        <v>3163</v>
      </c>
      <c r="N1612" s="339">
        <v>1</v>
      </c>
      <c r="O1612" s="341">
        <v>1</v>
      </c>
      <c r="P1612" s="341">
        <v>1</v>
      </c>
      <c r="Q1612" s="341">
        <v>1</v>
      </c>
      <c r="R1612" s="342">
        <v>18.170000000000002</v>
      </c>
      <c r="S1612" s="342" t="s">
        <v>25</v>
      </c>
    </row>
    <row r="1613" spans="1:19" ht="14.25" customHeight="1" x14ac:dyDescent="0.3">
      <c r="A1613" s="335" t="s">
        <v>3141</v>
      </c>
      <c r="B1613" s="335" t="s">
        <v>26</v>
      </c>
      <c r="C1613" s="335" t="s">
        <v>27</v>
      </c>
      <c r="D1613" s="335" t="s">
        <v>3164</v>
      </c>
      <c r="E1613" s="336" t="s">
        <v>3165</v>
      </c>
      <c r="F1613" s="336" t="s">
        <v>35</v>
      </c>
      <c r="G1613" s="337">
        <v>2</v>
      </c>
      <c r="H1613" s="338">
        <v>0</v>
      </c>
      <c r="I1613" s="339">
        <v>85894.23</v>
      </c>
      <c r="J1613" s="340">
        <v>171788.46</v>
      </c>
      <c r="K1613" s="335" t="s">
        <v>3146</v>
      </c>
      <c r="L1613" s="335">
        <v>10</v>
      </c>
      <c r="M1613" s="335" t="s">
        <v>3166</v>
      </c>
      <c r="N1613" s="339">
        <v>1</v>
      </c>
      <c r="O1613" s="341">
        <v>2</v>
      </c>
      <c r="P1613" s="341">
        <v>1</v>
      </c>
      <c r="Q1613" s="341">
        <v>2</v>
      </c>
      <c r="R1613" s="342">
        <v>18.170000000000002</v>
      </c>
      <c r="S1613" s="342" t="s">
        <v>25</v>
      </c>
    </row>
    <row r="1614" spans="1:19" ht="14.25" customHeight="1" x14ac:dyDescent="0.3">
      <c r="A1614" s="335" t="s">
        <v>3141</v>
      </c>
      <c r="B1614" s="335" t="s">
        <v>56</v>
      </c>
      <c r="C1614" s="335" t="s">
        <v>27</v>
      </c>
      <c r="D1614" s="335" t="s">
        <v>3167</v>
      </c>
      <c r="E1614" s="336" t="s">
        <v>3168</v>
      </c>
      <c r="F1614" s="336" t="s">
        <v>60</v>
      </c>
      <c r="G1614" s="337">
        <v>1</v>
      </c>
      <c r="H1614" s="338">
        <v>0</v>
      </c>
      <c r="I1614" s="339">
        <v>232812.45</v>
      </c>
      <c r="J1614" s="340">
        <v>232812.45</v>
      </c>
      <c r="K1614" s="335" t="s">
        <v>3169</v>
      </c>
      <c r="L1614" s="335">
        <v>1</v>
      </c>
      <c r="M1614" s="335" t="s">
        <v>3170</v>
      </c>
      <c r="N1614" s="339">
        <v>1</v>
      </c>
      <c r="O1614" s="341">
        <v>1</v>
      </c>
      <c r="P1614" s="341">
        <v>1</v>
      </c>
      <c r="Q1614" s="341">
        <v>1</v>
      </c>
      <c r="R1614" s="342">
        <v>18.170000000000002</v>
      </c>
      <c r="S1614" s="342" t="s">
        <v>25</v>
      </c>
    </row>
    <row r="1615" spans="1:19" ht="14.25" customHeight="1" x14ac:dyDescent="0.3">
      <c r="A1615" s="335" t="s">
        <v>3171</v>
      </c>
      <c r="B1615" s="335" t="s">
        <v>20</v>
      </c>
      <c r="C1615" s="335"/>
      <c r="D1615" s="335" t="s">
        <v>3172</v>
      </c>
      <c r="E1615" s="336" t="s">
        <v>3173</v>
      </c>
      <c r="F1615" s="336"/>
      <c r="G1615" s="337">
        <v>1</v>
      </c>
      <c r="H1615" s="338">
        <v>0</v>
      </c>
      <c r="I1615" s="339">
        <v>5888.0883607438</v>
      </c>
      <c r="J1615" s="340">
        <v>5888.0883607438</v>
      </c>
      <c r="K1615" s="335" t="s">
        <v>3174</v>
      </c>
      <c r="L1615" s="335">
        <v>1</v>
      </c>
      <c r="M1615" s="335" t="s">
        <v>3175</v>
      </c>
      <c r="N1615" s="339">
        <v>1</v>
      </c>
      <c r="O1615" s="341">
        <v>1</v>
      </c>
      <c r="P1615" s="341">
        <v>2</v>
      </c>
      <c r="Q1615" s="341">
        <v>2</v>
      </c>
      <c r="R1615" s="342">
        <v>18.18</v>
      </c>
      <c r="S1615" s="342" t="s">
        <v>25</v>
      </c>
    </row>
    <row r="1616" spans="1:19" ht="14.25" customHeight="1" x14ac:dyDescent="0.3">
      <c r="A1616" s="335" t="s">
        <v>3171</v>
      </c>
      <c r="B1616" s="335" t="s">
        <v>26</v>
      </c>
      <c r="C1616" s="335" t="s">
        <v>27</v>
      </c>
      <c r="D1616" s="335" t="s">
        <v>96</v>
      </c>
      <c r="E1616" s="336" t="s">
        <v>97</v>
      </c>
      <c r="F1616" s="336" t="s">
        <v>98</v>
      </c>
      <c r="G1616" s="337">
        <v>26621.129000000001</v>
      </c>
      <c r="H1616" s="338">
        <v>0</v>
      </c>
      <c r="I1616" s="339">
        <v>1</v>
      </c>
      <c r="J1616" s="340">
        <v>26621.129000000001</v>
      </c>
      <c r="K1616" s="335" t="s">
        <v>3176</v>
      </c>
      <c r="L1616" s="335">
        <v>1</v>
      </c>
      <c r="M1616" s="335" t="s">
        <v>3177</v>
      </c>
      <c r="N1616" s="339">
        <v>1</v>
      </c>
      <c r="O1616" s="341">
        <v>26621.129000000001</v>
      </c>
      <c r="P1616" s="341">
        <v>2</v>
      </c>
      <c r="Q1616" s="341">
        <v>53242.258000000002</v>
      </c>
      <c r="R1616" s="342">
        <v>18.18</v>
      </c>
      <c r="S1616" s="342" t="s">
        <v>25</v>
      </c>
    </row>
    <row r="1617" spans="1:19" ht="14.25" customHeight="1" x14ac:dyDescent="0.3">
      <c r="A1617" s="335" t="s">
        <v>3171</v>
      </c>
      <c r="B1617" s="335" t="s">
        <v>26</v>
      </c>
      <c r="C1617" s="335" t="s">
        <v>27</v>
      </c>
      <c r="D1617" s="335" t="s">
        <v>3098</v>
      </c>
      <c r="E1617" s="336" t="s">
        <v>3099</v>
      </c>
      <c r="F1617" s="336" t="s">
        <v>35</v>
      </c>
      <c r="G1617" s="337">
        <v>3</v>
      </c>
      <c r="H1617" s="338">
        <v>0</v>
      </c>
      <c r="I1617" s="339">
        <v>3656.19834710744</v>
      </c>
      <c r="J1617" s="340">
        <v>10968.5950413223</v>
      </c>
      <c r="K1617" s="335" t="s">
        <v>3176</v>
      </c>
      <c r="L1617" s="335">
        <v>2</v>
      </c>
      <c r="M1617" s="335" t="s">
        <v>3178</v>
      </c>
      <c r="N1617" s="339">
        <v>1</v>
      </c>
      <c r="O1617" s="341">
        <v>3</v>
      </c>
      <c r="P1617" s="341">
        <v>2</v>
      </c>
      <c r="Q1617" s="341">
        <v>6</v>
      </c>
      <c r="R1617" s="342">
        <v>18.18</v>
      </c>
      <c r="S1617" s="342" t="s">
        <v>25</v>
      </c>
    </row>
    <row r="1618" spans="1:19" ht="14.25" customHeight="1" x14ac:dyDescent="0.3">
      <c r="A1618" s="335" t="s">
        <v>3171</v>
      </c>
      <c r="B1618" s="335" t="s">
        <v>26</v>
      </c>
      <c r="C1618" s="335" t="s">
        <v>27</v>
      </c>
      <c r="D1618" s="335" t="s">
        <v>3116</v>
      </c>
      <c r="E1618" s="336" t="s">
        <v>3117</v>
      </c>
      <c r="F1618" s="336" t="s">
        <v>35</v>
      </c>
      <c r="G1618" s="337">
        <v>2</v>
      </c>
      <c r="H1618" s="338">
        <v>0</v>
      </c>
      <c r="I1618" s="339">
        <v>5287.23</v>
      </c>
      <c r="J1618" s="340">
        <v>10574.46</v>
      </c>
      <c r="K1618" s="335" t="s">
        <v>3176</v>
      </c>
      <c r="L1618" s="335">
        <v>3</v>
      </c>
      <c r="M1618" s="335" t="s">
        <v>3179</v>
      </c>
      <c r="N1618" s="339">
        <v>1</v>
      </c>
      <c r="O1618" s="341">
        <v>2</v>
      </c>
      <c r="P1618" s="341">
        <v>2</v>
      </c>
      <c r="Q1618" s="341">
        <v>4</v>
      </c>
      <c r="R1618" s="342">
        <v>18.18</v>
      </c>
      <c r="S1618" s="342" t="s">
        <v>25</v>
      </c>
    </row>
    <row r="1619" spans="1:19" ht="14.25" customHeight="1" x14ac:dyDescent="0.3">
      <c r="A1619" s="335" t="s">
        <v>3171</v>
      </c>
      <c r="B1619" s="335" t="s">
        <v>26</v>
      </c>
      <c r="C1619" s="335" t="s">
        <v>27</v>
      </c>
      <c r="D1619" s="335" t="s">
        <v>3128</v>
      </c>
      <c r="E1619" s="336" t="s">
        <v>3129</v>
      </c>
      <c r="F1619" s="336" t="s">
        <v>35</v>
      </c>
      <c r="G1619" s="337">
        <v>1</v>
      </c>
      <c r="H1619" s="338">
        <v>0</v>
      </c>
      <c r="I1619" s="339">
        <v>14702.99</v>
      </c>
      <c r="J1619" s="340">
        <v>14702.99</v>
      </c>
      <c r="K1619" s="335" t="s">
        <v>3176</v>
      </c>
      <c r="L1619" s="335">
        <v>4</v>
      </c>
      <c r="M1619" s="335" t="s">
        <v>3180</v>
      </c>
      <c r="N1619" s="339">
        <v>1</v>
      </c>
      <c r="O1619" s="341">
        <v>1</v>
      </c>
      <c r="P1619" s="341">
        <v>2</v>
      </c>
      <c r="Q1619" s="341">
        <v>2</v>
      </c>
      <c r="R1619" s="342">
        <v>18.18</v>
      </c>
      <c r="S1619" s="342" t="s">
        <v>25</v>
      </c>
    </row>
    <row r="1620" spans="1:19" ht="14.25" customHeight="1" x14ac:dyDescent="0.3">
      <c r="A1620" s="335" t="s">
        <v>3171</v>
      </c>
      <c r="B1620" s="335" t="s">
        <v>26</v>
      </c>
      <c r="C1620" s="335" t="s">
        <v>27</v>
      </c>
      <c r="D1620" s="335" t="s">
        <v>3152</v>
      </c>
      <c r="E1620" s="336" t="s">
        <v>3153</v>
      </c>
      <c r="F1620" s="336" t="s">
        <v>35</v>
      </c>
      <c r="G1620" s="337">
        <v>1</v>
      </c>
      <c r="H1620" s="338">
        <v>0</v>
      </c>
      <c r="I1620" s="339">
        <v>51844.93</v>
      </c>
      <c r="J1620" s="340">
        <v>51844.93</v>
      </c>
      <c r="K1620" s="335" t="s">
        <v>3176</v>
      </c>
      <c r="L1620" s="335">
        <v>5</v>
      </c>
      <c r="M1620" s="335" t="s">
        <v>3181</v>
      </c>
      <c r="N1620" s="339">
        <v>1</v>
      </c>
      <c r="O1620" s="341">
        <v>1</v>
      </c>
      <c r="P1620" s="341">
        <v>2</v>
      </c>
      <c r="Q1620" s="341">
        <v>2</v>
      </c>
      <c r="R1620" s="342">
        <v>18.18</v>
      </c>
      <c r="S1620" s="342" t="s">
        <v>25</v>
      </c>
    </row>
    <row r="1621" spans="1:19" ht="14.25" customHeight="1" x14ac:dyDescent="0.3">
      <c r="A1621" s="335" t="s">
        <v>3171</v>
      </c>
      <c r="B1621" s="335" t="s">
        <v>26</v>
      </c>
      <c r="C1621" s="335" t="s">
        <v>27</v>
      </c>
      <c r="D1621" s="335" t="s">
        <v>3155</v>
      </c>
      <c r="E1621" s="336" t="s">
        <v>3156</v>
      </c>
      <c r="F1621" s="336" t="s">
        <v>35</v>
      </c>
      <c r="G1621" s="337">
        <v>1</v>
      </c>
      <c r="H1621" s="338">
        <v>0</v>
      </c>
      <c r="I1621" s="339">
        <v>33851.08</v>
      </c>
      <c r="J1621" s="340">
        <v>33851.08</v>
      </c>
      <c r="K1621" s="335" t="s">
        <v>3176</v>
      </c>
      <c r="L1621" s="335">
        <v>6</v>
      </c>
      <c r="M1621" s="335" t="s">
        <v>3182</v>
      </c>
      <c r="N1621" s="339">
        <v>1</v>
      </c>
      <c r="O1621" s="341">
        <v>1</v>
      </c>
      <c r="P1621" s="341">
        <v>2</v>
      </c>
      <c r="Q1621" s="341">
        <v>2</v>
      </c>
      <c r="R1621" s="342">
        <v>18.18</v>
      </c>
      <c r="S1621" s="342" t="s">
        <v>25</v>
      </c>
    </row>
    <row r="1622" spans="1:19" ht="14.25" customHeight="1" x14ac:dyDescent="0.3">
      <c r="A1622" s="335" t="s">
        <v>3171</v>
      </c>
      <c r="B1622" s="335" t="s">
        <v>26</v>
      </c>
      <c r="C1622" s="335" t="s">
        <v>27</v>
      </c>
      <c r="D1622" s="335" t="s">
        <v>3183</v>
      </c>
      <c r="E1622" s="336" t="s">
        <v>3184</v>
      </c>
      <c r="F1622" s="336" t="s">
        <v>35</v>
      </c>
      <c r="G1622" s="337">
        <v>1</v>
      </c>
      <c r="H1622" s="338">
        <v>0</v>
      </c>
      <c r="I1622" s="339">
        <v>11163.59</v>
      </c>
      <c r="J1622" s="340">
        <v>11163.59</v>
      </c>
      <c r="K1622" s="335" t="s">
        <v>3176</v>
      </c>
      <c r="L1622" s="335">
        <v>7</v>
      </c>
      <c r="M1622" s="335" t="s">
        <v>3185</v>
      </c>
      <c r="N1622" s="339">
        <v>1</v>
      </c>
      <c r="O1622" s="341">
        <v>1</v>
      </c>
      <c r="P1622" s="341">
        <v>2</v>
      </c>
      <c r="Q1622" s="341">
        <v>2</v>
      </c>
      <c r="R1622" s="342">
        <v>18.18</v>
      </c>
      <c r="S1622" s="342" t="s">
        <v>25</v>
      </c>
    </row>
    <row r="1623" spans="1:19" ht="14.25" customHeight="1" x14ac:dyDescent="0.3">
      <c r="A1623" s="335" t="s">
        <v>3171</v>
      </c>
      <c r="B1623" s="335" t="s">
        <v>56</v>
      </c>
      <c r="C1623" s="335" t="s">
        <v>27</v>
      </c>
      <c r="D1623" s="335" t="s">
        <v>3167</v>
      </c>
      <c r="E1623" s="336" t="s">
        <v>3168</v>
      </c>
      <c r="F1623" s="336" t="s">
        <v>60</v>
      </c>
      <c r="G1623" s="337">
        <v>1</v>
      </c>
      <c r="H1623" s="338">
        <v>0</v>
      </c>
      <c r="I1623" s="339">
        <v>232812.45</v>
      </c>
      <c r="J1623" s="340">
        <v>232812.45</v>
      </c>
      <c r="K1623" s="335" t="s">
        <v>3186</v>
      </c>
      <c r="L1623" s="335">
        <v>1</v>
      </c>
      <c r="M1623" s="335" t="s">
        <v>3187</v>
      </c>
      <c r="N1623" s="339">
        <v>1</v>
      </c>
      <c r="O1623" s="341">
        <v>1</v>
      </c>
      <c r="P1623" s="341">
        <v>2</v>
      </c>
      <c r="Q1623" s="341">
        <v>2</v>
      </c>
      <c r="R1623" s="342">
        <v>18.18</v>
      </c>
      <c r="S1623" s="342" t="s">
        <v>25</v>
      </c>
    </row>
    <row r="1624" spans="1:19" ht="14.25" customHeight="1" x14ac:dyDescent="0.3">
      <c r="A1624" s="335" t="s">
        <v>3188</v>
      </c>
      <c r="B1624" s="335" t="s">
        <v>20</v>
      </c>
      <c r="C1624" s="335"/>
      <c r="D1624" s="335" t="s">
        <v>3189</v>
      </c>
      <c r="E1624" s="336" t="s">
        <v>3190</v>
      </c>
      <c r="F1624" s="336"/>
      <c r="G1624" s="337">
        <v>1</v>
      </c>
      <c r="H1624" s="338">
        <v>0</v>
      </c>
      <c r="I1624" s="339">
        <v>6602.35923</v>
      </c>
      <c r="J1624" s="340">
        <v>6602.35923</v>
      </c>
      <c r="K1624" s="335" t="s">
        <v>3191</v>
      </c>
      <c r="L1624" s="335">
        <v>1</v>
      </c>
      <c r="M1624" s="335" t="s">
        <v>3192</v>
      </c>
      <c r="N1624" s="339">
        <v>1</v>
      </c>
      <c r="O1624" s="341">
        <v>1</v>
      </c>
      <c r="P1624" s="341">
        <v>9</v>
      </c>
      <c r="Q1624" s="341">
        <v>9</v>
      </c>
      <c r="R1624" s="342">
        <v>18.190000000000001</v>
      </c>
      <c r="S1624" s="342" t="s">
        <v>25</v>
      </c>
    </row>
    <row r="1625" spans="1:19" ht="14.25" customHeight="1" x14ac:dyDescent="0.3">
      <c r="A1625" s="335" t="s">
        <v>3188</v>
      </c>
      <c r="B1625" s="335" t="s">
        <v>26</v>
      </c>
      <c r="C1625" s="335" t="s">
        <v>27</v>
      </c>
      <c r="D1625" s="335" t="s">
        <v>96</v>
      </c>
      <c r="E1625" s="336" t="s">
        <v>97</v>
      </c>
      <c r="F1625" s="336" t="s">
        <v>98</v>
      </c>
      <c r="G1625" s="337">
        <v>34557.472000000002</v>
      </c>
      <c r="H1625" s="338">
        <v>0</v>
      </c>
      <c r="I1625" s="339">
        <v>1</v>
      </c>
      <c r="J1625" s="340">
        <v>34557.472000000002</v>
      </c>
      <c r="K1625" s="335" t="s">
        <v>3193</v>
      </c>
      <c r="L1625" s="335">
        <v>1</v>
      </c>
      <c r="M1625" s="335" t="s">
        <v>3194</v>
      </c>
      <c r="N1625" s="339">
        <v>1</v>
      </c>
      <c r="O1625" s="341">
        <v>34557.472000000002</v>
      </c>
      <c r="P1625" s="341">
        <v>9</v>
      </c>
      <c r="Q1625" s="341">
        <v>311017.24800000002</v>
      </c>
      <c r="R1625" s="342">
        <v>18.190000000000001</v>
      </c>
      <c r="S1625" s="342" t="s">
        <v>25</v>
      </c>
    </row>
    <row r="1626" spans="1:19" ht="14.25" customHeight="1" x14ac:dyDescent="0.3">
      <c r="A1626" s="335" t="s">
        <v>3188</v>
      </c>
      <c r="B1626" s="335" t="s">
        <v>26</v>
      </c>
      <c r="C1626" s="335" t="s">
        <v>27</v>
      </c>
      <c r="D1626" s="335" t="s">
        <v>3101</v>
      </c>
      <c r="E1626" s="336" t="s">
        <v>3102</v>
      </c>
      <c r="F1626" s="336" t="s">
        <v>35</v>
      </c>
      <c r="G1626" s="337">
        <v>1</v>
      </c>
      <c r="H1626" s="338">
        <v>0</v>
      </c>
      <c r="I1626" s="339">
        <v>35881.19</v>
      </c>
      <c r="J1626" s="340">
        <v>35881.19</v>
      </c>
      <c r="K1626" s="335" t="s">
        <v>3193</v>
      </c>
      <c r="L1626" s="335">
        <v>2</v>
      </c>
      <c r="M1626" s="335" t="s">
        <v>3195</v>
      </c>
      <c r="N1626" s="339">
        <v>1</v>
      </c>
      <c r="O1626" s="341">
        <v>1</v>
      </c>
      <c r="P1626" s="341">
        <v>9</v>
      </c>
      <c r="Q1626" s="341">
        <v>9</v>
      </c>
      <c r="R1626" s="342">
        <v>18.190000000000001</v>
      </c>
      <c r="S1626" s="342" t="s">
        <v>25</v>
      </c>
    </row>
    <row r="1627" spans="1:19" ht="14.25" customHeight="1" x14ac:dyDescent="0.3">
      <c r="A1627" s="335" t="s">
        <v>3188</v>
      </c>
      <c r="B1627" s="335" t="s">
        <v>26</v>
      </c>
      <c r="C1627" s="335" t="s">
        <v>27</v>
      </c>
      <c r="D1627" s="335" t="s">
        <v>3183</v>
      </c>
      <c r="E1627" s="336" t="s">
        <v>3184</v>
      </c>
      <c r="F1627" s="336" t="s">
        <v>35</v>
      </c>
      <c r="G1627" s="337">
        <v>1</v>
      </c>
      <c r="H1627" s="338">
        <v>0</v>
      </c>
      <c r="I1627" s="339">
        <v>11163.59</v>
      </c>
      <c r="J1627" s="340">
        <v>11163.59</v>
      </c>
      <c r="K1627" s="335" t="s">
        <v>3193</v>
      </c>
      <c r="L1627" s="335">
        <v>3</v>
      </c>
      <c r="M1627" s="335" t="s">
        <v>3196</v>
      </c>
      <c r="N1627" s="339">
        <v>1</v>
      </c>
      <c r="O1627" s="341">
        <v>1</v>
      </c>
      <c r="P1627" s="341">
        <v>9</v>
      </c>
      <c r="Q1627" s="341">
        <v>9</v>
      </c>
      <c r="R1627" s="342">
        <v>18.190000000000001</v>
      </c>
      <c r="S1627" s="342" t="s">
        <v>25</v>
      </c>
    </row>
    <row r="1628" spans="1:19" ht="14.25" customHeight="1" x14ac:dyDescent="0.3">
      <c r="A1628" s="335" t="s">
        <v>3188</v>
      </c>
      <c r="B1628" s="335" t="s">
        <v>26</v>
      </c>
      <c r="C1628" s="335" t="s">
        <v>27</v>
      </c>
      <c r="D1628" s="335" t="s">
        <v>3197</v>
      </c>
      <c r="E1628" s="336" t="s">
        <v>3198</v>
      </c>
      <c r="F1628" s="336" t="s">
        <v>35</v>
      </c>
      <c r="G1628" s="337">
        <v>3</v>
      </c>
      <c r="H1628" s="338">
        <v>0</v>
      </c>
      <c r="I1628" s="339">
        <v>18770.66</v>
      </c>
      <c r="J1628" s="340">
        <v>56311.98</v>
      </c>
      <c r="K1628" s="335" t="s">
        <v>3193</v>
      </c>
      <c r="L1628" s="335">
        <v>4</v>
      </c>
      <c r="M1628" s="335" t="s">
        <v>3199</v>
      </c>
      <c r="N1628" s="339">
        <v>1</v>
      </c>
      <c r="O1628" s="341">
        <v>3</v>
      </c>
      <c r="P1628" s="341">
        <v>9</v>
      </c>
      <c r="Q1628" s="341">
        <v>27</v>
      </c>
      <c r="R1628" s="342">
        <v>18.190000000000001</v>
      </c>
      <c r="S1628" s="342" t="s">
        <v>25</v>
      </c>
    </row>
    <row r="1629" spans="1:19" ht="14.25" customHeight="1" x14ac:dyDescent="0.3">
      <c r="A1629" s="335" t="s">
        <v>3188</v>
      </c>
      <c r="B1629" s="335" t="s">
        <v>26</v>
      </c>
      <c r="C1629" s="335" t="s">
        <v>27</v>
      </c>
      <c r="D1629" s="335" t="s">
        <v>3200</v>
      </c>
      <c r="E1629" s="336" t="s">
        <v>3201</v>
      </c>
      <c r="F1629" s="336" t="s">
        <v>35</v>
      </c>
      <c r="G1629" s="337">
        <v>2</v>
      </c>
      <c r="H1629" s="338">
        <v>0</v>
      </c>
      <c r="I1629" s="339">
        <v>5287.23</v>
      </c>
      <c r="J1629" s="340">
        <v>10574.46</v>
      </c>
      <c r="K1629" s="335" t="s">
        <v>3193</v>
      </c>
      <c r="L1629" s="335">
        <v>5</v>
      </c>
      <c r="M1629" s="335" t="s">
        <v>3202</v>
      </c>
      <c r="N1629" s="339">
        <v>1</v>
      </c>
      <c r="O1629" s="341">
        <v>2</v>
      </c>
      <c r="P1629" s="341">
        <v>9</v>
      </c>
      <c r="Q1629" s="341">
        <v>18</v>
      </c>
      <c r="R1629" s="342">
        <v>18.190000000000001</v>
      </c>
      <c r="S1629" s="342" t="s">
        <v>25</v>
      </c>
    </row>
    <row r="1630" spans="1:19" ht="14.25" customHeight="1" x14ac:dyDescent="0.3">
      <c r="A1630" s="335" t="s">
        <v>3188</v>
      </c>
      <c r="B1630" s="335" t="s">
        <v>26</v>
      </c>
      <c r="C1630" s="335" t="s">
        <v>27</v>
      </c>
      <c r="D1630" s="335" t="s">
        <v>3203</v>
      </c>
      <c r="E1630" s="336" t="s">
        <v>3204</v>
      </c>
      <c r="F1630" s="336" t="s">
        <v>35</v>
      </c>
      <c r="G1630" s="337">
        <v>5</v>
      </c>
      <c r="H1630" s="338">
        <v>0</v>
      </c>
      <c r="I1630" s="339">
        <v>5287.23</v>
      </c>
      <c r="J1630" s="340">
        <v>26436.15</v>
      </c>
      <c r="K1630" s="335" t="s">
        <v>3193</v>
      </c>
      <c r="L1630" s="335">
        <v>6</v>
      </c>
      <c r="M1630" s="335" t="s">
        <v>3205</v>
      </c>
      <c r="N1630" s="339">
        <v>1</v>
      </c>
      <c r="O1630" s="341">
        <v>5</v>
      </c>
      <c r="P1630" s="341">
        <v>9</v>
      </c>
      <c r="Q1630" s="341">
        <v>45</v>
      </c>
      <c r="R1630" s="342">
        <v>18.190000000000001</v>
      </c>
      <c r="S1630" s="342" t="s">
        <v>25</v>
      </c>
    </row>
    <row r="1631" spans="1:19" ht="14.25" customHeight="1" x14ac:dyDescent="0.3">
      <c r="A1631" s="335" t="s">
        <v>3188</v>
      </c>
      <c r="B1631" s="335" t="s">
        <v>26</v>
      </c>
      <c r="C1631" s="335" t="s">
        <v>27</v>
      </c>
      <c r="D1631" s="335" t="s">
        <v>3206</v>
      </c>
      <c r="E1631" s="336" t="s">
        <v>3207</v>
      </c>
      <c r="F1631" s="336" t="s">
        <v>35</v>
      </c>
      <c r="G1631" s="337">
        <v>1</v>
      </c>
      <c r="H1631" s="338">
        <v>0</v>
      </c>
      <c r="I1631" s="339">
        <v>27320.39</v>
      </c>
      <c r="J1631" s="340">
        <v>27320.39</v>
      </c>
      <c r="K1631" s="335" t="s">
        <v>3193</v>
      </c>
      <c r="L1631" s="335">
        <v>7</v>
      </c>
      <c r="M1631" s="335" t="s">
        <v>3208</v>
      </c>
      <c r="N1631" s="339">
        <v>1</v>
      </c>
      <c r="O1631" s="341">
        <v>1</v>
      </c>
      <c r="P1631" s="341">
        <v>9</v>
      </c>
      <c r="Q1631" s="341">
        <v>9</v>
      </c>
      <c r="R1631" s="342">
        <v>18.190000000000001</v>
      </c>
      <c r="S1631" s="342" t="s">
        <v>25</v>
      </c>
    </row>
    <row r="1632" spans="1:19" ht="14.25" customHeight="1" x14ac:dyDescent="0.3">
      <c r="A1632" s="335" t="s">
        <v>3188</v>
      </c>
      <c r="B1632" s="335" t="s">
        <v>26</v>
      </c>
      <c r="C1632" s="335" t="s">
        <v>27</v>
      </c>
      <c r="D1632" s="335" t="s">
        <v>3209</v>
      </c>
      <c r="E1632" s="336" t="s">
        <v>3210</v>
      </c>
      <c r="F1632" s="336" t="s">
        <v>35</v>
      </c>
      <c r="G1632" s="337">
        <v>1</v>
      </c>
      <c r="H1632" s="338">
        <v>0</v>
      </c>
      <c r="I1632" s="339">
        <v>5099.6000000000004</v>
      </c>
      <c r="J1632" s="340">
        <v>5099.6000000000004</v>
      </c>
      <c r="K1632" s="335" t="s">
        <v>3193</v>
      </c>
      <c r="L1632" s="335">
        <v>8</v>
      </c>
      <c r="M1632" s="335" t="s">
        <v>3211</v>
      </c>
      <c r="N1632" s="339">
        <v>1</v>
      </c>
      <c r="O1632" s="341">
        <v>1</v>
      </c>
      <c r="P1632" s="341">
        <v>9</v>
      </c>
      <c r="Q1632" s="341">
        <v>9</v>
      </c>
      <c r="R1632" s="342">
        <v>18.190000000000001</v>
      </c>
      <c r="S1632" s="342" t="s">
        <v>25</v>
      </c>
    </row>
    <row r="1633" spans="1:19" ht="14.25" customHeight="1" x14ac:dyDescent="0.3">
      <c r="A1633" s="335" t="s">
        <v>3188</v>
      </c>
      <c r="B1633" s="335" t="s">
        <v>56</v>
      </c>
      <c r="C1633" s="335" t="s">
        <v>27</v>
      </c>
      <c r="D1633" s="335" t="s">
        <v>3167</v>
      </c>
      <c r="E1633" s="336" t="s">
        <v>3168</v>
      </c>
      <c r="F1633" s="336" t="s">
        <v>60</v>
      </c>
      <c r="G1633" s="337">
        <v>1</v>
      </c>
      <c r="H1633" s="338">
        <v>0</v>
      </c>
      <c r="I1633" s="339">
        <v>232812.45</v>
      </c>
      <c r="J1633" s="340">
        <v>232812.45</v>
      </c>
      <c r="K1633" s="335" t="s">
        <v>3212</v>
      </c>
      <c r="L1633" s="335">
        <v>1</v>
      </c>
      <c r="M1633" s="335" t="s">
        <v>3213</v>
      </c>
      <c r="N1633" s="339">
        <v>1</v>
      </c>
      <c r="O1633" s="341">
        <v>1</v>
      </c>
      <c r="P1633" s="341">
        <v>9</v>
      </c>
      <c r="Q1633" s="341">
        <v>9</v>
      </c>
      <c r="R1633" s="342">
        <v>18.190000000000001</v>
      </c>
      <c r="S1633" s="342" t="s">
        <v>25</v>
      </c>
    </row>
    <row r="1634" spans="1:19" ht="14.25" customHeight="1" x14ac:dyDescent="0.3">
      <c r="A1634" s="335" t="s">
        <v>3214</v>
      </c>
      <c r="B1634" s="335" t="s">
        <v>20</v>
      </c>
      <c r="C1634" s="335"/>
      <c r="D1634" s="335" t="s">
        <v>3215</v>
      </c>
      <c r="E1634" s="336" t="s">
        <v>3216</v>
      </c>
      <c r="F1634" s="336"/>
      <c r="G1634" s="337">
        <v>1</v>
      </c>
      <c r="H1634" s="338">
        <v>0</v>
      </c>
      <c r="I1634" s="339">
        <v>70727.339200190603</v>
      </c>
      <c r="J1634" s="340">
        <v>70727.339200190603</v>
      </c>
      <c r="K1634" s="335" t="s">
        <v>3217</v>
      </c>
      <c r="L1634" s="335">
        <v>1</v>
      </c>
      <c r="M1634" s="335" t="s">
        <v>3218</v>
      </c>
      <c r="N1634" s="339">
        <v>1</v>
      </c>
      <c r="O1634" s="341">
        <v>1</v>
      </c>
      <c r="P1634" s="341">
        <v>1</v>
      </c>
      <c r="Q1634" s="341">
        <v>1</v>
      </c>
      <c r="R1634" s="342">
        <v>18.2</v>
      </c>
      <c r="S1634" s="342" t="s">
        <v>3219</v>
      </c>
    </row>
    <row r="1635" spans="1:19" ht="14.25" customHeight="1" x14ac:dyDescent="0.3">
      <c r="A1635" s="335" t="s">
        <v>3214</v>
      </c>
      <c r="B1635" s="335" t="s">
        <v>26</v>
      </c>
      <c r="C1635" s="335" t="s">
        <v>27</v>
      </c>
      <c r="D1635" s="335" t="s">
        <v>96</v>
      </c>
      <c r="E1635" s="336" t="s">
        <v>97</v>
      </c>
      <c r="F1635" s="336" t="s">
        <v>98</v>
      </c>
      <c r="G1635" s="337">
        <v>417515.77289999998</v>
      </c>
      <c r="H1635" s="338">
        <v>0</v>
      </c>
      <c r="I1635" s="339">
        <v>1</v>
      </c>
      <c r="J1635" s="340">
        <v>417515.77289999998</v>
      </c>
      <c r="K1635" s="335" t="s">
        <v>3220</v>
      </c>
      <c r="L1635" s="335">
        <v>1</v>
      </c>
      <c r="M1635" s="335" t="s">
        <v>3221</v>
      </c>
      <c r="N1635" s="339">
        <v>1</v>
      </c>
      <c r="O1635" s="341">
        <v>417515.77289999998</v>
      </c>
      <c r="P1635" s="341">
        <v>1</v>
      </c>
      <c r="Q1635" s="341">
        <v>417515.77289999998</v>
      </c>
      <c r="R1635" s="342">
        <v>18.2</v>
      </c>
      <c r="S1635" s="342" t="s">
        <v>3219</v>
      </c>
    </row>
    <row r="1636" spans="1:19" ht="14.25" customHeight="1" x14ac:dyDescent="0.3">
      <c r="A1636" s="335" t="s">
        <v>3214</v>
      </c>
      <c r="B1636" s="335" t="s">
        <v>26</v>
      </c>
      <c r="C1636" s="335" t="s">
        <v>27</v>
      </c>
      <c r="D1636" s="335" t="s">
        <v>3222</v>
      </c>
      <c r="E1636" s="336" t="s">
        <v>3223</v>
      </c>
      <c r="F1636" s="336" t="s">
        <v>35</v>
      </c>
      <c r="G1636" s="337">
        <v>100</v>
      </c>
      <c r="H1636" s="338">
        <v>0</v>
      </c>
      <c r="I1636" s="339">
        <v>1836.01</v>
      </c>
      <c r="J1636" s="340">
        <v>183601</v>
      </c>
      <c r="K1636" s="335" t="s">
        <v>3220</v>
      </c>
      <c r="L1636" s="335">
        <v>2</v>
      </c>
      <c r="M1636" s="335" t="s">
        <v>3224</v>
      </c>
      <c r="N1636" s="339">
        <v>1</v>
      </c>
      <c r="O1636" s="341">
        <v>100</v>
      </c>
      <c r="P1636" s="341">
        <v>1</v>
      </c>
      <c r="Q1636" s="341">
        <v>100</v>
      </c>
      <c r="R1636" s="342">
        <v>18.2</v>
      </c>
      <c r="S1636" s="342" t="s">
        <v>3219</v>
      </c>
    </row>
    <row r="1637" spans="1:19" ht="14.25" customHeight="1" x14ac:dyDescent="0.3">
      <c r="A1637" s="335" t="s">
        <v>3214</v>
      </c>
      <c r="B1637" s="335" t="s">
        <v>26</v>
      </c>
      <c r="C1637" s="335" t="s">
        <v>27</v>
      </c>
      <c r="D1637" s="335" t="s">
        <v>3225</v>
      </c>
      <c r="E1637" s="336" t="s">
        <v>3226</v>
      </c>
      <c r="F1637" s="336" t="s">
        <v>35</v>
      </c>
      <c r="G1637" s="337">
        <v>25</v>
      </c>
      <c r="H1637" s="338">
        <v>0</v>
      </c>
      <c r="I1637" s="339">
        <v>5067.59</v>
      </c>
      <c r="J1637" s="340">
        <v>126689.75</v>
      </c>
      <c r="K1637" s="335" t="s">
        <v>3220</v>
      </c>
      <c r="L1637" s="335">
        <v>3</v>
      </c>
      <c r="M1637" s="335" t="s">
        <v>3227</v>
      </c>
      <c r="N1637" s="339">
        <v>1</v>
      </c>
      <c r="O1637" s="341">
        <v>25</v>
      </c>
      <c r="P1637" s="341">
        <v>1</v>
      </c>
      <c r="Q1637" s="341">
        <v>25</v>
      </c>
      <c r="R1637" s="342">
        <v>18.2</v>
      </c>
      <c r="S1637" s="342" t="s">
        <v>3219</v>
      </c>
    </row>
    <row r="1638" spans="1:19" ht="14.25" customHeight="1" x14ac:dyDescent="0.3">
      <c r="A1638" s="335" t="s">
        <v>3214</v>
      </c>
      <c r="B1638" s="335" t="s">
        <v>26</v>
      </c>
      <c r="C1638" s="335" t="s">
        <v>27</v>
      </c>
      <c r="D1638" s="335" t="s">
        <v>3228</v>
      </c>
      <c r="E1638" s="336" t="s">
        <v>3229</v>
      </c>
      <c r="F1638" s="336" t="s">
        <v>35</v>
      </c>
      <c r="G1638" s="337">
        <v>1.5</v>
      </c>
      <c r="H1638" s="338">
        <v>0</v>
      </c>
      <c r="I1638" s="339">
        <v>70761.600000000006</v>
      </c>
      <c r="J1638" s="340">
        <v>106142.39999999999</v>
      </c>
      <c r="K1638" s="335" t="s">
        <v>3220</v>
      </c>
      <c r="L1638" s="335">
        <v>4</v>
      </c>
      <c r="M1638" s="335" t="s">
        <v>3230</v>
      </c>
      <c r="N1638" s="339">
        <v>1</v>
      </c>
      <c r="O1638" s="341">
        <v>1.5</v>
      </c>
      <c r="P1638" s="341">
        <v>1</v>
      </c>
      <c r="Q1638" s="341">
        <v>1.5</v>
      </c>
      <c r="R1638" s="342">
        <v>18.2</v>
      </c>
      <c r="S1638" s="342" t="s">
        <v>3219</v>
      </c>
    </row>
    <row r="1639" spans="1:19" ht="14.25" customHeight="1" x14ac:dyDescent="0.3">
      <c r="A1639" s="335" t="s">
        <v>3214</v>
      </c>
      <c r="B1639" s="335" t="s">
        <v>26</v>
      </c>
      <c r="C1639" s="335" t="s">
        <v>27</v>
      </c>
      <c r="D1639" s="335" t="s">
        <v>3231</v>
      </c>
      <c r="E1639" s="336" t="s">
        <v>3232</v>
      </c>
      <c r="F1639" s="336" t="s">
        <v>35</v>
      </c>
      <c r="G1639" s="337">
        <v>100</v>
      </c>
      <c r="H1639" s="338">
        <v>0</v>
      </c>
      <c r="I1639" s="339">
        <v>954.29</v>
      </c>
      <c r="J1639" s="340">
        <v>95429</v>
      </c>
      <c r="K1639" s="335" t="s">
        <v>3220</v>
      </c>
      <c r="L1639" s="335">
        <v>5</v>
      </c>
      <c r="M1639" s="335" t="s">
        <v>3233</v>
      </c>
      <c r="N1639" s="339">
        <v>1</v>
      </c>
      <c r="O1639" s="341">
        <v>100</v>
      </c>
      <c r="P1639" s="341">
        <v>1</v>
      </c>
      <c r="Q1639" s="341">
        <v>100</v>
      </c>
      <c r="R1639" s="342">
        <v>18.2</v>
      </c>
      <c r="S1639" s="342" t="s">
        <v>3219</v>
      </c>
    </row>
    <row r="1640" spans="1:19" ht="14.25" customHeight="1" x14ac:dyDescent="0.3">
      <c r="A1640" s="335" t="s">
        <v>3214</v>
      </c>
      <c r="B1640" s="335" t="s">
        <v>26</v>
      </c>
      <c r="C1640" s="335" t="s">
        <v>27</v>
      </c>
      <c r="D1640" s="335" t="s">
        <v>3234</v>
      </c>
      <c r="E1640" s="336" t="s">
        <v>3235</v>
      </c>
      <c r="F1640" s="336" t="s">
        <v>35</v>
      </c>
      <c r="G1640" s="337">
        <v>300</v>
      </c>
      <c r="H1640" s="338">
        <v>0</v>
      </c>
      <c r="I1640" s="339">
        <v>670.34</v>
      </c>
      <c r="J1640" s="340">
        <v>201102</v>
      </c>
      <c r="K1640" s="335" t="s">
        <v>3220</v>
      </c>
      <c r="L1640" s="335">
        <v>6</v>
      </c>
      <c r="M1640" s="335" t="s">
        <v>3236</v>
      </c>
      <c r="N1640" s="339">
        <v>1</v>
      </c>
      <c r="O1640" s="341">
        <v>300</v>
      </c>
      <c r="P1640" s="341">
        <v>1</v>
      </c>
      <c r="Q1640" s="341">
        <v>300</v>
      </c>
      <c r="R1640" s="342">
        <v>18.2</v>
      </c>
      <c r="S1640" s="342" t="s">
        <v>3219</v>
      </c>
    </row>
    <row r="1641" spans="1:19" ht="14.25" customHeight="1" x14ac:dyDescent="0.3">
      <c r="A1641" s="335" t="s">
        <v>3214</v>
      </c>
      <c r="B1641" s="335" t="s">
        <v>26</v>
      </c>
      <c r="C1641" s="335" t="s">
        <v>27</v>
      </c>
      <c r="D1641" s="335" t="s">
        <v>3237</v>
      </c>
      <c r="E1641" s="336" t="s">
        <v>3238</v>
      </c>
      <c r="F1641" s="336" t="s">
        <v>35</v>
      </c>
      <c r="G1641" s="337">
        <v>12</v>
      </c>
      <c r="H1641" s="338">
        <v>0</v>
      </c>
      <c r="I1641" s="339">
        <v>16656.23</v>
      </c>
      <c r="J1641" s="340">
        <v>199874.76</v>
      </c>
      <c r="K1641" s="335" t="s">
        <v>3220</v>
      </c>
      <c r="L1641" s="335">
        <v>7</v>
      </c>
      <c r="M1641" s="335" t="s">
        <v>3239</v>
      </c>
      <c r="N1641" s="339">
        <v>1</v>
      </c>
      <c r="O1641" s="341">
        <v>12</v>
      </c>
      <c r="P1641" s="341">
        <v>1</v>
      </c>
      <c r="Q1641" s="341">
        <v>12</v>
      </c>
      <c r="R1641" s="342">
        <v>18.2</v>
      </c>
      <c r="S1641" s="342" t="s">
        <v>3219</v>
      </c>
    </row>
    <row r="1642" spans="1:19" ht="14.25" customHeight="1" x14ac:dyDescent="0.3">
      <c r="A1642" s="335" t="s">
        <v>3214</v>
      </c>
      <c r="B1642" s="335" t="s">
        <v>26</v>
      </c>
      <c r="C1642" s="335" t="s">
        <v>27</v>
      </c>
      <c r="D1642" s="335" t="s">
        <v>3240</v>
      </c>
      <c r="E1642" s="336" t="s">
        <v>3241</v>
      </c>
      <c r="F1642" s="336" t="s">
        <v>35</v>
      </c>
      <c r="G1642" s="337">
        <v>144</v>
      </c>
      <c r="H1642" s="338">
        <v>0</v>
      </c>
      <c r="I1642" s="339">
        <v>237.27</v>
      </c>
      <c r="J1642" s="340">
        <v>34166.879999999997</v>
      </c>
      <c r="K1642" s="335" t="s">
        <v>3220</v>
      </c>
      <c r="L1642" s="335">
        <v>8</v>
      </c>
      <c r="M1642" s="335" t="s">
        <v>3242</v>
      </c>
      <c r="N1642" s="339">
        <v>1</v>
      </c>
      <c r="O1642" s="341">
        <v>144</v>
      </c>
      <c r="P1642" s="341">
        <v>1</v>
      </c>
      <c r="Q1642" s="341">
        <v>144</v>
      </c>
      <c r="R1642" s="342">
        <v>18.2</v>
      </c>
      <c r="S1642" s="342" t="s">
        <v>3219</v>
      </c>
    </row>
    <row r="1643" spans="1:19" ht="14.25" customHeight="1" x14ac:dyDescent="0.3">
      <c r="A1643" s="335" t="s">
        <v>3214</v>
      </c>
      <c r="B1643" s="335" t="s">
        <v>26</v>
      </c>
      <c r="C1643" s="335" t="s">
        <v>27</v>
      </c>
      <c r="D1643" s="335" t="s">
        <v>3243</v>
      </c>
      <c r="E1643" s="336" t="s">
        <v>3244</v>
      </c>
      <c r="F1643" s="336" t="s">
        <v>744</v>
      </c>
      <c r="G1643" s="337">
        <v>50</v>
      </c>
      <c r="H1643" s="338">
        <v>0</v>
      </c>
      <c r="I1643" s="339">
        <v>1654.54545454546</v>
      </c>
      <c r="J1643" s="340">
        <v>82727.272727272997</v>
      </c>
      <c r="K1643" s="335" t="s">
        <v>3220</v>
      </c>
      <c r="L1643" s="335">
        <v>9</v>
      </c>
      <c r="M1643" s="335" t="s">
        <v>3245</v>
      </c>
      <c r="N1643" s="339">
        <v>1</v>
      </c>
      <c r="O1643" s="341">
        <v>50</v>
      </c>
      <c r="P1643" s="341">
        <v>1</v>
      </c>
      <c r="Q1643" s="341">
        <v>50</v>
      </c>
      <c r="R1643" s="342">
        <v>18.2</v>
      </c>
      <c r="S1643" s="342" t="s">
        <v>3219</v>
      </c>
    </row>
    <row r="1644" spans="1:19" ht="14.25" customHeight="1" x14ac:dyDescent="0.3">
      <c r="A1644" s="335" t="s">
        <v>3214</v>
      </c>
      <c r="B1644" s="335" t="s">
        <v>26</v>
      </c>
      <c r="C1644" s="335" t="s">
        <v>27</v>
      </c>
      <c r="D1644" s="335" t="s">
        <v>3246</v>
      </c>
      <c r="E1644" s="336" t="s">
        <v>3247</v>
      </c>
      <c r="F1644" s="336" t="s">
        <v>1322</v>
      </c>
      <c r="G1644" s="337">
        <v>12</v>
      </c>
      <c r="H1644" s="338">
        <v>0</v>
      </c>
      <c r="I1644" s="339">
        <v>95867.7685950413</v>
      </c>
      <c r="J1644" s="340">
        <v>1150413.2231405</v>
      </c>
      <c r="K1644" s="335" t="s">
        <v>3220</v>
      </c>
      <c r="L1644" s="335">
        <v>10</v>
      </c>
      <c r="M1644" s="335" t="s">
        <v>3248</v>
      </c>
      <c r="N1644" s="339">
        <v>1</v>
      </c>
      <c r="O1644" s="341">
        <v>12</v>
      </c>
      <c r="P1644" s="341">
        <v>1</v>
      </c>
      <c r="Q1644" s="341">
        <v>12</v>
      </c>
      <c r="R1644" s="342">
        <v>18.2</v>
      </c>
      <c r="S1644" s="342" t="s">
        <v>3219</v>
      </c>
    </row>
    <row r="1645" spans="1:19" ht="14.25" customHeight="1" x14ac:dyDescent="0.3">
      <c r="A1645" s="335" t="s">
        <v>3214</v>
      </c>
      <c r="B1645" s="335" t="s">
        <v>26</v>
      </c>
      <c r="C1645" s="335" t="s">
        <v>27</v>
      </c>
      <c r="D1645" s="335" t="s">
        <v>3249</v>
      </c>
      <c r="E1645" s="336" t="s">
        <v>3250</v>
      </c>
      <c r="F1645" s="336" t="s">
        <v>1322</v>
      </c>
      <c r="G1645" s="337">
        <v>1</v>
      </c>
      <c r="H1645" s="338">
        <v>0</v>
      </c>
      <c r="I1645" s="339">
        <v>66520.479999999996</v>
      </c>
      <c r="J1645" s="340">
        <v>66520.479999999996</v>
      </c>
      <c r="K1645" s="335" t="s">
        <v>3220</v>
      </c>
      <c r="L1645" s="335">
        <v>11</v>
      </c>
      <c r="M1645" s="335" t="s">
        <v>3251</v>
      </c>
      <c r="N1645" s="339">
        <v>1</v>
      </c>
      <c r="O1645" s="341">
        <v>1</v>
      </c>
      <c r="P1645" s="341">
        <v>1</v>
      </c>
      <c r="Q1645" s="341">
        <v>1</v>
      </c>
      <c r="R1645" s="342">
        <v>18.2</v>
      </c>
      <c r="S1645" s="342" t="s">
        <v>3219</v>
      </c>
    </row>
    <row r="1646" spans="1:19" ht="14.25" customHeight="1" x14ac:dyDescent="0.3">
      <c r="A1646" s="335" t="s">
        <v>3214</v>
      </c>
      <c r="B1646" s="335" t="s">
        <v>26</v>
      </c>
      <c r="C1646" s="335" t="s">
        <v>27</v>
      </c>
      <c r="D1646" s="335" t="s">
        <v>3252</v>
      </c>
      <c r="E1646" s="336" t="s">
        <v>3253</v>
      </c>
      <c r="F1646" s="336" t="s">
        <v>1322</v>
      </c>
      <c r="G1646" s="337">
        <v>2</v>
      </c>
      <c r="H1646" s="338">
        <v>0</v>
      </c>
      <c r="I1646" s="339">
        <v>268385.86</v>
      </c>
      <c r="J1646" s="340">
        <v>536771.72</v>
      </c>
      <c r="K1646" s="335" t="s">
        <v>3220</v>
      </c>
      <c r="L1646" s="335">
        <v>12</v>
      </c>
      <c r="M1646" s="335" t="s">
        <v>3254</v>
      </c>
      <c r="N1646" s="339">
        <v>1</v>
      </c>
      <c r="O1646" s="341">
        <v>2</v>
      </c>
      <c r="P1646" s="341">
        <v>1</v>
      </c>
      <c r="Q1646" s="341">
        <v>2</v>
      </c>
      <c r="R1646" s="342">
        <v>18.2</v>
      </c>
      <c r="S1646" s="342" t="s">
        <v>3219</v>
      </c>
    </row>
    <row r="1647" spans="1:19" ht="14.25" customHeight="1" x14ac:dyDescent="0.3">
      <c r="A1647" s="335" t="s">
        <v>3214</v>
      </c>
      <c r="B1647" s="335" t="s">
        <v>56</v>
      </c>
      <c r="C1647" s="335" t="s">
        <v>57</v>
      </c>
      <c r="D1647" s="343" t="s">
        <v>63</v>
      </c>
      <c r="E1647" s="336" t="s">
        <v>64</v>
      </c>
      <c r="F1647" s="336" t="s">
        <v>60</v>
      </c>
      <c r="G1647" s="337">
        <v>10</v>
      </c>
      <c r="H1647" s="338">
        <v>0</v>
      </c>
      <c r="I1647" s="339">
        <v>85927.097156571996</v>
      </c>
      <c r="J1647" s="340">
        <v>859270.97156572004</v>
      </c>
      <c r="K1647" s="335" t="s">
        <v>3255</v>
      </c>
      <c r="L1647" s="335">
        <v>1</v>
      </c>
      <c r="M1647" s="335" t="s">
        <v>3256</v>
      </c>
      <c r="N1647" s="339">
        <v>1</v>
      </c>
      <c r="O1647" s="341">
        <v>10</v>
      </c>
      <c r="P1647" s="341">
        <v>1</v>
      </c>
      <c r="Q1647" s="341">
        <v>10</v>
      </c>
      <c r="R1647" s="342">
        <v>18.2</v>
      </c>
      <c r="S1647" s="342" t="s">
        <v>3219</v>
      </c>
    </row>
    <row r="1648" spans="1:19" ht="14.25" customHeight="1" x14ac:dyDescent="0.3">
      <c r="A1648" s="335" t="s">
        <v>3214</v>
      </c>
      <c r="B1648" s="335" t="s">
        <v>56</v>
      </c>
      <c r="C1648" s="335" t="s">
        <v>57</v>
      </c>
      <c r="D1648" s="343" t="s">
        <v>413</v>
      </c>
      <c r="E1648" s="336" t="s">
        <v>414</v>
      </c>
      <c r="F1648" s="336" t="s">
        <v>60</v>
      </c>
      <c r="G1648" s="337">
        <v>10</v>
      </c>
      <c r="H1648" s="338">
        <v>0</v>
      </c>
      <c r="I1648" s="339">
        <v>65493.071636572</v>
      </c>
      <c r="J1648" s="340">
        <v>654930.71636572003</v>
      </c>
      <c r="K1648" s="335" t="s">
        <v>3255</v>
      </c>
      <c r="L1648" s="335">
        <v>2</v>
      </c>
      <c r="M1648" s="335" t="s">
        <v>3257</v>
      </c>
      <c r="N1648" s="339">
        <v>1</v>
      </c>
      <c r="O1648" s="341">
        <v>10</v>
      </c>
      <c r="P1648" s="341">
        <v>1</v>
      </c>
      <c r="Q1648" s="341">
        <v>10</v>
      </c>
      <c r="R1648" s="342">
        <v>18.2</v>
      </c>
      <c r="S1648" s="342" t="s">
        <v>3219</v>
      </c>
    </row>
    <row r="1649" spans="1:19" ht="14.25" customHeight="1" x14ac:dyDescent="0.3">
      <c r="A1649" s="335" t="s">
        <v>3258</v>
      </c>
      <c r="B1649" s="335" t="s">
        <v>20</v>
      </c>
      <c r="C1649" s="335"/>
      <c r="D1649" s="335" t="s">
        <v>3259</v>
      </c>
      <c r="E1649" s="336" t="s">
        <v>3260</v>
      </c>
      <c r="F1649" s="336"/>
      <c r="G1649" s="337">
        <v>1</v>
      </c>
      <c r="H1649" s="338">
        <v>0</v>
      </c>
      <c r="I1649" s="339">
        <v>18803.5301934858</v>
      </c>
      <c r="J1649" s="340">
        <v>18803.5301934858</v>
      </c>
      <c r="K1649" s="335" t="s">
        <v>3261</v>
      </c>
      <c r="L1649" s="335">
        <v>1</v>
      </c>
      <c r="M1649" s="335" t="s">
        <v>3262</v>
      </c>
      <c r="N1649" s="339">
        <v>1</v>
      </c>
      <c r="O1649" s="341">
        <v>1</v>
      </c>
      <c r="P1649" s="341">
        <v>1</v>
      </c>
      <c r="Q1649" s="341">
        <v>1</v>
      </c>
      <c r="R1649" s="342">
        <v>18.21</v>
      </c>
      <c r="S1649" s="342" t="s">
        <v>3219</v>
      </c>
    </row>
    <row r="1650" spans="1:19" ht="14.25" customHeight="1" x14ac:dyDescent="0.3">
      <c r="A1650" s="335" t="s">
        <v>3258</v>
      </c>
      <c r="B1650" s="335" t="s">
        <v>26</v>
      </c>
      <c r="C1650" s="335" t="s">
        <v>27</v>
      </c>
      <c r="D1650" s="335" t="s">
        <v>96</v>
      </c>
      <c r="E1650" s="336" t="s">
        <v>97</v>
      </c>
      <c r="F1650" s="336" t="s">
        <v>98</v>
      </c>
      <c r="G1650" s="337">
        <v>69341.597599999994</v>
      </c>
      <c r="H1650" s="338">
        <v>0</v>
      </c>
      <c r="I1650" s="339">
        <v>1</v>
      </c>
      <c r="J1650" s="340">
        <v>69341.597599999994</v>
      </c>
      <c r="K1650" s="335" t="s">
        <v>3263</v>
      </c>
      <c r="L1650" s="335">
        <v>1</v>
      </c>
      <c r="M1650" s="335" t="s">
        <v>3264</v>
      </c>
      <c r="N1650" s="339">
        <v>1</v>
      </c>
      <c r="O1650" s="341">
        <v>69341.597599999994</v>
      </c>
      <c r="P1650" s="341">
        <v>1</v>
      </c>
      <c r="Q1650" s="341">
        <v>69341.597599999994</v>
      </c>
      <c r="R1650" s="342">
        <v>18.21</v>
      </c>
      <c r="S1650" s="342" t="s">
        <v>3219</v>
      </c>
    </row>
    <row r="1651" spans="1:19" ht="14.25" customHeight="1" x14ac:dyDescent="0.3">
      <c r="A1651" s="335" t="s">
        <v>3258</v>
      </c>
      <c r="B1651" s="335" t="s">
        <v>26</v>
      </c>
      <c r="C1651" s="335" t="s">
        <v>27</v>
      </c>
      <c r="D1651" s="335" t="s">
        <v>3222</v>
      </c>
      <c r="E1651" s="336" t="s">
        <v>3223</v>
      </c>
      <c r="F1651" s="336" t="s">
        <v>35</v>
      </c>
      <c r="G1651" s="337">
        <v>30</v>
      </c>
      <c r="H1651" s="338">
        <v>0</v>
      </c>
      <c r="I1651" s="339">
        <v>1836.01</v>
      </c>
      <c r="J1651" s="340">
        <v>55080.3</v>
      </c>
      <c r="K1651" s="335" t="s">
        <v>3263</v>
      </c>
      <c r="L1651" s="335">
        <v>2</v>
      </c>
      <c r="M1651" s="335" t="s">
        <v>3265</v>
      </c>
      <c r="N1651" s="339">
        <v>1</v>
      </c>
      <c r="O1651" s="341">
        <v>30</v>
      </c>
      <c r="P1651" s="341">
        <v>1</v>
      </c>
      <c r="Q1651" s="341">
        <v>30</v>
      </c>
      <c r="R1651" s="342">
        <v>18.21</v>
      </c>
      <c r="S1651" s="342" t="s">
        <v>3219</v>
      </c>
    </row>
    <row r="1652" spans="1:19" ht="14.25" customHeight="1" x14ac:dyDescent="0.3">
      <c r="A1652" s="335" t="s">
        <v>3258</v>
      </c>
      <c r="B1652" s="335" t="s">
        <v>26</v>
      </c>
      <c r="C1652" s="335" t="s">
        <v>27</v>
      </c>
      <c r="D1652" s="335" t="s">
        <v>3225</v>
      </c>
      <c r="E1652" s="336" t="s">
        <v>3226</v>
      </c>
      <c r="F1652" s="336" t="s">
        <v>35</v>
      </c>
      <c r="G1652" s="337">
        <v>5</v>
      </c>
      <c r="H1652" s="338">
        <v>0</v>
      </c>
      <c r="I1652" s="339">
        <v>5067.59</v>
      </c>
      <c r="J1652" s="340">
        <v>25337.95</v>
      </c>
      <c r="K1652" s="335" t="s">
        <v>3263</v>
      </c>
      <c r="L1652" s="335">
        <v>3</v>
      </c>
      <c r="M1652" s="335" t="s">
        <v>3266</v>
      </c>
      <c r="N1652" s="339">
        <v>1</v>
      </c>
      <c r="O1652" s="341">
        <v>5</v>
      </c>
      <c r="P1652" s="341">
        <v>1</v>
      </c>
      <c r="Q1652" s="341">
        <v>5</v>
      </c>
      <c r="R1652" s="342">
        <v>18.21</v>
      </c>
      <c r="S1652" s="342" t="s">
        <v>3219</v>
      </c>
    </row>
    <row r="1653" spans="1:19" ht="14.25" customHeight="1" x14ac:dyDescent="0.3">
      <c r="A1653" s="335" t="s">
        <v>3258</v>
      </c>
      <c r="B1653" s="335" t="s">
        <v>26</v>
      </c>
      <c r="C1653" s="335" t="s">
        <v>27</v>
      </c>
      <c r="D1653" s="335" t="s">
        <v>3228</v>
      </c>
      <c r="E1653" s="336" t="s">
        <v>3229</v>
      </c>
      <c r="F1653" s="336" t="s">
        <v>35</v>
      </c>
      <c r="G1653" s="337">
        <v>0.5</v>
      </c>
      <c r="H1653" s="338">
        <v>0</v>
      </c>
      <c r="I1653" s="339">
        <v>70761.600000000006</v>
      </c>
      <c r="J1653" s="340">
        <v>35380.800000000003</v>
      </c>
      <c r="K1653" s="335" t="s">
        <v>3263</v>
      </c>
      <c r="L1653" s="335">
        <v>4</v>
      </c>
      <c r="M1653" s="335" t="s">
        <v>3267</v>
      </c>
      <c r="N1653" s="339">
        <v>1</v>
      </c>
      <c r="O1653" s="341">
        <v>0.5</v>
      </c>
      <c r="P1653" s="341">
        <v>1</v>
      </c>
      <c r="Q1653" s="341">
        <v>0.5</v>
      </c>
      <c r="R1653" s="342">
        <v>18.21</v>
      </c>
      <c r="S1653" s="342" t="s">
        <v>3219</v>
      </c>
    </row>
    <row r="1654" spans="1:19" ht="14.25" customHeight="1" x14ac:dyDescent="0.3">
      <c r="A1654" s="335" t="s">
        <v>3258</v>
      </c>
      <c r="B1654" s="335" t="s">
        <v>26</v>
      </c>
      <c r="C1654" s="335" t="s">
        <v>27</v>
      </c>
      <c r="D1654" s="335" t="s">
        <v>3231</v>
      </c>
      <c r="E1654" s="336" t="s">
        <v>3232</v>
      </c>
      <c r="F1654" s="336" t="s">
        <v>35</v>
      </c>
      <c r="G1654" s="337">
        <v>10</v>
      </c>
      <c r="H1654" s="338">
        <v>0</v>
      </c>
      <c r="I1654" s="339">
        <v>954.29</v>
      </c>
      <c r="J1654" s="340">
        <v>9542.9</v>
      </c>
      <c r="K1654" s="335" t="s">
        <v>3263</v>
      </c>
      <c r="L1654" s="335">
        <v>5</v>
      </c>
      <c r="M1654" s="335" t="s">
        <v>3268</v>
      </c>
      <c r="N1654" s="339">
        <v>1</v>
      </c>
      <c r="O1654" s="341">
        <v>10</v>
      </c>
      <c r="P1654" s="341">
        <v>1</v>
      </c>
      <c r="Q1654" s="341">
        <v>10</v>
      </c>
      <c r="R1654" s="342">
        <v>18.21</v>
      </c>
      <c r="S1654" s="342" t="s">
        <v>3219</v>
      </c>
    </row>
    <row r="1655" spans="1:19" ht="14.25" customHeight="1" x14ac:dyDescent="0.3">
      <c r="A1655" s="335" t="s">
        <v>3258</v>
      </c>
      <c r="B1655" s="335" t="s">
        <v>26</v>
      </c>
      <c r="C1655" s="335" t="s">
        <v>27</v>
      </c>
      <c r="D1655" s="335" t="s">
        <v>3234</v>
      </c>
      <c r="E1655" s="336" t="s">
        <v>3235</v>
      </c>
      <c r="F1655" s="336" t="s">
        <v>35</v>
      </c>
      <c r="G1655" s="337">
        <v>60</v>
      </c>
      <c r="H1655" s="338">
        <v>0</v>
      </c>
      <c r="I1655" s="339">
        <v>670.34</v>
      </c>
      <c r="J1655" s="340">
        <v>40220.400000000001</v>
      </c>
      <c r="K1655" s="335" t="s">
        <v>3263</v>
      </c>
      <c r="L1655" s="335">
        <v>6</v>
      </c>
      <c r="M1655" s="335" t="s">
        <v>3269</v>
      </c>
      <c r="N1655" s="339">
        <v>1</v>
      </c>
      <c r="O1655" s="341">
        <v>60</v>
      </c>
      <c r="P1655" s="341">
        <v>1</v>
      </c>
      <c r="Q1655" s="341">
        <v>60</v>
      </c>
      <c r="R1655" s="342">
        <v>18.21</v>
      </c>
      <c r="S1655" s="342" t="s">
        <v>3219</v>
      </c>
    </row>
    <row r="1656" spans="1:19" ht="14.25" customHeight="1" x14ac:dyDescent="0.3">
      <c r="A1656" s="335" t="s">
        <v>3258</v>
      </c>
      <c r="B1656" s="335" t="s">
        <v>26</v>
      </c>
      <c r="C1656" s="335" t="s">
        <v>27</v>
      </c>
      <c r="D1656" s="335" t="s">
        <v>3237</v>
      </c>
      <c r="E1656" s="336" t="s">
        <v>3238</v>
      </c>
      <c r="F1656" s="336" t="s">
        <v>35</v>
      </c>
      <c r="G1656" s="337">
        <v>10</v>
      </c>
      <c r="H1656" s="338">
        <v>0</v>
      </c>
      <c r="I1656" s="339">
        <v>16656.23</v>
      </c>
      <c r="J1656" s="340">
        <v>166562.29999999999</v>
      </c>
      <c r="K1656" s="335" t="s">
        <v>3263</v>
      </c>
      <c r="L1656" s="335">
        <v>7</v>
      </c>
      <c r="M1656" s="335" t="s">
        <v>3270</v>
      </c>
      <c r="N1656" s="339">
        <v>1</v>
      </c>
      <c r="O1656" s="341">
        <v>10</v>
      </c>
      <c r="P1656" s="341">
        <v>1</v>
      </c>
      <c r="Q1656" s="341">
        <v>10</v>
      </c>
      <c r="R1656" s="342">
        <v>18.21</v>
      </c>
      <c r="S1656" s="342" t="s">
        <v>3219</v>
      </c>
    </row>
    <row r="1657" spans="1:19" ht="14.25" customHeight="1" x14ac:dyDescent="0.3">
      <c r="A1657" s="335" t="s">
        <v>3258</v>
      </c>
      <c r="B1657" s="335" t="s">
        <v>26</v>
      </c>
      <c r="C1657" s="335" t="s">
        <v>27</v>
      </c>
      <c r="D1657" s="335" t="s">
        <v>3240</v>
      </c>
      <c r="E1657" s="336" t="s">
        <v>3241</v>
      </c>
      <c r="F1657" s="336" t="s">
        <v>35</v>
      </c>
      <c r="G1657" s="337">
        <v>300</v>
      </c>
      <c r="H1657" s="338">
        <v>0</v>
      </c>
      <c r="I1657" s="339">
        <v>237.27</v>
      </c>
      <c r="J1657" s="340">
        <v>71181</v>
      </c>
      <c r="K1657" s="335" t="s">
        <v>3263</v>
      </c>
      <c r="L1657" s="335">
        <v>8</v>
      </c>
      <c r="M1657" s="335" t="s">
        <v>3271</v>
      </c>
      <c r="N1657" s="339">
        <v>1</v>
      </c>
      <c r="O1657" s="341">
        <v>300</v>
      </c>
      <c r="P1657" s="341">
        <v>1</v>
      </c>
      <c r="Q1657" s="341">
        <v>300</v>
      </c>
      <c r="R1657" s="342">
        <v>18.21</v>
      </c>
      <c r="S1657" s="342" t="s">
        <v>3219</v>
      </c>
    </row>
    <row r="1658" spans="1:19" ht="14.25" customHeight="1" x14ac:dyDescent="0.3">
      <c r="A1658" s="335" t="s">
        <v>3258</v>
      </c>
      <c r="B1658" s="335" t="s">
        <v>26</v>
      </c>
      <c r="C1658" s="335" t="s">
        <v>27</v>
      </c>
      <c r="D1658" s="335" t="s">
        <v>3272</v>
      </c>
      <c r="E1658" s="336" t="s">
        <v>3273</v>
      </c>
      <c r="F1658" s="336" t="s">
        <v>1322</v>
      </c>
      <c r="G1658" s="337">
        <v>0.9</v>
      </c>
      <c r="H1658" s="338">
        <v>0</v>
      </c>
      <c r="I1658" s="339">
        <v>26467.32</v>
      </c>
      <c r="J1658" s="340">
        <v>23820.588</v>
      </c>
      <c r="K1658" s="335" t="s">
        <v>3263</v>
      </c>
      <c r="L1658" s="335">
        <v>9</v>
      </c>
      <c r="M1658" s="335" t="s">
        <v>3274</v>
      </c>
      <c r="N1658" s="339">
        <v>1</v>
      </c>
      <c r="O1658" s="341">
        <v>0.9</v>
      </c>
      <c r="P1658" s="341">
        <v>1</v>
      </c>
      <c r="Q1658" s="341">
        <v>0.9</v>
      </c>
      <c r="R1658" s="342">
        <v>18.21</v>
      </c>
      <c r="S1658" s="342" t="s">
        <v>3219</v>
      </c>
    </row>
    <row r="1659" spans="1:19" ht="14.25" customHeight="1" x14ac:dyDescent="0.3">
      <c r="A1659" s="335" t="s">
        <v>3258</v>
      </c>
      <c r="B1659" s="335" t="s">
        <v>56</v>
      </c>
      <c r="C1659" s="335" t="s">
        <v>57</v>
      </c>
      <c r="D1659" s="343" t="s">
        <v>63</v>
      </c>
      <c r="E1659" s="336" t="s">
        <v>64</v>
      </c>
      <c r="F1659" s="336" t="s">
        <v>60</v>
      </c>
      <c r="G1659" s="337">
        <v>5</v>
      </c>
      <c r="H1659" s="338">
        <v>0</v>
      </c>
      <c r="I1659" s="339">
        <v>85927.097156571996</v>
      </c>
      <c r="J1659" s="340">
        <v>429635.48578286002</v>
      </c>
      <c r="K1659" s="335" t="s">
        <v>3275</v>
      </c>
      <c r="L1659" s="335">
        <v>1</v>
      </c>
      <c r="M1659" s="335" t="s">
        <v>3276</v>
      </c>
      <c r="N1659" s="339">
        <v>1</v>
      </c>
      <c r="O1659" s="341">
        <v>5</v>
      </c>
      <c r="P1659" s="341">
        <v>1</v>
      </c>
      <c r="Q1659" s="341">
        <v>5</v>
      </c>
      <c r="R1659" s="342">
        <v>18.21</v>
      </c>
      <c r="S1659" s="342" t="s">
        <v>3219</v>
      </c>
    </row>
    <row r="1660" spans="1:19" ht="14.25" customHeight="1" x14ac:dyDescent="0.3">
      <c r="A1660" s="335" t="s">
        <v>3258</v>
      </c>
      <c r="B1660" s="335" t="s">
        <v>56</v>
      </c>
      <c r="C1660" s="335" t="s">
        <v>57</v>
      </c>
      <c r="D1660" s="343" t="s">
        <v>413</v>
      </c>
      <c r="E1660" s="336" t="s">
        <v>414</v>
      </c>
      <c r="F1660" s="336" t="s">
        <v>60</v>
      </c>
      <c r="G1660" s="337">
        <v>5</v>
      </c>
      <c r="H1660" s="338">
        <v>0</v>
      </c>
      <c r="I1660" s="339">
        <v>65493.071636572</v>
      </c>
      <c r="J1660" s="340">
        <v>327465.35818286001</v>
      </c>
      <c r="K1660" s="335" t="s">
        <v>3275</v>
      </c>
      <c r="L1660" s="335">
        <v>2</v>
      </c>
      <c r="M1660" s="335" t="s">
        <v>3277</v>
      </c>
      <c r="N1660" s="339">
        <v>1</v>
      </c>
      <c r="O1660" s="341">
        <v>5</v>
      </c>
      <c r="P1660" s="341">
        <v>1</v>
      </c>
      <c r="Q1660" s="341">
        <v>5</v>
      </c>
      <c r="R1660" s="342">
        <v>18.21</v>
      </c>
      <c r="S1660" s="342" t="s">
        <v>3219</v>
      </c>
    </row>
    <row r="1661" spans="1:19" ht="14.25" customHeight="1" x14ac:dyDescent="0.3">
      <c r="A1661" s="335" t="s">
        <v>3278</v>
      </c>
      <c r="B1661" s="335" t="s">
        <v>20</v>
      </c>
      <c r="C1661" s="335"/>
      <c r="D1661" s="335" t="s">
        <v>3279</v>
      </c>
      <c r="E1661" s="336" t="s">
        <v>3280</v>
      </c>
      <c r="F1661" s="336"/>
      <c r="G1661" s="337">
        <v>1</v>
      </c>
      <c r="H1661" s="338">
        <v>0</v>
      </c>
      <c r="I1661" s="339">
        <v>18803.5301934858</v>
      </c>
      <c r="J1661" s="340">
        <v>18803.5301934858</v>
      </c>
      <c r="K1661" s="335" t="s">
        <v>3281</v>
      </c>
      <c r="L1661" s="335">
        <v>1</v>
      </c>
      <c r="M1661" s="335" t="s">
        <v>3282</v>
      </c>
      <c r="N1661" s="339">
        <v>1</v>
      </c>
      <c r="O1661" s="341">
        <v>1</v>
      </c>
      <c r="P1661" s="341">
        <v>1</v>
      </c>
      <c r="Q1661" s="341">
        <v>1</v>
      </c>
      <c r="R1661" s="342">
        <v>18.22</v>
      </c>
      <c r="S1661" s="342" t="s">
        <v>3219</v>
      </c>
    </row>
    <row r="1662" spans="1:19" ht="14.25" customHeight="1" x14ac:dyDescent="0.3">
      <c r="A1662" s="335" t="s">
        <v>3278</v>
      </c>
      <c r="B1662" s="335" t="s">
        <v>26</v>
      </c>
      <c r="C1662" s="335" t="s">
        <v>27</v>
      </c>
      <c r="D1662" s="335" t="s">
        <v>96</v>
      </c>
      <c r="E1662" s="336" t="s">
        <v>97</v>
      </c>
      <c r="F1662" s="336" t="s">
        <v>98</v>
      </c>
      <c r="G1662" s="337">
        <v>69341.597599999994</v>
      </c>
      <c r="H1662" s="338">
        <v>0</v>
      </c>
      <c r="I1662" s="339">
        <v>1</v>
      </c>
      <c r="J1662" s="340">
        <v>69341.597599999994</v>
      </c>
      <c r="K1662" s="335" t="s">
        <v>3283</v>
      </c>
      <c r="L1662" s="335">
        <v>1</v>
      </c>
      <c r="M1662" s="335" t="s">
        <v>3284</v>
      </c>
      <c r="N1662" s="339">
        <v>1</v>
      </c>
      <c r="O1662" s="341">
        <v>69341.597599999994</v>
      </c>
      <c r="P1662" s="341">
        <v>1</v>
      </c>
      <c r="Q1662" s="341">
        <v>69341.597599999994</v>
      </c>
      <c r="R1662" s="342">
        <v>18.22</v>
      </c>
      <c r="S1662" s="342" t="s">
        <v>3219</v>
      </c>
    </row>
    <row r="1663" spans="1:19" ht="14.25" customHeight="1" x14ac:dyDescent="0.3">
      <c r="A1663" s="335" t="s">
        <v>3278</v>
      </c>
      <c r="B1663" s="335" t="s">
        <v>26</v>
      </c>
      <c r="C1663" s="335" t="s">
        <v>27</v>
      </c>
      <c r="D1663" s="335" t="s">
        <v>3222</v>
      </c>
      <c r="E1663" s="336" t="s">
        <v>3223</v>
      </c>
      <c r="F1663" s="336" t="s">
        <v>35</v>
      </c>
      <c r="G1663" s="337">
        <v>30</v>
      </c>
      <c r="H1663" s="338">
        <v>0</v>
      </c>
      <c r="I1663" s="339">
        <v>1836.01</v>
      </c>
      <c r="J1663" s="340">
        <v>55080.3</v>
      </c>
      <c r="K1663" s="335" t="s">
        <v>3283</v>
      </c>
      <c r="L1663" s="335">
        <v>2</v>
      </c>
      <c r="M1663" s="335" t="s">
        <v>3285</v>
      </c>
      <c r="N1663" s="339">
        <v>1</v>
      </c>
      <c r="O1663" s="341">
        <v>30</v>
      </c>
      <c r="P1663" s="341">
        <v>1</v>
      </c>
      <c r="Q1663" s="341">
        <v>30</v>
      </c>
      <c r="R1663" s="342">
        <v>18.22</v>
      </c>
      <c r="S1663" s="342" t="s">
        <v>3219</v>
      </c>
    </row>
    <row r="1664" spans="1:19" ht="14.25" customHeight="1" x14ac:dyDescent="0.3">
      <c r="A1664" s="335" t="s">
        <v>3278</v>
      </c>
      <c r="B1664" s="335" t="s">
        <v>26</v>
      </c>
      <c r="C1664" s="335" t="s">
        <v>27</v>
      </c>
      <c r="D1664" s="335" t="s">
        <v>3225</v>
      </c>
      <c r="E1664" s="336" t="s">
        <v>3226</v>
      </c>
      <c r="F1664" s="336" t="s">
        <v>35</v>
      </c>
      <c r="G1664" s="337">
        <v>5</v>
      </c>
      <c r="H1664" s="338">
        <v>0</v>
      </c>
      <c r="I1664" s="339">
        <v>5067.59</v>
      </c>
      <c r="J1664" s="340">
        <v>25337.95</v>
      </c>
      <c r="K1664" s="335" t="s">
        <v>3283</v>
      </c>
      <c r="L1664" s="335">
        <v>3</v>
      </c>
      <c r="M1664" s="335" t="s">
        <v>3286</v>
      </c>
      <c r="N1664" s="339">
        <v>1</v>
      </c>
      <c r="O1664" s="341">
        <v>5</v>
      </c>
      <c r="P1664" s="341">
        <v>1</v>
      </c>
      <c r="Q1664" s="341">
        <v>5</v>
      </c>
      <c r="R1664" s="342">
        <v>18.22</v>
      </c>
      <c r="S1664" s="342" t="s">
        <v>3219</v>
      </c>
    </row>
    <row r="1665" spans="1:19" ht="14.25" customHeight="1" x14ac:dyDescent="0.3">
      <c r="A1665" s="335" t="s">
        <v>3278</v>
      </c>
      <c r="B1665" s="335" t="s">
        <v>26</v>
      </c>
      <c r="C1665" s="335" t="s">
        <v>27</v>
      </c>
      <c r="D1665" s="335" t="s">
        <v>3228</v>
      </c>
      <c r="E1665" s="336" t="s">
        <v>3229</v>
      </c>
      <c r="F1665" s="336" t="s">
        <v>35</v>
      </c>
      <c r="G1665" s="337">
        <v>0.5</v>
      </c>
      <c r="H1665" s="338">
        <v>0</v>
      </c>
      <c r="I1665" s="339">
        <v>70761.600000000006</v>
      </c>
      <c r="J1665" s="340">
        <v>35380.800000000003</v>
      </c>
      <c r="K1665" s="335" t="s">
        <v>3283</v>
      </c>
      <c r="L1665" s="335">
        <v>4</v>
      </c>
      <c r="M1665" s="335" t="s">
        <v>3287</v>
      </c>
      <c r="N1665" s="339">
        <v>1</v>
      </c>
      <c r="O1665" s="341">
        <v>0.5</v>
      </c>
      <c r="P1665" s="341">
        <v>1</v>
      </c>
      <c r="Q1665" s="341">
        <v>0.5</v>
      </c>
      <c r="R1665" s="342">
        <v>18.22</v>
      </c>
      <c r="S1665" s="342" t="s">
        <v>3219</v>
      </c>
    </row>
    <row r="1666" spans="1:19" ht="14.25" customHeight="1" x14ac:dyDescent="0.3">
      <c r="A1666" s="335" t="s">
        <v>3278</v>
      </c>
      <c r="B1666" s="335" t="s">
        <v>26</v>
      </c>
      <c r="C1666" s="335" t="s">
        <v>27</v>
      </c>
      <c r="D1666" s="335" t="s">
        <v>3231</v>
      </c>
      <c r="E1666" s="336" t="s">
        <v>3232</v>
      </c>
      <c r="F1666" s="336" t="s">
        <v>35</v>
      </c>
      <c r="G1666" s="337">
        <v>10</v>
      </c>
      <c r="H1666" s="338">
        <v>0</v>
      </c>
      <c r="I1666" s="339">
        <v>954.29</v>
      </c>
      <c r="J1666" s="340">
        <v>9542.9</v>
      </c>
      <c r="K1666" s="335" t="s">
        <v>3283</v>
      </c>
      <c r="L1666" s="335">
        <v>5</v>
      </c>
      <c r="M1666" s="335" t="s">
        <v>3288</v>
      </c>
      <c r="N1666" s="339">
        <v>1</v>
      </c>
      <c r="O1666" s="341">
        <v>10</v>
      </c>
      <c r="P1666" s="341">
        <v>1</v>
      </c>
      <c r="Q1666" s="341">
        <v>10</v>
      </c>
      <c r="R1666" s="342">
        <v>18.22</v>
      </c>
      <c r="S1666" s="342" t="s">
        <v>3219</v>
      </c>
    </row>
    <row r="1667" spans="1:19" ht="14.25" customHeight="1" x14ac:dyDescent="0.3">
      <c r="A1667" s="335" t="s">
        <v>3278</v>
      </c>
      <c r="B1667" s="335" t="s">
        <v>26</v>
      </c>
      <c r="C1667" s="335" t="s">
        <v>27</v>
      </c>
      <c r="D1667" s="335" t="s">
        <v>3234</v>
      </c>
      <c r="E1667" s="336" t="s">
        <v>3235</v>
      </c>
      <c r="F1667" s="336" t="s">
        <v>35</v>
      </c>
      <c r="G1667" s="337">
        <v>60</v>
      </c>
      <c r="H1667" s="338">
        <v>0</v>
      </c>
      <c r="I1667" s="339">
        <v>670.34</v>
      </c>
      <c r="J1667" s="340">
        <v>40220.400000000001</v>
      </c>
      <c r="K1667" s="335" t="s">
        <v>3283</v>
      </c>
      <c r="L1667" s="335">
        <v>6</v>
      </c>
      <c r="M1667" s="335" t="s">
        <v>3289</v>
      </c>
      <c r="N1667" s="339">
        <v>1</v>
      </c>
      <c r="O1667" s="341">
        <v>60</v>
      </c>
      <c r="P1667" s="341">
        <v>1</v>
      </c>
      <c r="Q1667" s="341">
        <v>60</v>
      </c>
      <c r="R1667" s="342">
        <v>18.22</v>
      </c>
      <c r="S1667" s="342" t="s">
        <v>3219</v>
      </c>
    </row>
    <row r="1668" spans="1:19" ht="14.25" customHeight="1" x14ac:dyDescent="0.3">
      <c r="A1668" s="335" t="s">
        <v>3278</v>
      </c>
      <c r="B1668" s="335" t="s">
        <v>26</v>
      </c>
      <c r="C1668" s="335" t="s">
        <v>27</v>
      </c>
      <c r="D1668" s="335" t="s">
        <v>3237</v>
      </c>
      <c r="E1668" s="336" t="s">
        <v>3238</v>
      </c>
      <c r="F1668" s="336" t="s">
        <v>35</v>
      </c>
      <c r="G1668" s="337">
        <v>10</v>
      </c>
      <c r="H1668" s="338">
        <v>0</v>
      </c>
      <c r="I1668" s="339">
        <v>16656.23</v>
      </c>
      <c r="J1668" s="340">
        <v>166562.29999999999</v>
      </c>
      <c r="K1668" s="335" t="s">
        <v>3283</v>
      </c>
      <c r="L1668" s="335">
        <v>7</v>
      </c>
      <c r="M1668" s="335" t="s">
        <v>3290</v>
      </c>
      <c r="N1668" s="339">
        <v>1</v>
      </c>
      <c r="O1668" s="341">
        <v>10</v>
      </c>
      <c r="P1668" s="341">
        <v>1</v>
      </c>
      <c r="Q1668" s="341">
        <v>10</v>
      </c>
      <c r="R1668" s="342">
        <v>18.22</v>
      </c>
      <c r="S1668" s="342" t="s">
        <v>3219</v>
      </c>
    </row>
    <row r="1669" spans="1:19" ht="14.25" customHeight="1" x14ac:dyDescent="0.3">
      <c r="A1669" s="335" t="s">
        <v>3278</v>
      </c>
      <c r="B1669" s="335" t="s">
        <v>26</v>
      </c>
      <c r="C1669" s="335" t="s">
        <v>27</v>
      </c>
      <c r="D1669" s="335" t="s">
        <v>3240</v>
      </c>
      <c r="E1669" s="336" t="s">
        <v>3241</v>
      </c>
      <c r="F1669" s="336" t="s">
        <v>35</v>
      </c>
      <c r="G1669" s="337">
        <v>300</v>
      </c>
      <c r="H1669" s="338">
        <v>0</v>
      </c>
      <c r="I1669" s="339">
        <v>237.27</v>
      </c>
      <c r="J1669" s="340">
        <v>71181</v>
      </c>
      <c r="K1669" s="335" t="s">
        <v>3283</v>
      </c>
      <c r="L1669" s="335">
        <v>8</v>
      </c>
      <c r="M1669" s="335" t="s">
        <v>3291</v>
      </c>
      <c r="N1669" s="339">
        <v>1</v>
      </c>
      <c r="O1669" s="341">
        <v>300</v>
      </c>
      <c r="P1669" s="341">
        <v>1</v>
      </c>
      <c r="Q1669" s="341">
        <v>300</v>
      </c>
      <c r="R1669" s="342">
        <v>18.22</v>
      </c>
      <c r="S1669" s="342" t="s">
        <v>3219</v>
      </c>
    </row>
    <row r="1670" spans="1:19" ht="14.25" customHeight="1" x14ac:dyDescent="0.3">
      <c r="A1670" s="335" t="s">
        <v>3278</v>
      </c>
      <c r="B1670" s="335" t="s">
        <v>26</v>
      </c>
      <c r="C1670" s="335" t="s">
        <v>27</v>
      </c>
      <c r="D1670" s="335" t="s">
        <v>3272</v>
      </c>
      <c r="E1670" s="336" t="s">
        <v>3273</v>
      </c>
      <c r="F1670" s="336" t="s">
        <v>1322</v>
      </c>
      <c r="G1670" s="337">
        <v>0.9</v>
      </c>
      <c r="H1670" s="338">
        <v>0</v>
      </c>
      <c r="I1670" s="339">
        <v>26467.32</v>
      </c>
      <c r="J1670" s="340">
        <v>23820.588</v>
      </c>
      <c r="K1670" s="335" t="s">
        <v>3283</v>
      </c>
      <c r="L1670" s="335">
        <v>9</v>
      </c>
      <c r="M1670" s="335" t="s">
        <v>3292</v>
      </c>
      <c r="N1670" s="339">
        <v>1</v>
      </c>
      <c r="O1670" s="341">
        <v>0.9</v>
      </c>
      <c r="P1670" s="341">
        <v>1</v>
      </c>
      <c r="Q1670" s="341">
        <v>0.9</v>
      </c>
      <c r="R1670" s="342">
        <v>18.22</v>
      </c>
      <c r="S1670" s="342" t="s">
        <v>3219</v>
      </c>
    </row>
    <row r="1671" spans="1:19" ht="14.25" customHeight="1" x14ac:dyDescent="0.3">
      <c r="A1671" s="335" t="s">
        <v>3278</v>
      </c>
      <c r="B1671" s="335" t="s">
        <v>56</v>
      </c>
      <c r="C1671" s="335" t="s">
        <v>57</v>
      </c>
      <c r="D1671" s="343" t="s">
        <v>63</v>
      </c>
      <c r="E1671" s="336" t="s">
        <v>64</v>
      </c>
      <c r="F1671" s="336" t="s">
        <v>60</v>
      </c>
      <c r="G1671" s="337">
        <v>5</v>
      </c>
      <c r="H1671" s="338">
        <v>0</v>
      </c>
      <c r="I1671" s="339">
        <v>85927.097156571996</v>
      </c>
      <c r="J1671" s="340">
        <v>429635.48578286002</v>
      </c>
      <c r="K1671" s="335" t="s">
        <v>3293</v>
      </c>
      <c r="L1671" s="335">
        <v>1</v>
      </c>
      <c r="M1671" s="335" t="s">
        <v>3294</v>
      </c>
      <c r="N1671" s="339">
        <v>1</v>
      </c>
      <c r="O1671" s="341">
        <v>5</v>
      </c>
      <c r="P1671" s="341">
        <v>1</v>
      </c>
      <c r="Q1671" s="341">
        <v>5</v>
      </c>
      <c r="R1671" s="342">
        <v>18.22</v>
      </c>
      <c r="S1671" s="342" t="s">
        <v>3219</v>
      </c>
    </row>
    <row r="1672" spans="1:19" ht="14.25" customHeight="1" x14ac:dyDescent="0.3">
      <c r="A1672" s="335" t="s">
        <v>3278</v>
      </c>
      <c r="B1672" s="335" t="s">
        <v>56</v>
      </c>
      <c r="C1672" s="335" t="s">
        <v>57</v>
      </c>
      <c r="D1672" s="343" t="s">
        <v>413</v>
      </c>
      <c r="E1672" s="336" t="s">
        <v>414</v>
      </c>
      <c r="F1672" s="336" t="s">
        <v>60</v>
      </c>
      <c r="G1672" s="337">
        <v>5</v>
      </c>
      <c r="H1672" s="338">
        <v>0</v>
      </c>
      <c r="I1672" s="339">
        <v>65493.071636572</v>
      </c>
      <c r="J1672" s="340">
        <v>327465.35818286001</v>
      </c>
      <c r="K1672" s="335" t="s">
        <v>3293</v>
      </c>
      <c r="L1672" s="335">
        <v>2</v>
      </c>
      <c r="M1672" s="335" t="s">
        <v>3295</v>
      </c>
      <c r="N1672" s="339">
        <v>1</v>
      </c>
      <c r="O1672" s="341">
        <v>5</v>
      </c>
      <c r="P1672" s="341">
        <v>1</v>
      </c>
      <c r="Q1672" s="341">
        <v>5</v>
      </c>
      <c r="R1672" s="342">
        <v>18.22</v>
      </c>
      <c r="S1672" s="342" t="s">
        <v>3219</v>
      </c>
    </row>
    <row r="1673" spans="1:19" ht="14.25" customHeight="1" x14ac:dyDescent="0.3">
      <c r="A1673" s="335" t="s">
        <v>3296</v>
      </c>
      <c r="B1673" s="335" t="s">
        <v>20</v>
      </c>
      <c r="C1673" s="335"/>
      <c r="D1673" s="335" t="s">
        <v>3297</v>
      </c>
      <c r="E1673" s="336" t="s">
        <v>3298</v>
      </c>
      <c r="F1673" s="336"/>
      <c r="G1673" s="337">
        <v>1</v>
      </c>
      <c r="H1673" s="338">
        <v>0</v>
      </c>
      <c r="I1673" s="339">
        <v>177.24</v>
      </c>
      <c r="J1673" s="340">
        <v>177.24</v>
      </c>
      <c r="K1673" s="335" t="s">
        <v>3299</v>
      </c>
      <c r="L1673" s="335">
        <v>1</v>
      </c>
      <c r="M1673" s="335" t="s">
        <v>3300</v>
      </c>
      <c r="N1673" s="339">
        <v>1</v>
      </c>
      <c r="O1673" s="341">
        <v>1</v>
      </c>
      <c r="P1673" s="341">
        <v>16</v>
      </c>
      <c r="Q1673" s="341">
        <v>16</v>
      </c>
      <c r="R1673" s="342">
        <v>18.23</v>
      </c>
      <c r="S1673" s="342" t="s">
        <v>25</v>
      </c>
    </row>
    <row r="1674" spans="1:19" ht="14.25" customHeight="1" x14ac:dyDescent="0.3">
      <c r="A1674" s="335" t="s">
        <v>3296</v>
      </c>
      <c r="B1674" s="335" t="s">
        <v>56</v>
      </c>
      <c r="C1674" s="335" t="s">
        <v>27</v>
      </c>
      <c r="D1674" s="335" t="s">
        <v>3301</v>
      </c>
      <c r="E1674" s="336" t="s">
        <v>3302</v>
      </c>
      <c r="F1674" s="336" t="s">
        <v>60</v>
      </c>
      <c r="G1674" s="337">
        <v>1</v>
      </c>
      <c r="H1674" s="338">
        <v>0</v>
      </c>
      <c r="I1674" s="339">
        <v>11816</v>
      </c>
      <c r="J1674" s="340">
        <v>11816</v>
      </c>
      <c r="K1674" s="335" t="s">
        <v>3303</v>
      </c>
      <c r="L1674" s="335">
        <v>1</v>
      </c>
      <c r="M1674" s="335" t="s">
        <v>3304</v>
      </c>
      <c r="N1674" s="339">
        <v>1</v>
      </c>
      <c r="O1674" s="341">
        <v>1</v>
      </c>
      <c r="P1674" s="341">
        <v>16</v>
      </c>
      <c r="Q1674" s="341">
        <v>16</v>
      </c>
      <c r="R1674" s="342">
        <v>18.23</v>
      </c>
      <c r="S1674" s="342" t="s">
        <v>25</v>
      </c>
    </row>
    <row r="1675" spans="1:19" ht="14.25" customHeight="1" x14ac:dyDescent="0.3">
      <c r="A1675" s="335" t="s">
        <v>3305</v>
      </c>
      <c r="B1675" s="335" t="s">
        <v>20</v>
      </c>
      <c r="C1675" s="335"/>
      <c r="D1675" s="335" t="s">
        <v>3306</v>
      </c>
      <c r="E1675" s="336" t="s">
        <v>3307</v>
      </c>
      <c r="F1675" s="336"/>
      <c r="G1675" s="337">
        <v>1</v>
      </c>
      <c r="H1675" s="338">
        <v>0</v>
      </c>
      <c r="I1675" s="339">
        <v>115.5</v>
      </c>
      <c r="J1675" s="340">
        <v>115.5</v>
      </c>
      <c r="K1675" s="335" t="s">
        <v>3308</v>
      </c>
      <c r="L1675" s="335">
        <v>1</v>
      </c>
      <c r="M1675" s="335" t="s">
        <v>3309</v>
      </c>
      <c r="N1675" s="339">
        <v>1</v>
      </c>
      <c r="O1675" s="341">
        <v>1</v>
      </c>
      <c r="P1675" s="341">
        <v>140</v>
      </c>
      <c r="Q1675" s="341">
        <v>140</v>
      </c>
      <c r="R1675" s="342">
        <v>18.239999999999998</v>
      </c>
      <c r="S1675" s="342" t="s">
        <v>25</v>
      </c>
    </row>
    <row r="1676" spans="1:19" ht="14.25" customHeight="1" x14ac:dyDescent="0.3">
      <c r="A1676" s="335" t="s">
        <v>3305</v>
      </c>
      <c r="B1676" s="335" t="s">
        <v>56</v>
      </c>
      <c r="C1676" s="335" t="s">
        <v>27</v>
      </c>
      <c r="D1676" s="335" t="s">
        <v>3310</v>
      </c>
      <c r="E1676" s="336" t="s">
        <v>3311</v>
      </c>
      <c r="F1676" s="336" t="s">
        <v>60</v>
      </c>
      <c r="G1676" s="337">
        <v>1</v>
      </c>
      <c r="H1676" s="338">
        <v>0</v>
      </c>
      <c r="I1676" s="339">
        <v>7700</v>
      </c>
      <c r="J1676" s="340">
        <v>7700</v>
      </c>
      <c r="K1676" s="335" t="s">
        <v>3312</v>
      </c>
      <c r="L1676" s="335">
        <v>1</v>
      </c>
      <c r="M1676" s="335" t="s">
        <v>3313</v>
      </c>
      <c r="N1676" s="339">
        <v>1</v>
      </c>
      <c r="O1676" s="341">
        <v>1</v>
      </c>
      <c r="P1676" s="341">
        <v>140</v>
      </c>
      <c r="Q1676" s="341">
        <v>140</v>
      </c>
      <c r="R1676" s="342">
        <v>18.239999999999998</v>
      </c>
      <c r="S1676" s="342" t="s">
        <v>25</v>
      </c>
    </row>
    <row r="1677" spans="1:19" ht="14.25" customHeight="1" x14ac:dyDescent="0.3">
      <c r="A1677" s="335" t="s">
        <v>3314</v>
      </c>
      <c r="B1677" s="335" t="s">
        <v>20</v>
      </c>
      <c r="C1677" s="335"/>
      <c r="D1677" s="335" t="s">
        <v>3315</v>
      </c>
      <c r="E1677" s="336" t="s">
        <v>3316</v>
      </c>
      <c r="F1677" s="336"/>
      <c r="G1677" s="337">
        <v>1</v>
      </c>
      <c r="H1677" s="338">
        <v>0</v>
      </c>
      <c r="I1677" s="339">
        <v>115.5</v>
      </c>
      <c r="J1677" s="340">
        <v>115.5</v>
      </c>
      <c r="K1677" s="335" t="s">
        <v>3317</v>
      </c>
      <c r="L1677" s="335">
        <v>1</v>
      </c>
      <c r="M1677" s="335" t="s">
        <v>3318</v>
      </c>
      <c r="N1677" s="339">
        <v>1</v>
      </c>
      <c r="O1677" s="341">
        <v>1</v>
      </c>
      <c r="P1677" s="341">
        <v>226</v>
      </c>
      <c r="Q1677" s="341">
        <v>226</v>
      </c>
      <c r="R1677" s="342">
        <v>18.25</v>
      </c>
      <c r="S1677" s="342" t="s">
        <v>25</v>
      </c>
    </row>
    <row r="1678" spans="1:19" ht="14.25" customHeight="1" x14ac:dyDescent="0.3">
      <c r="A1678" s="335" t="s">
        <v>3314</v>
      </c>
      <c r="B1678" s="335" t="s">
        <v>56</v>
      </c>
      <c r="C1678" s="335" t="s">
        <v>27</v>
      </c>
      <c r="D1678" s="335" t="s">
        <v>3319</v>
      </c>
      <c r="E1678" s="336" t="s">
        <v>3320</v>
      </c>
      <c r="F1678" s="336" t="s">
        <v>60</v>
      </c>
      <c r="G1678" s="337">
        <v>1</v>
      </c>
      <c r="H1678" s="338">
        <v>0</v>
      </c>
      <c r="I1678" s="339">
        <v>7700</v>
      </c>
      <c r="J1678" s="340">
        <v>7700</v>
      </c>
      <c r="K1678" s="335" t="s">
        <v>3321</v>
      </c>
      <c r="L1678" s="335">
        <v>1</v>
      </c>
      <c r="M1678" s="335" t="s">
        <v>3322</v>
      </c>
      <c r="N1678" s="339">
        <v>1</v>
      </c>
      <c r="O1678" s="341">
        <v>1</v>
      </c>
      <c r="P1678" s="341">
        <v>226</v>
      </c>
      <c r="Q1678" s="341">
        <v>226</v>
      </c>
      <c r="R1678" s="342">
        <v>18.25</v>
      </c>
      <c r="S1678" s="342" t="s">
        <v>25</v>
      </c>
    </row>
    <row r="1679" spans="1:19" ht="14.25" customHeight="1" x14ac:dyDescent="0.3">
      <c r="A1679" s="335" t="s">
        <v>3323</v>
      </c>
      <c r="B1679" s="335" t="s">
        <v>20</v>
      </c>
      <c r="C1679" s="335"/>
      <c r="D1679" s="335" t="s">
        <v>3324</v>
      </c>
      <c r="E1679" s="336" t="s">
        <v>3325</v>
      </c>
      <c r="F1679" s="336"/>
      <c r="G1679" s="337">
        <v>1</v>
      </c>
      <c r="H1679" s="338">
        <v>0</v>
      </c>
      <c r="I1679" s="339">
        <v>281.39999999999998</v>
      </c>
      <c r="J1679" s="340">
        <v>281.39999999999998</v>
      </c>
      <c r="K1679" s="335" t="s">
        <v>3326</v>
      </c>
      <c r="L1679" s="335">
        <v>1</v>
      </c>
      <c r="M1679" s="335" t="s">
        <v>3327</v>
      </c>
      <c r="N1679" s="339">
        <v>1</v>
      </c>
      <c r="O1679" s="341">
        <v>1</v>
      </c>
      <c r="P1679" s="341">
        <v>8</v>
      </c>
      <c r="Q1679" s="341">
        <v>8</v>
      </c>
      <c r="R1679" s="342">
        <v>18.260000000000002</v>
      </c>
      <c r="S1679" s="342" t="s">
        <v>25</v>
      </c>
    </row>
    <row r="1680" spans="1:19" ht="14.25" customHeight="1" x14ac:dyDescent="0.3">
      <c r="A1680" s="335" t="s">
        <v>3323</v>
      </c>
      <c r="B1680" s="335" t="s">
        <v>56</v>
      </c>
      <c r="C1680" s="335" t="s">
        <v>27</v>
      </c>
      <c r="D1680" s="335" t="s">
        <v>3328</v>
      </c>
      <c r="E1680" s="336" t="s">
        <v>3329</v>
      </c>
      <c r="F1680" s="336" t="s">
        <v>60</v>
      </c>
      <c r="G1680" s="337">
        <v>1</v>
      </c>
      <c r="H1680" s="338">
        <v>0</v>
      </c>
      <c r="I1680" s="339">
        <v>18760</v>
      </c>
      <c r="J1680" s="340">
        <v>18760</v>
      </c>
      <c r="K1680" s="335" t="s">
        <v>3330</v>
      </c>
      <c r="L1680" s="335">
        <v>1</v>
      </c>
      <c r="M1680" s="335" t="s">
        <v>3331</v>
      </c>
      <c r="N1680" s="339">
        <v>1</v>
      </c>
      <c r="O1680" s="341">
        <v>1</v>
      </c>
      <c r="P1680" s="341">
        <v>8</v>
      </c>
      <c r="Q1680" s="341">
        <v>8</v>
      </c>
      <c r="R1680" s="342">
        <v>18.260000000000002</v>
      </c>
      <c r="S1680" s="342" t="s">
        <v>25</v>
      </c>
    </row>
    <row r="1681" spans="1:19" ht="14.25" customHeight="1" x14ac:dyDescent="0.3">
      <c r="A1681" s="335" t="s">
        <v>3332</v>
      </c>
      <c r="B1681" s="335" t="s">
        <v>20</v>
      </c>
      <c r="C1681" s="335"/>
      <c r="D1681" s="335" t="s">
        <v>3333</v>
      </c>
      <c r="E1681" s="336" t="s">
        <v>3334</v>
      </c>
      <c r="F1681" s="336"/>
      <c r="G1681" s="337">
        <v>1</v>
      </c>
      <c r="H1681" s="338">
        <v>0</v>
      </c>
      <c r="I1681" s="339">
        <v>1032.1500000000001</v>
      </c>
      <c r="J1681" s="340">
        <v>1032.1500000000001</v>
      </c>
      <c r="K1681" s="335" t="s">
        <v>3335</v>
      </c>
      <c r="L1681" s="335">
        <v>1</v>
      </c>
      <c r="M1681" s="335" t="s">
        <v>3336</v>
      </c>
      <c r="N1681" s="339">
        <v>1</v>
      </c>
      <c r="O1681" s="341">
        <v>1</v>
      </c>
      <c r="P1681" s="341">
        <v>24</v>
      </c>
      <c r="Q1681" s="341">
        <v>24</v>
      </c>
      <c r="R1681" s="342">
        <v>18.27</v>
      </c>
      <c r="S1681" s="342" t="s">
        <v>25</v>
      </c>
    </row>
    <row r="1682" spans="1:19" ht="14.25" customHeight="1" x14ac:dyDescent="0.3">
      <c r="A1682" s="335" t="s">
        <v>3332</v>
      </c>
      <c r="B1682" s="335" t="s">
        <v>56</v>
      </c>
      <c r="C1682" s="335" t="s">
        <v>27</v>
      </c>
      <c r="D1682" s="335" t="s">
        <v>3337</v>
      </c>
      <c r="E1682" s="336" t="s">
        <v>3338</v>
      </c>
      <c r="F1682" s="336" t="s">
        <v>60</v>
      </c>
      <c r="G1682" s="337">
        <v>1</v>
      </c>
      <c r="H1682" s="338">
        <v>0</v>
      </c>
      <c r="I1682" s="339">
        <v>68810</v>
      </c>
      <c r="J1682" s="340">
        <v>68810</v>
      </c>
      <c r="K1682" s="335" t="s">
        <v>3339</v>
      </c>
      <c r="L1682" s="335">
        <v>1</v>
      </c>
      <c r="M1682" s="335" t="s">
        <v>3340</v>
      </c>
      <c r="N1682" s="339">
        <v>1</v>
      </c>
      <c r="O1682" s="341">
        <v>1</v>
      </c>
      <c r="P1682" s="341">
        <v>24</v>
      </c>
      <c r="Q1682" s="341">
        <v>24</v>
      </c>
      <c r="R1682" s="342">
        <v>18.27</v>
      </c>
      <c r="S1682" s="342" t="s">
        <v>25</v>
      </c>
    </row>
    <row r="1683" spans="1:19" ht="14.25" customHeight="1" x14ac:dyDescent="0.3">
      <c r="A1683" s="335" t="s">
        <v>3341</v>
      </c>
      <c r="B1683" s="335" t="s">
        <v>20</v>
      </c>
      <c r="C1683" s="335"/>
      <c r="D1683" s="335" t="s">
        <v>3342</v>
      </c>
      <c r="E1683" s="336" t="s">
        <v>3343</v>
      </c>
      <c r="F1683" s="336"/>
      <c r="G1683" s="337">
        <v>1</v>
      </c>
      <c r="H1683" s="338">
        <v>0</v>
      </c>
      <c r="I1683" s="339">
        <v>281.39999999999998</v>
      </c>
      <c r="J1683" s="340">
        <v>281.39999999999998</v>
      </c>
      <c r="K1683" s="335" t="s">
        <v>3344</v>
      </c>
      <c r="L1683" s="335">
        <v>1</v>
      </c>
      <c r="M1683" s="335" t="s">
        <v>3345</v>
      </c>
      <c r="N1683" s="339">
        <v>1</v>
      </c>
      <c r="O1683" s="341">
        <v>1</v>
      </c>
      <c r="P1683" s="341">
        <v>12</v>
      </c>
      <c r="Q1683" s="341">
        <v>12</v>
      </c>
      <c r="R1683" s="342">
        <v>18.28</v>
      </c>
      <c r="S1683" s="342" t="s">
        <v>25</v>
      </c>
    </row>
    <row r="1684" spans="1:19" ht="14.25" customHeight="1" x14ac:dyDescent="0.3">
      <c r="A1684" s="335" t="s">
        <v>3341</v>
      </c>
      <c r="B1684" s="335" t="s">
        <v>56</v>
      </c>
      <c r="C1684" s="335" t="s">
        <v>27</v>
      </c>
      <c r="D1684" s="335" t="s">
        <v>3346</v>
      </c>
      <c r="E1684" s="336" t="s">
        <v>3347</v>
      </c>
      <c r="F1684" s="336" t="s">
        <v>60</v>
      </c>
      <c r="G1684" s="337">
        <v>1</v>
      </c>
      <c r="H1684" s="338">
        <v>0</v>
      </c>
      <c r="I1684" s="339">
        <v>18760</v>
      </c>
      <c r="J1684" s="340">
        <v>18760</v>
      </c>
      <c r="K1684" s="335" t="s">
        <v>3348</v>
      </c>
      <c r="L1684" s="335">
        <v>1</v>
      </c>
      <c r="M1684" s="335" t="s">
        <v>3349</v>
      </c>
      <c r="N1684" s="339">
        <v>1</v>
      </c>
      <c r="O1684" s="341">
        <v>1</v>
      </c>
      <c r="P1684" s="341">
        <v>12</v>
      </c>
      <c r="Q1684" s="341">
        <v>12</v>
      </c>
      <c r="R1684" s="342">
        <v>18.28</v>
      </c>
      <c r="S1684" s="342" t="s">
        <v>25</v>
      </c>
    </row>
    <row r="1685" spans="1:19" ht="14.25" customHeight="1" x14ac:dyDescent="0.3">
      <c r="A1685" s="335" t="s">
        <v>3350</v>
      </c>
      <c r="B1685" s="335" t="s">
        <v>20</v>
      </c>
      <c r="C1685" s="335"/>
      <c r="D1685" s="335" t="s">
        <v>3351</v>
      </c>
      <c r="E1685" s="336" t="s">
        <v>3352</v>
      </c>
      <c r="F1685" s="336"/>
      <c r="G1685" s="337">
        <v>1</v>
      </c>
      <c r="H1685" s="338">
        <v>0</v>
      </c>
      <c r="I1685" s="339">
        <v>281.39999999999998</v>
      </c>
      <c r="J1685" s="340">
        <v>281.39999999999998</v>
      </c>
      <c r="K1685" s="335" t="s">
        <v>3353</v>
      </c>
      <c r="L1685" s="335">
        <v>1</v>
      </c>
      <c r="M1685" s="335" t="s">
        <v>3354</v>
      </c>
      <c r="N1685" s="339">
        <v>1</v>
      </c>
      <c r="O1685" s="341">
        <v>1</v>
      </c>
      <c r="P1685" s="341">
        <v>1</v>
      </c>
      <c r="Q1685" s="341">
        <v>1</v>
      </c>
      <c r="R1685" s="342">
        <v>18.29</v>
      </c>
      <c r="S1685" s="342" t="s">
        <v>25</v>
      </c>
    </row>
    <row r="1686" spans="1:19" ht="14.25" customHeight="1" x14ac:dyDescent="0.3">
      <c r="A1686" s="335" t="s">
        <v>3350</v>
      </c>
      <c r="B1686" s="335" t="s">
        <v>56</v>
      </c>
      <c r="C1686" s="335" t="s">
        <v>27</v>
      </c>
      <c r="D1686" s="335" t="s">
        <v>3355</v>
      </c>
      <c r="E1686" s="336" t="s">
        <v>3356</v>
      </c>
      <c r="F1686" s="336" t="s">
        <v>60</v>
      </c>
      <c r="G1686" s="337">
        <v>1</v>
      </c>
      <c r="H1686" s="338">
        <v>0</v>
      </c>
      <c r="I1686" s="339">
        <v>18760</v>
      </c>
      <c r="J1686" s="340">
        <v>18760</v>
      </c>
      <c r="K1686" s="335" t="s">
        <v>3357</v>
      </c>
      <c r="L1686" s="335">
        <v>1</v>
      </c>
      <c r="M1686" s="335" t="s">
        <v>3358</v>
      </c>
      <c r="N1686" s="339">
        <v>1</v>
      </c>
      <c r="O1686" s="341">
        <v>1</v>
      </c>
      <c r="P1686" s="341">
        <v>1</v>
      </c>
      <c r="Q1686" s="341">
        <v>1</v>
      </c>
      <c r="R1686" s="342">
        <v>18.29</v>
      </c>
      <c r="S1686" s="342" t="s">
        <v>25</v>
      </c>
    </row>
    <row r="1687" spans="1:19" ht="14.25" customHeight="1" x14ac:dyDescent="0.3">
      <c r="A1687" s="335" t="s">
        <v>3359</v>
      </c>
      <c r="B1687" s="335" t="s">
        <v>20</v>
      </c>
      <c r="C1687" s="335"/>
      <c r="D1687" s="335" t="s">
        <v>3360</v>
      </c>
      <c r="E1687" s="336" t="s">
        <v>3361</v>
      </c>
      <c r="F1687" s="336"/>
      <c r="G1687" s="337">
        <v>1</v>
      </c>
      <c r="H1687" s="338">
        <v>0</v>
      </c>
      <c r="I1687" s="339">
        <v>177.24</v>
      </c>
      <c r="J1687" s="340">
        <v>177.24</v>
      </c>
      <c r="K1687" s="335" t="s">
        <v>3362</v>
      </c>
      <c r="L1687" s="335">
        <v>1</v>
      </c>
      <c r="M1687" s="335" t="s">
        <v>3363</v>
      </c>
      <c r="N1687" s="339">
        <v>1</v>
      </c>
      <c r="O1687" s="341">
        <v>1</v>
      </c>
      <c r="P1687" s="341">
        <v>109</v>
      </c>
      <c r="Q1687" s="341">
        <v>109</v>
      </c>
      <c r="R1687" s="342">
        <v>18.3</v>
      </c>
      <c r="S1687" s="342" t="s">
        <v>25</v>
      </c>
    </row>
    <row r="1688" spans="1:19" ht="14.25" customHeight="1" x14ac:dyDescent="0.3">
      <c r="A1688" s="335" t="s">
        <v>3359</v>
      </c>
      <c r="B1688" s="335" t="s">
        <v>56</v>
      </c>
      <c r="C1688" s="335" t="s">
        <v>27</v>
      </c>
      <c r="D1688" s="335" t="s">
        <v>3364</v>
      </c>
      <c r="E1688" s="336" t="s">
        <v>3365</v>
      </c>
      <c r="F1688" s="336" t="s">
        <v>60</v>
      </c>
      <c r="G1688" s="337">
        <v>1</v>
      </c>
      <c r="H1688" s="338">
        <v>0</v>
      </c>
      <c r="I1688" s="339">
        <v>11816</v>
      </c>
      <c r="J1688" s="340">
        <v>11816</v>
      </c>
      <c r="K1688" s="335" t="s">
        <v>3366</v>
      </c>
      <c r="L1688" s="335">
        <v>1</v>
      </c>
      <c r="M1688" s="335" t="s">
        <v>3367</v>
      </c>
      <c r="N1688" s="339">
        <v>1</v>
      </c>
      <c r="O1688" s="341">
        <v>1</v>
      </c>
      <c r="P1688" s="341">
        <v>109</v>
      </c>
      <c r="Q1688" s="341">
        <v>109</v>
      </c>
      <c r="R1688" s="342">
        <v>18.3</v>
      </c>
      <c r="S1688" s="342" t="s">
        <v>25</v>
      </c>
    </row>
    <row r="1689" spans="1:19" ht="14.25" customHeight="1" x14ac:dyDescent="0.3">
      <c r="A1689" s="335" t="s">
        <v>3368</v>
      </c>
      <c r="B1689" s="335" t="s">
        <v>20</v>
      </c>
      <c r="C1689" s="335"/>
      <c r="D1689" s="335" t="s">
        <v>3369</v>
      </c>
      <c r="E1689" s="336" t="s">
        <v>3370</v>
      </c>
      <c r="F1689" s="336"/>
      <c r="G1689" s="337">
        <v>1</v>
      </c>
      <c r="H1689" s="338">
        <v>0</v>
      </c>
      <c r="I1689" s="339">
        <v>61176.021690000001</v>
      </c>
      <c r="J1689" s="340">
        <v>61176.021690000001</v>
      </c>
      <c r="K1689" s="335" t="s">
        <v>3371</v>
      </c>
      <c r="L1689" s="335">
        <v>1</v>
      </c>
      <c r="M1689" s="335" t="s">
        <v>3372</v>
      </c>
      <c r="N1689" s="339">
        <v>1</v>
      </c>
      <c r="O1689" s="341">
        <v>1</v>
      </c>
      <c r="P1689" s="341">
        <v>1</v>
      </c>
      <c r="Q1689" s="341">
        <v>1</v>
      </c>
      <c r="R1689" s="342">
        <v>18.309999999999999</v>
      </c>
      <c r="S1689" s="342" t="s">
        <v>25</v>
      </c>
    </row>
    <row r="1690" spans="1:19" ht="14.25" customHeight="1" x14ac:dyDescent="0.3">
      <c r="A1690" s="335" t="s">
        <v>3368</v>
      </c>
      <c r="B1690" s="335" t="s">
        <v>26</v>
      </c>
      <c r="C1690" s="335" t="s">
        <v>27</v>
      </c>
      <c r="D1690" s="335" t="s">
        <v>96</v>
      </c>
      <c r="E1690" s="336" t="s">
        <v>97</v>
      </c>
      <c r="F1690" s="336" t="s">
        <v>98</v>
      </c>
      <c r="G1690" s="337">
        <v>401194.20600000001</v>
      </c>
      <c r="H1690" s="338">
        <v>0</v>
      </c>
      <c r="I1690" s="339">
        <v>1</v>
      </c>
      <c r="J1690" s="340">
        <v>401194.20600000001</v>
      </c>
      <c r="K1690" s="335" t="s">
        <v>3373</v>
      </c>
      <c r="L1690" s="335">
        <v>1</v>
      </c>
      <c r="M1690" s="335" t="s">
        <v>3374</v>
      </c>
      <c r="N1690" s="339">
        <v>1</v>
      </c>
      <c r="O1690" s="341">
        <v>401194.20600000001</v>
      </c>
      <c r="P1690" s="341">
        <v>1</v>
      </c>
      <c r="Q1690" s="341">
        <v>401194.20600000001</v>
      </c>
      <c r="R1690" s="342">
        <v>18.309999999999999</v>
      </c>
      <c r="S1690" s="342" t="s">
        <v>25</v>
      </c>
    </row>
    <row r="1691" spans="1:19" ht="14.25" customHeight="1" x14ac:dyDescent="0.3">
      <c r="A1691" s="335" t="s">
        <v>3368</v>
      </c>
      <c r="B1691" s="335" t="s">
        <v>26</v>
      </c>
      <c r="C1691" s="335" t="s">
        <v>27</v>
      </c>
      <c r="D1691" s="335" t="s">
        <v>3375</v>
      </c>
      <c r="E1691" s="336" t="s">
        <v>3376</v>
      </c>
      <c r="F1691" s="336" t="s">
        <v>744</v>
      </c>
      <c r="G1691" s="337">
        <v>10</v>
      </c>
      <c r="H1691" s="338">
        <v>0</v>
      </c>
      <c r="I1691" s="339">
        <v>20537.45</v>
      </c>
      <c r="J1691" s="340">
        <v>205374.5</v>
      </c>
      <c r="K1691" s="335" t="s">
        <v>3373</v>
      </c>
      <c r="L1691" s="335">
        <v>2</v>
      </c>
      <c r="M1691" s="335" t="s">
        <v>3377</v>
      </c>
      <c r="N1691" s="339">
        <v>1</v>
      </c>
      <c r="O1691" s="341">
        <v>10</v>
      </c>
      <c r="P1691" s="341">
        <v>1</v>
      </c>
      <c r="Q1691" s="341">
        <v>10</v>
      </c>
      <c r="R1691" s="342">
        <v>18.309999999999999</v>
      </c>
      <c r="S1691" s="342" t="s">
        <v>25</v>
      </c>
    </row>
    <row r="1692" spans="1:19" ht="14.25" customHeight="1" x14ac:dyDescent="0.3">
      <c r="A1692" s="335" t="s">
        <v>3368</v>
      </c>
      <c r="B1692" s="335" t="s">
        <v>26</v>
      </c>
      <c r="C1692" s="335" t="s">
        <v>27</v>
      </c>
      <c r="D1692" s="335" t="s">
        <v>3378</v>
      </c>
      <c r="E1692" s="336" t="s">
        <v>3379</v>
      </c>
      <c r="F1692" s="336" t="s">
        <v>35</v>
      </c>
      <c r="G1692" s="337">
        <v>2</v>
      </c>
      <c r="H1692" s="338">
        <v>0</v>
      </c>
      <c r="I1692" s="339">
        <v>832346.42</v>
      </c>
      <c r="J1692" s="340">
        <v>1664692.84</v>
      </c>
      <c r="K1692" s="335" t="s">
        <v>3373</v>
      </c>
      <c r="L1692" s="335">
        <v>3</v>
      </c>
      <c r="M1692" s="335" t="s">
        <v>3380</v>
      </c>
      <c r="N1692" s="339">
        <v>1</v>
      </c>
      <c r="O1692" s="341">
        <v>2</v>
      </c>
      <c r="P1692" s="341">
        <v>1</v>
      </c>
      <c r="Q1692" s="341">
        <v>2</v>
      </c>
      <c r="R1692" s="342">
        <v>18.309999999999999</v>
      </c>
      <c r="S1692" s="342" t="s">
        <v>25</v>
      </c>
    </row>
    <row r="1693" spans="1:19" ht="14.25" customHeight="1" x14ac:dyDescent="0.3">
      <c r="A1693" s="335" t="s">
        <v>3368</v>
      </c>
      <c r="B1693" s="335" t="s">
        <v>26</v>
      </c>
      <c r="C1693" s="335" t="s">
        <v>27</v>
      </c>
      <c r="D1693" s="335" t="s">
        <v>3381</v>
      </c>
      <c r="E1693" s="336" t="s">
        <v>3382</v>
      </c>
      <c r="F1693" s="336" t="s">
        <v>35</v>
      </c>
      <c r="G1693" s="337">
        <v>1</v>
      </c>
      <c r="H1693" s="338">
        <v>0</v>
      </c>
      <c r="I1693" s="339">
        <v>210583.05</v>
      </c>
      <c r="J1693" s="340">
        <v>210583.05</v>
      </c>
      <c r="K1693" s="335" t="s">
        <v>3373</v>
      </c>
      <c r="L1693" s="335">
        <v>4</v>
      </c>
      <c r="M1693" s="335" t="s">
        <v>3383</v>
      </c>
      <c r="N1693" s="339">
        <v>1</v>
      </c>
      <c r="O1693" s="341">
        <v>1</v>
      </c>
      <c r="P1693" s="341">
        <v>1</v>
      </c>
      <c r="Q1693" s="341">
        <v>1</v>
      </c>
      <c r="R1693" s="342">
        <v>18.309999999999999</v>
      </c>
      <c r="S1693" s="342" t="s">
        <v>25</v>
      </c>
    </row>
    <row r="1694" spans="1:19" ht="14.25" customHeight="1" x14ac:dyDescent="0.3">
      <c r="A1694" s="335" t="s">
        <v>3368</v>
      </c>
      <c r="B1694" s="335" t="s">
        <v>26</v>
      </c>
      <c r="C1694" s="335" t="s">
        <v>27</v>
      </c>
      <c r="D1694" s="335" t="s">
        <v>3384</v>
      </c>
      <c r="E1694" s="336" t="s">
        <v>3385</v>
      </c>
      <c r="F1694" s="336" t="s">
        <v>35</v>
      </c>
      <c r="G1694" s="337">
        <v>1</v>
      </c>
      <c r="H1694" s="338">
        <v>0</v>
      </c>
      <c r="I1694" s="339">
        <v>462872.16</v>
      </c>
      <c r="J1694" s="340">
        <v>462872.16</v>
      </c>
      <c r="K1694" s="335" t="s">
        <v>3373</v>
      </c>
      <c r="L1694" s="335">
        <v>5</v>
      </c>
      <c r="M1694" s="335" t="s">
        <v>3386</v>
      </c>
      <c r="N1694" s="339">
        <v>1</v>
      </c>
      <c r="O1694" s="341">
        <v>1</v>
      </c>
      <c r="P1694" s="341">
        <v>1</v>
      </c>
      <c r="Q1694" s="341">
        <v>1</v>
      </c>
      <c r="R1694" s="342">
        <v>18.309999999999999</v>
      </c>
      <c r="S1694" s="342" t="s">
        <v>25</v>
      </c>
    </row>
    <row r="1695" spans="1:19" ht="14.25" customHeight="1" x14ac:dyDescent="0.3">
      <c r="A1695" s="335" t="s">
        <v>3368</v>
      </c>
      <c r="B1695" s="335" t="s">
        <v>26</v>
      </c>
      <c r="C1695" s="335" t="s">
        <v>27</v>
      </c>
      <c r="D1695" s="335" t="s">
        <v>3387</v>
      </c>
      <c r="E1695" s="336" t="s">
        <v>3388</v>
      </c>
      <c r="F1695" s="336" t="s">
        <v>35</v>
      </c>
      <c r="G1695" s="337">
        <v>27</v>
      </c>
      <c r="H1695" s="338">
        <v>0</v>
      </c>
      <c r="I1695" s="339">
        <v>3784.33</v>
      </c>
      <c r="J1695" s="340">
        <v>102176.91</v>
      </c>
      <c r="K1695" s="335" t="s">
        <v>3373</v>
      </c>
      <c r="L1695" s="335">
        <v>6</v>
      </c>
      <c r="M1695" s="335" t="s">
        <v>3389</v>
      </c>
      <c r="N1695" s="339">
        <v>1</v>
      </c>
      <c r="O1695" s="341">
        <v>27</v>
      </c>
      <c r="P1695" s="341">
        <v>1</v>
      </c>
      <c r="Q1695" s="341">
        <v>27</v>
      </c>
      <c r="R1695" s="342">
        <v>18.309999999999999</v>
      </c>
      <c r="S1695" s="342" t="s">
        <v>25</v>
      </c>
    </row>
    <row r="1696" spans="1:19" ht="14.25" customHeight="1" x14ac:dyDescent="0.3">
      <c r="A1696" s="335" t="s">
        <v>3368</v>
      </c>
      <c r="B1696" s="335" t="s">
        <v>26</v>
      </c>
      <c r="C1696" s="335" t="s">
        <v>27</v>
      </c>
      <c r="D1696" s="335" t="s">
        <v>3390</v>
      </c>
      <c r="E1696" s="336" t="s">
        <v>3391</v>
      </c>
      <c r="F1696" s="336" t="s">
        <v>35</v>
      </c>
      <c r="G1696" s="337">
        <v>3</v>
      </c>
      <c r="H1696" s="338">
        <v>0</v>
      </c>
      <c r="I1696" s="339">
        <v>9642.86</v>
      </c>
      <c r="J1696" s="340">
        <v>28928.58</v>
      </c>
      <c r="K1696" s="335" t="s">
        <v>3373</v>
      </c>
      <c r="L1696" s="335">
        <v>7</v>
      </c>
      <c r="M1696" s="335" t="s">
        <v>3392</v>
      </c>
      <c r="N1696" s="339">
        <v>1</v>
      </c>
      <c r="O1696" s="341">
        <v>3</v>
      </c>
      <c r="P1696" s="341">
        <v>1</v>
      </c>
      <c r="Q1696" s="341">
        <v>3</v>
      </c>
      <c r="R1696" s="342">
        <v>18.309999999999999</v>
      </c>
      <c r="S1696" s="342" t="s">
        <v>25</v>
      </c>
    </row>
    <row r="1697" spans="1:19" ht="14.25" customHeight="1" x14ac:dyDescent="0.3">
      <c r="A1697" s="335" t="s">
        <v>3368</v>
      </c>
      <c r="B1697" s="335" t="s">
        <v>56</v>
      </c>
      <c r="C1697" s="335" t="s">
        <v>27</v>
      </c>
      <c r="D1697" s="335" t="s">
        <v>3393</v>
      </c>
      <c r="E1697" s="336" t="s">
        <v>3394</v>
      </c>
      <c r="F1697" s="336" t="s">
        <v>60</v>
      </c>
      <c r="G1697" s="337">
        <v>1</v>
      </c>
      <c r="H1697" s="338">
        <v>0</v>
      </c>
      <c r="I1697" s="339">
        <v>90526.8</v>
      </c>
      <c r="J1697" s="340">
        <v>90526.8</v>
      </c>
      <c r="K1697" s="335" t="s">
        <v>3395</v>
      </c>
      <c r="L1697" s="335">
        <v>1</v>
      </c>
      <c r="M1697" s="335" t="s">
        <v>3396</v>
      </c>
      <c r="N1697" s="339">
        <v>1</v>
      </c>
      <c r="O1697" s="341">
        <v>1</v>
      </c>
      <c r="P1697" s="341">
        <v>1</v>
      </c>
      <c r="Q1697" s="341">
        <v>1</v>
      </c>
      <c r="R1697" s="342">
        <v>18.309999999999999</v>
      </c>
      <c r="S1697" s="342" t="s">
        <v>25</v>
      </c>
    </row>
    <row r="1698" spans="1:19" ht="14.25" customHeight="1" x14ac:dyDescent="0.3">
      <c r="A1698" s="335" t="s">
        <v>3368</v>
      </c>
      <c r="B1698" s="335" t="s">
        <v>56</v>
      </c>
      <c r="C1698" s="335" t="s">
        <v>27</v>
      </c>
      <c r="D1698" s="335" t="s">
        <v>3397</v>
      </c>
      <c r="E1698" s="336" t="s">
        <v>3398</v>
      </c>
      <c r="F1698" s="336" t="s">
        <v>60</v>
      </c>
      <c r="G1698" s="337">
        <v>1</v>
      </c>
      <c r="H1698" s="338">
        <v>0</v>
      </c>
      <c r="I1698" s="339">
        <v>129373.3</v>
      </c>
      <c r="J1698" s="340">
        <v>129373.3</v>
      </c>
      <c r="K1698" s="335" t="s">
        <v>3395</v>
      </c>
      <c r="L1698" s="335">
        <v>2</v>
      </c>
      <c r="M1698" s="335" t="s">
        <v>3399</v>
      </c>
      <c r="N1698" s="339">
        <v>1</v>
      </c>
      <c r="O1698" s="341">
        <v>1</v>
      </c>
      <c r="P1698" s="341">
        <v>1</v>
      </c>
      <c r="Q1698" s="341">
        <v>1</v>
      </c>
      <c r="R1698" s="342">
        <v>18.309999999999999</v>
      </c>
      <c r="S1698" s="342" t="s">
        <v>25</v>
      </c>
    </row>
    <row r="1699" spans="1:19" ht="14.25" customHeight="1" x14ac:dyDescent="0.3">
      <c r="A1699" s="335" t="s">
        <v>3368</v>
      </c>
      <c r="B1699" s="335" t="s">
        <v>56</v>
      </c>
      <c r="C1699" s="335" t="s">
        <v>27</v>
      </c>
      <c r="D1699" s="335" t="s">
        <v>3400</v>
      </c>
      <c r="E1699" s="336" t="s">
        <v>3401</v>
      </c>
      <c r="F1699" s="336" t="s">
        <v>60</v>
      </c>
      <c r="G1699" s="337">
        <v>2</v>
      </c>
      <c r="H1699" s="338">
        <v>0</v>
      </c>
      <c r="I1699" s="339">
        <v>344928.5</v>
      </c>
      <c r="J1699" s="340">
        <v>689857</v>
      </c>
      <c r="K1699" s="335" t="s">
        <v>3395</v>
      </c>
      <c r="L1699" s="335">
        <v>3</v>
      </c>
      <c r="M1699" s="335" t="s">
        <v>3402</v>
      </c>
      <c r="N1699" s="339">
        <v>1</v>
      </c>
      <c r="O1699" s="341">
        <v>2</v>
      </c>
      <c r="P1699" s="341">
        <v>1</v>
      </c>
      <c r="Q1699" s="341">
        <v>2</v>
      </c>
      <c r="R1699" s="342">
        <v>18.309999999999999</v>
      </c>
      <c r="S1699" s="342" t="s">
        <v>25</v>
      </c>
    </row>
    <row r="1700" spans="1:19" ht="14.25" customHeight="1" x14ac:dyDescent="0.3">
      <c r="A1700" s="335" t="s">
        <v>3368</v>
      </c>
      <c r="B1700" s="335" t="s">
        <v>56</v>
      </c>
      <c r="C1700" s="335" t="s">
        <v>27</v>
      </c>
      <c r="D1700" s="335" t="s">
        <v>3403</v>
      </c>
      <c r="E1700" s="336" t="s">
        <v>3404</v>
      </c>
      <c r="F1700" s="336" t="s">
        <v>60</v>
      </c>
      <c r="G1700" s="337">
        <v>1</v>
      </c>
      <c r="H1700" s="338">
        <v>0</v>
      </c>
      <c r="I1700" s="339">
        <v>92822.1</v>
      </c>
      <c r="J1700" s="340">
        <v>92822.1</v>
      </c>
      <c r="K1700" s="335" t="s">
        <v>3395</v>
      </c>
      <c r="L1700" s="335">
        <v>4</v>
      </c>
      <c r="M1700" s="335" t="s">
        <v>3405</v>
      </c>
      <c r="N1700" s="339">
        <v>1</v>
      </c>
      <c r="O1700" s="341">
        <v>1</v>
      </c>
      <c r="P1700" s="341">
        <v>1</v>
      </c>
      <c r="Q1700" s="341">
        <v>1</v>
      </c>
      <c r="R1700" s="342">
        <v>18.309999999999999</v>
      </c>
      <c r="S1700" s="342" t="s">
        <v>25</v>
      </c>
    </row>
    <row r="1701" spans="1:19" ht="14.25" customHeight="1" x14ac:dyDescent="0.3">
      <c r="A1701" s="335" t="s">
        <v>3406</v>
      </c>
      <c r="B1701" s="335" t="s">
        <v>20</v>
      </c>
      <c r="C1701" s="335"/>
      <c r="D1701" s="335" t="s">
        <v>3407</v>
      </c>
      <c r="E1701" s="336" t="s">
        <v>3408</v>
      </c>
      <c r="F1701" s="336"/>
      <c r="G1701" s="337">
        <v>1</v>
      </c>
      <c r="H1701" s="338">
        <v>0</v>
      </c>
      <c r="I1701" s="339">
        <v>10618.1041956769</v>
      </c>
      <c r="J1701" s="340">
        <v>10618.1041956769</v>
      </c>
      <c r="K1701" s="335" t="s">
        <v>3409</v>
      </c>
      <c r="L1701" s="335">
        <v>1</v>
      </c>
      <c r="M1701" s="335" t="s">
        <v>3410</v>
      </c>
      <c r="N1701" s="339">
        <v>1</v>
      </c>
      <c r="O1701" s="341">
        <v>1</v>
      </c>
      <c r="P1701" s="341">
        <v>1</v>
      </c>
      <c r="Q1701" s="341">
        <v>1</v>
      </c>
      <c r="R1701" s="342">
        <v>18.32</v>
      </c>
      <c r="S1701" s="342" t="s">
        <v>3219</v>
      </c>
    </row>
    <row r="1702" spans="1:19" ht="14.25" customHeight="1" x14ac:dyDescent="0.3">
      <c r="A1702" s="335" t="s">
        <v>3406</v>
      </c>
      <c r="B1702" s="335" t="s">
        <v>26</v>
      </c>
      <c r="C1702" s="335" t="s">
        <v>27</v>
      </c>
      <c r="D1702" s="335" t="s">
        <v>96</v>
      </c>
      <c r="E1702" s="336" t="s">
        <v>97</v>
      </c>
      <c r="F1702" s="336" t="s">
        <v>98</v>
      </c>
      <c r="G1702" s="337">
        <v>95009.658800000005</v>
      </c>
      <c r="H1702" s="338">
        <v>0</v>
      </c>
      <c r="I1702" s="339">
        <v>1</v>
      </c>
      <c r="J1702" s="340">
        <v>95009.658800000005</v>
      </c>
      <c r="K1702" s="335" t="s">
        <v>3411</v>
      </c>
      <c r="L1702" s="335">
        <v>1</v>
      </c>
      <c r="M1702" s="335" t="s">
        <v>3412</v>
      </c>
      <c r="N1702" s="339">
        <v>1</v>
      </c>
      <c r="O1702" s="341">
        <v>95009.658800000005</v>
      </c>
      <c r="P1702" s="341">
        <v>1</v>
      </c>
      <c r="Q1702" s="341">
        <v>95009.658800000005</v>
      </c>
      <c r="R1702" s="342">
        <v>18.32</v>
      </c>
      <c r="S1702" s="342" t="s">
        <v>3219</v>
      </c>
    </row>
    <row r="1703" spans="1:19" ht="14.25" customHeight="1" x14ac:dyDescent="0.3">
      <c r="A1703" s="335" t="s">
        <v>3406</v>
      </c>
      <c r="B1703" s="335" t="s">
        <v>26</v>
      </c>
      <c r="C1703" s="335" t="s">
        <v>27</v>
      </c>
      <c r="D1703" s="335" t="s">
        <v>3413</v>
      </c>
      <c r="E1703" s="336" t="s">
        <v>3414</v>
      </c>
      <c r="F1703" s="336" t="s">
        <v>744</v>
      </c>
      <c r="G1703" s="337">
        <v>75</v>
      </c>
      <c r="H1703" s="338">
        <v>0</v>
      </c>
      <c r="I1703" s="339">
        <v>4462.8099173553701</v>
      </c>
      <c r="J1703" s="340">
        <v>334710.74380165298</v>
      </c>
      <c r="K1703" s="335" t="s">
        <v>3411</v>
      </c>
      <c r="L1703" s="335">
        <v>2</v>
      </c>
      <c r="M1703" s="335" t="s">
        <v>3415</v>
      </c>
      <c r="N1703" s="339">
        <v>1</v>
      </c>
      <c r="O1703" s="341">
        <v>75</v>
      </c>
      <c r="P1703" s="341">
        <v>1</v>
      </c>
      <c r="Q1703" s="341">
        <v>75</v>
      </c>
      <c r="R1703" s="342">
        <v>18.32</v>
      </c>
      <c r="S1703" s="342" t="s">
        <v>3219</v>
      </c>
    </row>
    <row r="1704" spans="1:19" ht="14.25" customHeight="1" x14ac:dyDescent="0.3">
      <c r="A1704" s="335" t="s">
        <v>3406</v>
      </c>
      <c r="B1704" s="335" t="s">
        <v>26</v>
      </c>
      <c r="C1704" s="335" t="s">
        <v>27</v>
      </c>
      <c r="D1704" s="335" t="s">
        <v>3416</v>
      </c>
      <c r="E1704" s="336" t="s">
        <v>3417</v>
      </c>
      <c r="F1704" s="336" t="s">
        <v>35</v>
      </c>
      <c r="G1704" s="337">
        <v>5</v>
      </c>
      <c r="H1704" s="338">
        <v>0</v>
      </c>
      <c r="I1704" s="339">
        <v>26981.95</v>
      </c>
      <c r="J1704" s="340">
        <v>134909.75</v>
      </c>
      <c r="K1704" s="335" t="s">
        <v>3411</v>
      </c>
      <c r="L1704" s="335">
        <v>3</v>
      </c>
      <c r="M1704" s="335" t="s">
        <v>3418</v>
      </c>
      <c r="N1704" s="339">
        <v>1</v>
      </c>
      <c r="O1704" s="341">
        <v>5</v>
      </c>
      <c r="P1704" s="341">
        <v>1</v>
      </c>
      <c r="Q1704" s="341">
        <v>5</v>
      </c>
      <c r="R1704" s="342">
        <v>18.32</v>
      </c>
      <c r="S1704" s="342" t="s">
        <v>3219</v>
      </c>
    </row>
    <row r="1705" spans="1:19" ht="14.25" customHeight="1" x14ac:dyDescent="0.3">
      <c r="A1705" s="335" t="s">
        <v>3406</v>
      </c>
      <c r="B1705" s="335" t="s">
        <v>26</v>
      </c>
      <c r="C1705" s="335" t="s">
        <v>27</v>
      </c>
      <c r="D1705" s="335" t="s">
        <v>3419</v>
      </c>
      <c r="E1705" s="336" t="s">
        <v>3420</v>
      </c>
      <c r="F1705" s="336" t="s">
        <v>35</v>
      </c>
      <c r="G1705" s="337">
        <v>5</v>
      </c>
      <c r="H1705" s="338">
        <v>0</v>
      </c>
      <c r="I1705" s="339">
        <v>1085.56</v>
      </c>
      <c r="J1705" s="340">
        <v>5427.8</v>
      </c>
      <c r="K1705" s="335" t="s">
        <v>3411</v>
      </c>
      <c r="L1705" s="335">
        <v>4</v>
      </c>
      <c r="M1705" s="335" t="s">
        <v>3421</v>
      </c>
      <c r="N1705" s="339">
        <v>1</v>
      </c>
      <c r="O1705" s="341">
        <v>5</v>
      </c>
      <c r="P1705" s="341">
        <v>1</v>
      </c>
      <c r="Q1705" s="341">
        <v>5</v>
      </c>
      <c r="R1705" s="342">
        <v>18.32</v>
      </c>
      <c r="S1705" s="342" t="s">
        <v>3219</v>
      </c>
    </row>
    <row r="1706" spans="1:19" ht="14.25" customHeight="1" x14ac:dyDescent="0.3">
      <c r="A1706" s="335" t="s">
        <v>3406</v>
      </c>
      <c r="B1706" s="335" t="s">
        <v>56</v>
      </c>
      <c r="C1706" s="335" t="s">
        <v>27</v>
      </c>
      <c r="D1706" s="335" t="s">
        <v>3422</v>
      </c>
      <c r="E1706" s="336" t="s">
        <v>3423</v>
      </c>
      <c r="F1706" s="336" t="s">
        <v>60</v>
      </c>
      <c r="G1706" s="337">
        <v>5</v>
      </c>
      <c r="H1706" s="338">
        <v>0</v>
      </c>
      <c r="I1706" s="339">
        <v>64652.7</v>
      </c>
      <c r="J1706" s="340">
        <v>323263.5</v>
      </c>
      <c r="K1706" s="335" t="s">
        <v>3424</v>
      </c>
      <c r="L1706" s="335">
        <v>1</v>
      </c>
      <c r="M1706" s="335" t="s">
        <v>3425</v>
      </c>
      <c r="N1706" s="339">
        <v>1</v>
      </c>
      <c r="O1706" s="341">
        <v>5</v>
      </c>
      <c r="P1706" s="341">
        <v>1</v>
      </c>
      <c r="Q1706" s="341">
        <v>5</v>
      </c>
      <c r="R1706" s="342">
        <v>18.32</v>
      </c>
      <c r="S1706" s="342" t="s">
        <v>3219</v>
      </c>
    </row>
    <row r="1707" spans="1:19" ht="14.25" customHeight="1" x14ac:dyDescent="0.3">
      <c r="A1707" s="335" t="s">
        <v>3426</v>
      </c>
      <c r="B1707" s="335" t="s">
        <v>56</v>
      </c>
      <c r="C1707" s="335" t="s">
        <v>27</v>
      </c>
      <c r="D1707" s="335" t="s">
        <v>3427</v>
      </c>
      <c r="E1707" s="336" t="s">
        <v>3428</v>
      </c>
      <c r="F1707" s="336" t="s">
        <v>60</v>
      </c>
      <c r="G1707" s="337">
        <v>1</v>
      </c>
      <c r="H1707" s="338">
        <v>0</v>
      </c>
      <c r="I1707" s="339">
        <v>107023.598877166</v>
      </c>
      <c r="J1707" s="340">
        <v>107023.598877166</v>
      </c>
      <c r="K1707" s="335" t="s">
        <v>3429</v>
      </c>
      <c r="L1707" s="335">
        <v>1</v>
      </c>
      <c r="M1707" s="335" t="s">
        <v>3430</v>
      </c>
      <c r="N1707" s="339">
        <v>1</v>
      </c>
      <c r="O1707" s="341">
        <v>1</v>
      </c>
      <c r="P1707" s="341">
        <v>1</v>
      </c>
      <c r="Q1707" s="341">
        <v>1</v>
      </c>
      <c r="R1707" s="342">
        <v>18.329999999999998</v>
      </c>
      <c r="S1707" s="342" t="s">
        <v>25</v>
      </c>
    </row>
    <row r="1708" spans="1:19" ht="14.25" customHeight="1" x14ac:dyDescent="0.3">
      <c r="A1708" s="335" t="s">
        <v>3431</v>
      </c>
      <c r="B1708" s="335" t="s">
        <v>20</v>
      </c>
      <c r="C1708" s="335"/>
      <c r="D1708" s="335" t="s">
        <v>3432</v>
      </c>
      <c r="E1708" s="336" t="s">
        <v>3433</v>
      </c>
      <c r="F1708" s="336"/>
      <c r="G1708" s="337">
        <v>1</v>
      </c>
      <c r="H1708" s="338">
        <v>0</v>
      </c>
      <c r="I1708" s="339">
        <v>75335.457966240298</v>
      </c>
      <c r="J1708" s="340">
        <v>75335.457966240298</v>
      </c>
      <c r="K1708" s="335" t="s">
        <v>3434</v>
      </c>
      <c r="L1708" s="335">
        <v>1</v>
      </c>
      <c r="M1708" s="335" t="s">
        <v>3435</v>
      </c>
      <c r="N1708" s="339">
        <v>1</v>
      </c>
      <c r="O1708" s="341">
        <v>1</v>
      </c>
      <c r="P1708" s="341">
        <v>1</v>
      </c>
      <c r="Q1708" s="341">
        <v>1</v>
      </c>
      <c r="R1708" s="342">
        <v>19.010000000000002</v>
      </c>
      <c r="S1708" s="342" t="s">
        <v>25</v>
      </c>
    </row>
    <row r="1709" spans="1:19" ht="14.25" customHeight="1" x14ac:dyDescent="0.3">
      <c r="A1709" s="335" t="s">
        <v>3431</v>
      </c>
      <c r="B1709" s="335" t="s">
        <v>26</v>
      </c>
      <c r="C1709" s="335" t="s">
        <v>27</v>
      </c>
      <c r="D1709" s="335" t="s">
        <v>3436</v>
      </c>
      <c r="E1709" s="336" t="s">
        <v>3437</v>
      </c>
      <c r="F1709" s="336" t="s">
        <v>98</v>
      </c>
      <c r="G1709" s="337">
        <v>1</v>
      </c>
      <c r="H1709" s="338">
        <v>0</v>
      </c>
      <c r="I1709" s="339">
        <v>2201631.50655</v>
      </c>
      <c r="J1709" s="340">
        <v>2201631.50655</v>
      </c>
      <c r="K1709" s="335" t="s">
        <v>3438</v>
      </c>
      <c r="L1709" s="335">
        <v>1</v>
      </c>
      <c r="M1709" s="335" t="s">
        <v>3439</v>
      </c>
      <c r="N1709" s="339">
        <v>1</v>
      </c>
      <c r="O1709" s="341">
        <v>1</v>
      </c>
      <c r="P1709" s="341">
        <v>1</v>
      </c>
      <c r="Q1709" s="341">
        <v>1</v>
      </c>
      <c r="R1709" s="342">
        <v>19.010000000000002</v>
      </c>
      <c r="S1709" s="342" t="s">
        <v>25</v>
      </c>
    </row>
    <row r="1710" spans="1:19" ht="14.25" customHeight="1" x14ac:dyDescent="0.3">
      <c r="A1710" s="335" t="s">
        <v>3431</v>
      </c>
      <c r="B1710" s="335" t="s">
        <v>56</v>
      </c>
      <c r="C1710" s="335" t="s">
        <v>27</v>
      </c>
      <c r="D1710" s="335" t="s">
        <v>3440</v>
      </c>
      <c r="E1710" s="336" t="s">
        <v>3441</v>
      </c>
      <c r="F1710" s="336" t="s">
        <v>60</v>
      </c>
      <c r="G1710" s="337">
        <v>1</v>
      </c>
      <c r="H1710" s="338">
        <v>0</v>
      </c>
      <c r="I1710" s="339">
        <v>2820732.3578660199</v>
      </c>
      <c r="J1710" s="340">
        <v>2820732.3578660199</v>
      </c>
      <c r="K1710" s="335" t="s">
        <v>3442</v>
      </c>
      <c r="L1710" s="335">
        <v>1</v>
      </c>
      <c r="M1710" s="335" t="s">
        <v>3443</v>
      </c>
      <c r="N1710" s="339">
        <v>1</v>
      </c>
      <c r="O1710" s="341">
        <v>1</v>
      </c>
      <c r="P1710" s="341">
        <v>1</v>
      </c>
      <c r="Q1710" s="341">
        <v>1</v>
      </c>
      <c r="R1710" s="342">
        <v>19.010000000000002</v>
      </c>
      <c r="S1710" s="342" t="s">
        <v>25</v>
      </c>
    </row>
    <row r="1711" spans="1:19" ht="14.25" customHeight="1" x14ac:dyDescent="0.3">
      <c r="A1711" s="335" t="s">
        <v>3444</v>
      </c>
      <c r="B1711" s="335" t="s">
        <v>20</v>
      </c>
      <c r="C1711" s="335"/>
      <c r="D1711" s="335" t="s">
        <v>3445</v>
      </c>
      <c r="E1711" s="336" t="s">
        <v>3446</v>
      </c>
      <c r="F1711" s="336"/>
      <c r="G1711" s="337">
        <v>1</v>
      </c>
      <c r="H1711" s="338">
        <v>0</v>
      </c>
      <c r="I1711" s="339">
        <v>105926.51424973601</v>
      </c>
      <c r="J1711" s="340">
        <v>105926.51424973601</v>
      </c>
      <c r="K1711" s="335" t="s">
        <v>3447</v>
      </c>
      <c r="L1711" s="335">
        <v>1</v>
      </c>
      <c r="M1711" s="335" t="s">
        <v>3448</v>
      </c>
      <c r="N1711" s="339">
        <v>1</v>
      </c>
      <c r="O1711" s="341">
        <v>1</v>
      </c>
      <c r="P1711" s="341">
        <v>1</v>
      </c>
      <c r="Q1711" s="341">
        <v>1</v>
      </c>
      <c r="R1711" s="342">
        <v>19.02</v>
      </c>
      <c r="S1711" s="342" t="s">
        <v>25</v>
      </c>
    </row>
    <row r="1712" spans="1:19" ht="14.25" customHeight="1" x14ac:dyDescent="0.3">
      <c r="A1712" s="335" t="s">
        <v>3444</v>
      </c>
      <c r="B1712" s="335" t="s">
        <v>26</v>
      </c>
      <c r="C1712" s="335" t="s">
        <v>27</v>
      </c>
      <c r="D1712" s="335" t="s">
        <v>3449</v>
      </c>
      <c r="E1712" s="336" t="s">
        <v>3450</v>
      </c>
      <c r="F1712" s="336" t="s">
        <v>98</v>
      </c>
      <c r="G1712" s="337">
        <v>1</v>
      </c>
      <c r="H1712" s="338">
        <v>0</v>
      </c>
      <c r="I1712" s="339">
        <v>2830669.0798499999</v>
      </c>
      <c r="J1712" s="340">
        <v>2830669.0798499999</v>
      </c>
      <c r="K1712" s="335" t="s">
        <v>3451</v>
      </c>
      <c r="L1712" s="335">
        <v>1</v>
      </c>
      <c r="M1712" s="335" t="s">
        <v>3452</v>
      </c>
      <c r="N1712" s="339">
        <v>1</v>
      </c>
      <c r="O1712" s="341">
        <v>1</v>
      </c>
      <c r="P1712" s="341">
        <v>1</v>
      </c>
      <c r="Q1712" s="341">
        <v>1</v>
      </c>
      <c r="R1712" s="342">
        <v>19.02</v>
      </c>
      <c r="S1712" s="342" t="s">
        <v>25</v>
      </c>
    </row>
    <row r="1713" spans="1:19" ht="14.25" customHeight="1" x14ac:dyDescent="0.3">
      <c r="A1713" s="335" t="s">
        <v>3444</v>
      </c>
      <c r="B1713" s="335" t="s">
        <v>56</v>
      </c>
      <c r="C1713" s="335" t="s">
        <v>27</v>
      </c>
      <c r="D1713" s="335" t="s">
        <v>3453</v>
      </c>
      <c r="E1713" s="336" t="s">
        <v>3454</v>
      </c>
      <c r="F1713" s="336" t="s">
        <v>60</v>
      </c>
      <c r="G1713" s="337">
        <v>1</v>
      </c>
      <c r="H1713" s="338">
        <v>0</v>
      </c>
      <c r="I1713" s="339">
        <v>4231098.5367990304</v>
      </c>
      <c r="J1713" s="340">
        <v>4231098.5367990304</v>
      </c>
      <c r="K1713" s="335" t="s">
        <v>3455</v>
      </c>
      <c r="L1713" s="335">
        <v>1</v>
      </c>
      <c r="M1713" s="335" t="s">
        <v>3456</v>
      </c>
      <c r="N1713" s="339">
        <v>1</v>
      </c>
      <c r="O1713" s="341">
        <v>1</v>
      </c>
      <c r="P1713" s="341">
        <v>1</v>
      </c>
      <c r="Q1713" s="341">
        <v>1</v>
      </c>
      <c r="R1713" s="342">
        <v>19.02</v>
      </c>
      <c r="S1713" s="342" t="s">
        <v>25</v>
      </c>
    </row>
    <row r="1714" spans="1:19" ht="14.25" customHeight="1" x14ac:dyDescent="0.3">
      <c r="A1714" s="335" t="s">
        <v>3457</v>
      </c>
      <c r="B1714" s="335" t="s">
        <v>20</v>
      </c>
      <c r="C1714" s="335"/>
      <c r="D1714" s="335" t="s">
        <v>3458</v>
      </c>
      <c r="E1714" s="336" t="s">
        <v>3459</v>
      </c>
      <c r="F1714" s="336"/>
      <c r="G1714" s="337">
        <v>1</v>
      </c>
      <c r="H1714" s="338">
        <v>0</v>
      </c>
      <c r="I1714" s="339">
        <v>54130.281672325298</v>
      </c>
      <c r="J1714" s="340">
        <v>54130.281672325298</v>
      </c>
      <c r="K1714" s="335" t="s">
        <v>3460</v>
      </c>
      <c r="L1714" s="335">
        <v>1</v>
      </c>
      <c r="M1714" s="335" t="s">
        <v>3461</v>
      </c>
      <c r="N1714" s="339">
        <v>1</v>
      </c>
      <c r="O1714" s="341">
        <v>1</v>
      </c>
      <c r="P1714" s="341">
        <v>1</v>
      </c>
      <c r="Q1714" s="341">
        <v>1</v>
      </c>
      <c r="R1714" s="342">
        <v>19.03</v>
      </c>
      <c r="S1714" s="342" t="s">
        <v>25</v>
      </c>
    </row>
    <row r="1715" spans="1:19" ht="14.25" customHeight="1" x14ac:dyDescent="0.3">
      <c r="A1715" s="335" t="s">
        <v>3457</v>
      </c>
      <c r="B1715" s="335" t="s">
        <v>26</v>
      </c>
      <c r="C1715" s="335" t="s">
        <v>27</v>
      </c>
      <c r="D1715" s="335" t="s">
        <v>3462</v>
      </c>
      <c r="E1715" s="336" t="s">
        <v>3463</v>
      </c>
      <c r="F1715" s="336" t="s">
        <v>98</v>
      </c>
      <c r="G1715" s="337">
        <v>1</v>
      </c>
      <c r="H1715" s="338">
        <v>0</v>
      </c>
      <c r="I1715" s="339">
        <v>1258075.1466000001</v>
      </c>
      <c r="J1715" s="340">
        <v>1258075.1466000001</v>
      </c>
      <c r="K1715" s="335" t="s">
        <v>3464</v>
      </c>
      <c r="L1715" s="335">
        <v>1</v>
      </c>
      <c r="M1715" s="335" t="s">
        <v>3465</v>
      </c>
      <c r="N1715" s="339">
        <v>1</v>
      </c>
      <c r="O1715" s="341">
        <v>1</v>
      </c>
      <c r="P1715" s="341">
        <v>1</v>
      </c>
      <c r="Q1715" s="341">
        <v>1</v>
      </c>
      <c r="R1715" s="342">
        <v>19.03</v>
      </c>
      <c r="S1715" s="342" t="s">
        <v>25</v>
      </c>
    </row>
    <row r="1716" spans="1:19" ht="14.25" customHeight="1" x14ac:dyDescent="0.3">
      <c r="A1716" s="335" t="s">
        <v>3457</v>
      </c>
      <c r="B1716" s="335" t="s">
        <v>56</v>
      </c>
      <c r="C1716" s="335" t="s">
        <v>27</v>
      </c>
      <c r="D1716" s="335" t="s">
        <v>3466</v>
      </c>
      <c r="E1716" s="336" t="s">
        <v>3467</v>
      </c>
      <c r="F1716" s="336" t="s">
        <v>60</v>
      </c>
      <c r="G1716" s="337">
        <v>1</v>
      </c>
      <c r="H1716" s="338">
        <v>0</v>
      </c>
      <c r="I1716" s="339">
        <v>2350610.2982216901</v>
      </c>
      <c r="J1716" s="340">
        <v>2350610.2982216901</v>
      </c>
      <c r="K1716" s="335" t="s">
        <v>3468</v>
      </c>
      <c r="L1716" s="335">
        <v>1</v>
      </c>
      <c r="M1716" s="335" t="s">
        <v>3469</v>
      </c>
      <c r="N1716" s="339">
        <v>1</v>
      </c>
      <c r="O1716" s="341">
        <v>1</v>
      </c>
      <c r="P1716" s="341">
        <v>1</v>
      </c>
      <c r="Q1716" s="341">
        <v>1</v>
      </c>
      <c r="R1716" s="342">
        <v>19.03</v>
      </c>
      <c r="S1716" s="342" t="s">
        <v>25</v>
      </c>
    </row>
    <row r="1717" spans="1:19" ht="14.25" customHeight="1" x14ac:dyDescent="0.3">
      <c r="A1717" s="335" t="s">
        <v>3470</v>
      </c>
      <c r="B1717" s="335" t="s">
        <v>20</v>
      </c>
      <c r="C1717" s="335"/>
      <c r="D1717" s="335" t="s">
        <v>3471</v>
      </c>
      <c r="E1717" s="336" t="s">
        <v>3472</v>
      </c>
      <c r="F1717" s="336"/>
      <c r="G1717" s="337">
        <v>1</v>
      </c>
      <c r="H1717" s="338">
        <v>0</v>
      </c>
      <c r="I1717" s="339">
        <v>27462.429620301798</v>
      </c>
      <c r="J1717" s="340">
        <v>27462.429620301798</v>
      </c>
      <c r="K1717" s="335" t="s">
        <v>3473</v>
      </c>
      <c r="L1717" s="335">
        <v>1</v>
      </c>
      <c r="M1717" s="335" t="s">
        <v>3474</v>
      </c>
      <c r="N1717" s="339">
        <v>1</v>
      </c>
      <c r="O1717" s="341">
        <v>1</v>
      </c>
      <c r="P1717" s="341">
        <v>1</v>
      </c>
      <c r="Q1717" s="341">
        <v>1</v>
      </c>
      <c r="R1717" s="342">
        <v>19.04</v>
      </c>
      <c r="S1717" s="342" t="s">
        <v>25</v>
      </c>
    </row>
    <row r="1718" spans="1:19" ht="14.25" customHeight="1" x14ac:dyDescent="0.3">
      <c r="A1718" s="335" t="s">
        <v>3470</v>
      </c>
      <c r="B1718" s="335" t="s">
        <v>26</v>
      </c>
      <c r="C1718" s="335" t="s">
        <v>27</v>
      </c>
      <c r="D1718" s="335" t="s">
        <v>3475</v>
      </c>
      <c r="E1718" s="336" t="s">
        <v>3476</v>
      </c>
      <c r="F1718" s="336" t="s">
        <v>98</v>
      </c>
      <c r="G1718" s="337">
        <v>1</v>
      </c>
      <c r="H1718" s="338">
        <v>0</v>
      </c>
      <c r="I1718" s="339">
        <v>733877.16885000002</v>
      </c>
      <c r="J1718" s="340">
        <v>733877.16885000002</v>
      </c>
      <c r="K1718" s="335" t="s">
        <v>3477</v>
      </c>
      <c r="L1718" s="335">
        <v>1</v>
      </c>
      <c r="M1718" s="335" t="s">
        <v>3478</v>
      </c>
      <c r="N1718" s="339">
        <v>1</v>
      </c>
      <c r="O1718" s="341">
        <v>1</v>
      </c>
      <c r="P1718" s="341">
        <v>1</v>
      </c>
      <c r="Q1718" s="341">
        <v>1</v>
      </c>
      <c r="R1718" s="342">
        <v>19.04</v>
      </c>
      <c r="S1718" s="342" t="s">
        <v>25</v>
      </c>
    </row>
    <row r="1719" spans="1:19" ht="14.25" customHeight="1" x14ac:dyDescent="0.3">
      <c r="A1719" s="335" t="s">
        <v>3470</v>
      </c>
      <c r="B1719" s="335" t="s">
        <v>56</v>
      </c>
      <c r="C1719" s="335" t="s">
        <v>27</v>
      </c>
      <c r="D1719" s="335" t="s">
        <v>3479</v>
      </c>
      <c r="E1719" s="336" t="s">
        <v>3480</v>
      </c>
      <c r="F1719" s="336" t="s">
        <v>60</v>
      </c>
      <c r="G1719" s="337">
        <v>1</v>
      </c>
      <c r="H1719" s="338">
        <v>0</v>
      </c>
      <c r="I1719" s="339">
        <v>1096951.47250345</v>
      </c>
      <c r="J1719" s="340">
        <v>1096951.47250345</v>
      </c>
      <c r="K1719" s="335" t="s">
        <v>3481</v>
      </c>
      <c r="L1719" s="335">
        <v>1</v>
      </c>
      <c r="M1719" s="335" t="s">
        <v>3482</v>
      </c>
      <c r="N1719" s="339">
        <v>1</v>
      </c>
      <c r="O1719" s="341">
        <v>1</v>
      </c>
      <c r="P1719" s="341">
        <v>1</v>
      </c>
      <c r="Q1719" s="341">
        <v>1</v>
      </c>
      <c r="R1719" s="342">
        <v>19.04</v>
      </c>
      <c r="S1719" s="342" t="s">
        <v>25</v>
      </c>
    </row>
    <row r="1720" spans="1:19" ht="14.25" customHeight="1" x14ac:dyDescent="0.3">
      <c r="A1720" s="335" t="s">
        <v>3483</v>
      </c>
      <c r="B1720" s="335" t="s">
        <v>20</v>
      </c>
      <c r="C1720" s="335"/>
      <c r="D1720" s="335" t="s">
        <v>3484</v>
      </c>
      <c r="E1720" s="336" t="s">
        <v>3485</v>
      </c>
      <c r="F1720" s="336"/>
      <c r="G1720" s="337">
        <v>1</v>
      </c>
      <c r="H1720" s="338">
        <v>0</v>
      </c>
      <c r="I1720" s="339">
        <v>39232.042314716797</v>
      </c>
      <c r="J1720" s="340">
        <v>39232.042314716797</v>
      </c>
      <c r="K1720" s="335" t="s">
        <v>3486</v>
      </c>
      <c r="L1720" s="335">
        <v>1</v>
      </c>
      <c r="M1720" s="335" t="s">
        <v>3487</v>
      </c>
      <c r="N1720" s="339">
        <v>1</v>
      </c>
      <c r="O1720" s="341">
        <v>1</v>
      </c>
      <c r="P1720" s="341">
        <v>1</v>
      </c>
      <c r="Q1720" s="341">
        <v>1</v>
      </c>
      <c r="R1720" s="342">
        <v>19.05</v>
      </c>
      <c r="S1720" s="342" t="s">
        <v>25</v>
      </c>
    </row>
    <row r="1721" spans="1:19" ht="14.25" customHeight="1" x14ac:dyDescent="0.3">
      <c r="A1721" s="335" t="s">
        <v>3483</v>
      </c>
      <c r="B1721" s="335" t="s">
        <v>26</v>
      </c>
      <c r="C1721" s="335" t="s">
        <v>27</v>
      </c>
      <c r="D1721" s="335" t="s">
        <v>3488</v>
      </c>
      <c r="E1721" s="336" t="s">
        <v>3489</v>
      </c>
      <c r="F1721" s="336" t="s">
        <v>98</v>
      </c>
      <c r="G1721" s="337">
        <v>1</v>
      </c>
      <c r="H1721" s="338">
        <v>0</v>
      </c>
      <c r="I1721" s="339">
        <v>1048395.9555</v>
      </c>
      <c r="J1721" s="340">
        <v>1048395.9555</v>
      </c>
      <c r="K1721" s="335" t="s">
        <v>3490</v>
      </c>
      <c r="L1721" s="335">
        <v>1</v>
      </c>
      <c r="M1721" s="335" t="s">
        <v>3491</v>
      </c>
      <c r="N1721" s="339">
        <v>1</v>
      </c>
      <c r="O1721" s="341">
        <v>1</v>
      </c>
      <c r="P1721" s="341">
        <v>1</v>
      </c>
      <c r="Q1721" s="341">
        <v>1</v>
      </c>
      <c r="R1721" s="342">
        <v>19.05</v>
      </c>
      <c r="S1721" s="342" t="s">
        <v>25</v>
      </c>
    </row>
    <row r="1722" spans="1:19" ht="14.25" customHeight="1" x14ac:dyDescent="0.3">
      <c r="A1722" s="335" t="s">
        <v>3483</v>
      </c>
      <c r="B1722" s="335" t="s">
        <v>56</v>
      </c>
      <c r="C1722" s="335" t="s">
        <v>27</v>
      </c>
      <c r="D1722" s="335" t="s">
        <v>3492</v>
      </c>
      <c r="E1722" s="336" t="s">
        <v>3493</v>
      </c>
      <c r="F1722" s="336" t="s">
        <v>60</v>
      </c>
      <c r="G1722" s="337">
        <v>1</v>
      </c>
      <c r="H1722" s="338">
        <v>0</v>
      </c>
      <c r="I1722" s="339">
        <v>1567073.5321477901</v>
      </c>
      <c r="J1722" s="340">
        <v>1567073.5321477901</v>
      </c>
      <c r="K1722" s="335" t="s">
        <v>3494</v>
      </c>
      <c r="L1722" s="335">
        <v>1</v>
      </c>
      <c r="M1722" s="335" t="s">
        <v>3495</v>
      </c>
      <c r="N1722" s="339">
        <v>1</v>
      </c>
      <c r="O1722" s="341">
        <v>1</v>
      </c>
      <c r="P1722" s="341">
        <v>1</v>
      </c>
      <c r="Q1722" s="341">
        <v>1</v>
      </c>
      <c r="R1722" s="342">
        <v>19.05</v>
      </c>
      <c r="S1722" s="342" t="s">
        <v>25</v>
      </c>
    </row>
    <row r="1723" spans="1:19" ht="14.25" customHeight="1" x14ac:dyDescent="0.3">
      <c r="A1723" s="335" t="s">
        <v>3496</v>
      </c>
      <c r="B1723" s="335" t="s">
        <v>20</v>
      </c>
      <c r="C1723" s="335"/>
      <c r="D1723" s="335" t="s">
        <v>3497</v>
      </c>
      <c r="E1723" s="336" t="s">
        <v>3498</v>
      </c>
      <c r="F1723" s="336"/>
      <c r="G1723" s="337">
        <v>1</v>
      </c>
      <c r="H1723" s="338">
        <v>0</v>
      </c>
      <c r="I1723" s="339">
        <v>11769.6126944151</v>
      </c>
      <c r="J1723" s="340">
        <v>11769.6126944151</v>
      </c>
      <c r="K1723" s="335" t="s">
        <v>3499</v>
      </c>
      <c r="L1723" s="335">
        <v>1</v>
      </c>
      <c r="M1723" s="335" t="s">
        <v>3500</v>
      </c>
      <c r="N1723" s="339">
        <v>1</v>
      </c>
      <c r="O1723" s="341">
        <v>1</v>
      </c>
      <c r="P1723" s="341">
        <v>1</v>
      </c>
      <c r="Q1723" s="341">
        <v>1</v>
      </c>
      <c r="R1723" s="342">
        <v>19.059999999999999</v>
      </c>
      <c r="S1723" s="342" t="s">
        <v>25</v>
      </c>
    </row>
    <row r="1724" spans="1:19" ht="14.25" customHeight="1" x14ac:dyDescent="0.3">
      <c r="A1724" s="335" t="s">
        <v>3496</v>
      </c>
      <c r="B1724" s="335" t="s">
        <v>26</v>
      </c>
      <c r="C1724" s="335" t="s">
        <v>27</v>
      </c>
      <c r="D1724" s="335" t="s">
        <v>3501</v>
      </c>
      <c r="E1724" s="336" t="s">
        <v>3502</v>
      </c>
      <c r="F1724" s="336" t="s">
        <v>98</v>
      </c>
      <c r="G1724" s="337">
        <v>1</v>
      </c>
      <c r="H1724" s="338">
        <v>0</v>
      </c>
      <c r="I1724" s="339">
        <v>314518.78665000002</v>
      </c>
      <c r="J1724" s="340">
        <v>314518.78665000002</v>
      </c>
      <c r="K1724" s="335" t="s">
        <v>3503</v>
      </c>
      <c r="L1724" s="335">
        <v>1</v>
      </c>
      <c r="M1724" s="335" t="s">
        <v>3504</v>
      </c>
      <c r="N1724" s="339">
        <v>1</v>
      </c>
      <c r="O1724" s="341">
        <v>1</v>
      </c>
      <c r="P1724" s="341">
        <v>1</v>
      </c>
      <c r="Q1724" s="341">
        <v>1</v>
      </c>
      <c r="R1724" s="342">
        <v>19.059999999999999</v>
      </c>
      <c r="S1724" s="342" t="s">
        <v>25</v>
      </c>
    </row>
    <row r="1725" spans="1:19" ht="14.25" customHeight="1" x14ac:dyDescent="0.3">
      <c r="A1725" s="335" t="s">
        <v>3496</v>
      </c>
      <c r="B1725" s="335" t="s">
        <v>56</v>
      </c>
      <c r="C1725" s="335" t="s">
        <v>27</v>
      </c>
      <c r="D1725" s="335" t="s">
        <v>3505</v>
      </c>
      <c r="E1725" s="336" t="s">
        <v>3506</v>
      </c>
      <c r="F1725" s="336" t="s">
        <v>60</v>
      </c>
      <c r="G1725" s="337">
        <v>1</v>
      </c>
      <c r="H1725" s="338">
        <v>0</v>
      </c>
      <c r="I1725" s="339">
        <v>470122.05964433699</v>
      </c>
      <c r="J1725" s="340">
        <v>470122.05964433699</v>
      </c>
      <c r="K1725" s="335" t="s">
        <v>3507</v>
      </c>
      <c r="L1725" s="335">
        <v>1</v>
      </c>
      <c r="M1725" s="335" t="s">
        <v>3508</v>
      </c>
      <c r="N1725" s="339">
        <v>1</v>
      </c>
      <c r="O1725" s="341">
        <v>1</v>
      </c>
      <c r="P1725" s="341">
        <v>1</v>
      </c>
      <c r="Q1725" s="341">
        <v>1</v>
      </c>
      <c r="R1725" s="342">
        <v>19.059999999999999</v>
      </c>
      <c r="S1725" s="342" t="s">
        <v>25</v>
      </c>
    </row>
    <row r="1726" spans="1:19" ht="14.25" customHeight="1" x14ac:dyDescent="0.3">
      <c r="A1726" s="335" t="s">
        <v>3509</v>
      </c>
      <c r="B1726" s="335" t="s">
        <v>20</v>
      </c>
      <c r="C1726" s="335"/>
      <c r="D1726" s="335" t="s">
        <v>3510</v>
      </c>
      <c r="E1726" s="336" t="s">
        <v>3511</v>
      </c>
      <c r="F1726" s="336"/>
      <c r="G1726" s="337">
        <v>1</v>
      </c>
      <c r="H1726" s="338">
        <v>0</v>
      </c>
      <c r="I1726" s="339">
        <v>36185.167983590203</v>
      </c>
      <c r="J1726" s="340">
        <v>36185.167983590203</v>
      </c>
      <c r="K1726" s="335" t="s">
        <v>3512</v>
      </c>
      <c r="L1726" s="335">
        <v>1</v>
      </c>
      <c r="M1726" s="335" t="s">
        <v>3513</v>
      </c>
      <c r="N1726" s="339">
        <v>1</v>
      </c>
      <c r="O1726" s="341">
        <v>1</v>
      </c>
      <c r="P1726" s="341">
        <v>1</v>
      </c>
      <c r="Q1726" s="341">
        <v>1</v>
      </c>
      <c r="R1726" s="342">
        <v>19.07</v>
      </c>
      <c r="S1726" s="342" t="s">
        <v>25</v>
      </c>
    </row>
    <row r="1727" spans="1:19" ht="14.25" customHeight="1" x14ac:dyDescent="0.3">
      <c r="A1727" s="335" t="s">
        <v>3509</v>
      </c>
      <c r="B1727" s="335" t="s">
        <v>26</v>
      </c>
      <c r="C1727" s="335" t="s">
        <v>27</v>
      </c>
      <c r="D1727" s="335" t="s">
        <v>3514</v>
      </c>
      <c r="E1727" s="336" t="s">
        <v>3515</v>
      </c>
      <c r="F1727" s="336" t="s">
        <v>98</v>
      </c>
      <c r="G1727" s="337">
        <v>1</v>
      </c>
      <c r="H1727" s="338">
        <v>0</v>
      </c>
      <c r="I1727" s="339">
        <v>892886.95565999998</v>
      </c>
      <c r="J1727" s="340">
        <v>892886.95565999998</v>
      </c>
      <c r="K1727" s="335" t="s">
        <v>3516</v>
      </c>
      <c r="L1727" s="335">
        <v>1</v>
      </c>
      <c r="M1727" s="335" t="s">
        <v>3517</v>
      </c>
      <c r="N1727" s="339">
        <v>1</v>
      </c>
      <c r="O1727" s="341">
        <v>1</v>
      </c>
      <c r="P1727" s="341">
        <v>1</v>
      </c>
      <c r="Q1727" s="341">
        <v>1</v>
      </c>
      <c r="R1727" s="342">
        <v>19.07</v>
      </c>
      <c r="S1727" s="342" t="s">
        <v>25</v>
      </c>
    </row>
    <row r="1728" spans="1:19" ht="14.25" customHeight="1" x14ac:dyDescent="0.3">
      <c r="A1728" s="335" t="s">
        <v>3509</v>
      </c>
      <c r="B1728" s="335" t="s">
        <v>56</v>
      </c>
      <c r="C1728" s="335" t="s">
        <v>27</v>
      </c>
      <c r="D1728" s="335" t="s">
        <v>3518</v>
      </c>
      <c r="E1728" s="336" t="s">
        <v>3519</v>
      </c>
      <c r="F1728" s="336" t="s">
        <v>60</v>
      </c>
      <c r="G1728" s="337">
        <v>1</v>
      </c>
      <c r="H1728" s="338">
        <v>0</v>
      </c>
      <c r="I1728" s="339">
        <v>1519457.57657935</v>
      </c>
      <c r="J1728" s="340">
        <v>1519457.57657935</v>
      </c>
      <c r="K1728" s="335" t="s">
        <v>3520</v>
      </c>
      <c r="L1728" s="335">
        <v>1</v>
      </c>
      <c r="M1728" s="335" t="s">
        <v>3521</v>
      </c>
      <c r="N1728" s="339">
        <v>1</v>
      </c>
      <c r="O1728" s="341">
        <v>1</v>
      </c>
      <c r="P1728" s="341">
        <v>1</v>
      </c>
      <c r="Q1728" s="341">
        <v>1</v>
      </c>
      <c r="R1728" s="342">
        <v>19.07</v>
      </c>
      <c r="S1728" s="342" t="s">
        <v>25</v>
      </c>
    </row>
    <row r="1729" spans="1:19" ht="14.25" customHeight="1" x14ac:dyDescent="0.3">
      <c r="A1729" s="335" t="s">
        <v>3522</v>
      </c>
      <c r="B1729" s="335" t="s">
        <v>20</v>
      </c>
      <c r="C1729" s="335"/>
      <c r="D1729" s="335" t="s">
        <v>3523</v>
      </c>
      <c r="E1729" s="336" t="s">
        <v>3524</v>
      </c>
      <c r="F1729" s="336"/>
      <c r="G1729" s="337">
        <v>1</v>
      </c>
      <c r="H1729" s="338">
        <v>0</v>
      </c>
      <c r="I1729" s="339">
        <v>40649.602761890201</v>
      </c>
      <c r="J1729" s="340">
        <v>40649.602761890201</v>
      </c>
      <c r="K1729" s="335" t="s">
        <v>3525</v>
      </c>
      <c r="L1729" s="335">
        <v>1</v>
      </c>
      <c r="M1729" s="335" t="s">
        <v>3526</v>
      </c>
      <c r="N1729" s="339">
        <v>1</v>
      </c>
      <c r="O1729" s="341">
        <v>1</v>
      </c>
      <c r="P1729" s="341">
        <v>1</v>
      </c>
      <c r="Q1729" s="341">
        <v>1</v>
      </c>
      <c r="R1729" s="342">
        <v>19.079999999999998</v>
      </c>
      <c r="S1729" s="342" t="s">
        <v>25</v>
      </c>
    </row>
    <row r="1730" spans="1:19" ht="14.25" customHeight="1" x14ac:dyDescent="0.3">
      <c r="A1730" s="335" t="s">
        <v>3522</v>
      </c>
      <c r="B1730" s="335" t="s">
        <v>26</v>
      </c>
      <c r="C1730" s="335" t="s">
        <v>27</v>
      </c>
      <c r="D1730" s="335" t="s">
        <v>3527</v>
      </c>
      <c r="E1730" s="336" t="s">
        <v>3528</v>
      </c>
      <c r="F1730" s="336" t="s">
        <v>98</v>
      </c>
      <c r="G1730" s="337">
        <v>1</v>
      </c>
      <c r="H1730" s="338">
        <v>0</v>
      </c>
      <c r="I1730" s="339">
        <v>1190515.9408799999</v>
      </c>
      <c r="J1730" s="340">
        <v>1190515.9408799999</v>
      </c>
      <c r="K1730" s="335" t="s">
        <v>3529</v>
      </c>
      <c r="L1730" s="335">
        <v>1</v>
      </c>
      <c r="M1730" s="335" t="s">
        <v>3530</v>
      </c>
      <c r="N1730" s="339">
        <v>1</v>
      </c>
      <c r="O1730" s="341">
        <v>1</v>
      </c>
      <c r="P1730" s="341">
        <v>1</v>
      </c>
      <c r="Q1730" s="341">
        <v>1</v>
      </c>
      <c r="R1730" s="342">
        <v>19.079999999999998</v>
      </c>
      <c r="S1730" s="342" t="s">
        <v>25</v>
      </c>
    </row>
    <row r="1731" spans="1:19" ht="14.25" customHeight="1" x14ac:dyDescent="0.3">
      <c r="A1731" s="335" t="s">
        <v>3522</v>
      </c>
      <c r="B1731" s="335" t="s">
        <v>56</v>
      </c>
      <c r="C1731" s="335" t="s">
        <v>27</v>
      </c>
      <c r="D1731" s="335" t="s">
        <v>3531</v>
      </c>
      <c r="E1731" s="336" t="s">
        <v>3532</v>
      </c>
      <c r="F1731" s="336" t="s">
        <v>60</v>
      </c>
      <c r="G1731" s="337">
        <v>1</v>
      </c>
      <c r="H1731" s="338">
        <v>0</v>
      </c>
      <c r="I1731" s="339">
        <v>1519457.57657935</v>
      </c>
      <c r="J1731" s="340">
        <v>1519457.57657935</v>
      </c>
      <c r="K1731" s="335" t="s">
        <v>3533</v>
      </c>
      <c r="L1731" s="335">
        <v>1</v>
      </c>
      <c r="M1731" s="335" t="s">
        <v>3534</v>
      </c>
      <c r="N1731" s="339">
        <v>1</v>
      </c>
      <c r="O1731" s="341">
        <v>1</v>
      </c>
      <c r="P1731" s="341">
        <v>1</v>
      </c>
      <c r="Q1731" s="341">
        <v>1</v>
      </c>
      <c r="R1731" s="342">
        <v>19.079999999999998</v>
      </c>
      <c r="S1731" s="342" t="s">
        <v>25</v>
      </c>
    </row>
    <row r="1732" spans="1:19" ht="14.25" customHeight="1" x14ac:dyDescent="0.3">
      <c r="A1732" s="335" t="s">
        <v>3535</v>
      </c>
      <c r="B1732" s="335" t="s">
        <v>20</v>
      </c>
      <c r="C1732" s="335"/>
      <c r="D1732" s="335" t="s">
        <v>3536</v>
      </c>
      <c r="E1732" s="336" t="s">
        <v>3537</v>
      </c>
      <c r="F1732" s="336"/>
      <c r="G1732" s="337">
        <v>1</v>
      </c>
      <c r="H1732" s="338">
        <v>0</v>
      </c>
      <c r="I1732" s="339">
        <v>36185.167983590203</v>
      </c>
      <c r="J1732" s="340">
        <v>36185.167983590203</v>
      </c>
      <c r="K1732" s="335" t="s">
        <v>3538</v>
      </c>
      <c r="L1732" s="335">
        <v>1</v>
      </c>
      <c r="M1732" s="335" t="s">
        <v>3539</v>
      </c>
      <c r="N1732" s="339">
        <v>1</v>
      </c>
      <c r="O1732" s="341">
        <v>1</v>
      </c>
      <c r="P1732" s="341">
        <v>1</v>
      </c>
      <c r="Q1732" s="341">
        <v>1</v>
      </c>
      <c r="R1732" s="342">
        <v>19.09</v>
      </c>
      <c r="S1732" s="342" t="s">
        <v>25</v>
      </c>
    </row>
    <row r="1733" spans="1:19" ht="14.25" customHeight="1" x14ac:dyDescent="0.3">
      <c r="A1733" s="335" t="s">
        <v>3535</v>
      </c>
      <c r="B1733" s="335" t="s">
        <v>26</v>
      </c>
      <c r="C1733" s="335" t="s">
        <v>27</v>
      </c>
      <c r="D1733" s="335" t="s">
        <v>3540</v>
      </c>
      <c r="E1733" s="336" t="s">
        <v>3541</v>
      </c>
      <c r="F1733" s="336" t="s">
        <v>98</v>
      </c>
      <c r="G1733" s="337">
        <v>1</v>
      </c>
      <c r="H1733" s="338">
        <v>0</v>
      </c>
      <c r="I1733" s="339">
        <v>892886.95565999998</v>
      </c>
      <c r="J1733" s="340">
        <v>892886.95565999998</v>
      </c>
      <c r="K1733" s="335" t="s">
        <v>3542</v>
      </c>
      <c r="L1733" s="335">
        <v>1</v>
      </c>
      <c r="M1733" s="335" t="s">
        <v>3543</v>
      </c>
      <c r="N1733" s="339">
        <v>1</v>
      </c>
      <c r="O1733" s="341">
        <v>1</v>
      </c>
      <c r="P1733" s="341">
        <v>1</v>
      </c>
      <c r="Q1733" s="341">
        <v>1</v>
      </c>
      <c r="R1733" s="342">
        <v>19.09</v>
      </c>
      <c r="S1733" s="342" t="s">
        <v>25</v>
      </c>
    </row>
    <row r="1734" spans="1:19" ht="14.25" customHeight="1" x14ac:dyDescent="0.3">
      <c r="A1734" s="335" t="s">
        <v>3535</v>
      </c>
      <c r="B1734" s="335" t="s">
        <v>56</v>
      </c>
      <c r="C1734" s="335" t="s">
        <v>27</v>
      </c>
      <c r="D1734" s="335" t="s">
        <v>3544</v>
      </c>
      <c r="E1734" s="336" t="s">
        <v>3545</v>
      </c>
      <c r="F1734" s="336" t="s">
        <v>60</v>
      </c>
      <c r="G1734" s="337">
        <v>1</v>
      </c>
      <c r="H1734" s="338">
        <v>0</v>
      </c>
      <c r="I1734" s="339">
        <v>1519457.57657935</v>
      </c>
      <c r="J1734" s="340">
        <v>1519457.57657935</v>
      </c>
      <c r="K1734" s="335" t="s">
        <v>3546</v>
      </c>
      <c r="L1734" s="335">
        <v>1</v>
      </c>
      <c r="M1734" s="335" t="s">
        <v>3547</v>
      </c>
      <c r="N1734" s="339">
        <v>1</v>
      </c>
      <c r="O1734" s="341">
        <v>1</v>
      </c>
      <c r="P1734" s="341">
        <v>1</v>
      </c>
      <c r="Q1734" s="341">
        <v>1</v>
      </c>
      <c r="R1734" s="342">
        <v>19.09</v>
      </c>
      <c r="S1734" s="342" t="s">
        <v>25</v>
      </c>
    </row>
    <row r="1735" spans="1:19" ht="14.25" customHeight="1" x14ac:dyDescent="0.3">
      <c r="A1735" s="335" t="s">
        <v>3548</v>
      </c>
      <c r="B1735" s="335" t="s">
        <v>20</v>
      </c>
      <c r="C1735" s="335"/>
      <c r="D1735" s="335" t="s">
        <v>3549</v>
      </c>
      <c r="E1735" s="336" t="s">
        <v>3550</v>
      </c>
      <c r="F1735" s="336"/>
      <c r="G1735" s="337">
        <v>1</v>
      </c>
      <c r="H1735" s="338">
        <v>0</v>
      </c>
      <c r="I1735" s="339">
        <v>204187.39332383199</v>
      </c>
      <c r="J1735" s="340">
        <v>204187.39332383199</v>
      </c>
      <c r="K1735" s="335" t="s">
        <v>3551</v>
      </c>
      <c r="L1735" s="335">
        <v>1</v>
      </c>
      <c r="M1735" s="335" t="s">
        <v>3552</v>
      </c>
      <c r="N1735" s="339">
        <v>1</v>
      </c>
      <c r="O1735" s="341">
        <v>1</v>
      </c>
      <c r="P1735" s="341">
        <v>1</v>
      </c>
      <c r="Q1735" s="341">
        <v>1</v>
      </c>
      <c r="R1735" s="342">
        <v>19.100000000000001</v>
      </c>
      <c r="S1735" s="342" t="s">
        <v>25</v>
      </c>
    </row>
    <row r="1736" spans="1:19" ht="14.25" customHeight="1" x14ac:dyDescent="0.3">
      <c r="A1736" s="335" t="s">
        <v>3548</v>
      </c>
      <c r="B1736" s="335" t="s">
        <v>26</v>
      </c>
      <c r="C1736" s="335" t="s">
        <v>27</v>
      </c>
      <c r="D1736" s="335" t="s">
        <v>3553</v>
      </c>
      <c r="E1736" s="336" t="s">
        <v>3554</v>
      </c>
      <c r="F1736" s="336" t="s">
        <v>98</v>
      </c>
      <c r="G1736" s="337">
        <v>1</v>
      </c>
      <c r="H1736" s="338">
        <v>0</v>
      </c>
      <c r="I1736" s="339">
        <v>2976289.8522000001</v>
      </c>
      <c r="J1736" s="340">
        <v>2976289.8522000001</v>
      </c>
      <c r="K1736" s="335" t="s">
        <v>3555</v>
      </c>
      <c r="L1736" s="335">
        <v>1</v>
      </c>
      <c r="M1736" s="335" t="s">
        <v>3556</v>
      </c>
      <c r="N1736" s="339">
        <v>1</v>
      </c>
      <c r="O1736" s="341">
        <v>1</v>
      </c>
      <c r="P1736" s="341">
        <v>1</v>
      </c>
      <c r="Q1736" s="341">
        <v>1</v>
      </c>
      <c r="R1736" s="342">
        <v>19.100000000000001</v>
      </c>
      <c r="S1736" s="342" t="s">
        <v>25</v>
      </c>
    </row>
    <row r="1737" spans="1:19" ht="14.25" customHeight="1" x14ac:dyDescent="0.3">
      <c r="A1737" s="335" t="s">
        <v>3548</v>
      </c>
      <c r="B1737" s="335" t="s">
        <v>56</v>
      </c>
      <c r="C1737" s="335" t="s">
        <v>27</v>
      </c>
      <c r="D1737" s="335" t="s">
        <v>3557</v>
      </c>
      <c r="E1737" s="336" t="s">
        <v>3558</v>
      </c>
      <c r="F1737" s="336" t="s">
        <v>60</v>
      </c>
      <c r="G1737" s="337">
        <v>1</v>
      </c>
      <c r="H1737" s="338">
        <v>0</v>
      </c>
      <c r="I1737" s="339">
        <v>10636203.036055399</v>
      </c>
      <c r="J1737" s="340">
        <v>10636203.036055399</v>
      </c>
      <c r="K1737" s="335" t="s">
        <v>3559</v>
      </c>
      <c r="L1737" s="335">
        <v>1</v>
      </c>
      <c r="M1737" s="335" t="s">
        <v>3560</v>
      </c>
      <c r="N1737" s="339">
        <v>1</v>
      </c>
      <c r="O1737" s="341">
        <v>1</v>
      </c>
      <c r="P1737" s="341">
        <v>1</v>
      </c>
      <c r="Q1737" s="341">
        <v>1</v>
      </c>
      <c r="R1737" s="342">
        <v>19.100000000000001</v>
      </c>
      <c r="S1737" s="342" t="s">
        <v>25</v>
      </c>
    </row>
    <row r="1738" spans="1:19" ht="14.25" customHeight="1" x14ac:dyDescent="0.3">
      <c r="A1738" s="335" t="s">
        <v>3561</v>
      </c>
      <c r="B1738" s="335" t="s">
        <v>20</v>
      </c>
      <c r="C1738" s="335"/>
      <c r="D1738" s="335" t="s">
        <v>3562</v>
      </c>
      <c r="E1738" s="336" t="s">
        <v>3563</v>
      </c>
      <c r="F1738" s="336"/>
      <c r="G1738" s="337">
        <v>1</v>
      </c>
      <c r="H1738" s="338">
        <v>0</v>
      </c>
      <c r="I1738" s="339">
        <v>69010.743634148894</v>
      </c>
      <c r="J1738" s="340">
        <v>69010.743634148894</v>
      </c>
      <c r="K1738" s="335" t="s">
        <v>3564</v>
      </c>
      <c r="L1738" s="335">
        <v>1</v>
      </c>
      <c r="M1738" s="335" t="s">
        <v>3565</v>
      </c>
      <c r="N1738" s="339">
        <v>1</v>
      </c>
      <c r="O1738" s="341">
        <v>1</v>
      </c>
      <c r="P1738" s="341">
        <v>1</v>
      </c>
      <c r="Q1738" s="341">
        <v>1</v>
      </c>
      <c r="R1738" s="342">
        <v>19.11</v>
      </c>
      <c r="S1738" s="342" t="s">
        <v>25</v>
      </c>
    </row>
    <row r="1739" spans="1:19" ht="14.25" customHeight="1" x14ac:dyDescent="0.3">
      <c r="A1739" s="335" t="s">
        <v>3561</v>
      </c>
      <c r="B1739" s="335" t="s">
        <v>26</v>
      </c>
      <c r="C1739" s="335" t="s">
        <v>27</v>
      </c>
      <c r="D1739" s="335" t="s">
        <v>3566</v>
      </c>
      <c r="E1739" s="336" t="s">
        <v>3567</v>
      </c>
      <c r="F1739" s="336" t="s">
        <v>98</v>
      </c>
      <c r="G1739" s="337">
        <v>1</v>
      </c>
      <c r="H1739" s="338">
        <v>0</v>
      </c>
      <c r="I1739" s="339">
        <v>2023467.36</v>
      </c>
      <c r="J1739" s="340">
        <v>2023467.36</v>
      </c>
      <c r="K1739" s="335" t="s">
        <v>3568</v>
      </c>
      <c r="L1739" s="335">
        <v>1</v>
      </c>
      <c r="M1739" s="335" t="s">
        <v>3569</v>
      </c>
      <c r="N1739" s="339">
        <v>1</v>
      </c>
      <c r="O1739" s="341">
        <v>1</v>
      </c>
      <c r="P1739" s="341">
        <v>1</v>
      </c>
      <c r="Q1739" s="341">
        <v>1</v>
      </c>
      <c r="R1739" s="342">
        <v>19.11</v>
      </c>
      <c r="S1739" s="342" t="s">
        <v>25</v>
      </c>
    </row>
    <row r="1740" spans="1:19" ht="14.25" customHeight="1" x14ac:dyDescent="0.3">
      <c r="A1740" s="335" t="s">
        <v>3561</v>
      </c>
      <c r="B1740" s="335" t="s">
        <v>56</v>
      </c>
      <c r="C1740" s="335" t="s">
        <v>27</v>
      </c>
      <c r="D1740" s="335" t="s">
        <v>3570</v>
      </c>
      <c r="E1740" s="336" t="s">
        <v>3571</v>
      </c>
      <c r="F1740" s="336" t="s">
        <v>60</v>
      </c>
      <c r="G1740" s="337">
        <v>1</v>
      </c>
      <c r="H1740" s="338">
        <v>0</v>
      </c>
      <c r="I1740" s="339">
        <v>2577248.88227659</v>
      </c>
      <c r="J1740" s="340">
        <v>2577248.88227659</v>
      </c>
      <c r="K1740" s="335" t="s">
        <v>3572</v>
      </c>
      <c r="L1740" s="335">
        <v>1</v>
      </c>
      <c r="M1740" s="335" t="s">
        <v>3573</v>
      </c>
      <c r="N1740" s="339">
        <v>1</v>
      </c>
      <c r="O1740" s="341">
        <v>1</v>
      </c>
      <c r="P1740" s="341">
        <v>1</v>
      </c>
      <c r="Q1740" s="341">
        <v>1</v>
      </c>
      <c r="R1740" s="342">
        <v>19.11</v>
      </c>
      <c r="S1740" s="342" t="s">
        <v>25</v>
      </c>
    </row>
    <row r="1741" spans="1:19" ht="14.25" customHeight="1" x14ac:dyDescent="0.3">
      <c r="A1741" s="335" t="s">
        <v>3574</v>
      </c>
      <c r="B1741" s="335" t="s">
        <v>20</v>
      </c>
      <c r="C1741" s="335"/>
      <c r="D1741" s="335" t="s">
        <v>3575</v>
      </c>
      <c r="E1741" s="336" t="s">
        <v>3576</v>
      </c>
      <c r="F1741" s="336"/>
      <c r="G1741" s="337">
        <v>1</v>
      </c>
      <c r="H1741" s="338">
        <v>0</v>
      </c>
      <c r="I1741" s="339">
        <v>29250</v>
      </c>
      <c r="J1741" s="340">
        <v>29250</v>
      </c>
      <c r="K1741" s="335" t="s">
        <v>3577</v>
      </c>
      <c r="L1741" s="335">
        <v>1</v>
      </c>
      <c r="M1741" s="335" t="s">
        <v>3578</v>
      </c>
      <c r="N1741" s="339">
        <v>1</v>
      </c>
      <c r="O1741" s="341">
        <v>1</v>
      </c>
      <c r="P1741" s="341">
        <v>1</v>
      </c>
      <c r="Q1741" s="341">
        <v>1</v>
      </c>
      <c r="R1741" s="342">
        <v>19.12</v>
      </c>
      <c r="S1741" s="342" t="s">
        <v>25</v>
      </c>
    </row>
    <row r="1742" spans="1:19" ht="14.25" customHeight="1" x14ac:dyDescent="0.3">
      <c r="A1742" s="335" t="s">
        <v>3574</v>
      </c>
      <c r="B1742" s="335" t="s">
        <v>26</v>
      </c>
      <c r="C1742" s="335" t="s">
        <v>27</v>
      </c>
      <c r="D1742" s="335" t="s">
        <v>3579</v>
      </c>
      <c r="E1742" s="336" t="s">
        <v>3580</v>
      </c>
      <c r="F1742" s="336" t="s">
        <v>98</v>
      </c>
      <c r="G1742" s="337">
        <v>1</v>
      </c>
      <c r="H1742" s="338">
        <v>0</v>
      </c>
      <c r="I1742" s="339">
        <v>450000</v>
      </c>
      <c r="J1742" s="340">
        <v>450000</v>
      </c>
      <c r="K1742" s="335" t="s">
        <v>3581</v>
      </c>
      <c r="L1742" s="335">
        <v>1</v>
      </c>
      <c r="M1742" s="335" t="s">
        <v>3582</v>
      </c>
      <c r="N1742" s="339">
        <v>1</v>
      </c>
      <c r="O1742" s="341">
        <v>1</v>
      </c>
      <c r="P1742" s="341">
        <v>1</v>
      </c>
      <c r="Q1742" s="341">
        <v>1</v>
      </c>
      <c r="R1742" s="342">
        <v>19.12</v>
      </c>
      <c r="S1742" s="342" t="s">
        <v>25</v>
      </c>
    </row>
    <row r="1743" spans="1:19" ht="14.25" customHeight="1" x14ac:dyDescent="0.3">
      <c r="A1743" s="335" t="s">
        <v>3574</v>
      </c>
      <c r="B1743" s="335" t="s">
        <v>56</v>
      </c>
      <c r="C1743" s="335" t="s">
        <v>27</v>
      </c>
      <c r="D1743" s="335" t="s">
        <v>3583</v>
      </c>
      <c r="E1743" s="336" t="s">
        <v>3584</v>
      </c>
      <c r="F1743" s="336" t="s">
        <v>60</v>
      </c>
      <c r="G1743" s="337">
        <v>1</v>
      </c>
      <c r="H1743" s="338">
        <v>0</v>
      </c>
      <c r="I1743" s="339">
        <v>1500000</v>
      </c>
      <c r="J1743" s="340">
        <v>1500000</v>
      </c>
      <c r="K1743" s="335" t="s">
        <v>3585</v>
      </c>
      <c r="L1743" s="335">
        <v>1</v>
      </c>
      <c r="M1743" s="335" t="s">
        <v>3586</v>
      </c>
      <c r="N1743" s="339">
        <v>1</v>
      </c>
      <c r="O1743" s="341">
        <v>1</v>
      </c>
      <c r="P1743" s="341">
        <v>1</v>
      </c>
      <c r="Q1743" s="341">
        <v>1</v>
      </c>
      <c r="R1743" s="342">
        <v>19.12</v>
      </c>
      <c r="S1743" s="342" t="s">
        <v>25</v>
      </c>
    </row>
    <row r="1744" spans="1:19" ht="14.25" customHeight="1" x14ac:dyDescent="0.3">
      <c r="A1744" s="335" t="s">
        <v>3587</v>
      </c>
      <c r="B1744" s="335" t="s">
        <v>20</v>
      </c>
      <c r="C1744" s="335"/>
      <c r="D1744" s="335" t="s">
        <v>3588</v>
      </c>
      <c r="E1744" s="336" t="s">
        <v>3589</v>
      </c>
      <c r="F1744" s="336"/>
      <c r="G1744" s="337">
        <v>1</v>
      </c>
      <c r="H1744" s="338">
        <v>0</v>
      </c>
      <c r="I1744" s="339">
        <v>399227.87518155301</v>
      </c>
      <c r="J1744" s="340">
        <v>399227.87518155301</v>
      </c>
      <c r="K1744" s="335" t="s">
        <v>3590</v>
      </c>
      <c r="L1744" s="335">
        <v>1</v>
      </c>
      <c r="M1744" s="335" t="s">
        <v>3591</v>
      </c>
      <c r="N1744" s="339">
        <v>1</v>
      </c>
      <c r="O1744" s="341">
        <v>1</v>
      </c>
      <c r="P1744" s="341">
        <v>1</v>
      </c>
      <c r="Q1744" s="341">
        <v>1</v>
      </c>
      <c r="R1744" s="342">
        <v>19.13</v>
      </c>
      <c r="S1744" s="342" t="s">
        <v>25</v>
      </c>
    </row>
    <row r="1745" spans="1:19" ht="14.25" customHeight="1" x14ac:dyDescent="0.3">
      <c r="A1745" s="335" t="s">
        <v>3587</v>
      </c>
      <c r="B1745" s="335" t="s">
        <v>26</v>
      </c>
      <c r="C1745" s="335" t="s">
        <v>27</v>
      </c>
      <c r="D1745" s="335" t="s">
        <v>3592</v>
      </c>
      <c r="E1745" s="336" t="s">
        <v>3593</v>
      </c>
      <c r="F1745" s="336" t="s">
        <v>1322</v>
      </c>
      <c r="G1745" s="337">
        <v>13</v>
      </c>
      <c r="H1745" s="338">
        <v>0</v>
      </c>
      <c r="I1745" s="339">
        <v>190020.54</v>
      </c>
      <c r="J1745" s="340">
        <v>2470267.02</v>
      </c>
      <c r="K1745" s="335" t="s">
        <v>3594</v>
      </c>
      <c r="L1745" s="335">
        <v>1</v>
      </c>
      <c r="M1745" s="335" t="s">
        <v>3595</v>
      </c>
      <c r="N1745" s="339">
        <v>1</v>
      </c>
      <c r="O1745" s="341">
        <v>13</v>
      </c>
      <c r="P1745" s="341">
        <v>1</v>
      </c>
      <c r="Q1745" s="341">
        <v>13</v>
      </c>
      <c r="R1745" s="342">
        <v>19.13</v>
      </c>
      <c r="S1745" s="342" t="s">
        <v>25</v>
      </c>
    </row>
    <row r="1746" spans="1:19" ht="14.25" customHeight="1" x14ac:dyDescent="0.3">
      <c r="A1746" s="335" t="s">
        <v>3587</v>
      </c>
      <c r="B1746" s="335" t="s">
        <v>26</v>
      </c>
      <c r="C1746" s="335" t="s">
        <v>27</v>
      </c>
      <c r="D1746" s="335" t="s">
        <v>3596</v>
      </c>
      <c r="E1746" s="336" t="s">
        <v>3597</v>
      </c>
      <c r="F1746" s="336" t="s">
        <v>1322</v>
      </c>
      <c r="G1746" s="337">
        <v>34</v>
      </c>
      <c r="H1746" s="338">
        <v>0</v>
      </c>
      <c r="I1746" s="339">
        <v>56674.81</v>
      </c>
      <c r="J1746" s="340">
        <v>1926943.54</v>
      </c>
      <c r="K1746" s="335" t="s">
        <v>3594</v>
      </c>
      <c r="L1746" s="335">
        <v>2</v>
      </c>
      <c r="M1746" s="335" t="s">
        <v>3598</v>
      </c>
      <c r="N1746" s="339">
        <v>1</v>
      </c>
      <c r="O1746" s="341">
        <v>34</v>
      </c>
      <c r="P1746" s="341">
        <v>1</v>
      </c>
      <c r="Q1746" s="341">
        <v>34</v>
      </c>
      <c r="R1746" s="342">
        <v>19.13</v>
      </c>
      <c r="S1746" s="342" t="s">
        <v>25</v>
      </c>
    </row>
    <row r="1747" spans="1:19" ht="14.25" customHeight="1" x14ac:dyDescent="0.3">
      <c r="A1747" s="335" t="s">
        <v>3587</v>
      </c>
      <c r="B1747" s="335" t="s">
        <v>26</v>
      </c>
      <c r="C1747" s="335" t="s">
        <v>27</v>
      </c>
      <c r="D1747" s="335" t="s">
        <v>3599</v>
      </c>
      <c r="E1747" s="336" t="s">
        <v>3600</v>
      </c>
      <c r="F1747" s="336" t="s">
        <v>35</v>
      </c>
      <c r="G1747" s="337">
        <v>39</v>
      </c>
      <c r="H1747" s="338">
        <v>0</v>
      </c>
      <c r="I1747" s="339">
        <v>1234.1199999999999</v>
      </c>
      <c r="J1747" s="340">
        <v>48130.68</v>
      </c>
      <c r="K1747" s="335" t="s">
        <v>3594</v>
      </c>
      <c r="L1747" s="335">
        <v>3</v>
      </c>
      <c r="M1747" s="335" t="s">
        <v>3601</v>
      </c>
      <c r="N1747" s="339">
        <v>1</v>
      </c>
      <c r="O1747" s="341">
        <v>39</v>
      </c>
      <c r="P1747" s="341">
        <v>1</v>
      </c>
      <c r="Q1747" s="341">
        <v>39</v>
      </c>
      <c r="R1747" s="342">
        <v>19.13</v>
      </c>
      <c r="S1747" s="342" t="s">
        <v>25</v>
      </c>
    </row>
    <row r="1748" spans="1:19" ht="14.25" customHeight="1" x14ac:dyDescent="0.3">
      <c r="A1748" s="335" t="s">
        <v>3587</v>
      </c>
      <c r="B1748" s="335" t="s">
        <v>26</v>
      </c>
      <c r="C1748" s="335" t="s">
        <v>27</v>
      </c>
      <c r="D1748" s="335" t="s">
        <v>3602</v>
      </c>
      <c r="E1748" s="336" t="s">
        <v>3603</v>
      </c>
      <c r="F1748" s="336" t="s">
        <v>3604</v>
      </c>
      <c r="G1748" s="337">
        <v>28</v>
      </c>
      <c r="H1748" s="338">
        <v>0</v>
      </c>
      <c r="I1748" s="339">
        <v>4158.84</v>
      </c>
      <c r="J1748" s="340">
        <v>116447.52</v>
      </c>
      <c r="K1748" s="335" t="s">
        <v>3594</v>
      </c>
      <c r="L1748" s="335">
        <v>4</v>
      </c>
      <c r="M1748" s="335" t="s">
        <v>3605</v>
      </c>
      <c r="N1748" s="339">
        <v>1</v>
      </c>
      <c r="O1748" s="341">
        <v>28</v>
      </c>
      <c r="P1748" s="341">
        <v>1</v>
      </c>
      <c r="Q1748" s="341">
        <v>28</v>
      </c>
      <c r="R1748" s="342">
        <v>19.13</v>
      </c>
      <c r="S1748" s="342" t="s">
        <v>25</v>
      </c>
    </row>
    <row r="1749" spans="1:19" ht="14.25" customHeight="1" x14ac:dyDescent="0.3">
      <c r="A1749" s="335" t="s">
        <v>3587</v>
      </c>
      <c r="B1749" s="335" t="s">
        <v>26</v>
      </c>
      <c r="C1749" s="335" t="s">
        <v>27</v>
      </c>
      <c r="D1749" s="335" t="s">
        <v>3606</v>
      </c>
      <c r="E1749" s="336" t="s">
        <v>3607</v>
      </c>
      <c r="F1749" s="336" t="s">
        <v>35</v>
      </c>
      <c r="G1749" s="337">
        <v>16</v>
      </c>
      <c r="H1749" s="338">
        <v>0</v>
      </c>
      <c r="I1749" s="339">
        <v>1943.21</v>
      </c>
      <c r="J1749" s="340">
        <v>31091.360000000001</v>
      </c>
      <c r="K1749" s="335" t="s">
        <v>3594</v>
      </c>
      <c r="L1749" s="335">
        <v>5</v>
      </c>
      <c r="M1749" s="335" t="s">
        <v>3608</v>
      </c>
      <c r="N1749" s="339">
        <v>1</v>
      </c>
      <c r="O1749" s="341">
        <v>16</v>
      </c>
      <c r="P1749" s="341">
        <v>1</v>
      </c>
      <c r="Q1749" s="341">
        <v>16</v>
      </c>
      <c r="R1749" s="342">
        <v>19.13</v>
      </c>
      <c r="S1749" s="342" t="s">
        <v>25</v>
      </c>
    </row>
    <row r="1750" spans="1:19" ht="14.25" customHeight="1" x14ac:dyDescent="0.3">
      <c r="A1750" s="335" t="s">
        <v>3587</v>
      </c>
      <c r="B1750" s="335" t="s">
        <v>26</v>
      </c>
      <c r="C1750" s="335" t="s">
        <v>27</v>
      </c>
      <c r="D1750" s="335" t="s">
        <v>3609</v>
      </c>
      <c r="E1750" s="336" t="s">
        <v>3610</v>
      </c>
      <c r="F1750" s="336" t="s">
        <v>3611</v>
      </c>
      <c r="G1750" s="337">
        <v>16</v>
      </c>
      <c r="H1750" s="338">
        <v>0</v>
      </c>
      <c r="I1750" s="339">
        <v>10449.84</v>
      </c>
      <c r="J1750" s="340">
        <v>167197.44</v>
      </c>
      <c r="K1750" s="335" t="s">
        <v>3594</v>
      </c>
      <c r="L1750" s="335">
        <v>6</v>
      </c>
      <c r="M1750" s="335" t="s">
        <v>3612</v>
      </c>
      <c r="N1750" s="339">
        <v>1</v>
      </c>
      <c r="O1750" s="341">
        <v>16</v>
      </c>
      <c r="P1750" s="341">
        <v>1</v>
      </c>
      <c r="Q1750" s="341">
        <v>16</v>
      </c>
      <c r="R1750" s="342">
        <v>19.13</v>
      </c>
      <c r="S1750" s="342" t="s">
        <v>25</v>
      </c>
    </row>
    <row r="1751" spans="1:19" ht="14.25" customHeight="1" x14ac:dyDescent="0.3">
      <c r="A1751" s="335" t="s">
        <v>3587</v>
      </c>
      <c r="B1751" s="335" t="s">
        <v>26</v>
      </c>
      <c r="C1751" s="335" t="s">
        <v>27</v>
      </c>
      <c r="D1751" s="335" t="s">
        <v>3613</v>
      </c>
      <c r="E1751" s="336" t="s">
        <v>3614</v>
      </c>
      <c r="F1751" s="336" t="s">
        <v>35</v>
      </c>
      <c r="G1751" s="337">
        <v>32</v>
      </c>
      <c r="H1751" s="338">
        <v>0</v>
      </c>
      <c r="I1751" s="339">
        <v>429.89</v>
      </c>
      <c r="J1751" s="340">
        <v>13756.48</v>
      </c>
      <c r="K1751" s="335" t="s">
        <v>3594</v>
      </c>
      <c r="L1751" s="335">
        <v>7</v>
      </c>
      <c r="M1751" s="335" t="s">
        <v>3615</v>
      </c>
      <c r="N1751" s="339">
        <v>1</v>
      </c>
      <c r="O1751" s="341">
        <v>32</v>
      </c>
      <c r="P1751" s="341">
        <v>1</v>
      </c>
      <c r="Q1751" s="341">
        <v>32</v>
      </c>
      <c r="R1751" s="342">
        <v>19.13</v>
      </c>
      <c r="S1751" s="342" t="s">
        <v>25</v>
      </c>
    </row>
    <row r="1752" spans="1:19" ht="14.25" customHeight="1" x14ac:dyDescent="0.3">
      <c r="A1752" s="335" t="s">
        <v>3587</v>
      </c>
      <c r="B1752" s="335" t="s">
        <v>26</v>
      </c>
      <c r="C1752" s="335" t="s">
        <v>27</v>
      </c>
      <c r="D1752" s="335" t="s">
        <v>3616</v>
      </c>
      <c r="E1752" s="336" t="s">
        <v>3617</v>
      </c>
      <c r="F1752" s="336" t="s">
        <v>3611</v>
      </c>
      <c r="G1752" s="337">
        <v>32</v>
      </c>
      <c r="H1752" s="338">
        <v>0</v>
      </c>
      <c r="I1752" s="339">
        <v>852.41</v>
      </c>
      <c r="J1752" s="340">
        <v>27277.119999999999</v>
      </c>
      <c r="K1752" s="335" t="s">
        <v>3594</v>
      </c>
      <c r="L1752" s="335">
        <v>8</v>
      </c>
      <c r="M1752" s="335" t="s">
        <v>3618</v>
      </c>
      <c r="N1752" s="339">
        <v>1</v>
      </c>
      <c r="O1752" s="341">
        <v>32</v>
      </c>
      <c r="P1752" s="341">
        <v>1</v>
      </c>
      <c r="Q1752" s="341">
        <v>32</v>
      </c>
      <c r="R1752" s="342">
        <v>19.13</v>
      </c>
      <c r="S1752" s="342" t="s">
        <v>25</v>
      </c>
    </row>
    <row r="1753" spans="1:19" ht="14.25" customHeight="1" x14ac:dyDescent="0.3">
      <c r="A1753" s="335" t="s">
        <v>3587</v>
      </c>
      <c r="B1753" s="335" t="s">
        <v>26</v>
      </c>
      <c r="C1753" s="335" t="s">
        <v>27</v>
      </c>
      <c r="D1753" s="335" t="s">
        <v>2163</v>
      </c>
      <c r="E1753" s="336" t="s">
        <v>2164</v>
      </c>
      <c r="F1753" s="336" t="s">
        <v>1322</v>
      </c>
      <c r="G1753" s="337">
        <v>4</v>
      </c>
      <c r="H1753" s="338">
        <v>0</v>
      </c>
      <c r="I1753" s="339">
        <v>27000</v>
      </c>
      <c r="J1753" s="340">
        <v>108000</v>
      </c>
      <c r="K1753" s="335" t="s">
        <v>3594</v>
      </c>
      <c r="L1753" s="335">
        <v>9</v>
      </c>
      <c r="M1753" s="335" t="s">
        <v>3619</v>
      </c>
      <c r="N1753" s="339">
        <v>1</v>
      </c>
      <c r="O1753" s="341">
        <v>4</v>
      </c>
      <c r="P1753" s="341">
        <v>1</v>
      </c>
      <c r="Q1753" s="341">
        <v>4</v>
      </c>
      <c r="R1753" s="342">
        <v>19.13</v>
      </c>
      <c r="S1753" s="342" t="s">
        <v>25</v>
      </c>
    </row>
    <row r="1754" spans="1:19" ht="14.25" customHeight="1" x14ac:dyDescent="0.3">
      <c r="A1754" s="335" t="s">
        <v>3587</v>
      </c>
      <c r="B1754" s="335" t="s">
        <v>26</v>
      </c>
      <c r="C1754" s="335" t="s">
        <v>27</v>
      </c>
      <c r="D1754" s="335" t="s">
        <v>3620</v>
      </c>
      <c r="E1754" s="336" t="s">
        <v>3621</v>
      </c>
      <c r="F1754" s="336" t="s">
        <v>748</v>
      </c>
      <c r="G1754" s="337">
        <v>114</v>
      </c>
      <c r="H1754" s="338">
        <v>0</v>
      </c>
      <c r="I1754" s="339">
        <v>10695.63</v>
      </c>
      <c r="J1754" s="340">
        <v>1219301.82</v>
      </c>
      <c r="K1754" s="335" t="s">
        <v>3594</v>
      </c>
      <c r="L1754" s="335">
        <v>10</v>
      </c>
      <c r="M1754" s="335" t="s">
        <v>3622</v>
      </c>
      <c r="N1754" s="339">
        <v>1</v>
      </c>
      <c r="O1754" s="341">
        <v>114</v>
      </c>
      <c r="P1754" s="341">
        <v>1</v>
      </c>
      <c r="Q1754" s="341">
        <v>114</v>
      </c>
      <c r="R1754" s="342">
        <v>19.13</v>
      </c>
      <c r="S1754" s="342" t="s">
        <v>25</v>
      </c>
    </row>
    <row r="1755" spans="1:19" ht="14.25" customHeight="1" x14ac:dyDescent="0.3">
      <c r="A1755" s="335" t="s">
        <v>3587</v>
      </c>
      <c r="B1755" s="335" t="s">
        <v>26</v>
      </c>
      <c r="C1755" s="335" t="s">
        <v>27</v>
      </c>
      <c r="D1755" s="335" t="s">
        <v>96</v>
      </c>
      <c r="E1755" s="336" t="s">
        <v>97</v>
      </c>
      <c r="F1755" s="336" t="s">
        <v>98</v>
      </c>
      <c r="G1755" s="337">
        <v>736366.674</v>
      </c>
      <c r="H1755" s="338">
        <v>0</v>
      </c>
      <c r="I1755" s="339">
        <v>1</v>
      </c>
      <c r="J1755" s="340">
        <v>736366.674</v>
      </c>
      <c r="K1755" s="335" t="s">
        <v>3594</v>
      </c>
      <c r="L1755" s="335">
        <v>11</v>
      </c>
      <c r="M1755" s="335" t="s">
        <v>3623</v>
      </c>
      <c r="N1755" s="339">
        <v>1</v>
      </c>
      <c r="O1755" s="341">
        <v>736366.674</v>
      </c>
      <c r="P1755" s="341">
        <v>1</v>
      </c>
      <c r="Q1755" s="341">
        <v>736366.674</v>
      </c>
      <c r="R1755" s="342">
        <v>19.13</v>
      </c>
      <c r="S1755" s="342" t="s">
        <v>25</v>
      </c>
    </row>
    <row r="1756" spans="1:19" ht="14.25" customHeight="1" x14ac:dyDescent="0.3">
      <c r="A1756" s="335" t="s">
        <v>3587</v>
      </c>
      <c r="B1756" s="335" t="s">
        <v>56</v>
      </c>
      <c r="C1756" s="335" t="s">
        <v>27</v>
      </c>
      <c r="D1756" s="335" t="s">
        <v>3624</v>
      </c>
      <c r="E1756" s="336" t="s">
        <v>3625</v>
      </c>
      <c r="F1756" s="336" t="s">
        <v>60</v>
      </c>
      <c r="G1756" s="337">
        <v>1</v>
      </c>
      <c r="H1756" s="338">
        <v>0</v>
      </c>
      <c r="I1756" s="339">
        <v>19750412.0247702</v>
      </c>
      <c r="J1756" s="340">
        <v>19750412.0247702</v>
      </c>
      <c r="K1756" s="335" t="s">
        <v>3626</v>
      </c>
      <c r="L1756" s="335">
        <v>1</v>
      </c>
      <c r="M1756" s="335" t="s">
        <v>3627</v>
      </c>
      <c r="N1756" s="339">
        <v>1</v>
      </c>
      <c r="O1756" s="341">
        <v>1</v>
      </c>
      <c r="P1756" s="341">
        <v>1</v>
      </c>
      <c r="Q1756" s="341">
        <v>1</v>
      </c>
      <c r="R1756" s="342">
        <v>19.13</v>
      </c>
      <c r="S1756" s="342" t="s">
        <v>25</v>
      </c>
    </row>
    <row r="1757" spans="1:19" ht="14.25" customHeight="1" x14ac:dyDescent="0.3">
      <c r="A1757" s="335" t="s">
        <v>3628</v>
      </c>
      <c r="B1757" s="335" t="s">
        <v>20</v>
      </c>
      <c r="C1757" s="335"/>
      <c r="D1757" s="335" t="s">
        <v>3629</v>
      </c>
      <c r="E1757" s="336" t="s">
        <v>3630</v>
      </c>
      <c r="F1757" s="336"/>
      <c r="G1757" s="337">
        <v>1</v>
      </c>
      <c r="H1757" s="338">
        <v>0</v>
      </c>
      <c r="I1757" s="339">
        <v>41934.478574617002</v>
      </c>
      <c r="J1757" s="340">
        <v>41934.478574617002</v>
      </c>
      <c r="K1757" s="335" t="s">
        <v>3631</v>
      </c>
      <c r="L1757" s="335">
        <v>1</v>
      </c>
      <c r="M1757" s="335" t="s">
        <v>3632</v>
      </c>
      <c r="N1757" s="339">
        <v>1</v>
      </c>
      <c r="O1757" s="341">
        <v>1</v>
      </c>
      <c r="P1757" s="341">
        <v>1</v>
      </c>
      <c r="Q1757" s="341">
        <v>1</v>
      </c>
      <c r="R1757" s="342">
        <v>19.14</v>
      </c>
      <c r="S1757" s="342" t="s">
        <v>25</v>
      </c>
    </row>
    <row r="1758" spans="1:19" ht="14.25" customHeight="1" x14ac:dyDescent="0.3">
      <c r="A1758" s="335" t="s">
        <v>3628</v>
      </c>
      <c r="B1758" s="335" t="s">
        <v>26</v>
      </c>
      <c r="C1758" s="335" t="s">
        <v>27</v>
      </c>
      <c r="D1758" s="335" t="s">
        <v>3633</v>
      </c>
      <c r="E1758" s="336" t="s">
        <v>3634</v>
      </c>
      <c r="F1758" s="336" t="s">
        <v>35</v>
      </c>
      <c r="G1758" s="337">
        <v>8</v>
      </c>
      <c r="H1758" s="338">
        <v>0</v>
      </c>
      <c r="I1758" s="339">
        <v>75142.710000000006</v>
      </c>
      <c r="J1758" s="340">
        <v>601141.68000000005</v>
      </c>
      <c r="K1758" s="335" t="s">
        <v>3635</v>
      </c>
      <c r="L1758" s="335">
        <v>1</v>
      </c>
      <c r="M1758" s="335" t="s">
        <v>3636</v>
      </c>
      <c r="N1758" s="339">
        <v>1</v>
      </c>
      <c r="O1758" s="341">
        <v>8</v>
      </c>
      <c r="P1758" s="341">
        <v>1</v>
      </c>
      <c r="Q1758" s="341">
        <v>8</v>
      </c>
      <c r="R1758" s="342">
        <v>19.14</v>
      </c>
      <c r="S1758" s="342" t="s">
        <v>25</v>
      </c>
    </row>
    <row r="1759" spans="1:19" ht="14.25" customHeight="1" x14ac:dyDescent="0.3">
      <c r="A1759" s="335" t="s">
        <v>3628</v>
      </c>
      <c r="B1759" s="335" t="s">
        <v>56</v>
      </c>
      <c r="C1759" s="335" t="s">
        <v>27</v>
      </c>
      <c r="D1759" s="335" t="s">
        <v>3637</v>
      </c>
      <c r="E1759" s="336" t="s">
        <v>3638</v>
      </c>
      <c r="F1759" s="336" t="s">
        <v>60</v>
      </c>
      <c r="G1759" s="337">
        <v>1</v>
      </c>
      <c r="H1759" s="338">
        <v>0</v>
      </c>
      <c r="I1759" s="339">
        <v>2194490.2249744702</v>
      </c>
      <c r="J1759" s="340">
        <v>2194490.2249744702</v>
      </c>
      <c r="K1759" s="335" t="s">
        <v>3639</v>
      </c>
      <c r="L1759" s="335">
        <v>1</v>
      </c>
      <c r="M1759" s="335" t="s">
        <v>3640</v>
      </c>
      <c r="N1759" s="339">
        <v>1</v>
      </c>
      <c r="O1759" s="341">
        <v>1</v>
      </c>
      <c r="P1759" s="341">
        <v>1</v>
      </c>
      <c r="Q1759" s="341">
        <v>1</v>
      </c>
      <c r="R1759" s="342">
        <v>19.14</v>
      </c>
      <c r="S1759" s="342" t="s">
        <v>25</v>
      </c>
    </row>
    <row r="1760" spans="1:19" ht="14.25" customHeight="1" x14ac:dyDescent="0.3">
      <c r="A1760" s="335" t="s">
        <v>3641</v>
      </c>
      <c r="B1760" s="335" t="s">
        <v>20</v>
      </c>
      <c r="C1760" s="335"/>
      <c r="D1760" s="335" t="s">
        <v>3642</v>
      </c>
      <c r="E1760" s="336" t="s">
        <v>3643</v>
      </c>
      <c r="F1760" s="336"/>
      <c r="G1760" s="337">
        <v>1</v>
      </c>
      <c r="H1760" s="338">
        <v>0</v>
      </c>
      <c r="I1760" s="339">
        <v>71400.7442527518</v>
      </c>
      <c r="J1760" s="340">
        <v>71400.7442527518</v>
      </c>
      <c r="K1760" s="335" t="s">
        <v>3644</v>
      </c>
      <c r="L1760" s="335">
        <v>1</v>
      </c>
      <c r="M1760" s="335" t="s">
        <v>3645</v>
      </c>
      <c r="N1760" s="339">
        <v>1</v>
      </c>
      <c r="O1760" s="341">
        <v>1</v>
      </c>
      <c r="P1760" s="341">
        <v>1</v>
      </c>
      <c r="Q1760" s="341">
        <v>1</v>
      </c>
      <c r="R1760" s="342">
        <v>19.149999999999999</v>
      </c>
      <c r="S1760" s="342" t="s">
        <v>25</v>
      </c>
    </row>
    <row r="1761" spans="1:19" ht="14.25" customHeight="1" x14ac:dyDescent="0.3">
      <c r="A1761" s="335" t="s">
        <v>3641</v>
      </c>
      <c r="B1761" s="335" t="s">
        <v>56</v>
      </c>
      <c r="C1761" s="335" t="s">
        <v>27</v>
      </c>
      <c r="D1761" s="335" t="s">
        <v>3646</v>
      </c>
      <c r="E1761" s="336" t="s">
        <v>3647</v>
      </c>
      <c r="F1761" s="336" t="s">
        <v>60</v>
      </c>
      <c r="G1761" s="337">
        <v>1</v>
      </c>
      <c r="H1761" s="338">
        <v>0</v>
      </c>
      <c r="I1761" s="339">
        <v>1816615.8408501199</v>
      </c>
      <c r="J1761" s="340">
        <v>1816615.8408501199</v>
      </c>
      <c r="K1761" s="335" t="s">
        <v>3648</v>
      </c>
      <c r="L1761" s="335">
        <v>1</v>
      </c>
      <c r="M1761" s="335" t="s">
        <v>3649</v>
      </c>
      <c r="N1761" s="339">
        <v>1</v>
      </c>
      <c r="O1761" s="341">
        <v>1</v>
      </c>
      <c r="P1761" s="341">
        <v>1</v>
      </c>
      <c r="Q1761" s="341">
        <v>1</v>
      </c>
      <c r="R1761" s="342">
        <v>19.149999999999999</v>
      </c>
      <c r="S1761" s="342" t="s">
        <v>25</v>
      </c>
    </row>
    <row r="1762" spans="1:19" ht="14.25" customHeight="1" x14ac:dyDescent="0.3">
      <c r="A1762" s="335" t="s">
        <v>3641</v>
      </c>
      <c r="B1762" s="335" t="s">
        <v>26</v>
      </c>
      <c r="C1762" s="335" t="s">
        <v>27</v>
      </c>
      <c r="D1762" s="335" t="s">
        <v>3650</v>
      </c>
      <c r="E1762" s="336" t="s">
        <v>3651</v>
      </c>
      <c r="F1762" s="336" t="s">
        <v>35</v>
      </c>
      <c r="G1762" s="337">
        <v>7</v>
      </c>
      <c r="H1762" s="338">
        <v>0</v>
      </c>
      <c r="I1762" s="339">
        <v>226738.89</v>
      </c>
      <c r="J1762" s="340">
        <v>1587172.23</v>
      </c>
      <c r="K1762" s="335" t="s">
        <v>3652</v>
      </c>
      <c r="L1762" s="335">
        <v>1</v>
      </c>
      <c r="M1762" s="335" t="s">
        <v>3653</v>
      </c>
      <c r="N1762" s="339">
        <v>1</v>
      </c>
      <c r="O1762" s="341">
        <v>7</v>
      </c>
      <c r="P1762" s="341">
        <v>1</v>
      </c>
      <c r="Q1762" s="341">
        <v>7</v>
      </c>
      <c r="R1762" s="342">
        <v>19.149999999999999</v>
      </c>
      <c r="S1762" s="342" t="s">
        <v>25</v>
      </c>
    </row>
    <row r="1763" spans="1:19" ht="14.25" customHeight="1" x14ac:dyDescent="0.3">
      <c r="A1763" s="335" t="s">
        <v>3641</v>
      </c>
      <c r="B1763" s="335" t="s">
        <v>26</v>
      </c>
      <c r="C1763" s="335" t="s">
        <v>27</v>
      </c>
      <c r="D1763" s="335" t="s">
        <v>3654</v>
      </c>
      <c r="E1763" s="336" t="s">
        <v>3655</v>
      </c>
      <c r="F1763" s="336" t="s">
        <v>35</v>
      </c>
      <c r="G1763" s="337">
        <v>15</v>
      </c>
      <c r="H1763" s="338">
        <v>0</v>
      </c>
      <c r="I1763" s="339">
        <v>16952.66</v>
      </c>
      <c r="J1763" s="340">
        <v>254289.9</v>
      </c>
      <c r="K1763" s="335" t="s">
        <v>3652</v>
      </c>
      <c r="L1763" s="335">
        <v>2</v>
      </c>
      <c r="M1763" s="335" t="s">
        <v>3656</v>
      </c>
      <c r="N1763" s="339">
        <v>1</v>
      </c>
      <c r="O1763" s="341">
        <v>15</v>
      </c>
      <c r="P1763" s="341">
        <v>1</v>
      </c>
      <c r="Q1763" s="341">
        <v>15</v>
      </c>
      <c r="R1763" s="342">
        <v>19.149999999999999</v>
      </c>
      <c r="S1763" s="342" t="s">
        <v>25</v>
      </c>
    </row>
    <row r="1764" spans="1:19" ht="14.25" customHeight="1" x14ac:dyDescent="0.3">
      <c r="A1764" s="335" t="s">
        <v>3641</v>
      </c>
      <c r="B1764" s="335" t="s">
        <v>26</v>
      </c>
      <c r="C1764" s="335" t="s">
        <v>27</v>
      </c>
      <c r="D1764" s="335" t="s">
        <v>3657</v>
      </c>
      <c r="E1764" s="336" t="s">
        <v>3658</v>
      </c>
      <c r="F1764" s="336" t="s">
        <v>35</v>
      </c>
      <c r="G1764" s="337">
        <v>6</v>
      </c>
      <c r="H1764" s="338">
        <v>0</v>
      </c>
      <c r="I1764" s="339">
        <v>9333.2000000000007</v>
      </c>
      <c r="J1764" s="340">
        <v>55999.199999999997</v>
      </c>
      <c r="K1764" s="335" t="s">
        <v>3652</v>
      </c>
      <c r="L1764" s="335">
        <v>3</v>
      </c>
      <c r="M1764" s="335" t="s">
        <v>3659</v>
      </c>
      <c r="N1764" s="339">
        <v>1</v>
      </c>
      <c r="O1764" s="341">
        <v>6</v>
      </c>
      <c r="P1764" s="341">
        <v>1</v>
      </c>
      <c r="Q1764" s="341">
        <v>6</v>
      </c>
      <c r="R1764" s="342">
        <v>19.149999999999999</v>
      </c>
      <c r="S1764" s="342" t="s">
        <v>25</v>
      </c>
    </row>
    <row r="1765" spans="1:19" ht="14.25" customHeight="1" x14ac:dyDescent="0.3">
      <c r="A1765" s="335" t="s">
        <v>3641</v>
      </c>
      <c r="B1765" s="335" t="s">
        <v>26</v>
      </c>
      <c r="C1765" s="335" t="s">
        <v>27</v>
      </c>
      <c r="D1765" s="335" t="s">
        <v>3660</v>
      </c>
      <c r="E1765" s="336" t="s">
        <v>3661</v>
      </c>
      <c r="F1765" s="336" t="s">
        <v>35</v>
      </c>
      <c r="G1765" s="337">
        <v>6</v>
      </c>
      <c r="H1765" s="338">
        <v>0</v>
      </c>
      <c r="I1765" s="339">
        <v>15339.5</v>
      </c>
      <c r="J1765" s="340">
        <v>92037</v>
      </c>
      <c r="K1765" s="335" t="s">
        <v>3652</v>
      </c>
      <c r="L1765" s="335">
        <v>4</v>
      </c>
      <c r="M1765" s="335" t="s">
        <v>3662</v>
      </c>
      <c r="N1765" s="339">
        <v>1</v>
      </c>
      <c r="O1765" s="341">
        <v>6</v>
      </c>
      <c r="P1765" s="341">
        <v>1</v>
      </c>
      <c r="Q1765" s="341">
        <v>6</v>
      </c>
      <c r="R1765" s="342">
        <v>19.149999999999999</v>
      </c>
      <c r="S1765" s="342" t="s">
        <v>25</v>
      </c>
    </row>
    <row r="1766" spans="1:19" ht="14.25" customHeight="1" x14ac:dyDescent="0.3">
      <c r="A1766" s="335" t="s">
        <v>3641</v>
      </c>
      <c r="B1766" s="335" t="s">
        <v>26</v>
      </c>
      <c r="C1766" s="335" t="s">
        <v>27</v>
      </c>
      <c r="D1766" s="335" t="s">
        <v>3663</v>
      </c>
      <c r="E1766" s="336" t="s">
        <v>3664</v>
      </c>
      <c r="F1766" s="336" t="s">
        <v>35</v>
      </c>
      <c r="G1766" s="337">
        <v>5</v>
      </c>
      <c r="H1766" s="338">
        <v>0</v>
      </c>
      <c r="I1766" s="339">
        <v>21808.23</v>
      </c>
      <c r="J1766" s="340">
        <v>109041.15</v>
      </c>
      <c r="K1766" s="335" t="s">
        <v>3652</v>
      </c>
      <c r="L1766" s="335">
        <v>5</v>
      </c>
      <c r="M1766" s="335" t="s">
        <v>3665</v>
      </c>
      <c r="N1766" s="339">
        <v>1</v>
      </c>
      <c r="O1766" s="341">
        <v>5</v>
      </c>
      <c r="P1766" s="341">
        <v>1</v>
      </c>
      <c r="Q1766" s="341">
        <v>5</v>
      </c>
      <c r="R1766" s="342">
        <v>19.149999999999999</v>
      </c>
      <c r="S1766" s="342" t="s">
        <v>25</v>
      </c>
    </row>
    <row r="1767" spans="1:19" ht="14.25" customHeight="1" x14ac:dyDescent="0.3">
      <c r="A1767" s="335" t="s">
        <v>3641</v>
      </c>
      <c r="B1767" s="335" t="s">
        <v>26</v>
      </c>
      <c r="C1767" s="335" t="s">
        <v>27</v>
      </c>
      <c r="D1767" s="335" t="s">
        <v>3666</v>
      </c>
      <c r="E1767" s="336" t="s">
        <v>3667</v>
      </c>
      <c r="F1767" s="336" t="s">
        <v>35</v>
      </c>
      <c r="G1767" s="337">
        <v>5</v>
      </c>
      <c r="H1767" s="338">
        <v>0</v>
      </c>
      <c r="I1767" s="339">
        <v>39120</v>
      </c>
      <c r="J1767" s="340">
        <v>195600</v>
      </c>
      <c r="K1767" s="335" t="s">
        <v>3652</v>
      </c>
      <c r="L1767" s="335">
        <v>6</v>
      </c>
      <c r="M1767" s="335" t="s">
        <v>3668</v>
      </c>
      <c r="N1767" s="339">
        <v>1</v>
      </c>
      <c r="O1767" s="341">
        <v>5</v>
      </c>
      <c r="P1767" s="341">
        <v>1</v>
      </c>
      <c r="Q1767" s="341">
        <v>5</v>
      </c>
      <c r="R1767" s="342">
        <v>19.149999999999999</v>
      </c>
      <c r="S1767" s="342" t="s">
        <v>25</v>
      </c>
    </row>
    <row r="1768" spans="1:19" ht="14.25" customHeight="1" x14ac:dyDescent="0.3">
      <c r="A1768" s="335" t="s">
        <v>3641</v>
      </c>
      <c r="B1768" s="335" t="s">
        <v>26</v>
      </c>
      <c r="C1768" s="335" t="s">
        <v>27</v>
      </c>
      <c r="D1768" s="335" t="s">
        <v>3669</v>
      </c>
      <c r="E1768" s="336" t="s">
        <v>3670</v>
      </c>
      <c r="F1768" s="336" t="s">
        <v>35</v>
      </c>
      <c r="G1768" s="337">
        <v>1</v>
      </c>
      <c r="H1768" s="338">
        <v>0</v>
      </c>
      <c r="I1768" s="339">
        <v>79361</v>
      </c>
      <c r="J1768" s="340">
        <v>79361</v>
      </c>
      <c r="K1768" s="335" t="s">
        <v>3652</v>
      </c>
      <c r="L1768" s="335">
        <v>7</v>
      </c>
      <c r="M1768" s="335" t="s">
        <v>3671</v>
      </c>
      <c r="N1768" s="339">
        <v>1</v>
      </c>
      <c r="O1768" s="341">
        <v>1</v>
      </c>
      <c r="P1768" s="341">
        <v>1</v>
      </c>
      <c r="Q1768" s="341">
        <v>1</v>
      </c>
      <c r="R1768" s="342">
        <v>19.149999999999999</v>
      </c>
      <c r="S1768" s="342" t="s">
        <v>25</v>
      </c>
    </row>
    <row r="1769" spans="1:19" ht="14.25" customHeight="1" x14ac:dyDescent="0.3">
      <c r="A1769" s="335" t="s">
        <v>3641</v>
      </c>
      <c r="B1769" s="335" t="s">
        <v>26</v>
      </c>
      <c r="C1769" s="335" t="s">
        <v>27</v>
      </c>
      <c r="D1769" s="335" t="s">
        <v>3672</v>
      </c>
      <c r="E1769" s="336" t="s">
        <v>3673</v>
      </c>
      <c r="F1769" s="336" t="s">
        <v>35</v>
      </c>
      <c r="G1769" s="337">
        <v>1</v>
      </c>
      <c r="H1769" s="338">
        <v>0</v>
      </c>
      <c r="I1769" s="339">
        <v>79361</v>
      </c>
      <c r="J1769" s="340">
        <v>79361</v>
      </c>
      <c r="K1769" s="335" t="s">
        <v>3652</v>
      </c>
      <c r="L1769" s="335">
        <v>8</v>
      </c>
      <c r="M1769" s="335" t="s">
        <v>3674</v>
      </c>
      <c r="N1769" s="339">
        <v>1</v>
      </c>
      <c r="O1769" s="341">
        <v>1</v>
      </c>
      <c r="P1769" s="341">
        <v>1</v>
      </c>
      <c r="Q1769" s="341">
        <v>1</v>
      </c>
      <c r="R1769" s="342">
        <v>19.149999999999999</v>
      </c>
      <c r="S1769" s="342" t="s">
        <v>25</v>
      </c>
    </row>
    <row r="1770" spans="1:19" ht="14.25" customHeight="1" x14ac:dyDescent="0.3">
      <c r="A1770" s="335" t="s">
        <v>3641</v>
      </c>
      <c r="B1770" s="335" t="s">
        <v>26</v>
      </c>
      <c r="C1770" s="335" t="s">
        <v>27</v>
      </c>
      <c r="D1770" s="335" t="s">
        <v>96</v>
      </c>
      <c r="E1770" s="336" t="s">
        <v>97</v>
      </c>
      <c r="F1770" s="336" t="s">
        <v>98</v>
      </c>
      <c r="G1770" s="337">
        <v>490572.29599999997</v>
      </c>
      <c r="H1770" s="338">
        <v>0</v>
      </c>
      <c r="I1770" s="339">
        <v>1</v>
      </c>
      <c r="J1770" s="340">
        <v>490572.29599999997</v>
      </c>
      <c r="K1770" s="335" t="s">
        <v>3652</v>
      </c>
      <c r="L1770" s="335">
        <v>9</v>
      </c>
      <c r="M1770" s="335" t="s">
        <v>3675</v>
      </c>
      <c r="N1770" s="339">
        <v>1</v>
      </c>
      <c r="O1770" s="341">
        <v>490572.29599999997</v>
      </c>
      <c r="P1770" s="341">
        <v>1</v>
      </c>
      <c r="Q1770" s="341">
        <v>490572.29599999997</v>
      </c>
      <c r="R1770" s="342">
        <v>19.149999999999999</v>
      </c>
      <c r="S1770" s="342" t="s">
        <v>25</v>
      </c>
    </row>
    <row r="1771" spans="1:19" ht="14.25" customHeight="1" x14ac:dyDescent="0.3">
      <c r="A1771" s="335" t="s">
        <v>3676</v>
      </c>
      <c r="B1771" s="335" t="s">
        <v>56</v>
      </c>
      <c r="C1771" s="335" t="s">
        <v>27</v>
      </c>
      <c r="D1771" s="335" t="s">
        <v>3677</v>
      </c>
      <c r="E1771" s="336" t="s">
        <v>3678</v>
      </c>
      <c r="F1771" s="336" t="s">
        <v>60</v>
      </c>
      <c r="G1771" s="337">
        <v>1</v>
      </c>
      <c r="H1771" s="338">
        <v>0</v>
      </c>
      <c r="I1771" s="339">
        <v>15641236.6044</v>
      </c>
      <c r="J1771" s="340">
        <v>15641236.6044</v>
      </c>
      <c r="K1771" s="335" t="s">
        <v>3679</v>
      </c>
      <c r="L1771" s="335">
        <v>1</v>
      </c>
      <c r="M1771" s="335" t="s">
        <v>3680</v>
      </c>
      <c r="N1771" s="339">
        <v>1</v>
      </c>
      <c r="O1771" s="341">
        <v>1</v>
      </c>
      <c r="P1771" s="341">
        <v>1</v>
      </c>
      <c r="Q1771" s="341">
        <v>1</v>
      </c>
      <c r="R1771" s="342">
        <v>19.16</v>
      </c>
      <c r="S1771" s="342" t="s">
        <v>25</v>
      </c>
    </row>
    <row r="1772" spans="1:19" ht="14.25" customHeight="1" x14ac:dyDescent="0.3">
      <c r="A1772" s="335" t="s">
        <v>3676</v>
      </c>
      <c r="B1772" s="335" t="s">
        <v>26</v>
      </c>
      <c r="C1772" s="335" t="s">
        <v>27</v>
      </c>
      <c r="D1772" s="335" t="s">
        <v>3681</v>
      </c>
      <c r="E1772" s="336" t="s">
        <v>3682</v>
      </c>
      <c r="F1772" s="336" t="s">
        <v>35</v>
      </c>
      <c r="G1772" s="337">
        <v>8</v>
      </c>
      <c r="H1772" s="338">
        <v>0</v>
      </c>
      <c r="I1772" s="339">
        <v>18420.5</v>
      </c>
      <c r="J1772" s="340">
        <v>147364</v>
      </c>
      <c r="K1772" s="335" t="s">
        <v>3683</v>
      </c>
      <c r="L1772" s="335">
        <v>1</v>
      </c>
      <c r="M1772" s="335" t="s">
        <v>3684</v>
      </c>
      <c r="N1772" s="339">
        <v>1</v>
      </c>
      <c r="O1772" s="341">
        <v>8</v>
      </c>
      <c r="P1772" s="341">
        <v>1</v>
      </c>
      <c r="Q1772" s="341">
        <v>8</v>
      </c>
      <c r="R1772" s="342">
        <v>19.16</v>
      </c>
      <c r="S1772" s="342" t="s">
        <v>25</v>
      </c>
    </row>
    <row r="1773" spans="1:19" ht="14.25" customHeight="1" x14ac:dyDescent="0.3">
      <c r="A1773" s="335" t="s">
        <v>3676</v>
      </c>
      <c r="B1773" s="335" t="s">
        <v>26</v>
      </c>
      <c r="C1773" s="335" t="s">
        <v>27</v>
      </c>
      <c r="D1773" s="335" t="s">
        <v>3685</v>
      </c>
      <c r="E1773" s="336" t="s">
        <v>3686</v>
      </c>
      <c r="F1773" s="336" t="s">
        <v>35</v>
      </c>
      <c r="G1773" s="337">
        <v>8</v>
      </c>
      <c r="H1773" s="338">
        <v>0</v>
      </c>
      <c r="I1773" s="339">
        <v>40497.366000000002</v>
      </c>
      <c r="J1773" s="340">
        <v>323978.92800000001</v>
      </c>
      <c r="K1773" s="335" t="s">
        <v>3683</v>
      </c>
      <c r="L1773" s="335">
        <v>2</v>
      </c>
      <c r="M1773" s="335" t="s">
        <v>3687</v>
      </c>
      <c r="N1773" s="339">
        <v>1</v>
      </c>
      <c r="O1773" s="341">
        <v>8</v>
      </c>
      <c r="P1773" s="341">
        <v>1</v>
      </c>
      <c r="Q1773" s="341">
        <v>8</v>
      </c>
      <c r="R1773" s="342">
        <v>19.16</v>
      </c>
      <c r="S1773" s="342" t="s">
        <v>25</v>
      </c>
    </row>
    <row r="1774" spans="1:19" ht="14.25" customHeight="1" x14ac:dyDescent="0.3">
      <c r="A1774" s="335" t="s">
        <v>3676</v>
      </c>
      <c r="B1774" s="335" t="s">
        <v>26</v>
      </c>
      <c r="C1774" s="335" t="s">
        <v>27</v>
      </c>
      <c r="D1774" s="335" t="s">
        <v>3688</v>
      </c>
      <c r="E1774" s="336" t="s">
        <v>3689</v>
      </c>
      <c r="F1774" s="336" t="s">
        <v>35</v>
      </c>
      <c r="G1774" s="337">
        <v>26</v>
      </c>
      <c r="H1774" s="338">
        <v>0</v>
      </c>
      <c r="I1774" s="339">
        <v>2140.61</v>
      </c>
      <c r="J1774" s="340">
        <v>55655.86</v>
      </c>
      <c r="K1774" s="335" t="s">
        <v>3683</v>
      </c>
      <c r="L1774" s="335">
        <v>3</v>
      </c>
      <c r="M1774" s="335" t="s">
        <v>3690</v>
      </c>
      <c r="N1774" s="339">
        <v>1</v>
      </c>
      <c r="O1774" s="341">
        <v>26</v>
      </c>
      <c r="P1774" s="341">
        <v>1</v>
      </c>
      <c r="Q1774" s="341">
        <v>26</v>
      </c>
      <c r="R1774" s="342">
        <v>19.16</v>
      </c>
      <c r="S1774" s="342" t="s">
        <v>25</v>
      </c>
    </row>
    <row r="1775" spans="1:19" ht="14.25" customHeight="1" x14ac:dyDescent="0.3">
      <c r="A1775" s="335" t="s">
        <v>3676</v>
      </c>
      <c r="B1775" s="335" t="s">
        <v>26</v>
      </c>
      <c r="C1775" s="335" t="s">
        <v>27</v>
      </c>
      <c r="D1775" s="335" t="s">
        <v>3691</v>
      </c>
      <c r="E1775" s="336" t="s">
        <v>3692</v>
      </c>
      <c r="F1775" s="336" t="s">
        <v>35</v>
      </c>
      <c r="G1775" s="337">
        <v>126</v>
      </c>
      <c r="H1775" s="338">
        <v>0</v>
      </c>
      <c r="I1775" s="339">
        <v>3659.23</v>
      </c>
      <c r="J1775" s="340">
        <v>461062.98</v>
      </c>
      <c r="K1775" s="335" t="s">
        <v>3683</v>
      </c>
      <c r="L1775" s="335">
        <v>4</v>
      </c>
      <c r="M1775" s="335" t="s">
        <v>3693</v>
      </c>
      <c r="N1775" s="339">
        <v>1</v>
      </c>
      <c r="O1775" s="341">
        <v>126</v>
      </c>
      <c r="P1775" s="341">
        <v>1</v>
      </c>
      <c r="Q1775" s="341">
        <v>126</v>
      </c>
      <c r="R1775" s="342">
        <v>19.16</v>
      </c>
      <c r="S1775" s="342" t="s">
        <v>25</v>
      </c>
    </row>
    <row r="1776" spans="1:19" ht="14.25" customHeight="1" x14ac:dyDescent="0.3">
      <c r="A1776" s="335" t="s">
        <v>3676</v>
      </c>
      <c r="B1776" s="335" t="s">
        <v>26</v>
      </c>
      <c r="C1776" s="335" t="s">
        <v>27</v>
      </c>
      <c r="D1776" s="335" t="s">
        <v>3694</v>
      </c>
      <c r="E1776" s="336" t="s">
        <v>3695</v>
      </c>
      <c r="F1776" s="336" t="s">
        <v>35</v>
      </c>
      <c r="G1776" s="337">
        <v>5</v>
      </c>
      <c r="H1776" s="338">
        <v>0</v>
      </c>
      <c r="I1776" s="339">
        <v>1826.31</v>
      </c>
      <c r="J1776" s="340">
        <v>9131.5499999999993</v>
      </c>
      <c r="K1776" s="335" t="s">
        <v>3683</v>
      </c>
      <c r="L1776" s="335">
        <v>5</v>
      </c>
      <c r="M1776" s="335" t="s">
        <v>3696</v>
      </c>
      <c r="N1776" s="339">
        <v>1</v>
      </c>
      <c r="O1776" s="341">
        <v>5</v>
      </c>
      <c r="P1776" s="341">
        <v>1</v>
      </c>
      <c r="Q1776" s="341">
        <v>5</v>
      </c>
      <c r="R1776" s="342">
        <v>19.16</v>
      </c>
      <c r="S1776" s="342" t="s">
        <v>25</v>
      </c>
    </row>
    <row r="1777" spans="1:19" ht="14.25" customHeight="1" x14ac:dyDescent="0.3">
      <c r="A1777" s="335" t="s">
        <v>3676</v>
      </c>
      <c r="B1777" s="335" t="s">
        <v>26</v>
      </c>
      <c r="C1777" s="335" t="s">
        <v>27</v>
      </c>
      <c r="D1777" s="335" t="s">
        <v>3697</v>
      </c>
      <c r="E1777" s="336" t="s">
        <v>3698</v>
      </c>
      <c r="F1777" s="336" t="s">
        <v>35</v>
      </c>
      <c r="G1777" s="337">
        <v>5</v>
      </c>
      <c r="H1777" s="338">
        <v>0</v>
      </c>
      <c r="I1777" s="339">
        <v>1291.29</v>
      </c>
      <c r="J1777" s="340">
        <v>6456.45</v>
      </c>
      <c r="K1777" s="335" t="s">
        <v>3683</v>
      </c>
      <c r="L1777" s="335">
        <v>6</v>
      </c>
      <c r="M1777" s="335" t="s">
        <v>3699</v>
      </c>
      <c r="N1777" s="339">
        <v>1</v>
      </c>
      <c r="O1777" s="341">
        <v>5</v>
      </c>
      <c r="P1777" s="341">
        <v>1</v>
      </c>
      <c r="Q1777" s="341">
        <v>5</v>
      </c>
      <c r="R1777" s="342">
        <v>19.16</v>
      </c>
      <c r="S1777" s="342" t="s">
        <v>25</v>
      </c>
    </row>
    <row r="1778" spans="1:19" ht="14.25" customHeight="1" x14ac:dyDescent="0.3">
      <c r="A1778" s="335" t="s">
        <v>3676</v>
      </c>
      <c r="B1778" s="335" t="s">
        <v>26</v>
      </c>
      <c r="C1778" s="335" t="s">
        <v>27</v>
      </c>
      <c r="D1778" s="335" t="s">
        <v>3700</v>
      </c>
      <c r="E1778" s="336" t="s">
        <v>3701</v>
      </c>
      <c r="F1778" s="336" t="s">
        <v>35</v>
      </c>
      <c r="G1778" s="337">
        <v>3</v>
      </c>
      <c r="H1778" s="338">
        <v>0</v>
      </c>
      <c r="I1778" s="339">
        <v>4980.91</v>
      </c>
      <c r="J1778" s="340">
        <v>14942.73</v>
      </c>
      <c r="K1778" s="335" t="s">
        <v>3683</v>
      </c>
      <c r="L1778" s="335">
        <v>7</v>
      </c>
      <c r="M1778" s="335" t="s">
        <v>3702</v>
      </c>
      <c r="N1778" s="339">
        <v>1</v>
      </c>
      <c r="O1778" s="341">
        <v>3</v>
      </c>
      <c r="P1778" s="341">
        <v>1</v>
      </c>
      <c r="Q1778" s="341">
        <v>3</v>
      </c>
      <c r="R1778" s="342">
        <v>19.16</v>
      </c>
      <c r="S1778" s="342" t="s">
        <v>25</v>
      </c>
    </row>
    <row r="1779" spans="1:19" ht="14.25" customHeight="1" x14ac:dyDescent="0.3">
      <c r="A1779" s="335" t="s">
        <v>3676</v>
      </c>
      <c r="B1779" s="335" t="s">
        <v>26</v>
      </c>
      <c r="C1779" s="335" t="s">
        <v>27</v>
      </c>
      <c r="D1779" s="335" t="s">
        <v>3703</v>
      </c>
      <c r="E1779" s="336" t="s">
        <v>3704</v>
      </c>
      <c r="F1779" s="336" t="s">
        <v>35</v>
      </c>
      <c r="G1779" s="337">
        <v>3</v>
      </c>
      <c r="H1779" s="338">
        <v>0</v>
      </c>
      <c r="I1779" s="339">
        <v>5575.48</v>
      </c>
      <c r="J1779" s="340">
        <v>16726.439999999999</v>
      </c>
      <c r="K1779" s="335" t="s">
        <v>3683</v>
      </c>
      <c r="L1779" s="335">
        <v>8</v>
      </c>
      <c r="M1779" s="335" t="s">
        <v>3705</v>
      </c>
      <c r="N1779" s="339">
        <v>1</v>
      </c>
      <c r="O1779" s="341">
        <v>3</v>
      </c>
      <c r="P1779" s="341">
        <v>1</v>
      </c>
      <c r="Q1779" s="341">
        <v>3</v>
      </c>
      <c r="R1779" s="342">
        <v>19.16</v>
      </c>
      <c r="S1779" s="342" t="s">
        <v>25</v>
      </c>
    </row>
    <row r="1780" spans="1:19" ht="14.25" customHeight="1" x14ac:dyDescent="0.3">
      <c r="A1780" s="335" t="s">
        <v>3676</v>
      </c>
      <c r="B1780" s="335" t="s">
        <v>26</v>
      </c>
      <c r="C1780" s="335" t="s">
        <v>27</v>
      </c>
      <c r="D1780" s="335" t="s">
        <v>3706</v>
      </c>
      <c r="E1780" s="336" t="s">
        <v>3707</v>
      </c>
      <c r="F1780" s="336" t="s">
        <v>35</v>
      </c>
      <c r="G1780" s="337">
        <v>3</v>
      </c>
      <c r="H1780" s="338">
        <v>0</v>
      </c>
      <c r="I1780" s="339">
        <v>18516.939999999999</v>
      </c>
      <c r="J1780" s="340">
        <v>55550.82</v>
      </c>
      <c r="K1780" s="335" t="s">
        <v>3683</v>
      </c>
      <c r="L1780" s="335">
        <v>9</v>
      </c>
      <c r="M1780" s="335" t="s">
        <v>3708</v>
      </c>
      <c r="N1780" s="339">
        <v>1</v>
      </c>
      <c r="O1780" s="341">
        <v>3</v>
      </c>
      <c r="P1780" s="341">
        <v>1</v>
      </c>
      <c r="Q1780" s="341">
        <v>3</v>
      </c>
      <c r="R1780" s="342">
        <v>19.16</v>
      </c>
      <c r="S1780" s="342" t="s">
        <v>25</v>
      </c>
    </row>
    <row r="1781" spans="1:19" ht="14.25" customHeight="1" x14ac:dyDescent="0.3">
      <c r="A1781" s="335" t="s">
        <v>3676</v>
      </c>
      <c r="B1781" s="335" t="s">
        <v>26</v>
      </c>
      <c r="C1781" s="335" t="s">
        <v>27</v>
      </c>
      <c r="D1781" s="335" t="s">
        <v>3709</v>
      </c>
      <c r="E1781" s="336" t="s">
        <v>3710</v>
      </c>
      <c r="F1781" s="336" t="s">
        <v>35</v>
      </c>
      <c r="G1781" s="337">
        <v>71</v>
      </c>
      <c r="H1781" s="338">
        <v>0</v>
      </c>
      <c r="I1781" s="339">
        <v>36584.29</v>
      </c>
      <c r="J1781" s="340">
        <v>2597484.59</v>
      </c>
      <c r="K1781" s="335" t="s">
        <v>3683</v>
      </c>
      <c r="L1781" s="335">
        <v>10</v>
      </c>
      <c r="M1781" s="335" t="s">
        <v>3711</v>
      </c>
      <c r="N1781" s="339">
        <v>1</v>
      </c>
      <c r="O1781" s="341">
        <v>71</v>
      </c>
      <c r="P1781" s="341">
        <v>1</v>
      </c>
      <c r="Q1781" s="341">
        <v>71</v>
      </c>
      <c r="R1781" s="342">
        <v>19.16</v>
      </c>
      <c r="S1781" s="342" t="s">
        <v>25</v>
      </c>
    </row>
    <row r="1782" spans="1:19" ht="14.25" customHeight="1" x14ac:dyDescent="0.3">
      <c r="A1782" s="335" t="s">
        <v>3676</v>
      </c>
      <c r="B1782" s="335" t="s">
        <v>26</v>
      </c>
      <c r="C1782" s="335" t="s">
        <v>27</v>
      </c>
      <c r="D1782" s="335" t="s">
        <v>3712</v>
      </c>
      <c r="E1782" s="336" t="s">
        <v>3713</v>
      </c>
      <c r="F1782" s="336" t="s">
        <v>35</v>
      </c>
      <c r="G1782" s="337">
        <v>18</v>
      </c>
      <c r="H1782" s="338">
        <v>0</v>
      </c>
      <c r="I1782" s="339">
        <v>4181</v>
      </c>
      <c r="J1782" s="340">
        <v>75258</v>
      </c>
      <c r="K1782" s="335" t="s">
        <v>3683</v>
      </c>
      <c r="L1782" s="335">
        <v>11</v>
      </c>
      <c r="M1782" s="335" t="s">
        <v>3714</v>
      </c>
      <c r="N1782" s="339">
        <v>1</v>
      </c>
      <c r="O1782" s="341">
        <v>18</v>
      </c>
      <c r="P1782" s="341">
        <v>1</v>
      </c>
      <c r="Q1782" s="341">
        <v>18</v>
      </c>
      <c r="R1782" s="342">
        <v>19.16</v>
      </c>
      <c r="S1782" s="342" t="s">
        <v>25</v>
      </c>
    </row>
    <row r="1783" spans="1:19" ht="14.25" customHeight="1" x14ac:dyDescent="0.3">
      <c r="A1783" s="335" t="s">
        <v>3676</v>
      </c>
      <c r="B1783" s="335" t="s">
        <v>26</v>
      </c>
      <c r="C1783" s="335" t="s">
        <v>27</v>
      </c>
      <c r="D1783" s="335" t="s">
        <v>3715</v>
      </c>
      <c r="E1783" s="336" t="s">
        <v>3716</v>
      </c>
      <c r="F1783" s="336" t="s">
        <v>35</v>
      </c>
      <c r="G1783" s="337">
        <v>8</v>
      </c>
      <c r="H1783" s="338">
        <v>0</v>
      </c>
      <c r="I1783" s="339">
        <v>8559</v>
      </c>
      <c r="J1783" s="340">
        <v>68472</v>
      </c>
      <c r="K1783" s="335" t="s">
        <v>3683</v>
      </c>
      <c r="L1783" s="335">
        <v>12</v>
      </c>
      <c r="M1783" s="335" t="s">
        <v>3717</v>
      </c>
      <c r="N1783" s="339">
        <v>1</v>
      </c>
      <c r="O1783" s="341">
        <v>8</v>
      </c>
      <c r="P1783" s="341">
        <v>1</v>
      </c>
      <c r="Q1783" s="341">
        <v>8</v>
      </c>
      <c r="R1783" s="342">
        <v>19.16</v>
      </c>
      <c r="S1783" s="342" t="s">
        <v>25</v>
      </c>
    </row>
    <row r="1784" spans="1:19" ht="14.25" customHeight="1" x14ac:dyDescent="0.3">
      <c r="A1784" s="335" t="s">
        <v>3676</v>
      </c>
      <c r="B1784" s="335" t="s">
        <v>26</v>
      </c>
      <c r="C1784" s="335" t="s">
        <v>27</v>
      </c>
      <c r="D1784" s="335" t="s">
        <v>3718</v>
      </c>
      <c r="E1784" s="336" t="s">
        <v>3719</v>
      </c>
      <c r="F1784" s="336" t="s">
        <v>3611</v>
      </c>
      <c r="G1784" s="337">
        <v>1</v>
      </c>
      <c r="H1784" s="338">
        <v>0</v>
      </c>
      <c r="I1784" s="339">
        <v>79820.73</v>
      </c>
      <c r="J1784" s="340">
        <v>79820.73</v>
      </c>
      <c r="K1784" s="335" t="s">
        <v>3683</v>
      </c>
      <c r="L1784" s="335">
        <v>13</v>
      </c>
      <c r="M1784" s="335" t="s">
        <v>3720</v>
      </c>
      <c r="N1784" s="339">
        <v>1</v>
      </c>
      <c r="O1784" s="341">
        <v>1</v>
      </c>
      <c r="P1784" s="341">
        <v>1</v>
      </c>
      <c r="Q1784" s="341">
        <v>1</v>
      </c>
      <c r="R1784" s="342">
        <v>19.16</v>
      </c>
      <c r="S1784" s="342" t="s">
        <v>25</v>
      </c>
    </row>
    <row r="1785" spans="1:19" ht="14.25" customHeight="1" x14ac:dyDescent="0.3">
      <c r="A1785" s="335" t="s">
        <v>3676</v>
      </c>
      <c r="B1785" s="335" t="s">
        <v>26</v>
      </c>
      <c r="C1785" s="335" t="s">
        <v>27</v>
      </c>
      <c r="D1785" s="335" t="s">
        <v>3721</v>
      </c>
      <c r="E1785" s="336" t="s">
        <v>3722</v>
      </c>
      <c r="F1785" s="336" t="s">
        <v>35</v>
      </c>
      <c r="G1785" s="337">
        <v>4</v>
      </c>
      <c r="H1785" s="338">
        <v>0</v>
      </c>
      <c r="I1785" s="339">
        <v>5026.22</v>
      </c>
      <c r="J1785" s="340">
        <v>20104.88</v>
      </c>
      <c r="K1785" s="335" t="s">
        <v>3683</v>
      </c>
      <c r="L1785" s="335">
        <v>14</v>
      </c>
      <c r="M1785" s="335" t="s">
        <v>3723</v>
      </c>
      <c r="N1785" s="339">
        <v>1</v>
      </c>
      <c r="O1785" s="341">
        <v>4</v>
      </c>
      <c r="P1785" s="341">
        <v>1</v>
      </c>
      <c r="Q1785" s="341">
        <v>4</v>
      </c>
      <c r="R1785" s="342">
        <v>19.16</v>
      </c>
      <c r="S1785" s="342" t="s">
        <v>25</v>
      </c>
    </row>
    <row r="1786" spans="1:19" ht="14.25" customHeight="1" x14ac:dyDescent="0.3">
      <c r="A1786" s="335" t="s">
        <v>3676</v>
      </c>
      <c r="B1786" s="335" t="s">
        <v>26</v>
      </c>
      <c r="C1786" s="335" t="s">
        <v>27</v>
      </c>
      <c r="D1786" s="335" t="s">
        <v>3724</v>
      </c>
      <c r="E1786" s="336" t="s">
        <v>3725</v>
      </c>
      <c r="F1786" s="336" t="s">
        <v>35</v>
      </c>
      <c r="G1786" s="337">
        <v>16</v>
      </c>
      <c r="H1786" s="338">
        <v>0</v>
      </c>
      <c r="I1786" s="339">
        <v>3592.22</v>
      </c>
      <c r="J1786" s="340">
        <v>57475.519999999997</v>
      </c>
      <c r="K1786" s="335" t="s">
        <v>3683</v>
      </c>
      <c r="L1786" s="335">
        <v>15</v>
      </c>
      <c r="M1786" s="335" t="s">
        <v>3726</v>
      </c>
      <c r="N1786" s="339">
        <v>1</v>
      </c>
      <c r="O1786" s="341">
        <v>16</v>
      </c>
      <c r="P1786" s="341">
        <v>1</v>
      </c>
      <c r="Q1786" s="341">
        <v>16</v>
      </c>
      <c r="R1786" s="342">
        <v>19.16</v>
      </c>
      <c r="S1786" s="342" t="s">
        <v>25</v>
      </c>
    </row>
    <row r="1787" spans="1:19" ht="14.25" customHeight="1" x14ac:dyDescent="0.3">
      <c r="A1787" s="335" t="s">
        <v>3676</v>
      </c>
      <c r="B1787" s="335" t="s">
        <v>26</v>
      </c>
      <c r="C1787" s="335" t="s">
        <v>27</v>
      </c>
      <c r="D1787" s="335" t="s">
        <v>3727</v>
      </c>
      <c r="E1787" s="336" t="s">
        <v>3728</v>
      </c>
      <c r="F1787" s="336" t="s">
        <v>35</v>
      </c>
      <c r="G1787" s="337">
        <v>4</v>
      </c>
      <c r="H1787" s="338">
        <v>0</v>
      </c>
      <c r="I1787" s="339">
        <v>4009.17</v>
      </c>
      <c r="J1787" s="340">
        <v>16036.68</v>
      </c>
      <c r="K1787" s="335" t="s">
        <v>3683</v>
      </c>
      <c r="L1787" s="335">
        <v>16</v>
      </c>
      <c r="M1787" s="335" t="s">
        <v>3729</v>
      </c>
      <c r="N1787" s="339">
        <v>1</v>
      </c>
      <c r="O1787" s="341">
        <v>4</v>
      </c>
      <c r="P1787" s="341">
        <v>1</v>
      </c>
      <c r="Q1787" s="341">
        <v>4</v>
      </c>
      <c r="R1787" s="342">
        <v>19.16</v>
      </c>
      <c r="S1787" s="342" t="s">
        <v>25</v>
      </c>
    </row>
    <row r="1788" spans="1:19" ht="14.25" customHeight="1" x14ac:dyDescent="0.3">
      <c r="A1788" s="335" t="s">
        <v>3676</v>
      </c>
      <c r="B1788" s="335" t="s">
        <v>26</v>
      </c>
      <c r="C1788" s="335" t="s">
        <v>27</v>
      </c>
      <c r="D1788" s="335" t="s">
        <v>3730</v>
      </c>
      <c r="E1788" s="336" t="s">
        <v>3731</v>
      </c>
      <c r="F1788" s="336" t="s">
        <v>35</v>
      </c>
      <c r="G1788" s="337">
        <v>5</v>
      </c>
      <c r="H1788" s="338">
        <v>0</v>
      </c>
      <c r="I1788" s="339">
        <v>88241.07</v>
      </c>
      <c r="J1788" s="340">
        <v>441205.35</v>
      </c>
      <c r="K1788" s="335" t="s">
        <v>3683</v>
      </c>
      <c r="L1788" s="335">
        <v>17</v>
      </c>
      <c r="M1788" s="335" t="s">
        <v>3732</v>
      </c>
      <c r="N1788" s="339">
        <v>1</v>
      </c>
      <c r="O1788" s="341">
        <v>5</v>
      </c>
      <c r="P1788" s="341">
        <v>1</v>
      </c>
      <c r="Q1788" s="341">
        <v>5</v>
      </c>
      <c r="R1788" s="342">
        <v>19.16</v>
      </c>
      <c r="S1788" s="342" t="s">
        <v>25</v>
      </c>
    </row>
    <row r="1789" spans="1:19" ht="14.25" customHeight="1" x14ac:dyDescent="0.3">
      <c r="A1789" s="335" t="s">
        <v>3676</v>
      </c>
      <c r="B1789" s="335" t="s">
        <v>26</v>
      </c>
      <c r="C1789" s="335" t="s">
        <v>27</v>
      </c>
      <c r="D1789" s="335" t="s">
        <v>3733</v>
      </c>
      <c r="E1789" s="336" t="s">
        <v>3734</v>
      </c>
      <c r="F1789" s="336" t="s">
        <v>35</v>
      </c>
      <c r="G1789" s="337">
        <v>8</v>
      </c>
      <c r="H1789" s="338">
        <v>0</v>
      </c>
      <c r="I1789" s="339">
        <v>4114.5200000000004</v>
      </c>
      <c r="J1789" s="340">
        <v>32916.160000000003</v>
      </c>
      <c r="K1789" s="335" t="s">
        <v>3683</v>
      </c>
      <c r="L1789" s="335">
        <v>18</v>
      </c>
      <c r="M1789" s="335" t="s">
        <v>3735</v>
      </c>
      <c r="N1789" s="339">
        <v>1</v>
      </c>
      <c r="O1789" s="341">
        <v>8</v>
      </c>
      <c r="P1789" s="341">
        <v>1</v>
      </c>
      <c r="Q1789" s="341">
        <v>8</v>
      </c>
      <c r="R1789" s="342">
        <v>19.16</v>
      </c>
      <c r="S1789" s="342" t="s">
        <v>25</v>
      </c>
    </row>
    <row r="1790" spans="1:19" ht="14.25" customHeight="1" x14ac:dyDescent="0.3">
      <c r="A1790" s="335" t="s">
        <v>3676</v>
      </c>
      <c r="B1790" s="335" t="s">
        <v>26</v>
      </c>
      <c r="C1790" s="335" t="s">
        <v>27</v>
      </c>
      <c r="D1790" s="335" t="s">
        <v>3736</v>
      </c>
      <c r="E1790" s="336" t="s">
        <v>3737</v>
      </c>
      <c r="F1790" s="336" t="s">
        <v>35</v>
      </c>
      <c r="G1790" s="337">
        <v>2</v>
      </c>
      <c r="H1790" s="338">
        <v>0</v>
      </c>
      <c r="I1790" s="339">
        <v>130062.5</v>
      </c>
      <c r="J1790" s="340">
        <v>260125</v>
      </c>
      <c r="K1790" s="335" t="s">
        <v>3683</v>
      </c>
      <c r="L1790" s="335">
        <v>19</v>
      </c>
      <c r="M1790" s="335" t="s">
        <v>3738</v>
      </c>
      <c r="N1790" s="339">
        <v>1</v>
      </c>
      <c r="O1790" s="341">
        <v>2</v>
      </c>
      <c r="P1790" s="341">
        <v>1</v>
      </c>
      <c r="Q1790" s="341">
        <v>2</v>
      </c>
      <c r="R1790" s="342">
        <v>19.16</v>
      </c>
      <c r="S1790" s="342" t="s">
        <v>25</v>
      </c>
    </row>
    <row r="1791" spans="1:19" ht="14.25" customHeight="1" x14ac:dyDescent="0.3">
      <c r="A1791" s="335" t="s">
        <v>3676</v>
      </c>
      <c r="B1791" s="335" t="s">
        <v>26</v>
      </c>
      <c r="C1791" s="335" t="s">
        <v>27</v>
      </c>
      <c r="D1791" s="335" t="s">
        <v>96</v>
      </c>
      <c r="E1791" s="336" t="s">
        <v>97</v>
      </c>
      <c r="F1791" s="336" t="s">
        <v>98</v>
      </c>
      <c r="G1791" s="337">
        <v>473976.86700000003</v>
      </c>
      <c r="H1791" s="338">
        <v>0</v>
      </c>
      <c r="I1791" s="339">
        <v>1</v>
      </c>
      <c r="J1791" s="340">
        <v>473976.86700000003</v>
      </c>
      <c r="K1791" s="335" t="s">
        <v>3683</v>
      </c>
      <c r="L1791" s="335">
        <v>20</v>
      </c>
      <c r="M1791" s="335" t="s">
        <v>3739</v>
      </c>
      <c r="N1791" s="339">
        <v>1</v>
      </c>
      <c r="O1791" s="341">
        <v>473976.86700000003</v>
      </c>
      <c r="P1791" s="341">
        <v>1</v>
      </c>
      <c r="Q1791" s="341">
        <v>473976.86700000003</v>
      </c>
      <c r="R1791" s="342">
        <v>19.16</v>
      </c>
      <c r="S1791" s="342" t="s">
        <v>25</v>
      </c>
    </row>
    <row r="1792" spans="1:19" ht="14.25" customHeight="1" x14ac:dyDescent="0.3">
      <c r="A1792" s="335" t="s">
        <v>3740</v>
      </c>
      <c r="B1792" s="335" t="s">
        <v>26</v>
      </c>
      <c r="C1792" s="335" t="s">
        <v>27</v>
      </c>
      <c r="D1792" s="335" t="s">
        <v>3741</v>
      </c>
      <c r="E1792" s="336" t="s">
        <v>3742</v>
      </c>
      <c r="F1792" s="336" t="s">
        <v>35</v>
      </c>
      <c r="G1792" s="337">
        <v>1</v>
      </c>
      <c r="H1792" s="338">
        <v>0</v>
      </c>
      <c r="I1792" s="339">
        <v>15000</v>
      </c>
      <c r="J1792" s="340">
        <v>15000</v>
      </c>
      <c r="K1792" s="335" t="s">
        <v>3743</v>
      </c>
      <c r="L1792" s="335">
        <v>1</v>
      </c>
      <c r="M1792" s="335" t="s">
        <v>3744</v>
      </c>
      <c r="N1792" s="339">
        <v>1</v>
      </c>
      <c r="O1792" s="341">
        <v>1</v>
      </c>
      <c r="P1792" s="341">
        <v>8</v>
      </c>
      <c r="Q1792" s="341">
        <v>8</v>
      </c>
      <c r="R1792" s="342">
        <v>19.170000000000002</v>
      </c>
      <c r="S1792" s="342" t="s">
        <v>25</v>
      </c>
    </row>
    <row r="1793" spans="1:19" ht="14.25" customHeight="1" x14ac:dyDescent="0.3">
      <c r="A1793" s="335" t="s">
        <v>3740</v>
      </c>
      <c r="B1793" s="335" t="s">
        <v>56</v>
      </c>
      <c r="C1793" s="335" t="s">
        <v>27</v>
      </c>
      <c r="D1793" s="335" t="s">
        <v>3745</v>
      </c>
      <c r="E1793" s="336" t="s">
        <v>3746</v>
      </c>
      <c r="F1793" s="336" t="s">
        <v>60</v>
      </c>
      <c r="G1793" s="337">
        <v>1</v>
      </c>
      <c r="H1793" s="338">
        <v>0</v>
      </c>
      <c r="I1793" s="339">
        <v>30000</v>
      </c>
      <c r="J1793" s="340">
        <v>30000</v>
      </c>
      <c r="K1793" s="335" t="s">
        <v>3747</v>
      </c>
      <c r="L1793" s="335">
        <v>1</v>
      </c>
      <c r="M1793" s="335" t="s">
        <v>3748</v>
      </c>
      <c r="N1793" s="339">
        <v>1</v>
      </c>
      <c r="O1793" s="341">
        <v>1</v>
      </c>
      <c r="P1793" s="341">
        <v>8</v>
      </c>
      <c r="Q1793" s="341">
        <v>8</v>
      </c>
      <c r="R1793" s="342">
        <v>19.170000000000002</v>
      </c>
      <c r="S1793" s="342" t="s">
        <v>25</v>
      </c>
    </row>
    <row r="1794" spans="1:19" ht="14.25" customHeight="1" x14ac:dyDescent="0.3">
      <c r="A1794" s="335" t="s">
        <v>3749</v>
      </c>
      <c r="B1794" s="335" t="s">
        <v>26</v>
      </c>
      <c r="C1794" s="335" t="s">
        <v>27</v>
      </c>
      <c r="D1794" s="335" t="s">
        <v>3750</v>
      </c>
      <c r="E1794" s="336" t="s">
        <v>3751</v>
      </c>
      <c r="F1794" s="336" t="s">
        <v>98</v>
      </c>
      <c r="G1794" s="337">
        <v>1</v>
      </c>
      <c r="H1794" s="338">
        <v>0</v>
      </c>
      <c r="I1794" s="339">
        <v>1500</v>
      </c>
      <c r="J1794" s="340">
        <v>1500</v>
      </c>
      <c r="K1794" s="335" t="s">
        <v>3752</v>
      </c>
      <c r="L1794" s="335">
        <v>1</v>
      </c>
      <c r="M1794" s="335" t="s">
        <v>3753</v>
      </c>
      <c r="N1794" s="339">
        <v>1</v>
      </c>
      <c r="O1794" s="341">
        <v>1</v>
      </c>
      <c r="P1794" s="341">
        <v>8</v>
      </c>
      <c r="Q1794" s="341">
        <v>8</v>
      </c>
      <c r="R1794" s="342">
        <v>19.18</v>
      </c>
      <c r="S1794" s="342" t="s">
        <v>25</v>
      </c>
    </row>
    <row r="1795" spans="1:19" ht="14.25" customHeight="1" x14ac:dyDescent="0.3">
      <c r="A1795" s="335" t="s">
        <v>3749</v>
      </c>
      <c r="B1795" s="335" t="s">
        <v>56</v>
      </c>
      <c r="C1795" s="335" t="s">
        <v>27</v>
      </c>
      <c r="D1795" s="335" t="s">
        <v>3754</v>
      </c>
      <c r="E1795" s="336" t="s">
        <v>3755</v>
      </c>
      <c r="F1795" s="336" t="s">
        <v>60</v>
      </c>
      <c r="G1795" s="337">
        <v>1</v>
      </c>
      <c r="H1795" s="338">
        <v>0</v>
      </c>
      <c r="I1795" s="339">
        <v>19238.769926642999</v>
      </c>
      <c r="J1795" s="340">
        <v>19238.769926642999</v>
      </c>
      <c r="K1795" s="335" t="s">
        <v>3756</v>
      </c>
      <c r="L1795" s="335">
        <v>1</v>
      </c>
      <c r="M1795" s="335" t="s">
        <v>3757</v>
      </c>
      <c r="N1795" s="339">
        <v>1</v>
      </c>
      <c r="O1795" s="341">
        <v>1</v>
      </c>
      <c r="P1795" s="341">
        <v>8</v>
      </c>
      <c r="Q1795" s="341">
        <v>8</v>
      </c>
      <c r="R1795" s="342">
        <v>19.18</v>
      </c>
      <c r="S1795" s="342" t="s">
        <v>25</v>
      </c>
    </row>
    <row r="1796" spans="1:19" ht="14.25" customHeight="1" x14ac:dyDescent="0.3">
      <c r="A1796" s="335" t="s">
        <v>3758</v>
      </c>
      <c r="B1796" s="335" t="s">
        <v>56</v>
      </c>
      <c r="C1796" s="335" t="s">
        <v>27</v>
      </c>
      <c r="D1796" s="335" t="s">
        <v>3759</v>
      </c>
      <c r="E1796" s="336" t="s">
        <v>3760</v>
      </c>
      <c r="F1796" s="336" t="s">
        <v>60</v>
      </c>
      <c r="G1796" s="337">
        <v>1</v>
      </c>
      <c r="H1796" s="338">
        <v>0</v>
      </c>
      <c r="I1796" s="339">
        <v>3510000</v>
      </c>
      <c r="J1796" s="340">
        <v>3510000</v>
      </c>
      <c r="K1796" s="335" t="s">
        <v>3761</v>
      </c>
      <c r="L1796" s="335">
        <v>1</v>
      </c>
      <c r="M1796" s="335" t="s">
        <v>3762</v>
      </c>
      <c r="N1796" s="339">
        <v>1</v>
      </c>
      <c r="O1796" s="341">
        <v>1</v>
      </c>
      <c r="P1796" s="341">
        <v>1</v>
      </c>
      <c r="Q1796" s="341">
        <v>1</v>
      </c>
      <c r="R1796" s="342">
        <v>19.190000000000001</v>
      </c>
      <c r="S1796" s="342" t="s">
        <v>25</v>
      </c>
    </row>
    <row r="1797" spans="1:19" ht="14.25" customHeight="1" x14ac:dyDescent="0.3">
      <c r="A1797" s="335" t="s">
        <v>3763</v>
      </c>
      <c r="B1797" s="335" t="s">
        <v>56</v>
      </c>
      <c r="C1797" s="335" t="s">
        <v>27</v>
      </c>
      <c r="D1797" s="335" t="s">
        <v>3764</v>
      </c>
      <c r="E1797" s="336" t="s">
        <v>3765</v>
      </c>
      <c r="F1797" s="336" t="s">
        <v>60</v>
      </c>
      <c r="G1797" s="337">
        <v>1</v>
      </c>
      <c r="H1797" s="338">
        <v>0</v>
      </c>
      <c r="I1797" s="339">
        <v>68810</v>
      </c>
      <c r="J1797" s="340">
        <v>68810</v>
      </c>
      <c r="K1797" s="335" t="s">
        <v>3766</v>
      </c>
      <c r="L1797" s="335">
        <v>1</v>
      </c>
      <c r="M1797" s="335" t="s">
        <v>3767</v>
      </c>
      <c r="N1797" s="339">
        <v>1</v>
      </c>
      <c r="O1797" s="341">
        <v>1</v>
      </c>
      <c r="P1797" s="341">
        <v>8</v>
      </c>
      <c r="Q1797" s="341">
        <v>8</v>
      </c>
      <c r="R1797" s="342">
        <v>22.01</v>
      </c>
      <c r="S1797" s="342" t="s">
        <v>25</v>
      </c>
    </row>
    <row r="1798" spans="1:19" ht="14.25" customHeight="1" x14ac:dyDescent="0.3">
      <c r="A1798" s="335" t="s">
        <v>3768</v>
      </c>
      <c r="B1798" s="335" t="s">
        <v>56</v>
      </c>
      <c r="C1798" s="335" t="s">
        <v>27</v>
      </c>
      <c r="D1798" s="335" t="s">
        <v>3769</v>
      </c>
      <c r="E1798" s="336" t="s">
        <v>3770</v>
      </c>
      <c r="F1798" s="336" t="s">
        <v>60</v>
      </c>
      <c r="G1798" s="337">
        <v>1</v>
      </c>
      <c r="H1798" s="338">
        <v>0</v>
      </c>
      <c r="I1798" s="339">
        <v>68810</v>
      </c>
      <c r="J1798" s="340">
        <v>68810</v>
      </c>
      <c r="K1798" s="335" t="s">
        <v>3771</v>
      </c>
      <c r="L1798" s="335">
        <v>1</v>
      </c>
      <c r="M1798" s="335" t="s">
        <v>3772</v>
      </c>
      <c r="N1798" s="339">
        <v>1</v>
      </c>
      <c r="O1798" s="341">
        <v>1</v>
      </c>
      <c r="P1798" s="341">
        <v>24</v>
      </c>
      <c r="Q1798" s="341">
        <v>24</v>
      </c>
      <c r="R1798" s="342">
        <v>22.02</v>
      </c>
      <c r="S1798" s="342" t="s">
        <v>25</v>
      </c>
    </row>
    <row r="1799" spans="1:19" ht="14.25" customHeight="1" x14ac:dyDescent="0.3">
      <c r="A1799" s="335" t="s">
        <v>3773</v>
      </c>
      <c r="B1799" s="335" t="s">
        <v>20</v>
      </c>
      <c r="C1799" s="335"/>
      <c r="D1799" s="335" t="s">
        <v>3774</v>
      </c>
      <c r="E1799" s="336" t="s">
        <v>3775</v>
      </c>
      <c r="F1799" s="336"/>
      <c r="G1799" s="337">
        <v>1</v>
      </c>
      <c r="H1799" s="338">
        <v>0</v>
      </c>
      <c r="I1799" s="339">
        <v>2872.6870049034101</v>
      </c>
      <c r="J1799" s="340">
        <v>2872.6870049034101</v>
      </c>
      <c r="K1799" s="335" t="s">
        <v>3776</v>
      </c>
      <c r="L1799" s="335">
        <v>1</v>
      </c>
      <c r="M1799" s="335" t="s">
        <v>3777</v>
      </c>
      <c r="N1799" s="339">
        <v>1</v>
      </c>
      <c r="O1799" s="341">
        <v>1</v>
      </c>
      <c r="P1799" s="341">
        <v>6</v>
      </c>
      <c r="Q1799" s="341">
        <v>6</v>
      </c>
      <c r="R1799" s="342">
        <v>23.01</v>
      </c>
      <c r="S1799" s="342" t="s">
        <v>106</v>
      </c>
    </row>
    <row r="1800" spans="1:19" ht="14.25" customHeight="1" x14ac:dyDescent="0.3">
      <c r="A1800" s="335" t="s">
        <v>3773</v>
      </c>
      <c r="B1800" s="335" t="s">
        <v>26</v>
      </c>
      <c r="C1800" s="335" t="s">
        <v>480</v>
      </c>
      <c r="D1800" s="335" t="s">
        <v>3778</v>
      </c>
      <c r="E1800" s="336" t="s">
        <v>3779</v>
      </c>
      <c r="F1800" s="336" t="s">
        <v>98</v>
      </c>
      <c r="G1800" s="337">
        <v>0.16666666666666699</v>
      </c>
      <c r="H1800" s="338">
        <v>0</v>
      </c>
      <c r="I1800" s="339">
        <v>100000</v>
      </c>
      <c r="J1800" s="340">
        <v>16666.666666666701</v>
      </c>
      <c r="K1800" s="335" t="s">
        <v>3780</v>
      </c>
      <c r="L1800" s="335">
        <v>1</v>
      </c>
      <c r="M1800" s="335" t="s">
        <v>3781</v>
      </c>
      <c r="N1800" s="339">
        <v>1</v>
      </c>
      <c r="O1800" s="341">
        <v>0.16666666666666699</v>
      </c>
      <c r="P1800" s="341">
        <v>6</v>
      </c>
      <c r="Q1800" s="341">
        <v>1</v>
      </c>
      <c r="R1800" s="342">
        <v>23.01</v>
      </c>
      <c r="S1800" s="342" t="s">
        <v>106</v>
      </c>
    </row>
    <row r="1801" spans="1:19" ht="14.25" customHeight="1" x14ac:dyDescent="0.3">
      <c r="A1801" s="335" t="s">
        <v>3773</v>
      </c>
      <c r="B1801" s="335" t="s">
        <v>26</v>
      </c>
      <c r="C1801" s="335" t="s">
        <v>480</v>
      </c>
      <c r="D1801" s="335" t="s">
        <v>3782</v>
      </c>
      <c r="E1801" s="336" t="s">
        <v>3783</v>
      </c>
      <c r="F1801" s="336" t="s">
        <v>98</v>
      </c>
      <c r="G1801" s="337">
        <v>0.16666666666666699</v>
      </c>
      <c r="H1801" s="338">
        <v>0</v>
      </c>
      <c r="I1801" s="339">
        <v>50000</v>
      </c>
      <c r="J1801" s="340">
        <v>8333.3333333333503</v>
      </c>
      <c r="K1801" s="335" t="s">
        <v>3780</v>
      </c>
      <c r="L1801" s="335">
        <v>2</v>
      </c>
      <c r="M1801" s="335" t="s">
        <v>3784</v>
      </c>
      <c r="N1801" s="339">
        <v>1</v>
      </c>
      <c r="O1801" s="341">
        <v>0.16666666666666699</v>
      </c>
      <c r="P1801" s="341">
        <v>6</v>
      </c>
      <c r="Q1801" s="341">
        <v>1</v>
      </c>
      <c r="R1801" s="342">
        <v>23.01</v>
      </c>
      <c r="S1801" s="342" t="s">
        <v>106</v>
      </c>
    </row>
    <row r="1802" spans="1:19" ht="14.25" customHeight="1" x14ac:dyDescent="0.3">
      <c r="A1802" s="335" t="s">
        <v>3773</v>
      </c>
      <c r="B1802" s="335" t="s">
        <v>26</v>
      </c>
      <c r="C1802" s="335" t="s">
        <v>27</v>
      </c>
      <c r="D1802" s="335" t="s">
        <v>96</v>
      </c>
      <c r="E1802" s="336" t="s">
        <v>97</v>
      </c>
      <c r="F1802" s="336" t="s">
        <v>98</v>
      </c>
      <c r="G1802" s="337">
        <v>4166.6666666700003</v>
      </c>
      <c r="H1802" s="338">
        <v>0</v>
      </c>
      <c r="I1802" s="339">
        <v>1</v>
      </c>
      <c r="J1802" s="340">
        <v>4166.6666666700003</v>
      </c>
      <c r="K1802" s="335" t="s">
        <v>3780</v>
      </c>
      <c r="L1802" s="335">
        <v>3</v>
      </c>
      <c r="M1802" s="335" t="s">
        <v>3785</v>
      </c>
      <c r="N1802" s="339">
        <v>1</v>
      </c>
      <c r="O1802" s="341">
        <v>4166.6666666700003</v>
      </c>
      <c r="P1802" s="341">
        <v>6</v>
      </c>
      <c r="Q1802" s="341">
        <v>25000.000000020002</v>
      </c>
      <c r="R1802" s="342">
        <v>23.01</v>
      </c>
      <c r="S1802" s="342" t="s">
        <v>106</v>
      </c>
    </row>
    <row r="1803" spans="1:19" ht="14.25" customHeight="1" x14ac:dyDescent="0.3">
      <c r="A1803" s="335" t="s">
        <v>3773</v>
      </c>
      <c r="B1803" s="335" t="s">
        <v>26</v>
      </c>
      <c r="C1803" s="335" t="s">
        <v>27</v>
      </c>
      <c r="D1803" s="335" t="s">
        <v>1873</v>
      </c>
      <c r="E1803" s="336" t="s">
        <v>1874</v>
      </c>
      <c r="F1803" s="336" t="s">
        <v>83</v>
      </c>
      <c r="G1803" s="337">
        <v>0.1125</v>
      </c>
      <c r="H1803" s="338">
        <v>0</v>
      </c>
      <c r="I1803" s="339">
        <v>125000</v>
      </c>
      <c r="J1803" s="340">
        <v>14062.5</v>
      </c>
      <c r="K1803" s="335" t="s">
        <v>3780</v>
      </c>
      <c r="L1803" s="335">
        <v>4</v>
      </c>
      <c r="M1803" s="335" t="s">
        <v>3786</v>
      </c>
      <c r="N1803" s="339">
        <v>1</v>
      </c>
      <c r="O1803" s="341">
        <v>0.1125</v>
      </c>
      <c r="P1803" s="341">
        <v>6</v>
      </c>
      <c r="Q1803" s="341">
        <v>0.67500000000000004</v>
      </c>
      <c r="R1803" s="342">
        <v>23.01</v>
      </c>
      <c r="S1803" s="342" t="s">
        <v>106</v>
      </c>
    </row>
    <row r="1804" spans="1:19" ht="14.25" customHeight="1" x14ac:dyDescent="0.3">
      <c r="A1804" s="335" t="s">
        <v>3773</v>
      </c>
      <c r="B1804" s="335" t="s">
        <v>26</v>
      </c>
      <c r="C1804" s="335" t="s">
        <v>27</v>
      </c>
      <c r="D1804" s="335" t="s">
        <v>2166</v>
      </c>
      <c r="E1804" s="336" t="s">
        <v>2167</v>
      </c>
      <c r="F1804" s="336" t="s">
        <v>748</v>
      </c>
      <c r="G1804" s="337">
        <v>7.8125E-2</v>
      </c>
      <c r="H1804" s="338">
        <v>0</v>
      </c>
      <c r="I1804" s="339">
        <v>69985.789999999994</v>
      </c>
      <c r="J1804" s="340">
        <v>5467.6398437500002</v>
      </c>
      <c r="K1804" s="335" t="s">
        <v>3780</v>
      </c>
      <c r="L1804" s="335">
        <v>5</v>
      </c>
      <c r="M1804" s="335" t="s">
        <v>3787</v>
      </c>
      <c r="N1804" s="339">
        <v>1</v>
      </c>
      <c r="O1804" s="341">
        <v>7.8125E-2</v>
      </c>
      <c r="P1804" s="341">
        <v>6</v>
      </c>
      <c r="Q1804" s="341">
        <v>0.46875</v>
      </c>
      <c r="R1804" s="342">
        <v>23.01</v>
      </c>
      <c r="S1804" s="342" t="s">
        <v>106</v>
      </c>
    </row>
    <row r="1805" spans="1:19" ht="14.25" customHeight="1" x14ac:dyDescent="0.3">
      <c r="A1805" s="335" t="s">
        <v>3773</v>
      </c>
      <c r="B1805" s="335" t="s">
        <v>26</v>
      </c>
      <c r="C1805" s="335" t="s">
        <v>27</v>
      </c>
      <c r="D1805" s="335" t="s">
        <v>3788</v>
      </c>
      <c r="E1805" s="336" t="s">
        <v>3789</v>
      </c>
      <c r="F1805" s="336" t="s">
        <v>98</v>
      </c>
      <c r="G1805" s="337">
        <v>0.16666666666666699</v>
      </c>
      <c r="H1805" s="338">
        <v>0</v>
      </c>
      <c r="I1805" s="339">
        <v>30000</v>
      </c>
      <c r="J1805" s="340">
        <v>5000.00000000001</v>
      </c>
      <c r="K1805" s="335" t="s">
        <v>3780</v>
      </c>
      <c r="L1805" s="335">
        <v>6</v>
      </c>
      <c r="M1805" s="335" t="s">
        <v>3790</v>
      </c>
      <c r="N1805" s="339">
        <v>1</v>
      </c>
      <c r="O1805" s="341">
        <v>0.16666666666666699</v>
      </c>
      <c r="P1805" s="341">
        <v>6</v>
      </c>
      <c r="Q1805" s="341">
        <v>1</v>
      </c>
      <c r="R1805" s="342">
        <v>23.01</v>
      </c>
      <c r="S1805" s="342" t="s">
        <v>106</v>
      </c>
    </row>
    <row r="1806" spans="1:19" ht="14.25" customHeight="1" x14ac:dyDescent="0.3">
      <c r="A1806" s="335" t="s">
        <v>3773</v>
      </c>
      <c r="B1806" s="335" t="s">
        <v>56</v>
      </c>
      <c r="C1806" s="335" t="s">
        <v>57</v>
      </c>
      <c r="D1806" s="335" t="s">
        <v>58</v>
      </c>
      <c r="E1806" s="336" t="s">
        <v>59</v>
      </c>
      <c r="F1806" s="336" t="s">
        <v>60</v>
      </c>
      <c r="G1806" s="337">
        <v>1</v>
      </c>
      <c r="H1806" s="338">
        <v>0</v>
      </c>
      <c r="I1806" s="339">
        <v>60860.580776572002</v>
      </c>
      <c r="J1806" s="340">
        <v>60860.580776572002</v>
      </c>
      <c r="K1806" s="335" t="s">
        <v>3791</v>
      </c>
      <c r="L1806" s="335">
        <v>1</v>
      </c>
      <c r="M1806" s="335" t="s">
        <v>3792</v>
      </c>
      <c r="N1806" s="339">
        <v>1</v>
      </c>
      <c r="O1806" s="341">
        <v>1</v>
      </c>
      <c r="P1806" s="341">
        <v>6</v>
      </c>
      <c r="Q1806" s="341">
        <v>6</v>
      </c>
      <c r="R1806" s="342">
        <v>23.01</v>
      </c>
      <c r="S1806" s="342" t="s">
        <v>106</v>
      </c>
    </row>
    <row r="1807" spans="1:19" ht="14.25" customHeight="1" x14ac:dyDescent="0.3">
      <c r="A1807" s="335" t="s">
        <v>3773</v>
      </c>
      <c r="B1807" s="335" t="s">
        <v>56</v>
      </c>
      <c r="C1807" s="335" t="s">
        <v>57</v>
      </c>
      <c r="D1807" s="343" t="s">
        <v>497</v>
      </c>
      <c r="E1807" s="336" t="s">
        <v>498</v>
      </c>
      <c r="F1807" s="336" t="s">
        <v>60</v>
      </c>
      <c r="G1807" s="337">
        <v>1</v>
      </c>
      <c r="H1807" s="338">
        <v>0</v>
      </c>
      <c r="I1807" s="339">
        <v>76955.079706571996</v>
      </c>
      <c r="J1807" s="340">
        <v>76955.079706571996</v>
      </c>
      <c r="K1807" s="335" t="s">
        <v>3791</v>
      </c>
      <c r="L1807" s="335">
        <v>2</v>
      </c>
      <c r="M1807" s="335" t="s">
        <v>3793</v>
      </c>
      <c r="N1807" s="339">
        <v>1</v>
      </c>
      <c r="O1807" s="341">
        <v>1</v>
      </c>
      <c r="P1807" s="341">
        <v>6</v>
      </c>
      <c r="Q1807" s="341">
        <v>6</v>
      </c>
      <c r="R1807" s="342">
        <v>23.01</v>
      </c>
      <c r="S1807" s="342" t="s">
        <v>106</v>
      </c>
    </row>
    <row r="1808" spans="1:19" ht="14.25" customHeight="1" x14ac:dyDescent="0.3">
      <c r="A1808" s="335" t="s">
        <v>3794</v>
      </c>
      <c r="B1808" s="335" t="s">
        <v>20</v>
      </c>
      <c r="C1808" s="335"/>
      <c r="D1808" s="335" t="s">
        <v>3795</v>
      </c>
      <c r="E1808" s="336" t="s">
        <v>3796</v>
      </c>
      <c r="F1808" s="336"/>
      <c r="G1808" s="337">
        <v>1</v>
      </c>
      <c r="H1808" s="338">
        <v>0</v>
      </c>
      <c r="I1808" s="339">
        <v>8803.9027571143397</v>
      </c>
      <c r="J1808" s="340">
        <v>8803.9027571143397</v>
      </c>
      <c r="K1808" s="335" t="s">
        <v>3797</v>
      </c>
      <c r="L1808" s="335">
        <v>1</v>
      </c>
      <c r="M1808" s="335" t="s">
        <v>3798</v>
      </c>
      <c r="N1808" s="339">
        <v>1</v>
      </c>
      <c r="O1808" s="341">
        <v>1</v>
      </c>
      <c r="P1808" s="341">
        <v>1</v>
      </c>
      <c r="Q1808" s="341">
        <v>1</v>
      </c>
      <c r="R1808" s="342">
        <v>23.02</v>
      </c>
      <c r="S1808" s="342" t="s">
        <v>106</v>
      </c>
    </row>
    <row r="1809" spans="1:19" ht="14.25" customHeight="1" x14ac:dyDescent="0.3">
      <c r="A1809" s="335" t="s">
        <v>3794</v>
      </c>
      <c r="B1809" s="335" t="s">
        <v>26</v>
      </c>
      <c r="C1809" s="335" t="s">
        <v>480</v>
      </c>
      <c r="D1809" s="335" t="s">
        <v>3799</v>
      </c>
      <c r="E1809" s="336" t="s">
        <v>2119</v>
      </c>
      <c r="F1809" s="336" t="s">
        <v>1409</v>
      </c>
      <c r="G1809" s="337">
        <v>5</v>
      </c>
      <c r="H1809" s="338">
        <v>0</v>
      </c>
      <c r="I1809" s="339">
        <v>10000</v>
      </c>
      <c r="J1809" s="340">
        <v>50000</v>
      </c>
      <c r="K1809" s="335" t="s">
        <v>3800</v>
      </c>
      <c r="L1809" s="335">
        <v>1</v>
      </c>
      <c r="M1809" s="335" t="s">
        <v>3801</v>
      </c>
      <c r="N1809" s="339">
        <v>1</v>
      </c>
      <c r="O1809" s="341">
        <v>5</v>
      </c>
      <c r="P1809" s="341">
        <v>1</v>
      </c>
      <c r="Q1809" s="341">
        <v>5</v>
      </c>
      <c r="R1809" s="342">
        <v>23.02</v>
      </c>
      <c r="S1809" s="342" t="s">
        <v>106</v>
      </c>
    </row>
    <row r="1810" spans="1:19" ht="14.25" customHeight="1" x14ac:dyDescent="0.3">
      <c r="A1810" s="335" t="s">
        <v>3794</v>
      </c>
      <c r="B1810" s="335" t="s">
        <v>56</v>
      </c>
      <c r="C1810" s="335" t="s">
        <v>57</v>
      </c>
      <c r="D1810" s="335" t="s">
        <v>58</v>
      </c>
      <c r="E1810" s="336" t="s">
        <v>59</v>
      </c>
      <c r="F1810" s="336" t="s">
        <v>60</v>
      </c>
      <c r="G1810" s="337">
        <v>2.5</v>
      </c>
      <c r="H1810" s="338">
        <v>0</v>
      </c>
      <c r="I1810" s="339">
        <v>60860.580776572002</v>
      </c>
      <c r="J1810" s="340">
        <v>152151.45194142999</v>
      </c>
      <c r="K1810" s="335" t="s">
        <v>3802</v>
      </c>
      <c r="L1810" s="335">
        <v>1</v>
      </c>
      <c r="M1810" s="335" t="s">
        <v>3803</v>
      </c>
      <c r="N1810" s="339">
        <v>1</v>
      </c>
      <c r="O1810" s="341">
        <v>2.5</v>
      </c>
      <c r="P1810" s="341">
        <v>1</v>
      </c>
      <c r="Q1810" s="341">
        <v>2.5</v>
      </c>
      <c r="R1810" s="342">
        <v>23.02</v>
      </c>
      <c r="S1810" s="342" t="s">
        <v>106</v>
      </c>
    </row>
    <row r="1811" spans="1:19" ht="14.25" customHeight="1" x14ac:dyDescent="0.3">
      <c r="A1811" s="335" t="s">
        <v>3794</v>
      </c>
      <c r="B1811" s="335" t="s">
        <v>56</v>
      </c>
      <c r="C1811" s="335" t="s">
        <v>57</v>
      </c>
      <c r="D1811" s="343" t="s">
        <v>497</v>
      </c>
      <c r="E1811" s="336" t="s">
        <v>498</v>
      </c>
      <c r="F1811" s="336" t="s">
        <v>60</v>
      </c>
      <c r="G1811" s="337">
        <v>5</v>
      </c>
      <c r="H1811" s="338">
        <v>0</v>
      </c>
      <c r="I1811" s="339">
        <v>76955.079706571996</v>
      </c>
      <c r="J1811" s="340">
        <v>384775.39853285998</v>
      </c>
      <c r="K1811" s="335" t="s">
        <v>3802</v>
      </c>
      <c r="L1811" s="335">
        <v>2</v>
      </c>
      <c r="M1811" s="335" t="s">
        <v>3804</v>
      </c>
      <c r="N1811" s="339">
        <v>1</v>
      </c>
      <c r="O1811" s="341">
        <v>5</v>
      </c>
      <c r="P1811" s="341">
        <v>1</v>
      </c>
      <c r="Q1811" s="341">
        <v>5</v>
      </c>
      <c r="R1811" s="342">
        <v>23.02</v>
      </c>
      <c r="S1811" s="342" t="s">
        <v>106</v>
      </c>
    </row>
    <row r="1812" spans="1:19" ht="14.25" customHeight="1" x14ac:dyDescent="0.3">
      <c r="A1812" s="335" t="s">
        <v>3805</v>
      </c>
      <c r="B1812" s="335" t="s">
        <v>20</v>
      </c>
      <c r="C1812" s="335"/>
      <c r="D1812" s="335" t="s">
        <v>3806</v>
      </c>
      <c r="E1812" s="336" t="s">
        <v>3807</v>
      </c>
      <c r="F1812" s="336"/>
      <c r="G1812" s="337">
        <v>1</v>
      </c>
      <c r="H1812" s="338">
        <v>0</v>
      </c>
      <c r="I1812" s="339">
        <v>300.22927085357298</v>
      </c>
      <c r="J1812" s="340">
        <v>300.22927085357298</v>
      </c>
      <c r="K1812" s="335" t="s">
        <v>3808</v>
      </c>
      <c r="L1812" s="335">
        <v>1</v>
      </c>
      <c r="M1812" s="335" t="s">
        <v>3809</v>
      </c>
      <c r="N1812" s="339">
        <v>1</v>
      </c>
      <c r="O1812" s="341">
        <v>1</v>
      </c>
      <c r="P1812" s="341">
        <v>26</v>
      </c>
      <c r="Q1812" s="341">
        <v>26</v>
      </c>
      <c r="R1812" s="342">
        <v>23.03</v>
      </c>
      <c r="S1812" s="342" t="s">
        <v>106</v>
      </c>
    </row>
    <row r="1813" spans="1:19" ht="14.25" customHeight="1" x14ac:dyDescent="0.3">
      <c r="A1813" s="335" t="s">
        <v>3805</v>
      </c>
      <c r="B1813" s="335" t="s">
        <v>26</v>
      </c>
      <c r="C1813" s="335" t="s">
        <v>27</v>
      </c>
      <c r="D1813" s="335" t="s">
        <v>96</v>
      </c>
      <c r="E1813" s="336" t="s">
        <v>97</v>
      </c>
      <c r="F1813" s="336" t="s">
        <v>98</v>
      </c>
      <c r="G1813" s="337">
        <v>3846.1538461499999</v>
      </c>
      <c r="H1813" s="338">
        <v>0</v>
      </c>
      <c r="I1813" s="339">
        <v>1</v>
      </c>
      <c r="J1813" s="340">
        <v>3846.1538461499999</v>
      </c>
      <c r="K1813" s="335" t="s">
        <v>3810</v>
      </c>
      <c r="L1813" s="335">
        <v>1</v>
      </c>
      <c r="M1813" s="335" t="s">
        <v>3811</v>
      </c>
      <c r="N1813" s="339">
        <v>1</v>
      </c>
      <c r="O1813" s="341">
        <v>3846.1538461499999</v>
      </c>
      <c r="P1813" s="341">
        <v>26</v>
      </c>
      <c r="Q1813" s="341">
        <v>99999.999999899999</v>
      </c>
      <c r="R1813" s="342">
        <v>23.03</v>
      </c>
      <c r="S1813" s="342" t="s">
        <v>106</v>
      </c>
    </row>
    <row r="1814" spans="1:19" ht="14.25" customHeight="1" x14ac:dyDescent="0.3">
      <c r="A1814" s="335" t="s">
        <v>3805</v>
      </c>
      <c r="B1814" s="335" t="s">
        <v>26</v>
      </c>
      <c r="C1814" s="335" t="s">
        <v>27</v>
      </c>
      <c r="D1814" s="335" t="s">
        <v>1946</v>
      </c>
      <c r="E1814" s="336" t="s">
        <v>1947</v>
      </c>
      <c r="F1814" s="336" t="s">
        <v>35</v>
      </c>
      <c r="G1814" s="337">
        <v>3.8461538461538498E-2</v>
      </c>
      <c r="H1814" s="338">
        <v>0</v>
      </c>
      <c r="I1814" s="339">
        <v>100000</v>
      </c>
      <c r="J1814" s="340">
        <v>3846.1538461538498</v>
      </c>
      <c r="K1814" s="335" t="s">
        <v>3810</v>
      </c>
      <c r="L1814" s="335">
        <v>2</v>
      </c>
      <c r="M1814" s="335" t="s">
        <v>3812</v>
      </c>
      <c r="N1814" s="339">
        <v>1</v>
      </c>
      <c r="O1814" s="341">
        <v>3.8461538461538498E-2</v>
      </c>
      <c r="P1814" s="341">
        <v>26</v>
      </c>
      <c r="Q1814" s="341">
        <v>1</v>
      </c>
      <c r="R1814" s="342">
        <v>23.03</v>
      </c>
      <c r="S1814" s="342" t="s">
        <v>106</v>
      </c>
    </row>
    <row r="1815" spans="1:19" ht="14.25" customHeight="1" x14ac:dyDescent="0.3">
      <c r="A1815" s="335" t="s">
        <v>3805</v>
      </c>
      <c r="B1815" s="335" t="s">
        <v>56</v>
      </c>
      <c r="C1815" s="335" t="s">
        <v>57</v>
      </c>
      <c r="D1815" s="335" t="s">
        <v>58</v>
      </c>
      <c r="E1815" s="336" t="s">
        <v>59</v>
      </c>
      <c r="F1815" s="336" t="s">
        <v>60</v>
      </c>
      <c r="G1815" s="337">
        <v>0.15384615384615399</v>
      </c>
      <c r="H1815" s="338">
        <v>0</v>
      </c>
      <c r="I1815" s="339">
        <v>60860.580776572002</v>
      </c>
      <c r="J1815" s="340">
        <v>9363.1662733187804</v>
      </c>
      <c r="K1815" s="335" t="s">
        <v>3813</v>
      </c>
      <c r="L1815" s="335">
        <v>1</v>
      </c>
      <c r="M1815" s="335" t="s">
        <v>3814</v>
      </c>
      <c r="N1815" s="339">
        <v>1</v>
      </c>
      <c r="O1815" s="341">
        <v>0.15384615384615399</v>
      </c>
      <c r="P1815" s="341">
        <v>26</v>
      </c>
      <c r="Q1815" s="341">
        <v>4</v>
      </c>
      <c r="R1815" s="342">
        <v>23.03</v>
      </c>
      <c r="S1815" s="342" t="s">
        <v>106</v>
      </c>
    </row>
    <row r="1816" spans="1:19" ht="14.25" customHeight="1" x14ac:dyDescent="0.3">
      <c r="A1816" s="335" t="s">
        <v>3805</v>
      </c>
      <c r="B1816" s="335" t="s">
        <v>56</v>
      </c>
      <c r="C1816" s="335" t="s">
        <v>57</v>
      </c>
      <c r="D1816" s="343" t="s">
        <v>497</v>
      </c>
      <c r="E1816" s="336" t="s">
        <v>498</v>
      </c>
      <c r="F1816" s="336" t="s">
        <v>60</v>
      </c>
      <c r="G1816" s="337">
        <v>3.8461538461538498E-2</v>
      </c>
      <c r="H1816" s="338">
        <v>0</v>
      </c>
      <c r="I1816" s="339">
        <v>76955.079706571996</v>
      </c>
      <c r="J1816" s="340">
        <v>2959.8107579450798</v>
      </c>
      <c r="K1816" s="335" t="s">
        <v>3813</v>
      </c>
      <c r="L1816" s="335">
        <v>2</v>
      </c>
      <c r="M1816" s="335" t="s">
        <v>3815</v>
      </c>
      <c r="N1816" s="339">
        <v>1</v>
      </c>
      <c r="O1816" s="341">
        <v>3.8461538461538498E-2</v>
      </c>
      <c r="P1816" s="341">
        <v>26</v>
      </c>
      <c r="Q1816" s="341">
        <v>1</v>
      </c>
      <c r="R1816" s="342">
        <v>23.03</v>
      </c>
      <c r="S1816" s="342" t="s">
        <v>106</v>
      </c>
    </row>
    <row r="1817" spans="1:19" ht="14.25" customHeight="1" x14ac:dyDescent="0.3">
      <c r="A1817" s="335" t="s">
        <v>3816</v>
      </c>
      <c r="B1817" s="335" t="s">
        <v>20</v>
      </c>
      <c r="C1817" s="335"/>
      <c r="D1817" s="335" t="s">
        <v>582</v>
      </c>
      <c r="E1817" s="336" t="s">
        <v>583</v>
      </c>
      <c r="F1817" s="336"/>
      <c r="G1817" s="337">
        <v>1</v>
      </c>
      <c r="H1817" s="338">
        <v>0</v>
      </c>
      <c r="I1817" s="339">
        <v>2365.2381485799501</v>
      </c>
      <c r="J1817" s="340">
        <v>2365.2381485799501</v>
      </c>
      <c r="K1817" s="335" t="s">
        <v>3817</v>
      </c>
      <c r="L1817" s="335">
        <v>1</v>
      </c>
      <c r="M1817" s="335" t="s">
        <v>3818</v>
      </c>
      <c r="N1817" s="339">
        <v>7</v>
      </c>
      <c r="O1817" s="341">
        <v>1</v>
      </c>
      <c r="P1817" s="341">
        <v>231</v>
      </c>
      <c r="Q1817" s="341">
        <v>231</v>
      </c>
      <c r="R1817" s="342">
        <v>23.04</v>
      </c>
      <c r="S1817" s="342" t="s">
        <v>106</v>
      </c>
    </row>
    <row r="1818" spans="1:19" ht="14.25" customHeight="1" x14ac:dyDescent="0.3">
      <c r="A1818" s="335" t="s">
        <v>3816</v>
      </c>
      <c r="B1818" s="335" t="s">
        <v>20</v>
      </c>
      <c r="C1818" s="335"/>
      <c r="D1818" s="335" t="s">
        <v>578</v>
      </c>
      <c r="E1818" s="336" t="s">
        <v>579</v>
      </c>
      <c r="F1818" s="336"/>
      <c r="G1818" s="337">
        <v>0.5</v>
      </c>
      <c r="H1818" s="338">
        <v>0</v>
      </c>
      <c r="I1818" s="339">
        <v>140.198092594309</v>
      </c>
      <c r="J1818" s="340">
        <v>70.099046297154501</v>
      </c>
      <c r="K1818" s="335" t="s">
        <v>3817</v>
      </c>
      <c r="L1818" s="335">
        <v>2</v>
      </c>
      <c r="M1818" s="335" t="s">
        <v>3819</v>
      </c>
      <c r="N1818" s="339">
        <v>7</v>
      </c>
      <c r="O1818" s="341">
        <v>0.5</v>
      </c>
      <c r="P1818" s="341">
        <v>231</v>
      </c>
      <c r="Q1818" s="341">
        <v>115.5</v>
      </c>
      <c r="R1818" s="342">
        <v>23.04</v>
      </c>
      <c r="S1818" s="342" t="s">
        <v>106</v>
      </c>
    </row>
    <row r="1819" spans="1:19" ht="14.25" customHeight="1" x14ac:dyDescent="0.3">
      <c r="A1819" s="335" t="s">
        <v>3816</v>
      </c>
      <c r="B1819" s="335" t="s">
        <v>26</v>
      </c>
      <c r="C1819" s="335" t="s">
        <v>27</v>
      </c>
      <c r="D1819" s="335" t="s">
        <v>617</v>
      </c>
      <c r="E1819" s="336" t="s">
        <v>618</v>
      </c>
      <c r="F1819" s="336" t="s">
        <v>35</v>
      </c>
      <c r="G1819" s="337">
        <v>0.46153846153846201</v>
      </c>
      <c r="H1819" s="338">
        <v>0.1</v>
      </c>
      <c r="I1819" s="339">
        <v>2932.93</v>
      </c>
      <c r="J1819" s="340">
        <v>1489.0260000000001</v>
      </c>
      <c r="K1819" s="335" t="s">
        <v>3820</v>
      </c>
      <c r="L1819" s="335">
        <v>1</v>
      </c>
      <c r="M1819" s="335" t="s">
        <v>3821</v>
      </c>
      <c r="N1819" s="339">
        <v>7</v>
      </c>
      <c r="O1819" s="341">
        <v>0.46153846153846201</v>
      </c>
      <c r="P1819" s="341">
        <v>231</v>
      </c>
      <c r="Q1819" s="341">
        <v>106.615384615385</v>
      </c>
      <c r="R1819" s="342">
        <v>23.04</v>
      </c>
      <c r="S1819" s="342" t="s">
        <v>106</v>
      </c>
    </row>
    <row r="1820" spans="1:19" ht="14.25" customHeight="1" x14ac:dyDescent="0.3">
      <c r="A1820" s="335" t="s">
        <v>3816</v>
      </c>
      <c r="B1820" s="335" t="s">
        <v>26</v>
      </c>
      <c r="C1820" s="335" t="s">
        <v>27</v>
      </c>
      <c r="D1820" s="335" t="s">
        <v>621</v>
      </c>
      <c r="E1820" s="336" t="s">
        <v>622</v>
      </c>
      <c r="F1820" s="336" t="s">
        <v>35</v>
      </c>
      <c r="G1820" s="337">
        <v>1.15384615384615</v>
      </c>
      <c r="H1820" s="338">
        <v>0.1</v>
      </c>
      <c r="I1820" s="339">
        <v>3295.47</v>
      </c>
      <c r="J1820" s="340">
        <v>4182.7119230769104</v>
      </c>
      <c r="K1820" s="335" t="s">
        <v>3820</v>
      </c>
      <c r="L1820" s="335">
        <v>2</v>
      </c>
      <c r="M1820" s="335" t="s">
        <v>3822</v>
      </c>
      <c r="N1820" s="339">
        <v>7</v>
      </c>
      <c r="O1820" s="341">
        <v>1.15384615384615</v>
      </c>
      <c r="P1820" s="341">
        <v>231</v>
      </c>
      <c r="Q1820" s="341">
        <v>266.53846153846098</v>
      </c>
      <c r="R1820" s="342">
        <v>23.04</v>
      </c>
      <c r="S1820" s="342" t="s">
        <v>106</v>
      </c>
    </row>
    <row r="1821" spans="1:19" ht="14.25" customHeight="1" x14ac:dyDescent="0.3">
      <c r="A1821" s="335" t="s">
        <v>3816</v>
      </c>
      <c r="B1821" s="335" t="s">
        <v>26</v>
      </c>
      <c r="C1821" s="335" t="s">
        <v>27</v>
      </c>
      <c r="D1821" s="335" t="s">
        <v>592</v>
      </c>
      <c r="E1821" s="336" t="s">
        <v>593</v>
      </c>
      <c r="F1821" s="336" t="s">
        <v>35</v>
      </c>
      <c r="G1821" s="337">
        <v>5.6300000000000003E-2</v>
      </c>
      <c r="H1821" s="338">
        <v>0.05</v>
      </c>
      <c r="I1821" s="339">
        <v>26872.02</v>
      </c>
      <c r="J1821" s="340">
        <v>1588.5394623</v>
      </c>
      <c r="K1821" s="335" t="s">
        <v>3820</v>
      </c>
      <c r="L1821" s="335">
        <v>3</v>
      </c>
      <c r="M1821" s="335" t="s">
        <v>3823</v>
      </c>
      <c r="N1821" s="339">
        <v>7</v>
      </c>
      <c r="O1821" s="341">
        <v>5.6300000000000003E-2</v>
      </c>
      <c r="P1821" s="341">
        <v>231</v>
      </c>
      <c r="Q1821" s="341">
        <v>13.0053</v>
      </c>
      <c r="R1821" s="342">
        <v>23.04</v>
      </c>
      <c r="S1821" s="342" t="s">
        <v>106</v>
      </c>
    </row>
    <row r="1822" spans="1:19" ht="14.25" customHeight="1" x14ac:dyDescent="0.3">
      <c r="A1822" s="335" t="s">
        <v>3816</v>
      </c>
      <c r="B1822" s="335" t="s">
        <v>26</v>
      </c>
      <c r="C1822" s="335" t="s">
        <v>27</v>
      </c>
      <c r="D1822" s="335" t="s">
        <v>595</v>
      </c>
      <c r="E1822" s="336" t="s">
        <v>596</v>
      </c>
      <c r="F1822" s="336" t="s">
        <v>35</v>
      </c>
      <c r="G1822" s="337">
        <v>10</v>
      </c>
      <c r="H1822" s="338">
        <v>0.05</v>
      </c>
      <c r="I1822" s="339">
        <v>32.707173553719002</v>
      </c>
      <c r="J1822" s="340">
        <v>343.42532231404999</v>
      </c>
      <c r="K1822" s="335" t="s">
        <v>3820</v>
      </c>
      <c r="L1822" s="335">
        <v>4</v>
      </c>
      <c r="M1822" s="335" t="s">
        <v>3824</v>
      </c>
      <c r="N1822" s="339">
        <v>7</v>
      </c>
      <c r="O1822" s="341">
        <v>10</v>
      </c>
      <c r="P1822" s="341">
        <v>231</v>
      </c>
      <c r="Q1822" s="341">
        <v>2310</v>
      </c>
      <c r="R1822" s="342">
        <v>23.04</v>
      </c>
      <c r="S1822" s="342" t="s">
        <v>106</v>
      </c>
    </row>
    <row r="1823" spans="1:19" ht="14.25" customHeight="1" x14ac:dyDescent="0.3">
      <c r="A1823" s="335" t="s">
        <v>3816</v>
      </c>
      <c r="B1823" s="335" t="s">
        <v>26</v>
      </c>
      <c r="C1823" s="335" t="s">
        <v>27</v>
      </c>
      <c r="D1823" s="335" t="s">
        <v>598</v>
      </c>
      <c r="E1823" s="336" t="s">
        <v>599</v>
      </c>
      <c r="F1823" s="336" t="s">
        <v>35</v>
      </c>
      <c r="G1823" s="337">
        <v>30</v>
      </c>
      <c r="H1823" s="338">
        <v>0.05</v>
      </c>
      <c r="I1823" s="339">
        <v>17.1963177226814</v>
      </c>
      <c r="J1823" s="340">
        <v>541.68400826446396</v>
      </c>
      <c r="K1823" s="335" t="s">
        <v>3820</v>
      </c>
      <c r="L1823" s="335">
        <v>5</v>
      </c>
      <c r="M1823" s="335" t="s">
        <v>3825</v>
      </c>
      <c r="N1823" s="339">
        <v>7</v>
      </c>
      <c r="O1823" s="341">
        <v>30</v>
      </c>
      <c r="P1823" s="341">
        <v>231</v>
      </c>
      <c r="Q1823" s="341">
        <v>6930</v>
      </c>
      <c r="R1823" s="342">
        <v>23.04</v>
      </c>
      <c r="S1823" s="342" t="s">
        <v>106</v>
      </c>
    </row>
    <row r="1824" spans="1:19" ht="14.25" customHeight="1" x14ac:dyDescent="0.3">
      <c r="A1824" s="335" t="s">
        <v>3816</v>
      </c>
      <c r="B1824" s="335" t="s">
        <v>26</v>
      </c>
      <c r="C1824" s="335" t="s">
        <v>27</v>
      </c>
      <c r="D1824" s="335" t="s">
        <v>601</v>
      </c>
      <c r="E1824" s="336" t="s">
        <v>602</v>
      </c>
      <c r="F1824" s="336" t="s">
        <v>35</v>
      </c>
      <c r="G1824" s="337">
        <v>3.5</v>
      </c>
      <c r="H1824" s="338">
        <v>0.05</v>
      </c>
      <c r="I1824" s="339">
        <v>65.919008264462803</v>
      </c>
      <c r="J1824" s="340">
        <v>242.25235537190099</v>
      </c>
      <c r="K1824" s="335" t="s">
        <v>3820</v>
      </c>
      <c r="L1824" s="335">
        <v>6</v>
      </c>
      <c r="M1824" s="335" t="s">
        <v>3826</v>
      </c>
      <c r="N1824" s="339">
        <v>7</v>
      </c>
      <c r="O1824" s="341">
        <v>3.5</v>
      </c>
      <c r="P1824" s="341">
        <v>231</v>
      </c>
      <c r="Q1824" s="341">
        <v>808.5</v>
      </c>
      <c r="R1824" s="342">
        <v>23.04</v>
      </c>
      <c r="S1824" s="342" t="s">
        <v>106</v>
      </c>
    </row>
    <row r="1825" spans="1:19" ht="14.25" customHeight="1" x14ac:dyDescent="0.3">
      <c r="A1825" s="335" t="s">
        <v>3816</v>
      </c>
      <c r="B1825" s="335" t="s">
        <v>26</v>
      </c>
      <c r="C1825" s="335" t="s">
        <v>27</v>
      </c>
      <c r="D1825" s="335" t="s">
        <v>604</v>
      </c>
      <c r="E1825" s="336" t="s">
        <v>605</v>
      </c>
      <c r="F1825" s="336" t="s">
        <v>35</v>
      </c>
      <c r="G1825" s="337">
        <v>0.04</v>
      </c>
      <c r="H1825" s="338">
        <v>0.05</v>
      </c>
      <c r="I1825" s="339">
        <v>4042.71</v>
      </c>
      <c r="J1825" s="340">
        <v>169.79382000000001</v>
      </c>
      <c r="K1825" s="335" t="s">
        <v>3820</v>
      </c>
      <c r="L1825" s="335">
        <v>7</v>
      </c>
      <c r="M1825" s="335" t="s">
        <v>3827</v>
      </c>
      <c r="N1825" s="339">
        <v>7</v>
      </c>
      <c r="O1825" s="341">
        <v>0.04</v>
      </c>
      <c r="P1825" s="341">
        <v>231</v>
      </c>
      <c r="Q1825" s="341">
        <v>9.24</v>
      </c>
      <c r="R1825" s="342">
        <v>23.04</v>
      </c>
      <c r="S1825" s="342" t="s">
        <v>106</v>
      </c>
    </row>
    <row r="1826" spans="1:19" ht="14.25" customHeight="1" x14ac:dyDescent="0.3">
      <c r="A1826" s="335" t="s">
        <v>3816</v>
      </c>
      <c r="B1826" s="335" t="s">
        <v>26</v>
      </c>
      <c r="C1826" s="335" t="s">
        <v>27</v>
      </c>
      <c r="D1826" s="335" t="s">
        <v>607</v>
      </c>
      <c r="E1826" s="336" t="s">
        <v>608</v>
      </c>
      <c r="F1826" s="336" t="s">
        <v>35</v>
      </c>
      <c r="G1826" s="337">
        <v>0.71</v>
      </c>
      <c r="H1826" s="338">
        <v>0.1</v>
      </c>
      <c r="I1826" s="339">
        <v>10022.959999999999</v>
      </c>
      <c r="J1826" s="340">
        <v>7827.9317600000004</v>
      </c>
      <c r="K1826" s="335" t="s">
        <v>3820</v>
      </c>
      <c r="L1826" s="335">
        <v>8</v>
      </c>
      <c r="M1826" s="335" t="s">
        <v>3828</v>
      </c>
      <c r="N1826" s="339">
        <v>7</v>
      </c>
      <c r="O1826" s="341">
        <v>0.71</v>
      </c>
      <c r="P1826" s="341">
        <v>231</v>
      </c>
      <c r="Q1826" s="341">
        <v>164.01</v>
      </c>
      <c r="R1826" s="342">
        <v>23.04</v>
      </c>
      <c r="S1826" s="342" t="s">
        <v>106</v>
      </c>
    </row>
    <row r="1827" spans="1:19" ht="14.25" customHeight="1" x14ac:dyDescent="0.3">
      <c r="A1827" s="335" t="s">
        <v>3816</v>
      </c>
      <c r="B1827" s="335" t="s">
        <v>26</v>
      </c>
      <c r="C1827" s="335" t="s">
        <v>57</v>
      </c>
      <c r="D1827" s="335" t="s">
        <v>1333</v>
      </c>
      <c r="E1827" s="336" t="s">
        <v>1334</v>
      </c>
      <c r="F1827" s="336" t="s">
        <v>98</v>
      </c>
      <c r="G1827" s="337">
        <v>8192.6823256636708</v>
      </c>
      <c r="H1827" s="338">
        <v>0</v>
      </c>
      <c r="I1827" s="339">
        <v>1</v>
      </c>
      <c r="J1827" s="340">
        <v>8192.6823256636708</v>
      </c>
      <c r="K1827" s="335" t="s">
        <v>3820</v>
      </c>
      <c r="L1827" s="335">
        <v>9</v>
      </c>
      <c r="M1827" s="335" t="s">
        <v>3829</v>
      </c>
      <c r="N1827" s="339">
        <v>7</v>
      </c>
      <c r="O1827" s="341">
        <v>1170.38318938052</v>
      </c>
      <c r="P1827" s="341">
        <v>231</v>
      </c>
      <c r="Q1827" s="341">
        <v>270358.51674690098</v>
      </c>
      <c r="R1827" s="342">
        <v>23.04</v>
      </c>
      <c r="S1827" s="342" t="s">
        <v>106</v>
      </c>
    </row>
    <row r="1828" spans="1:19" ht="14.25" customHeight="1" x14ac:dyDescent="0.3">
      <c r="A1828" s="335" t="s">
        <v>3816</v>
      </c>
      <c r="B1828" s="335" t="s">
        <v>56</v>
      </c>
      <c r="C1828" s="335" t="s">
        <v>27</v>
      </c>
      <c r="D1828" s="335" t="s">
        <v>3830</v>
      </c>
      <c r="E1828" s="336" t="s">
        <v>3831</v>
      </c>
      <c r="F1828" s="336" t="s">
        <v>60</v>
      </c>
      <c r="G1828" s="337">
        <v>7</v>
      </c>
      <c r="H1828" s="338">
        <v>0</v>
      </c>
      <c r="I1828" s="339">
        <v>5407.8631711837097</v>
      </c>
      <c r="J1828" s="340">
        <v>37855.042198285999</v>
      </c>
      <c r="K1828" s="335" t="s">
        <v>3832</v>
      </c>
      <c r="L1828" s="335">
        <v>1</v>
      </c>
      <c r="M1828" s="335" t="s">
        <v>3833</v>
      </c>
      <c r="N1828" s="339">
        <v>7</v>
      </c>
      <c r="O1828" s="341">
        <v>7</v>
      </c>
      <c r="P1828" s="341">
        <v>231</v>
      </c>
      <c r="Q1828" s="341">
        <v>1617</v>
      </c>
      <c r="R1828" s="342">
        <v>23.04</v>
      </c>
      <c r="S1828" s="342" t="s">
        <v>106</v>
      </c>
    </row>
    <row r="1829" spans="1:19" ht="14.25" customHeight="1" x14ac:dyDescent="0.3">
      <c r="A1829" s="335" t="s">
        <v>3816</v>
      </c>
      <c r="B1829" s="335" t="s">
        <v>56</v>
      </c>
      <c r="C1829" s="335" t="s">
        <v>57</v>
      </c>
      <c r="D1829" s="343" t="s">
        <v>413</v>
      </c>
      <c r="E1829" s="336" t="s">
        <v>414</v>
      </c>
      <c r="F1829" s="336" t="s">
        <v>60</v>
      </c>
      <c r="G1829" s="337">
        <v>1</v>
      </c>
      <c r="H1829" s="338">
        <v>0</v>
      </c>
      <c r="I1829" s="339">
        <v>65493.071636572</v>
      </c>
      <c r="J1829" s="340">
        <v>65493.071636572</v>
      </c>
      <c r="K1829" s="335" t="s">
        <v>3832</v>
      </c>
      <c r="L1829" s="335">
        <v>2</v>
      </c>
      <c r="M1829" s="335" t="s">
        <v>3834</v>
      </c>
      <c r="N1829" s="339">
        <v>7</v>
      </c>
      <c r="O1829" s="341">
        <v>0.14285714285714299</v>
      </c>
      <c r="P1829" s="341">
        <v>231</v>
      </c>
      <c r="Q1829" s="341">
        <v>33</v>
      </c>
      <c r="R1829" s="342">
        <v>23.04</v>
      </c>
      <c r="S1829" s="342" t="s">
        <v>106</v>
      </c>
    </row>
    <row r="1830" spans="1:19" ht="14.25" customHeight="1" x14ac:dyDescent="0.3">
      <c r="A1830" s="335" t="s">
        <v>3816</v>
      </c>
      <c r="B1830" s="335" t="s">
        <v>56</v>
      </c>
      <c r="C1830" s="335" t="s">
        <v>57</v>
      </c>
      <c r="D1830" s="343" t="s">
        <v>63</v>
      </c>
      <c r="E1830" s="336" t="s">
        <v>64</v>
      </c>
      <c r="F1830" s="336" t="s">
        <v>60</v>
      </c>
      <c r="G1830" s="337">
        <v>1</v>
      </c>
      <c r="H1830" s="338">
        <v>0</v>
      </c>
      <c r="I1830" s="339">
        <v>85927.097156571996</v>
      </c>
      <c r="J1830" s="340">
        <v>85927.097156571996</v>
      </c>
      <c r="K1830" s="335" t="s">
        <v>3832</v>
      </c>
      <c r="L1830" s="335">
        <v>3</v>
      </c>
      <c r="M1830" s="335" t="s">
        <v>3835</v>
      </c>
      <c r="N1830" s="339">
        <v>7</v>
      </c>
      <c r="O1830" s="341">
        <v>0.14285714285714299</v>
      </c>
      <c r="P1830" s="341">
        <v>231</v>
      </c>
      <c r="Q1830" s="341">
        <v>33</v>
      </c>
      <c r="R1830" s="342">
        <v>23.04</v>
      </c>
      <c r="S1830" s="342" t="s">
        <v>106</v>
      </c>
    </row>
    <row r="1831" spans="1:19" ht="14.25" customHeight="1" x14ac:dyDescent="0.3">
      <c r="A1831" s="335" t="s">
        <v>3836</v>
      </c>
      <c r="B1831" s="335" t="s">
        <v>56</v>
      </c>
      <c r="C1831" s="335" t="s">
        <v>27</v>
      </c>
      <c r="D1831" s="335" t="s">
        <v>3837</v>
      </c>
      <c r="E1831" s="336" t="s">
        <v>3838</v>
      </c>
      <c r="F1831" s="336" t="s">
        <v>60</v>
      </c>
      <c r="G1831" s="337">
        <v>1</v>
      </c>
      <c r="H1831" s="338">
        <v>0</v>
      </c>
      <c r="I1831" s="339">
        <v>730326.96931886405</v>
      </c>
      <c r="J1831" s="340">
        <v>730326.96931886405</v>
      </c>
      <c r="K1831" s="335" t="s">
        <v>3839</v>
      </c>
      <c r="L1831" s="335">
        <v>1</v>
      </c>
      <c r="M1831" s="335" t="s">
        <v>3840</v>
      </c>
      <c r="N1831" s="339">
        <v>1</v>
      </c>
      <c r="O1831" s="341">
        <v>1</v>
      </c>
      <c r="P1831" s="341">
        <v>17</v>
      </c>
      <c r="Q1831" s="341">
        <v>17</v>
      </c>
      <c r="R1831" s="342">
        <v>24.01</v>
      </c>
      <c r="S1831" s="342" t="s">
        <v>25</v>
      </c>
    </row>
    <row r="1832" spans="1:19" ht="14.25" customHeight="1" x14ac:dyDescent="0.3">
      <c r="A1832" s="335" t="s">
        <v>3841</v>
      </c>
      <c r="B1832" s="335" t="s">
        <v>56</v>
      </c>
      <c r="C1832" s="335" t="s">
        <v>27</v>
      </c>
      <c r="D1832" s="335" t="s">
        <v>3842</v>
      </c>
      <c r="E1832" s="336" t="s">
        <v>3843</v>
      </c>
      <c r="F1832" s="336" t="s">
        <v>60</v>
      </c>
      <c r="G1832" s="337">
        <v>1</v>
      </c>
      <c r="H1832" s="338">
        <v>0</v>
      </c>
      <c r="I1832" s="339">
        <v>1504670.291</v>
      </c>
      <c r="J1832" s="340">
        <v>1504670.291</v>
      </c>
      <c r="K1832" s="335" t="s">
        <v>3844</v>
      </c>
      <c r="L1832" s="335">
        <v>1</v>
      </c>
      <c r="M1832" s="335" t="s">
        <v>3845</v>
      </c>
      <c r="N1832" s="339">
        <v>1</v>
      </c>
      <c r="O1832" s="341">
        <v>1</v>
      </c>
      <c r="P1832" s="341">
        <v>4</v>
      </c>
      <c r="Q1832" s="341">
        <v>4</v>
      </c>
      <c r="R1832" s="342">
        <v>24.02</v>
      </c>
      <c r="S1832" s="342" t="s">
        <v>25</v>
      </c>
    </row>
    <row r="1833" spans="1:19" ht="14.25" customHeight="1" x14ac:dyDescent="0.3">
      <c r="A1833" s="335" t="s">
        <v>3846</v>
      </c>
      <c r="B1833" s="335" t="s">
        <v>56</v>
      </c>
      <c r="C1833" s="335" t="s">
        <v>27</v>
      </c>
      <c r="D1833" s="335" t="s">
        <v>3847</v>
      </c>
      <c r="E1833" s="336" t="s">
        <v>3848</v>
      </c>
      <c r="F1833" s="336" t="s">
        <v>60</v>
      </c>
      <c r="G1833" s="337">
        <v>1</v>
      </c>
      <c r="H1833" s="338">
        <v>0</v>
      </c>
      <c r="I1833" s="339">
        <v>150000</v>
      </c>
      <c r="J1833" s="340">
        <v>150000</v>
      </c>
      <c r="K1833" s="335" t="s">
        <v>3849</v>
      </c>
      <c r="L1833" s="335">
        <v>1</v>
      </c>
      <c r="M1833" s="335" t="s">
        <v>3850</v>
      </c>
      <c r="N1833" s="339">
        <v>1</v>
      </c>
      <c r="O1833" s="341">
        <v>1</v>
      </c>
      <c r="P1833" s="341">
        <v>17</v>
      </c>
      <c r="Q1833" s="341">
        <v>17</v>
      </c>
      <c r="R1833" s="342">
        <v>24.03</v>
      </c>
      <c r="S1833" s="342" t="s">
        <v>25</v>
      </c>
    </row>
    <row r="1834" spans="1:19" ht="14.25" customHeight="1" x14ac:dyDescent="0.3">
      <c r="A1834" s="335" t="s">
        <v>3851</v>
      </c>
      <c r="B1834" s="335" t="s">
        <v>20</v>
      </c>
      <c r="C1834" s="335"/>
      <c r="D1834" s="335" t="s">
        <v>3852</v>
      </c>
      <c r="E1834" s="336" t="s">
        <v>3853</v>
      </c>
      <c r="F1834" s="336"/>
      <c r="G1834" s="337">
        <v>1</v>
      </c>
      <c r="H1834" s="338">
        <v>0</v>
      </c>
      <c r="I1834" s="339">
        <v>69686.966825754498</v>
      </c>
      <c r="J1834" s="340">
        <v>69686.966825754498</v>
      </c>
      <c r="K1834" s="335" t="s">
        <v>3854</v>
      </c>
      <c r="L1834" s="335">
        <v>1</v>
      </c>
      <c r="M1834" s="335" t="s">
        <v>3855</v>
      </c>
      <c r="N1834" s="339">
        <v>1</v>
      </c>
      <c r="O1834" s="341">
        <v>1</v>
      </c>
      <c r="P1834" s="341">
        <v>1</v>
      </c>
      <c r="Q1834" s="341">
        <v>1</v>
      </c>
      <c r="R1834" s="342">
        <v>24.04</v>
      </c>
      <c r="S1834" s="342" t="s">
        <v>106</v>
      </c>
    </row>
    <row r="1835" spans="1:19" ht="14.25" customHeight="1" x14ac:dyDescent="0.3">
      <c r="A1835" s="335" t="s">
        <v>3851</v>
      </c>
      <c r="B1835" s="335" t="s">
        <v>26</v>
      </c>
      <c r="C1835" s="335" t="s">
        <v>27</v>
      </c>
      <c r="D1835" s="335" t="s">
        <v>3856</v>
      </c>
      <c r="E1835" s="336" t="s">
        <v>3857</v>
      </c>
      <c r="F1835" s="336" t="s">
        <v>744</v>
      </c>
      <c r="G1835" s="337">
        <v>82</v>
      </c>
      <c r="H1835" s="338">
        <v>0</v>
      </c>
      <c r="I1835" s="339">
        <v>25783.917333333298</v>
      </c>
      <c r="J1835" s="340">
        <v>2114281.22133333</v>
      </c>
      <c r="K1835" s="335" t="s">
        <v>3858</v>
      </c>
      <c r="L1835" s="335">
        <v>1</v>
      </c>
      <c r="M1835" s="335" t="s">
        <v>3859</v>
      </c>
      <c r="N1835" s="339">
        <v>1</v>
      </c>
      <c r="O1835" s="341">
        <v>82</v>
      </c>
      <c r="P1835" s="341">
        <v>1</v>
      </c>
      <c r="Q1835" s="341">
        <v>82</v>
      </c>
      <c r="R1835" s="342">
        <v>24.04</v>
      </c>
      <c r="S1835" s="342" t="s">
        <v>106</v>
      </c>
    </row>
    <row r="1836" spans="1:19" ht="14.25" customHeight="1" x14ac:dyDescent="0.3">
      <c r="A1836" s="335" t="s">
        <v>3851</v>
      </c>
      <c r="B1836" s="335" t="s">
        <v>26</v>
      </c>
      <c r="C1836" s="335" t="s">
        <v>27</v>
      </c>
      <c r="D1836" s="335" t="s">
        <v>3860</v>
      </c>
      <c r="E1836" s="336" t="s">
        <v>3861</v>
      </c>
      <c r="F1836" s="336" t="s">
        <v>35</v>
      </c>
      <c r="G1836" s="337">
        <v>75</v>
      </c>
      <c r="H1836" s="338">
        <v>0</v>
      </c>
      <c r="I1836" s="339">
        <v>1294.6320000000001</v>
      </c>
      <c r="J1836" s="340">
        <v>97097.4</v>
      </c>
      <c r="K1836" s="335" t="s">
        <v>3858</v>
      </c>
      <c r="L1836" s="335">
        <v>2</v>
      </c>
      <c r="M1836" s="335" t="s">
        <v>3862</v>
      </c>
      <c r="N1836" s="339">
        <v>1</v>
      </c>
      <c r="O1836" s="341">
        <v>75</v>
      </c>
      <c r="P1836" s="341">
        <v>1</v>
      </c>
      <c r="Q1836" s="341">
        <v>75</v>
      </c>
      <c r="R1836" s="342">
        <v>24.04</v>
      </c>
      <c r="S1836" s="342" t="s">
        <v>106</v>
      </c>
    </row>
    <row r="1837" spans="1:19" ht="14.25" customHeight="1" x14ac:dyDescent="0.3">
      <c r="A1837" s="335" t="s">
        <v>3851</v>
      </c>
      <c r="B1837" s="335" t="s">
        <v>26</v>
      </c>
      <c r="C1837" s="335" t="s">
        <v>27</v>
      </c>
      <c r="D1837" s="335" t="s">
        <v>3863</v>
      </c>
      <c r="E1837" s="336" t="s">
        <v>3864</v>
      </c>
      <c r="F1837" s="336" t="s">
        <v>35</v>
      </c>
      <c r="G1837" s="337">
        <v>32</v>
      </c>
      <c r="H1837" s="338">
        <v>0</v>
      </c>
      <c r="I1837" s="339">
        <v>2912.9520000000002</v>
      </c>
      <c r="J1837" s="340">
        <v>93214.464000000007</v>
      </c>
      <c r="K1837" s="335" t="s">
        <v>3858</v>
      </c>
      <c r="L1837" s="335">
        <v>3</v>
      </c>
      <c r="M1837" s="335" t="s">
        <v>3865</v>
      </c>
      <c r="N1837" s="339">
        <v>1</v>
      </c>
      <c r="O1837" s="341">
        <v>32</v>
      </c>
      <c r="P1837" s="341">
        <v>1</v>
      </c>
      <c r="Q1837" s="341">
        <v>32</v>
      </c>
      <c r="R1837" s="342">
        <v>24.04</v>
      </c>
      <c r="S1837" s="342" t="s">
        <v>106</v>
      </c>
    </row>
    <row r="1838" spans="1:19" ht="14.25" customHeight="1" x14ac:dyDescent="0.3">
      <c r="A1838" s="335" t="s">
        <v>3851</v>
      </c>
      <c r="B1838" s="335" t="s">
        <v>56</v>
      </c>
      <c r="C1838" s="335" t="s">
        <v>57</v>
      </c>
      <c r="D1838" s="335" t="s">
        <v>58</v>
      </c>
      <c r="E1838" s="336" t="s">
        <v>59</v>
      </c>
      <c r="F1838" s="336" t="s">
        <v>60</v>
      </c>
      <c r="G1838" s="337">
        <v>12</v>
      </c>
      <c r="H1838" s="338">
        <v>0</v>
      </c>
      <c r="I1838" s="339">
        <v>60860.580776572002</v>
      </c>
      <c r="J1838" s="340">
        <v>730326.96931886405</v>
      </c>
      <c r="K1838" s="335" t="s">
        <v>3866</v>
      </c>
      <c r="L1838" s="335">
        <v>1</v>
      </c>
      <c r="M1838" s="335" t="s">
        <v>3867</v>
      </c>
      <c r="N1838" s="339">
        <v>1</v>
      </c>
      <c r="O1838" s="341">
        <v>12</v>
      </c>
      <c r="P1838" s="341">
        <v>1</v>
      </c>
      <c r="Q1838" s="341">
        <v>12</v>
      </c>
      <c r="R1838" s="342">
        <v>24.04</v>
      </c>
      <c r="S1838" s="342" t="s">
        <v>106</v>
      </c>
    </row>
    <row r="1839" spans="1:19" ht="14.25" customHeight="1" x14ac:dyDescent="0.3">
      <c r="A1839" s="335" t="s">
        <v>3851</v>
      </c>
      <c r="B1839" s="335" t="s">
        <v>56</v>
      </c>
      <c r="C1839" s="335" t="s">
        <v>57</v>
      </c>
      <c r="D1839" s="343" t="s">
        <v>63</v>
      </c>
      <c r="E1839" s="336" t="s">
        <v>64</v>
      </c>
      <c r="F1839" s="336" t="s">
        <v>60</v>
      </c>
      <c r="G1839" s="337">
        <v>8</v>
      </c>
      <c r="H1839" s="338">
        <v>0</v>
      </c>
      <c r="I1839" s="339">
        <v>85927.097156571996</v>
      </c>
      <c r="J1839" s="340">
        <v>687416.77725257596</v>
      </c>
      <c r="K1839" s="335" t="s">
        <v>3866</v>
      </c>
      <c r="L1839" s="335">
        <v>2</v>
      </c>
      <c r="M1839" s="335" t="s">
        <v>3868</v>
      </c>
      <c r="N1839" s="339">
        <v>1</v>
      </c>
      <c r="O1839" s="341">
        <v>8</v>
      </c>
      <c r="P1839" s="341">
        <v>1</v>
      </c>
      <c r="Q1839" s="341">
        <v>8</v>
      </c>
      <c r="R1839" s="342">
        <v>24.04</v>
      </c>
      <c r="S1839" s="342" t="s">
        <v>106</v>
      </c>
    </row>
    <row r="1840" spans="1:19" ht="14.25" customHeight="1" x14ac:dyDescent="0.3">
      <c r="A1840" s="335" t="s">
        <v>3851</v>
      </c>
      <c r="B1840" s="335" t="s">
        <v>56</v>
      </c>
      <c r="C1840" s="335" t="s">
        <v>57</v>
      </c>
      <c r="D1840" s="343" t="s">
        <v>497</v>
      </c>
      <c r="E1840" s="336" t="s">
        <v>498</v>
      </c>
      <c r="F1840" s="336" t="s">
        <v>60</v>
      </c>
      <c r="G1840" s="337">
        <v>12</v>
      </c>
      <c r="H1840" s="338">
        <v>0</v>
      </c>
      <c r="I1840" s="339">
        <v>76955.079706571996</v>
      </c>
      <c r="J1840" s="340">
        <v>923460.95647886395</v>
      </c>
      <c r="K1840" s="335" t="s">
        <v>3866</v>
      </c>
      <c r="L1840" s="335">
        <v>3</v>
      </c>
      <c r="M1840" s="335" t="s">
        <v>3869</v>
      </c>
      <c r="N1840" s="339">
        <v>1</v>
      </c>
      <c r="O1840" s="341">
        <v>12</v>
      </c>
      <c r="P1840" s="341">
        <v>1</v>
      </c>
      <c r="Q1840" s="341">
        <v>12</v>
      </c>
      <c r="R1840" s="342">
        <v>24.04</v>
      </c>
      <c r="S1840" s="342" t="s">
        <v>106</v>
      </c>
    </row>
    <row r="1841" spans="1:19" ht="14.25" customHeight="1" x14ac:dyDescent="0.3">
      <c r="A1841" s="335" t="s">
        <v>3870</v>
      </c>
      <c r="B1841" s="335" t="s">
        <v>20</v>
      </c>
      <c r="C1841" s="335"/>
      <c r="D1841" s="335" t="s">
        <v>3871</v>
      </c>
      <c r="E1841" s="336" t="s">
        <v>3872</v>
      </c>
      <c r="F1841" s="336"/>
      <c r="G1841" s="337">
        <v>1</v>
      </c>
      <c r="H1841" s="338">
        <v>0</v>
      </c>
      <c r="I1841" s="339">
        <v>9690.4308566872205</v>
      </c>
      <c r="J1841" s="340">
        <v>9690.4308566872205</v>
      </c>
      <c r="K1841" s="335" t="s">
        <v>3873</v>
      </c>
      <c r="L1841" s="335">
        <v>1</v>
      </c>
      <c r="M1841" s="335" t="s">
        <v>3874</v>
      </c>
      <c r="N1841" s="339">
        <v>1</v>
      </c>
      <c r="O1841" s="341">
        <v>1</v>
      </c>
      <c r="P1841" s="341">
        <v>17</v>
      </c>
      <c r="Q1841" s="341">
        <v>17</v>
      </c>
      <c r="R1841" s="342">
        <v>24.05</v>
      </c>
      <c r="S1841" s="342" t="s">
        <v>106</v>
      </c>
    </row>
    <row r="1842" spans="1:19" ht="14.25" customHeight="1" x14ac:dyDescent="0.3">
      <c r="A1842" s="335" t="s">
        <v>3870</v>
      </c>
      <c r="B1842" s="335" t="s">
        <v>26</v>
      </c>
      <c r="C1842" s="335" t="s">
        <v>480</v>
      </c>
      <c r="D1842" s="335" t="s">
        <v>3875</v>
      </c>
      <c r="E1842" s="336" t="s">
        <v>3876</v>
      </c>
      <c r="F1842" s="336" t="s">
        <v>3877</v>
      </c>
      <c r="G1842" s="337">
        <v>1</v>
      </c>
      <c r="H1842" s="338">
        <v>0</v>
      </c>
      <c r="I1842" s="339">
        <v>50000</v>
      </c>
      <c r="J1842" s="340">
        <v>50000</v>
      </c>
      <c r="K1842" s="335" t="s">
        <v>3878</v>
      </c>
      <c r="L1842" s="335">
        <v>1</v>
      </c>
      <c r="M1842" s="335" t="s">
        <v>3879</v>
      </c>
      <c r="N1842" s="339">
        <v>1</v>
      </c>
      <c r="O1842" s="341">
        <v>1</v>
      </c>
      <c r="P1842" s="341">
        <v>17</v>
      </c>
      <c r="Q1842" s="341">
        <v>17</v>
      </c>
      <c r="R1842" s="342">
        <v>24.05</v>
      </c>
      <c r="S1842" s="342" t="s">
        <v>106</v>
      </c>
    </row>
    <row r="1843" spans="1:19" ht="14.25" customHeight="1" x14ac:dyDescent="0.3">
      <c r="A1843" s="335" t="s">
        <v>3870</v>
      </c>
      <c r="B1843" s="335" t="s">
        <v>56</v>
      </c>
      <c r="C1843" s="335" t="s">
        <v>57</v>
      </c>
      <c r="D1843" s="335" t="s">
        <v>58</v>
      </c>
      <c r="E1843" s="336" t="s">
        <v>59</v>
      </c>
      <c r="F1843" s="336" t="s">
        <v>60</v>
      </c>
      <c r="G1843" s="337">
        <v>6</v>
      </c>
      <c r="H1843" s="338">
        <v>0</v>
      </c>
      <c r="I1843" s="339">
        <v>60860.580776572002</v>
      </c>
      <c r="J1843" s="340">
        <v>365163.48465943203</v>
      </c>
      <c r="K1843" s="335" t="s">
        <v>3880</v>
      </c>
      <c r="L1843" s="335">
        <v>1</v>
      </c>
      <c r="M1843" s="335" t="s">
        <v>3881</v>
      </c>
      <c r="N1843" s="339">
        <v>1</v>
      </c>
      <c r="O1843" s="341">
        <v>6</v>
      </c>
      <c r="P1843" s="341">
        <v>17</v>
      </c>
      <c r="Q1843" s="341">
        <v>102</v>
      </c>
      <c r="R1843" s="342">
        <v>24.05</v>
      </c>
      <c r="S1843" s="342" t="s">
        <v>106</v>
      </c>
    </row>
    <row r="1844" spans="1:19" ht="14.25" customHeight="1" x14ac:dyDescent="0.3">
      <c r="A1844" s="335" t="s">
        <v>3870</v>
      </c>
      <c r="B1844" s="335" t="s">
        <v>56</v>
      </c>
      <c r="C1844" s="335" t="s">
        <v>57</v>
      </c>
      <c r="D1844" s="343" t="s">
        <v>497</v>
      </c>
      <c r="E1844" s="336" t="s">
        <v>498</v>
      </c>
      <c r="F1844" s="336" t="s">
        <v>60</v>
      </c>
      <c r="G1844" s="337">
        <v>3</v>
      </c>
      <c r="H1844" s="338">
        <v>0</v>
      </c>
      <c r="I1844" s="339">
        <v>76955.079706571996</v>
      </c>
      <c r="J1844" s="340">
        <v>230865.23911971599</v>
      </c>
      <c r="K1844" s="335" t="s">
        <v>3880</v>
      </c>
      <c r="L1844" s="335">
        <v>2</v>
      </c>
      <c r="M1844" s="335" t="s">
        <v>3882</v>
      </c>
      <c r="N1844" s="339">
        <v>1</v>
      </c>
      <c r="O1844" s="341">
        <v>3</v>
      </c>
      <c r="P1844" s="341">
        <v>17</v>
      </c>
      <c r="Q1844" s="341">
        <v>51</v>
      </c>
      <c r="R1844" s="342">
        <v>24.05</v>
      </c>
      <c r="S1844" s="342" t="s">
        <v>106</v>
      </c>
    </row>
    <row r="1845" spans="1:19" ht="14.25" customHeight="1" x14ac:dyDescent="0.3">
      <c r="A1845" s="335" t="s">
        <v>3883</v>
      </c>
      <c r="B1845" s="335" t="s">
        <v>20</v>
      </c>
      <c r="C1845" s="335"/>
      <c r="D1845" s="335" t="s">
        <v>3884</v>
      </c>
      <c r="E1845" s="336" t="s">
        <v>3885</v>
      </c>
      <c r="F1845" s="336"/>
      <c r="G1845" s="337">
        <v>1</v>
      </c>
      <c r="H1845" s="338">
        <v>0</v>
      </c>
      <c r="I1845" s="339">
        <v>6400.1974968806198</v>
      </c>
      <c r="J1845" s="340">
        <v>6400.1974968806198</v>
      </c>
      <c r="K1845" s="335" t="s">
        <v>3886</v>
      </c>
      <c r="L1845" s="335">
        <v>1</v>
      </c>
      <c r="M1845" s="335" t="s">
        <v>3887</v>
      </c>
      <c r="N1845" s="339">
        <v>1</v>
      </c>
      <c r="O1845" s="341">
        <v>1</v>
      </c>
      <c r="P1845" s="341">
        <v>17</v>
      </c>
      <c r="Q1845" s="341">
        <v>17</v>
      </c>
      <c r="R1845" s="342">
        <v>24.06</v>
      </c>
      <c r="S1845" s="342" t="s">
        <v>106</v>
      </c>
    </row>
    <row r="1846" spans="1:19" ht="14.25" customHeight="1" x14ac:dyDescent="0.3">
      <c r="A1846" s="335" t="s">
        <v>3883</v>
      </c>
      <c r="B1846" s="335" t="s">
        <v>26</v>
      </c>
      <c r="C1846" s="335" t="s">
        <v>480</v>
      </c>
      <c r="D1846" s="335" t="s">
        <v>3875</v>
      </c>
      <c r="E1846" s="336" t="s">
        <v>3876</v>
      </c>
      <c r="F1846" s="336" t="s">
        <v>3877</v>
      </c>
      <c r="G1846" s="337">
        <v>0.5</v>
      </c>
      <c r="H1846" s="338">
        <v>0</v>
      </c>
      <c r="I1846" s="339">
        <v>50000</v>
      </c>
      <c r="J1846" s="340">
        <v>25000</v>
      </c>
      <c r="K1846" s="335" t="s">
        <v>3888</v>
      </c>
      <c r="L1846" s="335">
        <v>1</v>
      </c>
      <c r="M1846" s="335" t="s">
        <v>3889</v>
      </c>
      <c r="N1846" s="339">
        <v>1</v>
      </c>
      <c r="O1846" s="341">
        <v>0.5</v>
      </c>
      <c r="P1846" s="341">
        <v>17</v>
      </c>
      <c r="Q1846" s="341">
        <v>8.5</v>
      </c>
      <c r="R1846" s="342">
        <v>24.06</v>
      </c>
      <c r="S1846" s="342" t="s">
        <v>106</v>
      </c>
    </row>
    <row r="1847" spans="1:19" ht="14.25" customHeight="1" x14ac:dyDescent="0.3">
      <c r="A1847" s="335" t="s">
        <v>3883</v>
      </c>
      <c r="B1847" s="335" t="s">
        <v>56</v>
      </c>
      <c r="C1847" s="335" t="s">
        <v>57</v>
      </c>
      <c r="D1847" s="335" t="s">
        <v>58</v>
      </c>
      <c r="E1847" s="336" t="s">
        <v>59</v>
      </c>
      <c r="F1847" s="336" t="s">
        <v>60</v>
      </c>
      <c r="G1847" s="337">
        <v>6.6</v>
      </c>
      <c r="H1847" s="338">
        <v>0</v>
      </c>
      <c r="I1847" s="339">
        <v>60860.580776572002</v>
      </c>
      <c r="J1847" s="340">
        <v>401679.83312537498</v>
      </c>
      <c r="K1847" s="335" t="s">
        <v>3890</v>
      </c>
      <c r="L1847" s="335">
        <v>1</v>
      </c>
      <c r="M1847" s="335" t="s">
        <v>3891</v>
      </c>
      <c r="N1847" s="339">
        <v>1</v>
      </c>
      <c r="O1847" s="341">
        <v>6.6</v>
      </c>
      <c r="P1847" s="341">
        <v>17</v>
      </c>
      <c r="Q1847" s="341">
        <v>112.2</v>
      </c>
      <c r="R1847" s="342">
        <v>24.06</v>
      </c>
      <c r="S1847" s="342" t="s">
        <v>106</v>
      </c>
    </row>
    <row r="1848" spans="1:19" ht="14.25" customHeight="1" x14ac:dyDescent="0.3">
      <c r="A1848" s="335" t="s">
        <v>3892</v>
      </c>
      <c r="B1848" s="335" t="s">
        <v>20</v>
      </c>
      <c r="C1848" s="335"/>
      <c r="D1848" s="335" t="s">
        <v>3893</v>
      </c>
      <c r="E1848" s="336" t="s">
        <v>3894</v>
      </c>
      <c r="F1848" s="336"/>
      <c r="G1848" s="337">
        <v>1</v>
      </c>
      <c r="H1848" s="338">
        <v>0</v>
      </c>
      <c r="I1848" s="339">
        <v>58524.5226989148</v>
      </c>
      <c r="J1848" s="340">
        <v>58524.5226989148</v>
      </c>
      <c r="K1848" s="335" t="s">
        <v>3895</v>
      </c>
      <c r="L1848" s="335">
        <v>1</v>
      </c>
      <c r="M1848" s="335" t="s">
        <v>3896</v>
      </c>
      <c r="N1848" s="339">
        <v>1</v>
      </c>
      <c r="O1848" s="341">
        <v>1</v>
      </c>
      <c r="P1848" s="341">
        <v>1</v>
      </c>
      <c r="Q1848" s="341">
        <v>1</v>
      </c>
      <c r="R1848" s="342">
        <v>24.07</v>
      </c>
      <c r="S1848" s="342" t="s">
        <v>106</v>
      </c>
    </row>
    <row r="1849" spans="1:19" ht="14.25" customHeight="1" x14ac:dyDescent="0.3">
      <c r="A1849" s="335" t="s">
        <v>3892</v>
      </c>
      <c r="B1849" s="335" t="s">
        <v>26</v>
      </c>
      <c r="C1849" s="335" t="s">
        <v>27</v>
      </c>
      <c r="D1849" s="335" t="s">
        <v>3875</v>
      </c>
      <c r="E1849" s="336" t="s">
        <v>3876</v>
      </c>
      <c r="F1849" s="336" t="s">
        <v>3877</v>
      </c>
      <c r="G1849" s="337">
        <v>5</v>
      </c>
      <c r="H1849" s="338">
        <v>0</v>
      </c>
      <c r="I1849" s="339">
        <v>50000</v>
      </c>
      <c r="J1849" s="340">
        <v>250000</v>
      </c>
      <c r="K1849" s="335" t="s">
        <v>3897</v>
      </c>
      <c r="L1849" s="335">
        <v>1</v>
      </c>
      <c r="M1849" s="335" t="s">
        <v>3898</v>
      </c>
      <c r="N1849" s="339">
        <v>1</v>
      </c>
      <c r="O1849" s="341">
        <v>5</v>
      </c>
      <c r="P1849" s="341">
        <v>1</v>
      </c>
      <c r="Q1849" s="341">
        <v>5</v>
      </c>
      <c r="R1849" s="342">
        <v>24.07</v>
      </c>
      <c r="S1849" s="342" t="s">
        <v>106</v>
      </c>
    </row>
    <row r="1850" spans="1:19" ht="14.25" customHeight="1" x14ac:dyDescent="0.3">
      <c r="A1850" s="335" t="s">
        <v>3892</v>
      </c>
      <c r="B1850" s="335" t="s">
        <v>56</v>
      </c>
      <c r="C1850" s="335" t="s">
        <v>57</v>
      </c>
      <c r="D1850" s="335" t="s">
        <v>58</v>
      </c>
      <c r="E1850" s="336" t="s">
        <v>59</v>
      </c>
      <c r="F1850" s="336" t="s">
        <v>60</v>
      </c>
      <c r="G1850" s="337">
        <v>60</v>
      </c>
      <c r="H1850" s="338">
        <v>0</v>
      </c>
      <c r="I1850" s="339">
        <v>60860.580776572002</v>
      </c>
      <c r="J1850" s="340">
        <v>3651634.8465943201</v>
      </c>
      <c r="K1850" s="335" t="s">
        <v>3899</v>
      </c>
      <c r="L1850" s="335">
        <v>1</v>
      </c>
      <c r="M1850" s="335" t="s">
        <v>3900</v>
      </c>
      <c r="N1850" s="339">
        <v>1</v>
      </c>
      <c r="O1850" s="341">
        <v>60</v>
      </c>
      <c r="P1850" s="341">
        <v>1</v>
      </c>
      <c r="Q1850" s="341">
        <v>60</v>
      </c>
      <c r="R1850" s="342">
        <v>24.07</v>
      </c>
      <c r="S1850" s="342" t="s">
        <v>106</v>
      </c>
    </row>
    <row r="1851" spans="1:19" ht="14.25" customHeight="1" x14ac:dyDescent="0.3">
      <c r="A1851" s="335" t="s">
        <v>3901</v>
      </c>
      <c r="B1851" s="335" t="s">
        <v>56</v>
      </c>
      <c r="C1851" s="335" t="s">
        <v>27</v>
      </c>
      <c r="D1851" s="335" t="s">
        <v>3902</v>
      </c>
      <c r="E1851" s="336" t="s">
        <v>3903</v>
      </c>
      <c r="F1851" s="336" t="s">
        <v>60</v>
      </c>
      <c r="G1851" s="337">
        <v>1</v>
      </c>
      <c r="H1851" s="338">
        <v>0</v>
      </c>
      <c r="I1851" s="339">
        <v>300000</v>
      </c>
      <c r="J1851" s="340">
        <v>300000</v>
      </c>
      <c r="K1851" s="335" t="s">
        <v>3904</v>
      </c>
      <c r="L1851" s="335">
        <v>1</v>
      </c>
      <c r="M1851" s="335" t="s">
        <v>3905</v>
      </c>
      <c r="N1851" s="339">
        <v>1</v>
      </c>
      <c r="O1851" s="341">
        <v>1</v>
      </c>
      <c r="P1851" s="341">
        <v>17</v>
      </c>
      <c r="Q1851" s="341">
        <v>17</v>
      </c>
      <c r="R1851" s="342">
        <v>24.08</v>
      </c>
      <c r="S1851" s="342" t="s">
        <v>25</v>
      </c>
    </row>
    <row r="1852" spans="1:19" ht="14.25" customHeight="1" x14ac:dyDescent="0.3">
      <c r="A1852" s="335" t="s">
        <v>3906</v>
      </c>
      <c r="B1852" s="335" t="s">
        <v>26</v>
      </c>
      <c r="C1852" s="335" t="s">
        <v>27</v>
      </c>
      <c r="D1852" s="335" t="s">
        <v>1756</v>
      </c>
      <c r="E1852" s="336" t="s">
        <v>1757</v>
      </c>
      <c r="F1852" s="336" t="s">
        <v>35</v>
      </c>
      <c r="G1852" s="337">
        <v>2</v>
      </c>
      <c r="H1852" s="338">
        <v>0</v>
      </c>
      <c r="I1852" s="339">
        <v>100000</v>
      </c>
      <c r="J1852" s="340">
        <v>200000</v>
      </c>
      <c r="K1852" s="335" t="s">
        <v>3907</v>
      </c>
      <c r="L1852" s="335">
        <v>1</v>
      </c>
      <c r="M1852" s="335" t="s">
        <v>3908</v>
      </c>
      <c r="N1852" s="339">
        <v>1</v>
      </c>
      <c r="O1852" s="341">
        <v>2</v>
      </c>
      <c r="P1852" s="341">
        <v>17</v>
      </c>
      <c r="Q1852" s="341">
        <v>34</v>
      </c>
      <c r="R1852" s="342">
        <v>24.09</v>
      </c>
      <c r="S1852" s="342" t="s">
        <v>106</v>
      </c>
    </row>
    <row r="1853" spans="1:19" ht="14.25" customHeight="1" x14ac:dyDescent="0.3">
      <c r="A1853" s="335" t="s">
        <v>3906</v>
      </c>
      <c r="B1853" s="335" t="s">
        <v>56</v>
      </c>
      <c r="C1853" s="335" t="s">
        <v>27</v>
      </c>
      <c r="D1853" s="335" t="s">
        <v>3909</v>
      </c>
      <c r="E1853" s="336" t="s">
        <v>3910</v>
      </c>
      <c r="F1853" s="336" t="s">
        <v>60</v>
      </c>
      <c r="G1853" s="337">
        <v>1</v>
      </c>
      <c r="H1853" s="338">
        <v>0</v>
      </c>
      <c r="I1853" s="339">
        <v>60860.580776572002</v>
      </c>
      <c r="J1853" s="340">
        <v>60860.580776572002</v>
      </c>
      <c r="K1853" s="335" t="s">
        <v>3911</v>
      </c>
      <c r="L1853" s="335">
        <v>1</v>
      </c>
      <c r="M1853" s="335" t="s">
        <v>3912</v>
      </c>
      <c r="N1853" s="339">
        <v>1</v>
      </c>
      <c r="O1853" s="341">
        <v>1</v>
      </c>
      <c r="P1853" s="341">
        <v>17</v>
      </c>
      <c r="Q1853" s="341">
        <v>17</v>
      </c>
      <c r="R1853" s="342">
        <v>24.09</v>
      </c>
      <c r="S1853" s="342" t="s">
        <v>106</v>
      </c>
    </row>
    <row r="1854" spans="1:19" ht="14.25" customHeight="1" x14ac:dyDescent="0.3">
      <c r="A1854" s="335" t="s">
        <v>3913</v>
      </c>
      <c r="B1854" s="335" t="s">
        <v>56</v>
      </c>
      <c r="C1854" s="335" t="s">
        <v>27</v>
      </c>
      <c r="D1854" s="335" t="s">
        <v>3914</v>
      </c>
      <c r="E1854" s="336" t="s">
        <v>3915</v>
      </c>
      <c r="F1854" s="336" t="s">
        <v>60</v>
      </c>
      <c r="G1854" s="337">
        <v>1</v>
      </c>
      <c r="H1854" s="338">
        <v>0</v>
      </c>
      <c r="I1854" s="339">
        <v>4372210.5820000004</v>
      </c>
      <c r="J1854" s="340">
        <v>4372210.5820000004</v>
      </c>
      <c r="K1854" s="335" t="s">
        <v>3916</v>
      </c>
      <c r="L1854" s="335">
        <v>1</v>
      </c>
      <c r="M1854" s="335" t="s">
        <v>3917</v>
      </c>
      <c r="N1854" s="339">
        <v>1</v>
      </c>
      <c r="O1854" s="341">
        <v>1</v>
      </c>
      <c r="P1854" s="341">
        <v>17</v>
      </c>
      <c r="Q1854" s="341">
        <v>17</v>
      </c>
      <c r="R1854" s="342">
        <v>25.01</v>
      </c>
      <c r="S1854" s="342" t="s">
        <v>25</v>
      </c>
    </row>
    <row r="1855" spans="1:19" ht="14.25" customHeight="1" x14ac:dyDescent="0.3">
      <c r="A1855" s="335" t="s">
        <v>3918</v>
      </c>
      <c r="B1855" s="335" t="s">
        <v>56</v>
      </c>
      <c r="C1855" s="335" t="s">
        <v>27</v>
      </c>
      <c r="D1855" s="335" t="s">
        <v>3919</v>
      </c>
      <c r="E1855" s="336" t="s">
        <v>3920</v>
      </c>
      <c r="F1855" s="336" t="s">
        <v>60</v>
      </c>
      <c r="G1855" s="337">
        <v>1</v>
      </c>
      <c r="H1855" s="338">
        <v>0</v>
      </c>
      <c r="I1855" s="339">
        <v>500000</v>
      </c>
      <c r="J1855" s="340">
        <v>500000</v>
      </c>
      <c r="K1855" s="335" t="s">
        <v>3921</v>
      </c>
      <c r="L1855" s="335">
        <v>1</v>
      </c>
      <c r="M1855" s="335" t="s">
        <v>3922</v>
      </c>
      <c r="N1855" s="339">
        <v>1</v>
      </c>
      <c r="O1855" s="341">
        <v>1</v>
      </c>
      <c r="P1855" s="341">
        <v>17</v>
      </c>
      <c r="Q1855" s="341">
        <v>17</v>
      </c>
      <c r="R1855" s="342">
        <v>25.02</v>
      </c>
      <c r="S1855" s="342" t="s">
        <v>25</v>
      </c>
    </row>
    <row r="1856" spans="1:19" ht="14.25" customHeight="1" x14ac:dyDescent="0.3">
      <c r="A1856" s="335" t="s">
        <v>3923</v>
      </c>
      <c r="B1856" s="335" t="s">
        <v>20</v>
      </c>
      <c r="C1856" s="335"/>
      <c r="D1856" s="335" t="s">
        <v>67</v>
      </c>
      <c r="E1856" s="336" t="s">
        <v>68</v>
      </c>
      <c r="F1856" s="336"/>
      <c r="G1856" s="337">
        <v>1</v>
      </c>
      <c r="H1856" s="338">
        <v>0</v>
      </c>
      <c r="I1856" s="339">
        <v>571.17949098076099</v>
      </c>
      <c r="J1856" s="340">
        <v>571.17949098076099</v>
      </c>
      <c r="K1856" s="335" t="s">
        <v>3924</v>
      </c>
      <c r="L1856" s="335">
        <v>1</v>
      </c>
      <c r="M1856" s="335" t="s">
        <v>3925</v>
      </c>
      <c r="N1856" s="339">
        <v>35</v>
      </c>
      <c r="O1856" s="341">
        <v>1</v>
      </c>
      <c r="P1856" s="341" t="s">
        <v>25</v>
      </c>
      <c r="Q1856" s="341">
        <v>0</v>
      </c>
      <c r="R1856" s="342" t="s">
        <v>25</v>
      </c>
      <c r="S1856" s="342" t="s">
        <v>25</v>
      </c>
    </row>
    <row r="1857" spans="1:19" ht="14.25" customHeight="1" x14ac:dyDescent="0.3">
      <c r="A1857" s="335" t="s">
        <v>3923</v>
      </c>
      <c r="B1857" s="335" t="s">
        <v>20</v>
      </c>
      <c r="C1857" s="335"/>
      <c r="D1857" s="335" t="s">
        <v>71</v>
      </c>
      <c r="E1857" s="336" t="s">
        <v>72</v>
      </c>
      <c r="F1857" s="336"/>
      <c r="G1857" s="337">
        <v>1</v>
      </c>
      <c r="H1857" s="338">
        <v>0</v>
      </c>
      <c r="I1857" s="339">
        <v>2287.1357450968098</v>
      </c>
      <c r="J1857" s="340">
        <v>2287.1357450968098</v>
      </c>
      <c r="K1857" s="335" t="s">
        <v>3924</v>
      </c>
      <c r="L1857" s="335">
        <v>2</v>
      </c>
      <c r="M1857" s="335" t="s">
        <v>3926</v>
      </c>
      <c r="N1857" s="339">
        <v>35</v>
      </c>
      <c r="O1857" s="341">
        <v>1</v>
      </c>
      <c r="P1857" s="341" t="s">
        <v>25</v>
      </c>
      <c r="Q1857" s="341">
        <v>0</v>
      </c>
      <c r="R1857" s="342" t="s">
        <v>25</v>
      </c>
      <c r="S1857" s="342" t="s">
        <v>25</v>
      </c>
    </row>
    <row r="1858" spans="1:19" ht="14.25" customHeight="1" x14ac:dyDescent="0.3">
      <c r="A1858" s="335" t="s">
        <v>3923</v>
      </c>
      <c r="B1858" s="335" t="s">
        <v>20</v>
      </c>
      <c r="C1858" s="335"/>
      <c r="D1858" s="335" t="s">
        <v>3927</v>
      </c>
      <c r="E1858" s="336" t="s">
        <v>3928</v>
      </c>
      <c r="F1858" s="336"/>
      <c r="G1858" s="337">
        <v>1</v>
      </c>
      <c r="H1858" s="338">
        <v>0</v>
      </c>
      <c r="I1858" s="339">
        <v>41000</v>
      </c>
      <c r="J1858" s="340">
        <v>41000</v>
      </c>
      <c r="K1858" s="335" t="s">
        <v>3924</v>
      </c>
      <c r="L1858" s="335">
        <v>3</v>
      </c>
      <c r="M1858" s="335" t="s">
        <v>3929</v>
      </c>
      <c r="N1858" s="339">
        <v>35</v>
      </c>
      <c r="O1858" s="341">
        <v>1</v>
      </c>
      <c r="P1858" s="341" t="s">
        <v>25</v>
      </c>
      <c r="Q1858" s="341">
        <v>0</v>
      </c>
      <c r="R1858" s="342" t="s">
        <v>25</v>
      </c>
      <c r="S1858" s="342" t="s">
        <v>25</v>
      </c>
    </row>
    <row r="1859" spans="1:19" ht="14.25" customHeight="1" x14ac:dyDescent="0.3">
      <c r="A1859" s="335" t="s">
        <v>3923</v>
      </c>
      <c r="B1859" s="335" t="s">
        <v>26</v>
      </c>
      <c r="C1859" s="335" t="s">
        <v>27</v>
      </c>
      <c r="D1859" s="335" t="s">
        <v>81</v>
      </c>
      <c r="E1859" s="336" t="s">
        <v>82</v>
      </c>
      <c r="F1859" s="336" t="s">
        <v>83</v>
      </c>
      <c r="G1859" s="337">
        <v>1.5</v>
      </c>
      <c r="H1859" s="338">
        <v>0.1</v>
      </c>
      <c r="I1859" s="339">
        <v>32399.77</v>
      </c>
      <c r="J1859" s="340">
        <v>53459.620499999997</v>
      </c>
      <c r="K1859" s="335" t="s">
        <v>3930</v>
      </c>
      <c r="L1859" s="335">
        <v>1</v>
      </c>
      <c r="M1859" s="335" t="s">
        <v>3931</v>
      </c>
      <c r="N1859" s="339">
        <v>35</v>
      </c>
      <c r="O1859" s="341">
        <v>1.5</v>
      </c>
      <c r="P1859" s="341" t="s">
        <v>25</v>
      </c>
      <c r="Q1859" s="341">
        <v>0</v>
      </c>
      <c r="R1859" s="342" t="s">
        <v>25</v>
      </c>
      <c r="S1859" s="342" t="s">
        <v>25</v>
      </c>
    </row>
    <row r="1860" spans="1:19" ht="14.25" customHeight="1" x14ac:dyDescent="0.3">
      <c r="A1860" s="335" t="s">
        <v>3923</v>
      </c>
      <c r="B1860" s="335" t="s">
        <v>26</v>
      </c>
      <c r="C1860" s="335" t="s">
        <v>27</v>
      </c>
      <c r="D1860" s="335" t="s">
        <v>3932</v>
      </c>
      <c r="E1860" s="336" t="s">
        <v>3933</v>
      </c>
      <c r="F1860" s="336" t="s">
        <v>98</v>
      </c>
      <c r="G1860" s="337">
        <v>1E-3</v>
      </c>
      <c r="H1860" s="338">
        <v>0</v>
      </c>
      <c r="I1860" s="339">
        <v>465850</v>
      </c>
      <c r="J1860" s="340">
        <v>465.85</v>
      </c>
      <c r="K1860" s="335" t="s">
        <v>3930</v>
      </c>
      <c r="L1860" s="335">
        <v>2</v>
      </c>
      <c r="M1860" s="335" t="s">
        <v>3934</v>
      </c>
      <c r="N1860" s="339">
        <v>35</v>
      </c>
      <c r="O1860" s="341">
        <v>1E-3</v>
      </c>
      <c r="P1860" s="341" t="s">
        <v>25</v>
      </c>
      <c r="Q1860" s="341">
        <v>0</v>
      </c>
      <c r="R1860" s="342" t="s">
        <v>25</v>
      </c>
      <c r="S1860" s="342" t="s">
        <v>25</v>
      </c>
    </row>
    <row r="1861" spans="1:19" ht="14.25" customHeight="1" x14ac:dyDescent="0.3">
      <c r="A1861" s="335" t="s">
        <v>3923</v>
      </c>
      <c r="B1861" s="335" t="s">
        <v>56</v>
      </c>
      <c r="C1861" s="335" t="s">
        <v>57</v>
      </c>
      <c r="D1861" s="343" t="s">
        <v>58</v>
      </c>
      <c r="E1861" s="336" t="s">
        <v>59</v>
      </c>
      <c r="F1861" s="336" t="s">
        <v>60</v>
      </c>
      <c r="G1861" s="337">
        <v>1.5</v>
      </c>
      <c r="H1861" s="338">
        <v>0</v>
      </c>
      <c r="I1861" s="339">
        <v>60860.580776572002</v>
      </c>
      <c r="J1861" s="340">
        <v>91290.871164858007</v>
      </c>
      <c r="K1861" s="335" t="s">
        <v>3935</v>
      </c>
      <c r="L1861" s="335">
        <v>1</v>
      </c>
      <c r="M1861" s="335" t="s">
        <v>3936</v>
      </c>
      <c r="N1861" s="339">
        <v>35</v>
      </c>
      <c r="O1861" s="341">
        <v>4.2857142857142899E-2</v>
      </c>
      <c r="P1861" s="341" t="s">
        <v>25</v>
      </c>
      <c r="Q1861" s="341">
        <v>0</v>
      </c>
      <c r="R1861" s="342" t="s">
        <v>25</v>
      </c>
      <c r="S1861" s="342" t="s">
        <v>25</v>
      </c>
    </row>
    <row r="1862" spans="1:19" ht="14.25" customHeight="1" x14ac:dyDescent="0.3">
      <c r="A1862" s="335" t="s">
        <v>3923</v>
      </c>
      <c r="B1862" s="335" t="s">
        <v>56</v>
      </c>
      <c r="C1862" s="335" t="s">
        <v>57</v>
      </c>
      <c r="D1862" s="343" t="s">
        <v>413</v>
      </c>
      <c r="E1862" s="336" t="s">
        <v>414</v>
      </c>
      <c r="F1862" s="336" t="s">
        <v>60</v>
      </c>
      <c r="G1862" s="337">
        <v>1</v>
      </c>
      <c r="H1862" s="338">
        <v>0</v>
      </c>
      <c r="I1862" s="339">
        <v>65493.071636572</v>
      </c>
      <c r="J1862" s="340">
        <v>65493.071636572</v>
      </c>
      <c r="K1862" s="335" t="s">
        <v>3935</v>
      </c>
      <c r="L1862" s="335">
        <v>2</v>
      </c>
      <c r="M1862" s="335" t="s">
        <v>3937</v>
      </c>
      <c r="N1862" s="339">
        <v>35</v>
      </c>
      <c r="O1862" s="341">
        <v>2.8571428571428598E-2</v>
      </c>
      <c r="P1862" s="341" t="s">
        <v>25</v>
      </c>
      <c r="Q1862" s="341">
        <v>0</v>
      </c>
      <c r="R1862" s="342" t="s">
        <v>25</v>
      </c>
      <c r="S1862" s="342" t="s">
        <v>25</v>
      </c>
    </row>
    <row r="1863" spans="1:19" ht="14.25" customHeight="1" x14ac:dyDescent="0.3">
      <c r="A1863" s="335" t="s">
        <v>3923</v>
      </c>
      <c r="B1863" s="335" t="s">
        <v>56</v>
      </c>
      <c r="C1863" s="335" t="s">
        <v>57</v>
      </c>
      <c r="D1863" s="343" t="s">
        <v>63</v>
      </c>
      <c r="E1863" s="336" t="s">
        <v>64</v>
      </c>
      <c r="F1863" s="336" t="s">
        <v>60</v>
      </c>
      <c r="G1863" s="337">
        <v>1</v>
      </c>
      <c r="H1863" s="338">
        <v>0</v>
      </c>
      <c r="I1863" s="339">
        <v>85927.097156571996</v>
      </c>
      <c r="J1863" s="340">
        <v>85927.097156571996</v>
      </c>
      <c r="K1863" s="335" t="s">
        <v>3935</v>
      </c>
      <c r="L1863" s="335">
        <v>3</v>
      </c>
      <c r="M1863" s="335" t="s">
        <v>3938</v>
      </c>
      <c r="N1863" s="339">
        <v>35</v>
      </c>
      <c r="O1863" s="341">
        <v>2.8571428571428598E-2</v>
      </c>
      <c r="P1863" s="341" t="s">
        <v>25</v>
      </c>
      <c r="Q1863" s="341">
        <v>0</v>
      </c>
      <c r="R1863" s="342" t="s">
        <v>25</v>
      </c>
      <c r="S1863" s="342" t="s">
        <v>25</v>
      </c>
    </row>
    <row r="1864" spans="1:19" ht="14.25" customHeight="1" x14ac:dyDescent="0.3">
      <c r="A1864" s="335" t="s">
        <v>3939</v>
      </c>
      <c r="B1864" s="335" t="s">
        <v>20</v>
      </c>
      <c r="C1864" s="335"/>
      <c r="D1864" s="335" t="s">
        <v>67</v>
      </c>
      <c r="E1864" s="336" t="s">
        <v>68</v>
      </c>
      <c r="F1864" s="336"/>
      <c r="G1864" s="337">
        <v>1</v>
      </c>
      <c r="H1864" s="338">
        <v>0</v>
      </c>
      <c r="I1864" s="339">
        <v>571.17949098076099</v>
      </c>
      <c r="J1864" s="340">
        <v>571.17949098076099</v>
      </c>
      <c r="K1864" s="335" t="s">
        <v>3940</v>
      </c>
      <c r="L1864" s="335">
        <v>1</v>
      </c>
      <c r="M1864" s="335" t="s">
        <v>3941</v>
      </c>
      <c r="N1864" s="339">
        <v>18</v>
      </c>
      <c r="O1864" s="341">
        <v>1</v>
      </c>
      <c r="P1864" s="341" t="s">
        <v>25</v>
      </c>
      <c r="Q1864" s="341">
        <v>0</v>
      </c>
      <c r="R1864" s="342" t="s">
        <v>25</v>
      </c>
      <c r="S1864" s="342" t="s">
        <v>25</v>
      </c>
    </row>
    <row r="1865" spans="1:19" ht="14.25" customHeight="1" x14ac:dyDescent="0.3">
      <c r="A1865" s="335" t="s">
        <v>3939</v>
      </c>
      <c r="B1865" s="335" t="s">
        <v>20</v>
      </c>
      <c r="C1865" s="335"/>
      <c r="D1865" s="335" t="s">
        <v>71</v>
      </c>
      <c r="E1865" s="336" t="s">
        <v>72</v>
      </c>
      <c r="F1865" s="336"/>
      <c r="G1865" s="337">
        <v>1</v>
      </c>
      <c r="H1865" s="338">
        <v>0</v>
      </c>
      <c r="I1865" s="339">
        <v>2287.1357450968098</v>
      </c>
      <c r="J1865" s="340">
        <v>2287.1357450968098</v>
      </c>
      <c r="K1865" s="335" t="s">
        <v>3940</v>
      </c>
      <c r="L1865" s="335">
        <v>2</v>
      </c>
      <c r="M1865" s="335" t="s">
        <v>3942</v>
      </c>
      <c r="N1865" s="339">
        <v>18</v>
      </c>
      <c r="O1865" s="341">
        <v>1</v>
      </c>
      <c r="P1865" s="341" t="s">
        <v>25</v>
      </c>
      <c r="Q1865" s="341">
        <v>0</v>
      </c>
      <c r="R1865" s="342" t="s">
        <v>25</v>
      </c>
      <c r="S1865" s="342" t="s">
        <v>25</v>
      </c>
    </row>
    <row r="1866" spans="1:19" ht="14.25" customHeight="1" x14ac:dyDescent="0.3">
      <c r="A1866" s="335" t="s">
        <v>3939</v>
      </c>
      <c r="B1866" s="335" t="s">
        <v>20</v>
      </c>
      <c r="C1866" s="335"/>
      <c r="D1866" s="335" t="s">
        <v>74</v>
      </c>
      <c r="E1866" s="336" t="s">
        <v>75</v>
      </c>
      <c r="F1866" s="336"/>
      <c r="G1866" s="337">
        <v>1</v>
      </c>
      <c r="H1866" s="338">
        <v>0</v>
      </c>
      <c r="I1866" s="339">
        <v>957.25319614994703</v>
      </c>
      <c r="J1866" s="340">
        <v>957.25319614994703</v>
      </c>
      <c r="K1866" s="335" t="s">
        <v>3940</v>
      </c>
      <c r="L1866" s="335">
        <v>3</v>
      </c>
      <c r="M1866" s="335" t="s">
        <v>3943</v>
      </c>
      <c r="N1866" s="339">
        <v>18</v>
      </c>
      <c r="O1866" s="341">
        <v>1</v>
      </c>
      <c r="P1866" s="341" t="s">
        <v>25</v>
      </c>
      <c r="Q1866" s="341">
        <v>0</v>
      </c>
      <c r="R1866" s="342" t="s">
        <v>25</v>
      </c>
      <c r="S1866" s="342" t="s">
        <v>25</v>
      </c>
    </row>
    <row r="1867" spans="1:19" ht="14.25" customHeight="1" x14ac:dyDescent="0.3">
      <c r="A1867" s="335" t="s">
        <v>3939</v>
      </c>
      <c r="B1867" s="335" t="s">
        <v>26</v>
      </c>
      <c r="C1867" s="335" t="s">
        <v>27</v>
      </c>
      <c r="D1867" s="335" t="s">
        <v>81</v>
      </c>
      <c r="E1867" s="336" t="s">
        <v>82</v>
      </c>
      <c r="F1867" s="336" t="s">
        <v>83</v>
      </c>
      <c r="G1867" s="337">
        <v>1.7000000000000001E-2</v>
      </c>
      <c r="H1867" s="338">
        <v>0.1</v>
      </c>
      <c r="I1867" s="339">
        <v>32399.77</v>
      </c>
      <c r="J1867" s="340">
        <v>605.87569900000005</v>
      </c>
      <c r="K1867" s="335" t="s">
        <v>3944</v>
      </c>
      <c r="L1867" s="335">
        <v>1</v>
      </c>
      <c r="M1867" s="335" t="s">
        <v>3945</v>
      </c>
      <c r="N1867" s="339">
        <v>18</v>
      </c>
      <c r="O1867" s="341">
        <v>1.7000000000000001E-2</v>
      </c>
      <c r="P1867" s="341" t="s">
        <v>25</v>
      </c>
      <c r="Q1867" s="341">
        <v>0</v>
      </c>
      <c r="R1867" s="342" t="s">
        <v>25</v>
      </c>
      <c r="S1867" s="342" t="s">
        <v>25</v>
      </c>
    </row>
    <row r="1868" spans="1:19" ht="14.25" customHeight="1" x14ac:dyDescent="0.3">
      <c r="A1868" s="335" t="s">
        <v>3939</v>
      </c>
      <c r="B1868" s="335" t="s">
        <v>26</v>
      </c>
      <c r="C1868" s="335" t="s">
        <v>27</v>
      </c>
      <c r="D1868" s="335" t="s">
        <v>85</v>
      </c>
      <c r="E1868" s="336" t="s">
        <v>86</v>
      </c>
      <c r="F1868" s="336" t="s">
        <v>87</v>
      </c>
      <c r="G1868" s="337">
        <v>3.6999999999999998E-2</v>
      </c>
      <c r="H1868" s="338">
        <v>0.1</v>
      </c>
      <c r="I1868" s="339">
        <v>7809.48</v>
      </c>
      <c r="J1868" s="340">
        <v>317.84583600000002</v>
      </c>
      <c r="K1868" s="335" t="s">
        <v>3944</v>
      </c>
      <c r="L1868" s="335">
        <v>2</v>
      </c>
      <c r="M1868" s="335" t="s">
        <v>3946</v>
      </c>
      <c r="N1868" s="339">
        <v>18</v>
      </c>
      <c r="O1868" s="341">
        <v>3.6999999999999998E-2</v>
      </c>
      <c r="P1868" s="341" t="s">
        <v>25</v>
      </c>
      <c r="Q1868" s="341">
        <v>0</v>
      </c>
      <c r="R1868" s="342" t="s">
        <v>25</v>
      </c>
      <c r="S1868" s="342" t="s">
        <v>25</v>
      </c>
    </row>
    <row r="1869" spans="1:19" ht="14.25" customHeight="1" x14ac:dyDescent="0.3">
      <c r="A1869" s="335" t="s">
        <v>3939</v>
      </c>
      <c r="B1869" s="335" t="s">
        <v>26</v>
      </c>
      <c r="C1869" s="335" t="s">
        <v>27</v>
      </c>
      <c r="D1869" s="335" t="s">
        <v>89</v>
      </c>
      <c r="E1869" s="336" t="s">
        <v>90</v>
      </c>
      <c r="F1869" s="336" t="s">
        <v>91</v>
      </c>
      <c r="G1869" s="337">
        <v>0.14399999999999999</v>
      </c>
      <c r="H1869" s="338">
        <v>0.1</v>
      </c>
      <c r="I1869" s="339">
        <v>3837.96</v>
      </c>
      <c r="J1869" s="340">
        <v>607.932864</v>
      </c>
      <c r="K1869" s="335" t="s">
        <v>3944</v>
      </c>
      <c r="L1869" s="335">
        <v>3</v>
      </c>
      <c r="M1869" s="335" t="s">
        <v>3947</v>
      </c>
      <c r="N1869" s="339">
        <v>18</v>
      </c>
      <c r="O1869" s="341">
        <v>0.14399999999999999</v>
      </c>
      <c r="P1869" s="341" t="s">
        <v>25</v>
      </c>
      <c r="Q1869" s="341">
        <v>0</v>
      </c>
      <c r="R1869" s="342" t="s">
        <v>25</v>
      </c>
      <c r="S1869" s="342" t="s">
        <v>25</v>
      </c>
    </row>
    <row r="1870" spans="1:19" ht="14.25" customHeight="1" x14ac:dyDescent="0.3">
      <c r="A1870" s="335" t="s">
        <v>3939</v>
      </c>
      <c r="B1870" s="335" t="s">
        <v>56</v>
      </c>
      <c r="C1870" s="335" t="s">
        <v>57</v>
      </c>
      <c r="D1870" s="343" t="s">
        <v>58</v>
      </c>
      <c r="E1870" s="336" t="s">
        <v>59</v>
      </c>
      <c r="F1870" s="336" t="s">
        <v>60</v>
      </c>
      <c r="G1870" s="337">
        <v>0.75</v>
      </c>
      <c r="H1870" s="338">
        <v>0</v>
      </c>
      <c r="I1870" s="339">
        <v>60860.580776572002</v>
      </c>
      <c r="J1870" s="340">
        <v>45645.435582429003</v>
      </c>
      <c r="K1870" s="335" t="s">
        <v>3948</v>
      </c>
      <c r="L1870" s="335">
        <v>1</v>
      </c>
      <c r="M1870" s="335" t="s">
        <v>3949</v>
      </c>
      <c r="N1870" s="339">
        <v>18</v>
      </c>
      <c r="O1870" s="341">
        <v>4.1666666666666699E-2</v>
      </c>
      <c r="P1870" s="341" t="s">
        <v>25</v>
      </c>
      <c r="Q1870" s="341">
        <v>0</v>
      </c>
      <c r="R1870" s="342" t="s">
        <v>25</v>
      </c>
      <c r="S1870" s="342" t="s">
        <v>25</v>
      </c>
    </row>
    <row r="1871" spans="1:19" ht="14.25" customHeight="1" x14ac:dyDescent="0.3">
      <c r="A1871" s="335" t="s">
        <v>3939</v>
      </c>
      <c r="B1871" s="335" t="s">
        <v>56</v>
      </c>
      <c r="C1871" s="335" t="s">
        <v>57</v>
      </c>
      <c r="D1871" s="343" t="s">
        <v>63</v>
      </c>
      <c r="E1871" s="336" t="s">
        <v>64</v>
      </c>
      <c r="F1871" s="336" t="s">
        <v>60</v>
      </c>
      <c r="G1871" s="337">
        <v>1</v>
      </c>
      <c r="H1871" s="338">
        <v>0</v>
      </c>
      <c r="I1871" s="339">
        <v>85927.097156571996</v>
      </c>
      <c r="J1871" s="340">
        <v>85927.097156571996</v>
      </c>
      <c r="K1871" s="335" t="s">
        <v>3948</v>
      </c>
      <c r="L1871" s="335">
        <v>2</v>
      </c>
      <c r="M1871" s="335" t="s">
        <v>3950</v>
      </c>
      <c r="N1871" s="339">
        <v>18</v>
      </c>
      <c r="O1871" s="341">
        <v>5.5555555555555601E-2</v>
      </c>
      <c r="P1871" s="341" t="s">
        <v>25</v>
      </c>
      <c r="Q1871" s="341">
        <v>0</v>
      </c>
      <c r="R1871" s="342" t="s">
        <v>25</v>
      </c>
      <c r="S1871" s="342" t="s">
        <v>25</v>
      </c>
    </row>
    <row r="1872" spans="1:19" ht="14.25" customHeight="1" x14ac:dyDescent="0.3">
      <c r="A1872" s="335" t="s">
        <v>3951</v>
      </c>
      <c r="B1872" s="335" t="s">
        <v>20</v>
      </c>
      <c r="C1872" s="335"/>
      <c r="D1872" s="335" t="s">
        <v>67</v>
      </c>
      <c r="E1872" s="336" t="s">
        <v>68</v>
      </c>
      <c r="F1872" s="336"/>
      <c r="G1872" s="337">
        <v>1</v>
      </c>
      <c r="H1872" s="338">
        <v>0</v>
      </c>
      <c r="I1872" s="339">
        <v>571.17949098076099</v>
      </c>
      <c r="J1872" s="340">
        <v>571.17949098076099</v>
      </c>
      <c r="K1872" s="335" t="s">
        <v>3952</v>
      </c>
      <c r="L1872" s="335">
        <v>1</v>
      </c>
      <c r="M1872" s="335" t="s">
        <v>3953</v>
      </c>
      <c r="N1872" s="339">
        <v>9</v>
      </c>
      <c r="O1872" s="341">
        <v>1</v>
      </c>
      <c r="P1872" s="341" t="s">
        <v>25</v>
      </c>
      <c r="Q1872" s="341">
        <v>0</v>
      </c>
      <c r="R1872" s="342" t="s">
        <v>25</v>
      </c>
      <c r="S1872" s="342" t="s">
        <v>25</v>
      </c>
    </row>
    <row r="1873" spans="1:19" ht="14.25" customHeight="1" x14ac:dyDescent="0.3">
      <c r="A1873" s="335" t="s">
        <v>3951</v>
      </c>
      <c r="B1873" s="335" t="s">
        <v>20</v>
      </c>
      <c r="C1873" s="335"/>
      <c r="D1873" s="335" t="s">
        <v>71</v>
      </c>
      <c r="E1873" s="336" t="s">
        <v>72</v>
      </c>
      <c r="F1873" s="336"/>
      <c r="G1873" s="337">
        <v>1</v>
      </c>
      <c r="H1873" s="338">
        <v>0</v>
      </c>
      <c r="I1873" s="339">
        <v>2287.1357450968098</v>
      </c>
      <c r="J1873" s="340">
        <v>2287.1357450968098</v>
      </c>
      <c r="K1873" s="335" t="s">
        <v>3952</v>
      </c>
      <c r="L1873" s="335">
        <v>2</v>
      </c>
      <c r="M1873" s="335" t="s">
        <v>3954</v>
      </c>
      <c r="N1873" s="339">
        <v>9</v>
      </c>
      <c r="O1873" s="341">
        <v>1</v>
      </c>
      <c r="P1873" s="341" t="s">
        <v>25</v>
      </c>
      <c r="Q1873" s="341">
        <v>0</v>
      </c>
      <c r="R1873" s="342" t="s">
        <v>25</v>
      </c>
      <c r="S1873" s="342" t="s">
        <v>25</v>
      </c>
    </row>
    <row r="1874" spans="1:19" ht="14.25" customHeight="1" x14ac:dyDescent="0.3">
      <c r="A1874" s="335" t="s">
        <v>3951</v>
      </c>
      <c r="B1874" s="335" t="s">
        <v>20</v>
      </c>
      <c r="C1874" s="335"/>
      <c r="D1874" s="335" t="s">
        <v>74</v>
      </c>
      <c r="E1874" s="336" t="s">
        <v>75</v>
      </c>
      <c r="F1874" s="336"/>
      <c r="G1874" s="337">
        <v>1</v>
      </c>
      <c r="H1874" s="338">
        <v>0</v>
      </c>
      <c r="I1874" s="339">
        <v>957.25319614994703</v>
      </c>
      <c r="J1874" s="340">
        <v>957.25319614994703</v>
      </c>
      <c r="K1874" s="335" t="s">
        <v>3952</v>
      </c>
      <c r="L1874" s="335">
        <v>3</v>
      </c>
      <c r="M1874" s="335" t="s">
        <v>3955</v>
      </c>
      <c r="N1874" s="339">
        <v>9</v>
      </c>
      <c r="O1874" s="341">
        <v>1</v>
      </c>
      <c r="P1874" s="341" t="s">
        <v>25</v>
      </c>
      <c r="Q1874" s="341">
        <v>0</v>
      </c>
      <c r="R1874" s="342" t="s">
        <v>25</v>
      </c>
      <c r="S1874" s="342" t="s">
        <v>25</v>
      </c>
    </row>
    <row r="1875" spans="1:19" ht="14.25" customHeight="1" x14ac:dyDescent="0.3">
      <c r="A1875" s="335" t="s">
        <v>3951</v>
      </c>
      <c r="B1875" s="335" t="s">
        <v>26</v>
      </c>
      <c r="C1875" s="335" t="s">
        <v>27</v>
      </c>
      <c r="D1875" s="335" t="s">
        <v>81</v>
      </c>
      <c r="E1875" s="336" t="s">
        <v>82</v>
      </c>
      <c r="F1875" s="336" t="s">
        <v>83</v>
      </c>
      <c r="G1875" s="337">
        <v>0.01</v>
      </c>
      <c r="H1875" s="338">
        <v>0.1</v>
      </c>
      <c r="I1875" s="339">
        <v>32399.77</v>
      </c>
      <c r="J1875" s="340">
        <v>356.39747</v>
      </c>
      <c r="K1875" s="335" t="s">
        <v>3956</v>
      </c>
      <c r="L1875" s="335">
        <v>1</v>
      </c>
      <c r="M1875" s="335" t="s">
        <v>3957</v>
      </c>
      <c r="N1875" s="339">
        <v>9</v>
      </c>
      <c r="O1875" s="341">
        <v>0.01</v>
      </c>
      <c r="P1875" s="341" t="s">
        <v>25</v>
      </c>
      <c r="Q1875" s="341">
        <v>0</v>
      </c>
      <c r="R1875" s="342" t="s">
        <v>25</v>
      </c>
      <c r="S1875" s="342" t="s">
        <v>25</v>
      </c>
    </row>
    <row r="1876" spans="1:19" ht="14.25" customHeight="1" x14ac:dyDescent="0.3">
      <c r="A1876" s="335" t="s">
        <v>3951</v>
      </c>
      <c r="B1876" s="335" t="s">
        <v>26</v>
      </c>
      <c r="C1876" s="335" t="s">
        <v>27</v>
      </c>
      <c r="D1876" s="335" t="s">
        <v>85</v>
      </c>
      <c r="E1876" s="336" t="s">
        <v>86</v>
      </c>
      <c r="F1876" s="336" t="s">
        <v>87</v>
      </c>
      <c r="G1876" s="337">
        <v>8.9999999999999993E-3</v>
      </c>
      <c r="H1876" s="338">
        <v>0.1</v>
      </c>
      <c r="I1876" s="339">
        <v>7809.48</v>
      </c>
      <c r="J1876" s="340">
        <v>77.313851999999997</v>
      </c>
      <c r="K1876" s="335" t="s">
        <v>3956</v>
      </c>
      <c r="L1876" s="335">
        <v>2</v>
      </c>
      <c r="M1876" s="335" t="s">
        <v>3958</v>
      </c>
      <c r="N1876" s="339">
        <v>9</v>
      </c>
      <c r="O1876" s="341">
        <v>8.9999999999999993E-3</v>
      </c>
      <c r="P1876" s="341" t="s">
        <v>25</v>
      </c>
      <c r="Q1876" s="341">
        <v>0</v>
      </c>
      <c r="R1876" s="342" t="s">
        <v>25</v>
      </c>
      <c r="S1876" s="342" t="s">
        <v>25</v>
      </c>
    </row>
    <row r="1877" spans="1:19" ht="14.25" customHeight="1" x14ac:dyDescent="0.3">
      <c r="A1877" s="335" t="s">
        <v>3951</v>
      </c>
      <c r="B1877" s="335" t="s">
        <v>26</v>
      </c>
      <c r="C1877" s="335" t="s">
        <v>27</v>
      </c>
      <c r="D1877" s="335" t="s">
        <v>89</v>
      </c>
      <c r="E1877" s="336" t="s">
        <v>90</v>
      </c>
      <c r="F1877" s="336" t="s">
        <v>91</v>
      </c>
      <c r="G1877" s="337">
        <v>6.4000000000000001E-2</v>
      </c>
      <c r="H1877" s="338">
        <v>0.1</v>
      </c>
      <c r="I1877" s="339">
        <v>3837.96</v>
      </c>
      <c r="J1877" s="340">
        <v>270.192384</v>
      </c>
      <c r="K1877" s="335" t="s">
        <v>3956</v>
      </c>
      <c r="L1877" s="335">
        <v>3</v>
      </c>
      <c r="M1877" s="335" t="s">
        <v>3959</v>
      </c>
      <c r="N1877" s="339">
        <v>9</v>
      </c>
      <c r="O1877" s="341">
        <v>6.4000000000000001E-2</v>
      </c>
      <c r="P1877" s="341" t="s">
        <v>25</v>
      </c>
      <c r="Q1877" s="341">
        <v>0</v>
      </c>
      <c r="R1877" s="342" t="s">
        <v>25</v>
      </c>
      <c r="S1877" s="342" t="s">
        <v>25</v>
      </c>
    </row>
    <row r="1878" spans="1:19" ht="14.25" customHeight="1" x14ac:dyDescent="0.3">
      <c r="A1878" s="335" t="s">
        <v>3951</v>
      </c>
      <c r="B1878" s="335" t="s">
        <v>56</v>
      </c>
      <c r="C1878" s="335" t="s">
        <v>57</v>
      </c>
      <c r="D1878" s="343" t="s">
        <v>58</v>
      </c>
      <c r="E1878" s="336" t="s">
        <v>59</v>
      </c>
      <c r="F1878" s="336" t="s">
        <v>60</v>
      </c>
      <c r="G1878" s="337">
        <v>0.6</v>
      </c>
      <c r="H1878" s="338">
        <v>0</v>
      </c>
      <c r="I1878" s="339">
        <v>60860.580776572002</v>
      </c>
      <c r="J1878" s="340">
        <v>36516.3484659432</v>
      </c>
      <c r="K1878" s="335" t="s">
        <v>3960</v>
      </c>
      <c r="L1878" s="335">
        <v>1</v>
      </c>
      <c r="M1878" s="335" t="s">
        <v>3961</v>
      </c>
      <c r="N1878" s="339">
        <v>9</v>
      </c>
      <c r="O1878" s="341">
        <v>6.6666666666666693E-2</v>
      </c>
      <c r="P1878" s="341" t="s">
        <v>25</v>
      </c>
      <c r="Q1878" s="341">
        <v>0</v>
      </c>
      <c r="R1878" s="342" t="s">
        <v>25</v>
      </c>
      <c r="S1878" s="342" t="s">
        <v>25</v>
      </c>
    </row>
    <row r="1879" spans="1:19" ht="14.25" customHeight="1" x14ac:dyDescent="0.3">
      <c r="A1879" s="335" t="s">
        <v>3951</v>
      </c>
      <c r="B1879" s="335" t="s">
        <v>56</v>
      </c>
      <c r="C1879" s="335" t="s">
        <v>57</v>
      </c>
      <c r="D1879" s="343" t="s">
        <v>63</v>
      </c>
      <c r="E1879" s="336" t="s">
        <v>64</v>
      </c>
      <c r="F1879" s="336" t="s">
        <v>60</v>
      </c>
      <c r="G1879" s="337">
        <v>1</v>
      </c>
      <c r="H1879" s="338">
        <v>0</v>
      </c>
      <c r="I1879" s="339">
        <v>85927.097156571996</v>
      </c>
      <c r="J1879" s="340">
        <v>85927.097156571996</v>
      </c>
      <c r="K1879" s="335" t="s">
        <v>3960</v>
      </c>
      <c r="L1879" s="335">
        <v>2</v>
      </c>
      <c r="M1879" s="335" t="s">
        <v>3962</v>
      </c>
      <c r="N1879" s="339">
        <v>9</v>
      </c>
      <c r="O1879" s="341">
        <v>0.11111111111111099</v>
      </c>
      <c r="P1879" s="341" t="s">
        <v>25</v>
      </c>
      <c r="Q1879" s="341">
        <v>0</v>
      </c>
      <c r="R1879" s="342" t="s">
        <v>25</v>
      </c>
      <c r="S1879" s="342" t="s">
        <v>25</v>
      </c>
    </row>
  </sheetData>
  <autoFilter ref="A1:S1879" xr:uid="{00000000-0009-0000-0000-000005000000}"/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Y853"/>
  <sheetViews>
    <sheetView zoomScaleNormal="100" workbookViewId="0"/>
  </sheetViews>
  <sheetFormatPr defaultColWidth="10.90625" defaultRowHeight="14.5" outlineLevelCol="1" x14ac:dyDescent="0.35"/>
  <cols>
    <col min="1" max="2" width="8.6328125" style="136" customWidth="1"/>
    <col min="3" max="3" width="9.7265625" style="137" customWidth="1"/>
    <col min="4" max="4" width="7.90625" style="136" customWidth="1" outlineLevel="1"/>
    <col min="5" max="5" width="14.54296875" style="136" customWidth="1"/>
    <col min="6" max="6" width="9.7265625" style="137" customWidth="1"/>
    <col min="8" max="8" width="16" style="136" customWidth="1" outlineLevel="1"/>
    <col min="9" max="9" width="22.6328125" style="136" customWidth="1"/>
    <col min="10" max="10" width="22.453125" style="136" customWidth="1"/>
    <col min="11" max="12" width="12.6328125" style="136" customWidth="1" outlineLevel="1"/>
    <col min="13" max="14" width="11" style="138" customWidth="1"/>
    <col min="15" max="15" width="8" style="136" customWidth="1" outlineLevel="1"/>
    <col min="16" max="16" width="18.54296875" style="136" customWidth="1" outlineLevel="1"/>
    <col min="17" max="17" width="10.26953125" style="136" customWidth="1"/>
    <col min="18" max="18" width="24.54296875" style="136" customWidth="1" outlineLevel="1"/>
    <col min="19" max="19" width="11.54296875" style="136" customWidth="1" outlineLevel="1"/>
    <col min="20" max="21" width="11.453125" style="138" customWidth="1"/>
    <col min="22" max="22" width="10.90625" style="322" customWidth="1"/>
    <col min="23" max="23" width="11.453125" style="323" customWidth="1"/>
    <col min="24" max="25" width="11.453125" style="138" customWidth="1"/>
    <col min="26" max="29" width="10.90625" style="136" customWidth="1"/>
    <col min="30" max="16384" width="10.90625" style="136"/>
  </cols>
  <sheetData>
    <row r="1" spans="1:25" ht="24" customHeight="1" x14ac:dyDescent="0.3">
      <c r="A1" s="324" t="s">
        <v>4399</v>
      </c>
      <c r="B1" s="324" t="s">
        <v>4400</v>
      </c>
      <c r="C1" s="139" t="s">
        <v>4329</v>
      </c>
      <c r="D1" s="254" t="s">
        <v>4401</v>
      </c>
      <c r="E1" s="254" t="s">
        <v>4402</v>
      </c>
      <c r="F1" s="254" t="s">
        <v>4403</v>
      </c>
      <c r="G1" s="254" t="s">
        <v>4404</v>
      </c>
      <c r="H1" s="254" t="s">
        <v>4405</v>
      </c>
      <c r="I1" s="254" t="s">
        <v>4406</v>
      </c>
      <c r="J1" s="254" t="s">
        <v>4407</v>
      </c>
      <c r="K1" s="254" t="s">
        <v>4408</v>
      </c>
      <c r="L1" s="254" t="s">
        <v>4409</v>
      </c>
      <c r="M1" s="254" t="s">
        <v>4410</v>
      </c>
      <c r="N1" s="254" t="s">
        <v>4411</v>
      </c>
      <c r="O1" s="254" t="s">
        <v>4412</v>
      </c>
      <c r="P1" s="254" t="s">
        <v>4413</v>
      </c>
      <c r="Q1" s="254" t="s">
        <v>4414</v>
      </c>
      <c r="R1" s="254" t="s">
        <v>4415</v>
      </c>
      <c r="S1" s="139" t="s">
        <v>4416</v>
      </c>
      <c r="T1" s="139" t="s">
        <v>4417</v>
      </c>
      <c r="U1" s="324" t="s">
        <v>4384</v>
      </c>
      <c r="V1" s="324" t="s">
        <v>4418</v>
      </c>
      <c r="W1" s="139" t="s">
        <v>4419</v>
      </c>
      <c r="X1" s="139" t="s">
        <v>4420</v>
      </c>
      <c r="Y1" s="136"/>
    </row>
    <row r="2" spans="1:25" ht="12" customHeight="1" x14ac:dyDescent="0.3">
      <c r="A2" s="140" t="s">
        <v>25</v>
      </c>
      <c r="B2" s="140" t="s">
        <v>25</v>
      </c>
      <c r="C2" s="549">
        <f>+EOMONTH(Tabla18[[#This Row],[Fecha Asiento]],-1)+1</f>
        <v>45597</v>
      </c>
      <c r="D2" s="136">
        <v>52210</v>
      </c>
      <c r="E2" s="136" t="s">
        <v>4421</v>
      </c>
      <c r="F2" s="141">
        <v>45604</v>
      </c>
      <c r="G2" s="136">
        <v>89</v>
      </c>
      <c r="H2" s="136" t="s">
        <v>4422</v>
      </c>
      <c r="I2" s="136" t="s">
        <v>4423</v>
      </c>
      <c r="J2" s="136" t="s">
        <v>4424</v>
      </c>
      <c r="K2" s="136">
        <v>5521</v>
      </c>
      <c r="L2" s="138">
        <v>275000</v>
      </c>
      <c r="M2" s="138">
        <v>0</v>
      </c>
      <c r="N2" s="136" t="s">
        <v>4425</v>
      </c>
      <c r="O2" s="136" t="s">
        <v>4426</v>
      </c>
      <c r="P2" s="136" t="s">
        <v>4427</v>
      </c>
      <c r="Q2" s="136" t="s">
        <v>4428</v>
      </c>
      <c r="R2" s="136">
        <v>0</v>
      </c>
      <c r="S2" s="142">
        <f>(Tabla18[[#This Row],[Debe]]-Tabla18[[#This Row],[Haber]])*
SUMIF('0_Indice_CAC'!$A:$A,Tabla18[[#This Row],[Mes]],'0_Indice_CAC'!$D:$D)</f>
        <v>0</v>
      </c>
      <c r="T2" s="142">
        <f>Tabla18[[#This Row],[Debe]]-Tabla18[[#This Row],[Haber]]</f>
        <v>275000</v>
      </c>
      <c r="U2" s="322"/>
      <c r="V2" s="323"/>
      <c r="W2" s="142">
        <f t="shared" ref="W2:W33" si="0">IFERROR(T2-IF(V2="",0,V2),0)</f>
        <v>275000</v>
      </c>
      <c r="X2" s="142" t="b">
        <f>ISNUMBER(MATCH(A2,'3_Control_Ppto'!$A$4:$A$70,0))</f>
        <v>0</v>
      </c>
      <c r="Y2" s="136"/>
    </row>
    <row r="3" spans="1:25" ht="12" customHeight="1" x14ac:dyDescent="0.3">
      <c r="A3" s="140" t="s">
        <v>4119</v>
      </c>
      <c r="B3" s="140" t="s">
        <v>25</v>
      </c>
      <c r="C3" s="549">
        <f>+EOMONTH(Tabla18[[#This Row],[Fecha Asiento]],-1)+1</f>
        <v>45627</v>
      </c>
      <c r="D3" s="136">
        <v>53022</v>
      </c>
      <c r="E3" s="136" t="s">
        <v>4429</v>
      </c>
      <c r="F3" s="141">
        <v>45632</v>
      </c>
      <c r="G3" s="136">
        <v>413</v>
      </c>
      <c r="H3" s="136" t="s">
        <v>4430</v>
      </c>
      <c r="I3" s="136" t="s">
        <v>4423</v>
      </c>
      <c r="J3" s="136" t="s">
        <v>4431</v>
      </c>
      <c r="K3" s="136">
        <v>3488</v>
      </c>
      <c r="L3" s="138">
        <v>53000</v>
      </c>
      <c r="M3" s="138">
        <v>0</v>
      </c>
      <c r="N3" s="136" t="s">
        <v>4425</v>
      </c>
      <c r="O3" s="136" t="s">
        <v>4426</v>
      </c>
      <c r="P3" s="136" t="s">
        <v>4427</v>
      </c>
      <c r="Q3" s="136" t="s">
        <v>4428</v>
      </c>
      <c r="R3" s="136">
        <v>0</v>
      </c>
      <c r="S3" s="142">
        <f>(Tabla18[[#This Row],[Debe]]-Tabla18[[#This Row],[Haber]])*
SUMIF('0_Indice_CAC'!$A:$A,Tabla18[[#This Row],[Mes]],'0_Indice_CAC'!$D:$D)</f>
        <v>53000</v>
      </c>
      <c r="T3" s="142">
        <f>Tabla18[[#This Row],[Debe]]-Tabla18[[#This Row],[Haber]]</f>
        <v>53000</v>
      </c>
      <c r="U3" s="322"/>
      <c r="V3" s="323"/>
      <c r="W3" s="142">
        <f t="shared" si="0"/>
        <v>53000</v>
      </c>
      <c r="X3" s="142" t="b">
        <f>ISNUMBER(MATCH(A3,'3_Control_Ppto'!$A$4:$A$70,0))</f>
        <v>1</v>
      </c>
      <c r="Y3" s="136"/>
    </row>
    <row r="4" spans="1:25" ht="12" customHeight="1" x14ac:dyDescent="0.3">
      <c r="A4" s="140" t="s">
        <v>4119</v>
      </c>
      <c r="B4" s="140" t="s">
        <v>25</v>
      </c>
      <c r="C4" s="549">
        <f>+EOMONTH(Tabla18[[#This Row],[Fecha Asiento]],-1)+1</f>
        <v>45627</v>
      </c>
      <c r="D4" s="136">
        <v>53022</v>
      </c>
      <c r="E4" s="136" t="s">
        <v>4429</v>
      </c>
      <c r="F4" s="141">
        <v>45632</v>
      </c>
      <c r="G4" s="136">
        <v>414</v>
      </c>
      <c r="H4" s="136" t="s">
        <v>4432</v>
      </c>
      <c r="I4" s="136" t="s">
        <v>4423</v>
      </c>
      <c r="J4" s="136" t="s">
        <v>4431</v>
      </c>
      <c r="K4" s="136">
        <v>3489</v>
      </c>
      <c r="L4" s="138">
        <v>180000</v>
      </c>
      <c r="M4" s="138">
        <v>0</v>
      </c>
      <c r="N4" s="136" t="s">
        <v>4425</v>
      </c>
      <c r="O4" s="136" t="s">
        <v>4426</v>
      </c>
      <c r="P4" s="136" t="s">
        <v>4427</v>
      </c>
      <c r="Q4" s="136" t="s">
        <v>4428</v>
      </c>
      <c r="R4" s="136">
        <v>0</v>
      </c>
      <c r="S4" s="142">
        <f>(Tabla18[[#This Row],[Debe]]-Tabla18[[#This Row],[Haber]])*
SUMIF('0_Indice_CAC'!$A:$A,Tabla18[[#This Row],[Mes]],'0_Indice_CAC'!$D:$D)</f>
        <v>180000</v>
      </c>
      <c r="T4" s="142">
        <f>Tabla18[[#This Row],[Debe]]-Tabla18[[#This Row],[Haber]]</f>
        <v>180000</v>
      </c>
      <c r="U4" s="322"/>
      <c r="V4" s="323"/>
      <c r="W4" s="142">
        <f t="shared" si="0"/>
        <v>180000</v>
      </c>
      <c r="X4" s="142" t="b">
        <f>ISNUMBER(MATCH(A4,'3_Control_Ppto'!$A$4:$A$70,0))</f>
        <v>1</v>
      </c>
      <c r="Y4" s="136"/>
    </row>
    <row r="5" spans="1:25" ht="12" customHeight="1" x14ac:dyDescent="0.3">
      <c r="A5" s="140" t="s">
        <v>25</v>
      </c>
      <c r="B5" s="140" t="s">
        <v>25</v>
      </c>
      <c r="C5" s="549">
        <f>+EOMONTH(Tabla18[[#This Row],[Fecha Asiento]],-1)+1</f>
        <v>45627</v>
      </c>
      <c r="D5" s="136">
        <v>52210</v>
      </c>
      <c r="E5" s="136" t="s">
        <v>4421</v>
      </c>
      <c r="F5" s="141">
        <v>45638</v>
      </c>
      <c r="G5" s="136">
        <v>865</v>
      </c>
      <c r="H5" s="136" t="s">
        <v>4433</v>
      </c>
      <c r="I5" s="136" t="s">
        <v>4423</v>
      </c>
      <c r="J5" s="136" t="s">
        <v>4424</v>
      </c>
      <c r="K5" s="136">
        <v>6281</v>
      </c>
      <c r="L5" s="138">
        <v>481500</v>
      </c>
      <c r="M5" s="138">
        <v>0</v>
      </c>
      <c r="N5" s="136" t="s">
        <v>4425</v>
      </c>
      <c r="O5" s="136" t="s">
        <v>4426</v>
      </c>
      <c r="P5" s="136" t="s">
        <v>4427</v>
      </c>
      <c r="Q5" s="136" t="s">
        <v>4428</v>
      </c>
      <c r="R5" s="136">
        <v>0</v>
      </c>
      <c r="S5" s="142">
        <f>(Tabla18[[#This Row],[Debe]]-Tabla18[[#This Row],[Haber]])*
SUMIF('0_Indice_CAC'!$A:$A,Tabla18[[#This Row],[Mes]],'0_Indice_CAC'!$D:$D)</f>
        <v>481500</v>
      </c>
      <c r="T5" s="142">
        <f>Tabla18[[#This Row],[Debe]]-Tabla18[[#This Row],[Haber]]</f>
        <v>481500</v>
      </c>
      <c r="U5" s="322"/>
      <c r="V5" s="323"/>
      <c r="W5" s="142">
        <f t="shared" si="0"/>
        <v>481500</v>
      </c>
      <c r="X5" s="142" t="b">
        <f>ISNUMBER(MATCH(A5,'3_Control_Ppto'!$A$4:$A$70,0))</f>
        <v>0</v>
      </c>
      <c r="Y5" s="136"/>
    </row>
    <row r="6" spans="1:25" ht="12" customHeight="1" x14ac:dyDescent="0.3">
      <c r="A6" s="140" t="s">
        <v>25</v>
      </c>
      <c r="B6" s="140" t="s">
        <v>25</v>
      </c>
      <c r="C6" s="549">
        <f>+EOMONTH(Tabla18[[#This Row],[Fecha Asiento]],-1)+1</f>
        <v>45627</v>
      </c>
      <c r="D6" s="136">
        <v>52205</v>
      </c>
      <c r="E6" s="136" t="s">
        <v>4434</v>
      </c>
      <c r="F6" s="141">
        <v>45642</v>
      </c>
      <c r="G6" s="136">
        <v>252</v>
      </c>
      <c r="H6" s="136" t="s">
        <v>4435</v>
      </c>
      <c r="I6" s="136" t="s">
        <v>4423</v>
      </c>
      <c r="J6" s="136" t="s">
        <v>4424</v>
      </c>
      <c r="K6" s="136">
        <v>5679</v>
      </c>
      <c r="L6" s="138">
        <v>3000000</v>
      </c>
      <c r="M6" s="138">
        <v>0</v>
      </c>
      <c r="N6" s="136" t="s">
        <v>4425</v>
      </c>
      <c r="O6" s="136" t="s">
        <v>4426</v>
      </c>
      <c r="P6" s="136" t="s">
        <v>4427</v>
      </c>
      <c r="Q6" s="136" t="s">
        <v>4428</v>
      </c>
      <c r="R6" s="136">
        <v>0</v>
      </c>
      <c r="S6" s="142">
        <f>(Tabla18[[#This Row],[Debe]]-Tabla18[[#This Row],[Haber]])*
SUMIF('0_Indice_CAC'!$A:$A,Tabla18[[#This Row],[Mes]],'0_Indice_CAC'!$D:$D)</f>
        <v>3000000</v>
      </c>
      <c r="T6" s="142">
        <f>Tabla18[[#This Row],[Debe]]-Tabla18[[#This Row],[Haber]]</f>
        <v>3000000</v>
      </c>
      <c r="U6" s="322"/>
      <c r="V6" s="323"/>
      <c r="W6" s="142">
        <f t="shared" si="0"/>
        <v>3000000</v>
      </c>
      <c r="X6" s="142" t="b">
        <f>ISNUMBER(MATCH(A6,'3_Control_Ppto'!$A$4:$A$70,0))</f>
        <v>0</v>
      </c>
      <c r="Y6" s="136"/>
    </row>
    <row r="7" spans="1:25" ht="12" customHeight="1" x14ac:dyDescent="0.3">
      <c r="A7" s="140" t="s">
        <v>4119</v>
      </c>
      <c r="B7" s="140" t="s">
        <v>25</v>
      </c>
      <c r="C7" s="549">
        <f>+EOMONTH(Tabla18[[#This Row],[Fecha Asiento]],-1)+1</f>
        <v>45627</v>
      </c>
      <c r="D7" s="136">
        <v>53022</v>
      </c>
      <c r="E7" s="136" t="s">
        <v>4429</v>
      </c>
      <c r="F7" s="141">
        <v>45645</v>
      </c>
      <c r="G7" s="136">
        <v>186</v>
      </c>
      <c r="H7" s="136" t="s">
        <v>4436</v>
      </c>
      <c r="I7" s="136" t="s">
        <v>4423</v>
      </c>
      <c r="J7" s="136" t="s">
        <v>4424</v>
      </c>
      <c r="K7" s="136">
        <v>5612</v>
      </c>
      <c r="L7" s="138">
        <v>7005</v>
      </c>
      <c r="M7" s="138">
        <v>0</v>
      </c>
      <c r="N7" s="136" t="s">
        <v>4425</v>
      </c>
      <c r="O7" s="136" t="s">
        <v>4426</v>
      </c>
      <c r="P7" s="136" t="s">
        <v>4427</v>
      </c>
      <c r="Q7" s="136" t="s">
        <v>4428</v>
      </c>
      <c r="R7" s="136">
        <v>0</v>
      </c>
      <c r="S7" s="142">
        <f>(Tabla18[[#This Row],[Debe]]-Tabla18[[#This Row],[Haber]])*
SUMIF('0_Indice_CAC'!$A:$A,Tabla18[[#This Row],[Mes]],'0_Indice_CAC'!$D:$D)</f>
        <v>7005</v>
      </c>
      <c r="T7" s="142">
        <f>Tabla18[[#This Row],[Debe]]-Tabla18[[#This Row],[Haber]]</f>
        <v>7005</v>
      </c>
      <c r="U7" s="322"/>
      <c r="V7" s="323"/>
      <c r="W7" s="142">
        <f t="shared" si="0"/>
        <v>7005</v>
      </c>
      <c r="X7" s="142" t="b">
        <f>ISNUMBER(MATCH(A7,'3_Control_Ppto'!$A$4:$A$70,0))</f>
        <v>1</v>
      </c>
      <c r="Y7" s="136"/>
    </row>
    <row r="8" spans="1:25" ht="12" customHeight="1" x14ac:dyDescent="0.3">
      <c r="A8" s="140" t="s">
        <v>4119</v>
      </c>
      <c r="B8" s="140" t="s">
        <v>25</v>
      </c>
      <c r="C8" s="549">
        <f>+EOMONTH(Tabla18[[#This Row],[Fecha Asiento]],-1)+1</f>
        <v>45627</v>
      </c>
      <c r="D8" s="136">
        <v>53022</v>
      </c>
      <c r="E8" s="136" t="s">
        <v>4429</v>
      </c>
      <c r="F8" s="141">
        <v>45645</v>
      </c>
      <c r="G8" s="136">
        <v>538</v>
      </c>
      <c r="H8" s="136" t="s">
        <v>4437</v>
      </c>
      <c r="I8" s="136" t="s">
        <v>4438</v>
      </c>
      <c r="J8" s="136" t="s">
        <v>4439</v>
      </c>
      <c r="K8" s="136">
        <v>2100049507</v>
      </c>
      <c r="L8" s="138">
        <v>5258.93</v>
      </c>
      <c r="M8" s="138">
        <v>0</v>
      </c>
      <c r="N8" s="136" t="s">
        <v>4425</v>
      </c>
      <c r="O8" s="136" t="s">
        <v>4426</v>
      </c>
      <c r="P8" s="136" t="s">
        <v>4427</v>
      </c>
      <c r="Q8" s="136" t="s">
        <v>4428</v>
      </c>
      <c r="R8" s="136">
        <v>0</v>
      </c>
      <c r="S8" s="142">
        <f>(Tabla18[[#This Row],[Debe]]-Tabla18[[#This Row],[Haber]])*
SUMIF('0_Indice_CAC'!$A:$A,Tabla18[[#This Row],[Mes]],'0_Indice_CAC'!$D:$D)</f>
        <v>5258.93</v>
      </c>
      <c r="T8" s="142">
        <f>Tabla18[[#This Row],[Debe]]-Tabla18[[#This Row],[Haber]]</f>
        <v>5258.93</v>
      </c>
      <c r="U8" s="322"/>
      <c r="V8" s="323"/>
      <c r="W8" s="142">
        <f t="shared" si="0"/>
        <v>5258.93</v>
      </c>
      <c r="X8" s="142" t="b">
        <f>ISNUMBER(MATCH(A8,'3_Control_Ppto'!$A$4:$A$70,0))</f>
        <v>1</v>
      </c>
      <c r="Y8" s="136"/>
    </row>
    <row r="9" spans="1:25" ht="12" customHeight="1" x14ac:dyDescent="0.3">
      <c r="A9" s="140" t="s">
        <v>4119</v>
      </c>
      <c r="B9" s="140" t="s">
        <v>25</v>
      </c>
      <c r="C9" s="549">
        <f>+EOMONTH(Tabla18[[#This Row],[Fecha Asiento]],-1)+1</f>
        <v>45627</v>
      </c>
      <c r="D9" s="136">
        <v>53022</v>
      </c>
      <c r="E9" s="136" t="s">
        <v>4429</v>
      </c>
      <c r="F9" s="141">
        <v>45645</v>
      </c>
      <c r="G9" s="136">
        <v>538</v>
      </c>
      <c r="H9" s="136" t="s">
        <v>4440</v>
      </c>
      <c r="I9" s="136" t="s">
        <v>4438</v>
      </c>
      <c r="J9" s="136" t="s">
        <v>4439</v>
      </c>
      <c r="K9" s="136">
        <v>2100049507</v>
      </c>
      <c r="L9" s="138">
        <v>641.70000000000005</v>
      </c>
      <c r="M9" s="138">
        <v>0</v>
      </c>
      <c r="N9" s="136" t="s">
        <v>4425</v>
      </c>
      <c r="O9" s="136" t="s">
        <v>4426</v>
      </c>
      <c r="P9" s="136" t="s">
        <v>4427</v>
      </c>
      <c r="Q9" s="136" t="s">
        <v>4428</v>
      </c>
      <c r="R9" s="136">
        <v>0</v>
      </c>
      <c r="S9" s="142">
        <f>(Tabla18[[#This Row],[Debe]]-Tabla18[[#This Row],[Haber]])*
SUMIF('0_Indice_CAC'!$A:$A,Tabla18[[#This Row],[Mes]],'0_Indice_CAC'!$D:$D)</f>
        <v>641.70000000000005</v>
      </c>
      <c r="T9" s="142">
        <f>Tabla18[[#This Row],[Debe]]-Tabla18[[#This Row],[Haber]]</f>
        <v>641.70000000000005</v>
      </c>
      <c r="U9" s="322"/>
      <c r="V9" s="323"/>
      <c r="W9" s="142">
        <f t="shared" si="0"/>
        <v>641.70000000000005</v>
      </c>
      <c r="X9" s="142" t="b">
        <f>ISNUMBER(MATCH(A9,'3_Control_Ppto'!$A$4:$A$70,0))</f>
        <v>1</v>
      </c>
      <c r="Y9" s="136"/>
    </row>
    <row r="10" spans="1:25" ht="12" customHeight="1" x14ac:dyDescent="0.3">
      <c r="A10" s="140" t="s">
        <v>25</v>
      </c>
      <c r="B10" s="140" t="s">
        <v>25</v>
      </c>
      <c r="C10" s="549">
        <f>+EOMONTH(Tabla18[[#This Row],[Fecha Asiento]],-1)+1</f>
        <v>45627</v>
      </c>
      <c r="D10" s="136">
        <v>52206</v>
      </c>
      <c r="E10" s="136" t="s">
        <v>4441</v>
      </c>
      <c r="F10" s="141">
        <v>45646</v>
      </c>
      <c r="G10" s="136">
        <v>202</v>
      </c>
      <c r="H10" s="136" t="s">
        <v>4442</v>
      </c>
      <c r="I10" s="136" t="s">
        <v>4423</v>
      </c>
      <c r="J10" s="136" t="s">
        <v>4424</v>
      </c>
      <c r="K10" s="136">
        <v>5628</v>
      </c>
      <c r="L10" s="138">
        <v>110000</v>
      </c>
      <c r="M10" s="138">
        <v>0</v>
      </c>
      <c r="N10" s="136" t="s">
        <v>4425</v>
      </c>
      <c r="O10" s="136" t="s">
        <v>4426</v>
      </c>
      <c r="P10" s="136" t="s">
        <v>4427</v>
      </c>
      <c r="Q10" s="136" t="s">
        <v>4428</v>
      </c>
      <c r="R10" s="136">
        <v>0</v>
      </c>
      <c r="S10" s="142">
        <f>(Tabla18[[#This Row],[Debe]]-Tabla18[[#This Row],[Haber]])*
SUMIF('0_Indice_CAC'!$A:$A,Tabla18[[#This Row],[Mes]],'0_Indice_CAC'!$D:$D)</f>
        <v>110000</v>
      </c>
      <c r="T10" s="142">
        <f>Tabla18[[#This Row],[Debe]]-Tabla18[[#This Row],[Haber]]</f>
        <v>110000</v>
      </c>
      <c r="U10" s="322"/>
      <c r="V10" s="323"/>
      <c r="W10" s="142">
        <f t="shared" si="0"/>
        <v>110000</v>
      </c>
      <c r="X10" s="142" t="b">
        <f>ISNUMBER(MATCH(A10,'3_Control_Ppto'!$A$4:$A$70,0))</f>
        <v>0</v>
      </c>
      <c r="Y10" s="136"/>
    </row>
    <row r="11" spans="1:25" ht="12" customHeight="1" x14ac:dyDescent="0.3">
      <c r="A11" s="140" t="s">
        <v>25</v>
      </c>
      <c r="B11" s="140" t="s">
        <v>25</v>
      </c>
      <c r="C11" s="549">
        <f>+EOMONTH(Tabla18[[#This Row],[Fecha Asiento]],-1)+1</f>
        <v>45658</v>
      </c>
      <c r="D11" s="136">
        <v>52205</v>
      </c>
      <c r="E11" s="136" t="s">
        <v>4434</v>
      </c>
      <c r="F11" s="141">
        <v>45664</v>
      </c>
      <c r="G11" s="136">
        <v>253</v>
      </c>
      <c r="H11" s="136" t="s">
        <v>4443</v>
      </c>
      <c r="I11" s="136" t="s">
        <v>4423</v>
      </c>
      <c r="J11" s="136" t="s">
        <v>4424</v>
      </c>
      <c r="K11" s="136">
        <v>5680</v>
      </c>
      <c r="L11" s="138">
        <v>1600900</v>
      </c>
      <c r="M11" s="138">
        <v>0</v>
      </c>
      <c r="N11" s="136" t="s">
        <v>4425</v>
      </c>
      <c r="O11" s="136" t="s">
        <v>4426</v>
      </c>
      <c r="P11" s="136" t="s">
        <v>4427</v>
      </c>
      <c r="Q11" s="136" t="s">
        <v>4428</v>
      </c>
      <c r="R11" s="136">
        <v>0</v>
      </c>
      <c r="S11" s="142">
        <f>(Tabla18[[#This Row],[Debe]]-Tabla18[[#This Row],[Haber]])*
SUMIF('0_Indice_CAC'!$A:$A,Tabla18[[#This Row],[Mes]],'0_Indice_CAC'!$D:$D)</f>
        <v>1576659.3400673401</v>
      </c>
      <c r="T11" s="142">
        <f>Tabla18[[#This Row],[Debe]]-Tabla18[[#This Row],[Haber]]</f>
        <v>1600900</v>
      </c>
      <c r="U11" s="322"/>
      <c r="V11" s="323"/>
      <c r="W11" s="142">
        <f t="shared" si="0"/>
        <v>1600900</v>
      </c>
      <c r="X11" s="142" t="b">
        <f>ISNUMBER(MATCH(A11,'3_Control_Ppto'!$A$4:$A$70,0))</f>
        <v>0</v>
      </c>
      <c r="Y11" s="136"/>
    </row>
    <row r="12" spans="1:25" ht="12" customHeight="1" x14ac:dyDescent="0.3">
      <c r="A12" s="140" t="s">
        <v>25</v>
      </c>
      <c r="B12" s="140" t="s">
        <v>25</v>
      </c>
      <c r="C12" s="549">
        <f>+EOMONTH(Tabla18[[#This Row],[Fecha Asiento]],-1)+1</f>
        <v>45658</v>
      </c>
      <c r="D12" s="136">
        <v>52205</v>
      </c>
      <c r="E12" s="136" t="s">
        <v>4434</v>
      </c>
      <c r="F12" s="141">
        <v>45664</v>
      </c>
      <c r="G12" s="136">
        <v>253</v>
      </c>
      <c r="H12" s="136" t="s">
        <v>4435</v>
      </c>
      <c r="I12" s="136" t="s">
        <v>4423</v>
      </c>
      <c r="J12" s="136" t="s">
        <v>4424</v>
      </c>
      <c r="K12" s="136">
        <v>5680</v>
      </c>
      <c r="L12" s="138">
        <v>552500</v>
      </c>
      <c r="M12" s="138">
        <v>0</v>
      </c>
      <c r="N12" s="136" t="s">
        <v>4425</v>
      </c>
      <c r="O12" s="136" t="s">
        <v>4426</v>
      </c>
      <c r="P12" s="136" t="s">
        <v>4427</v>
      </c>
      <c r="Q12" s="136" t="s">
        <v>4428</v>
      </c>
      <c r="R12" s="136">
        <v>0</v>
      </c>
      <c r="S12" s="142">
        <f>(Tabla18[[#This Row],[Debe]]-Tabla18[[#This Row],[Haber]])*
SUMIF('0_Indice_CAC'!$A:$A,Tabla18[[#This Row],[Mes]],'0_Indice_CAC'!$D:$D)</f>
        <v>544134.10293410299</v>
      </c>
      <c r="T12" s="142">
        <f>Tabla18[[#This Row],[Debe]]-Tabla18[[#This Row],[Haber]]</f>
        <v>552500</v>
      </c>
      <c r="U12" s="322"/>
      <c r="V12" s="323"/>
      <c r="W12" s="142">
        <f t="shared" si="0"/>
        <v>552500</v>
      </c>
      <c r="X12" s="142" t="b">
        <f>ISNUMBER(MATCH(A12,'3_Control_Ppto'!$A$4:$A$70,0))</f>
        <v>0</v>
      </c>
      <c r="Y12" s="136"/>
    </row>
    <row r="13" spans="1:25" ht="12" customHeight="1" x14ac:dyDescent="0.3">
      <c r="A13" s="140" t="s">
        <v>4317</v>
      </c>
      <c r="B13" s="140" t="s">
        <v>56</v>
      </c>
      <c r="C13" s="549">
        <f>+EOMONTH(Tabla18[[#This Row],[Fecha Asiento]],-1)+1</f>
        <v>45658</v>
      </c>
      <c r="D13" s="136">
        <v>52302</v>
      </c>
      <c r="E13" s="136" t="s">
        <v>4444</v>
      </c>
      <c r="F13" s="141">
        <v>45673</v>
      </c>
      <c r="G13" s="136">
        <v>322</v>
      </c>
      <c r="H13" s="136" t="s">
        <v>4445</v>
      </c>
      <c r="I13" s="136" t="s">
        <v>4423</v>
      </c>
      <c r="J13" s="136" t="s">
        <v>4424</v>
      </c>
      <c r="K13" s="136">
        <v>5754</v>
      </c>
      <c r="L13" s="138">
        <v>320000</v>
      </c>
      <c r="M13" s="138">
        <v>0</v>
      </c>
      <c r="N13" s="136" t="s">
        <v>4425</v>
      </c>
      <c r="O13" s="136" t="s">
        <v>4426</v>
      </c>
      <c r="P13" s="136" t="s">
        <v>4427</v>
      </c>
      <c r="Q13" s="136" t="s">
        <v>4428</v>
      </c>
      <c r="R13" s="136">
        <v>0</v>
      </c>
      <c r="S13" s="142">
        <f>(Tabla18[[#This Row],[Debe]]-Tabla18[[#This Row],[Haber]])*
SUMIF('0_Indice_CAC'!$A:$A,Tabla18[[#This Row],[Mes]],'0_Indice_CAC'!$D:$D)</f>
        <v>315154.59355459356</v>
      </c>
      <c r="T13" s="142">
        <f>Tabla18[[#This Row],[Debe]]-Tabla18[[#This Row],[Haber]]</f>
        <v>320000</v>
      </c>
      <c r="U13" s="322"/>
      <c r="V13" s="323"/>
      <c r="W13" s="142">
        <f t="shared" si="0"/>
        <v>320000</v>
      </c>
      <c r="X13" s="142" t="b">
        <f>ISNUMBER(MATCH(A13,'3_Control_Ppto'!$A$4:$A$70,0))</f>
        <v>1</v>
      </c>
      <c r="Y13" s="136"/>
    </row>
    <row r="14" spans="1:25" ht="12" customHeight="1" x14ac:dyDescent="0.3">
      <c r="A14" s="140" t="s">
        <v>106</v>
      </c>
      <c r="B14" s="140" t="s">
        <v>25</v>
      </c>
      <c r="C14" s="549">
        <f>+EOMONTH(Tabla18[[#This Row],[Fecha Asiento]],-1)+1</f>
        <v>45658</v>
      </c>
      <c r="D14" s="136">
        <v>53009</v>
      </c>
      <c r="E14" s="136" t="s">
        <v>4446</v>
      </c>
      <c r="F14" s="141">
        <v>45673</v>
      </c>
      <c r="G14" s="136">
        <v>321</v>
      </c>
      <c r="H14" s="136" t="s">
        <v>4447</v>
      </c>
      <c r="I14" s="136" t="s">
        <v>4423</v>
      </c>
      <c r="J14" s="136" t="s">
        <v>4424</v>
      </c>
      <c r="K14" s="136">
        <v>5753</v>
      </c>
      <c r="L14" s="138">
        <v>30100</v>
      </c>
      <c r="M14" s="138">
        <v>0</v>
      </c>
      <c r="N14" s="136" t="s">
        <v>4425</v>
      </c>
      <c r="O14" s="136" t="s">
        <v>4426</v>
      </c>
      <c r="P14" s="136" t="s">
        <v>4427</v>
      </c>
      <c r="Q14" s="136" t="s">
        <v>4428</v>
      </c>
      <c r="R14" s="136">
        <v>0</v>
      </c>
      <c r="S14" s="142">
        <f>(Tabla18[[#This Row],[Debe]]-Tabla18[[#This Row],[Haber]])*
SUMIF('0_Indice_CAC'!$A:$A,Tabla18[[#This Row],[Mes]],'0_Indice_CAC'!$D:$D)</f>
        <v>29644.228956228955</v>
      </c>
      <c r="T14" s="142">
        <f>Tabla18[[#This Row],[Debe]]-Tabla18[[#This Row],[Haber]]</f>
        <v>30100</v>
      </c>
      <c r="U14" s="322"/>
      <c r="V14" s="323"/>
      <c r="W14" s="142">
        <f t="shared" si="0"/>
        <v>30100</v>
      </c>
      <c r="X14" s="142" t="b">
        <f>ISNUMBER(MATCH(A14,'3_Control_Ppto'!$A$4:$A$70,0))</f>
        <v>1</v>
      </c>
      <c r="Y14" s="136"/>
    </row>
    <row r="15" spans="1:25" ht="12" customHeight="1" x14ac:dyDescent="0.3">
      <c r="A15" s="140" t="s">
        <v>4119</v>
      </c>
      <c r="B15" s="140" t="s">
        <v>25</v>
      </c>
      <c r="C15" s="549">
        <f>+EOMONTH(Tabla18[[#This Row],[Fecha Asiento]],-1)+1</f>
        <v>45658</v>
      </c>
      <c r="D15" s="136">
        <v>53022</v>
      </c>
      <c r="E15" s="136" t="s">
        <v>4429</v>
      </c>
      <c r="F15" s="141">
        <v>45674</v>
      </c>
      <c r="G15" s="136">
        <v>983</v>
      </c>
      <c r="H15" s="136" t="s">
        <v>4448</v>
      </c>
      <c r="I15" s="136" t="s">
        <v>4423</v>
      </c>
      <c r="J15" s="136" t="s">
        <v>4431</v>
      </c>
      <c r="K15" s="136">
        <v>3544</v>
      </c>
      <c r="L15" s="138">
        <v>48000</v>
      </c>
      <c r="M15" s="138">
        <v>0</v>
      </c>
      <c r="N15" s="136" t="s">
        <v>4425</v>
      </c>
      <c r="O15" s="136" t="s">
        <v>4426</v>
      </c>
      <c r="P15" s="136" t="s">
        <v>4427</v>
      </c>
      <c r="Q15" s="136" t="s">
        <v>4428</v>
      </c>
      <c r="R15" s="136">
        <v>0</v>
      </c>
      <c r="S15" s="142">
        <f>(Tabla18[[#This Row],[Debe]]-Tabla18[[#This Row],[Haber]])*
SUMIF('0_Indice_CAC'!$A:$A,Tabla18[[#This Row],[Mes]],'0_Indice_CAC'!$D:$D)</f>
        <v>47273.189033189032</v>
      </c>
      <c r="T15" s="142">
        <f>Tabla18[[#This Row],[Debe]]-Tabla18[[#This Row],[Haber]]</f>
        <v>48000</v>
      </c>
      <c r="U15" s="322"/>
      <c r="V15" s="323"/>
      <c r="W15" s="142">
        <f t="shared" si="0"/>
        <v>48000</v>
      </c>
      <c r="X15" s="142" t="b">
        <f>ISNUMBER(MATCH(A15,'3_Control_Ppto'!$A$4:$A$70,0))</f>
        <v>1</v>
      </c>
      <c r="Y15" s="136"/>
    </row>
    <row r="16" spans="1:25" ht="12" customHeight="1" x14ac:dyDescent="0.3">
      <c r="A16" s="140" t="s">
        <v>25</v>
      </c>
      <c r="B16" s="140" t="s">
        <v>25</v>
      </c>
      <c r="C16" s="549">
        <f>+EOMONTH(Tabla18[[#This Row],[Fecha Asiento]],-1)+1</f>
        <v>45658</v>
      </c>
      <c r="D16" s="136">
        <v>52002</v>
      </c>
      <c r="E16" s="136" t="s">
        <v>4449</v>
      </c>
      <c r="F16" s="141">
        <v>45679</v>
      </c>
      <c r="G16" s="136">
        <v>340</v>
      </c>
      <c r="H16" s="136" t="s">
        <v>4450</v>
      </c>
      <c r="I16" s="136" t="s">
        <v>4423</v>
      </c>
      <c r="J16" s="136" t="s">
        <v>4424</v>
      </c>
      <c r="K16" s="136">
        <v>5772</v>
      </c>
      <c r="L16" s="138">
        <v>64900</v>
      </c>
      <c r="M16" s="138">
        <v>0</v>
      </c>
      <c r="N16" s="136" t="s">
        <v>4425</v>
      </c>
      <c r="O16" s="136" t="s">
        <v>4426</v>
      </c>
      <c r="P16" s="136" t="s">
        <v>4427</v>
      </c>
      <c r="Q16" s="136" t="s">
        <v>4428</v>
      </c>
      <c r="R16" s="136">
        <v>0</v>
      </c>
      <c r="S16" s="142">
        <f>(Tabla18[[#This Row],[Debe]]-Tabla18[[#This Row],[Haber]])*
SUMIF('0_Indice_CAC'!$A:$A,Tabla18[[#This Row],[Mes]],'0_Indice_CAC'!$D:$D)</f>
        <v>63917.291005291008</v>
      </c>
      <c r="T16" s="142">
        <f>Tabla18[[#This Row],[Debe]]-Tabla18[[#This Row],[Haber]]</f>
        <v>64900</v>
      </c>
      <c r="U16" s="322"/>
      <c r="V16" s="323"/>
      <c r="W16" s="142">
        <f t="shared" si="0"/>
        <v>64900</v>
      </c>
      <c r="X16" s="142" t="b">
        <f>ISNUMBER(MATCH(A16,'3_Control_Ppto'!$A$4:$A$70,0))</f>
        <v>0</v>
      </c>
      <c r="Y16" s="136"/>
    </row>
    <row r="17" spans="1:25" ht="12" customHeight="1" x14ac:dyDescent="0.3">
      <c r="A17" s="140" t="s">
        <v>25</v>
      </c>
      <c r="B17" s="140" t="s">
        <v>25</v>
      </c>
      <c r="C17" s="549">
        <f>+EOMONTH(Tabla18[[#This Row],[Fecha Asiento]],-1)+1</f>
        <v>45658</v>
      </c>
      <c r="D17" s="136">
        <v>52002</v>
      </c>
      <c r="E17" s="136" t="s">
        <v>4449</v>
      </c>
      <c r="F17" s="141">
        <v>45680</v>
      </c>
      <c r="G17" s="136">
        <v>274</v>
      </c>
      <c r="H17" s="136" t="s">
        <v>4451</v>
      </c>
      <c r="I17" s="136" t="s">
        <v>4423</v>
      </c>
      <c r="J17" s="136" t="s">
        <v>4424</v>
      </c>
      <c r="K17" s="136">
        <v>5702</v>
      </c>
      <c r="L17" s="138">
        <v>64897</v>
      </c>
      <c r="M17" s="138">
        <v>0</v>
      </c>
      <c r="N17" s="136" t="s">
        <v>4425</v>
      </c>
      <c r="O17" s="136" t="s">
        <v>4426</v>
      </c>
      <c r="P17" s="136" t="s">
        <v>4427</v>
      </c>
      <c r="Q17" s="136" t="s">
        <v>4428</v>
      </c>
      <c r="R17" s="136">
        <v>0</v>
      </c>
      <c r="S17" s="142">
        <f>(Tabla18[[#This Row],[Debe]]-Tabla18[[#This Row],[Haber]])*
SUMIF('0_Indice_CAC'!$A:$A,Tabla18[[#This Row],[Mes]],'0_Indice_CAC'!$D:$D)</f>
        <v>63914.336430976429</v>
      </c>
      <c r="T17" s="142">
        <f>Tabla18[[#This Row],[Debe]]-Tabla18[[#This Row],[Haber]]</f>
        <v>64897</v>
      </c>
      <c r="U17" s="322"/>
      <c r="V17" s="323"/>
      <c r="W17" s="142">
        <f t="shared" si="0"/>
        <v>64897</v>
      </c>
      <c r="X17" s="142" t="b">
        <f>ISNUMBER(MATCH(A17,'3_Control_Ppto'!$A$4:$A$70,0))</f>
        <v>0</v>
      </c>
      <c r="Y17" s="136"/>
    </row>
    <row r="18" spans="1:25" ht="12" customHeight="1" x14ac:dyDescent="0.3">
      <c r="A18" s="140" t="s">
        <v>4310</v>
      </c>
      <c r="B18" s="140" t="s">
        <v>56</v>
      </c>
      <c r="C18" s="549">
        <f>+EOMONTH(Tabla18[[#This Row],[Fecha Asiento]],-1)+1</f>
        <v>45689</v>
      </c>
      <c r="D18" s="136">
        <v>52204</v>
      </c>
      <c r="E18" s="136" t="s">
        <v>4452</v>
      </c>
      <c r="F18" s="141">
        <v>45691</v>
      </c>
      <c r="G18" s="136">
        <v>1089</v>
      </c>
      <c r="H18" s="136" t="s">
        <v>4453</v>
      </c>
      <c r="I18" s="136" t="s">
        <v>4454</v>
      </c>
      <c r="J18" s="136" t="s">
        <v>4455</v>
      </c>
      <c r="K18" s="136">
        <v>300001153</v>
      </c>
      <c r="L18" s="138">
        <v>240000</v>
      </c>
      <c r="M18" s="138">
        <v>0</v>
      </c>
      <c r="N18" s="136" t="s">
        <v>4425</v>
      </c>
      <c r="O18" s="136" t="s">
        <v>4426</v>
      </c>
      <c r="P18" s="136" t="s">
        <v>4427</v>
      </c>
      <c r="Q18" s="136" t="s">
        <v>4428</v>
      </c>
      <c r="R18" s="136">
        <v>0</v>
      </c>
      <c r="S18" s="142">
        <f>(Tabla18[[#This Row],[Debe]]-Tabla18[[#This Row],[Haber]])*
SUMIF('0_Indice_CAC'!$A:$A,Tabla18[[#This Row],[Mes]],'0_Indice_CAC'!$D:$D)</f>
        <v>232490.72695617066</v>
      </c>
      <c r="T18" s="142">
        <f>Tabla18[[#This Row],[Debe]]-Tabla18[[#This Row],[Haber]]</f>
        <v>240000</v>
      </c>
      <c r="U18" s="322"/>
      <c r="V18" s="323"/>
      <c r="W18" s="142">
        <f t="shared" si="0"/>
        <v>240000</v>
      </c>
      <c r="X18" s="142" t="b">
        <f>ISNUMBER(MATCH(A18,'3_Control_Ppto'!$A$4:$A$70,0))</f>
        <v>1</v>
      </c>
      <c r="Y18" s="136"/>
    </row>
    <row r="19" spans="1:25" ht="12" customHeight="1" x14ac:dyDescent="0.3">
      <c r="A19" s="140" t="s">
        <v>4119</v>
      </c>
      <c r="B19" s="140" t="s">
        <v>25</v>
      </c>
      <c r="C19" s="549">
        <f>+EOMONTH(Tabla18[[#This Row],[Fecha Asiento]],-1)+1</f>
        <v>45689</v>
      </c>
      <c r="D19" s="136">
        <v>53022</v>
      </c>
      <c r="E19" s="136" t="s">
        <v>4429</v>
      </c>
      <c r="F19" s="141">
        <v>45694</v>
      </c>
      <c r="G19" s="136">
        <v>5720</v>
      </c>
      <c r="H19" s="136" t="s">
        <v>4456</v>
      </c>
      <c r="I19" s="136" t="s">
        <v>4457</v>
      </c>
      <c r="J19" s="136" t="s">
        <v>4455</v>
      </c>
      <c r="K19" s="136">
        <v>100019779</v>
      </c>
      <c r="L19" s="138">
        <v>544061.54</v>
      </c>
      <c r="M19" s="138">
        <v>0</v>
      </c>
      <c r="N19" s="136" t="s">
        <v>4425</v>
      </c>
      <c r="O19" s="136" t="s">
        <v>4426</v>
      </c>
      <c r="P19" s="136" t="s">
        <v>4427</v>
      </c>
      <c r="Q19" s="136" t="s">
        <v>4428</v>
      </c>
      <c r="R19" s="136">
        <v>0</v>
      </c>
      <c r="S19" s="142">
        <f>(Tabla18[[#This Row],[Debe]]-Tabla18[[#This Row],[Haber]])*
SUMIF('0_Indice_CAC'!$A:$A,Tabla18[[#This Row],[Mes]],'0_Indice_CAC'!$D:$D)</f>
        <v>527038.59559789055</v>
      </c>
      <c r="T19" s="142">
        <f>Tabla18[[#This Row],[Debe]]-Tabla18[[#This Row],[Haber]]</f>
        <v>544061.54</v>
      </c>
      <c r="U19" s="322"/>
      <c r="V19" s="323"/>
      <c r="W19" s="142">
        <f t="shared" si="0"/>
        <v>544061.54</v>
      </c>
      <c r="X19" s="142" t="b">
        <f>ISNUMBER(MATCH(A19,'3_Control_Ppto'!$A$4:$A$70,0))</f>
        <v>1</v>
      </c>
      <c r="Y19" s="136"/>
    </row>
    <row r="20" spans="1:25" ht="12" customHeight="1" x14ac:dyDescent="0.3">
      <c r="A20" s="140" t="s">
        <v>4119</v>
      </c>
      <c r="B20" s="140" t="s">
        <v>25</v>
      </c>
      <c r="C20" s="549">
        <f>+EOMONTH(Tabla18[[#This Row],[Fecha Asiento]],-1)+1</f>
        <v>45689</v>
      </c>
      <c r="D20" s="136">
        <v>53022</v>
      </c>
      <c r="E20" s="136" t="s">
        <v>4429</v>
      </c>
      <c r="F20" s="141">
        <v>45694</v>
      </c>
      <c r="G20" s="136">
        <v>5720</v>
      </c>
      <c r="H20" s="136" t="s">
        <v>4456</v>
      </c>
      <c r="I20" s="136" t="s">
        <v>4457</v>
      </c>
      <c r="J20" s="136" t="s">
        <v>4455</v>
      </c>
      <c r="K20" s="136">
        <v>100019779</v>
      </c>
      <c r="L20" s="138">
        <v>5440.62</v>
      </c>
      <c r="M20" s="138">
        <v>0</v>
      </c>
      <c r="N20" s="136" t="s">
        <v>4425</v>
      </c>
      <c r="O20" s="136" t="s">
        <v>4426</v>
      </c>
      <c r="P20" s="136" t="s">
        <v>4427</v>
      </c>
      <c r="Q20" s="136" t="s">
        <v>4428</v>
      </c>
      <c r="R20" s="136">
        <v>0</v>
      </c>
      <c r="S20" s="142">
        <f>(Tabla18[[#This Row],[Debe]]-Tabla18[[#This Row],[Haber]])*
SUMIF('0_Indice_CAC'!$A:$A,Tabla18[[#This Row],[Mes]],'0_Indice_CAC'!$D:$D)</f>
        <v>5270.3904120511716</v>
      </c>
      <c r="T20" s="142">
        <f>Tabla18[[#This Row],[Debe]]-Tabla18[[#This Row],[Haber]]</f>
        <v>5440.62</v>
      </c>
      <c r="U20" s="322"/>
      <c r="V20" s="323"/>
      <c r="W20" s="142">
        <f t="shared" si="0"/>
        <v>5440.62</v>
      </c>
      <c r="X20" s="142" t="b">
        <f>ISNUMBER(MATCH(A20,'3_Control_Ppto'!$A$4:$A$70,0))</f>
        <v>1</v>
      </c>
      <c r="Y20" s="136"/>
    </row>
    <row r="21" spans="1:25" ht="12" customHeight="1" x14ac:dyDescent="0.3">
      <c r="A21" s="140" t="s">
        <v>4119</v>
      </c>
      <c r="B21" s="140" t="s">
        <v>25</v>
      </c>
      <c r="C21" s="549">
        <f>+EOMONTH(Tabla18[[#This Row],[Fecha Asiento]],-1)+1</f>
        <v>45689</v>
      </c>
      <c r="D21" s="136">
        <v>53022</v>
      </c>
      <c r="E21" s="136" t="s">
        <v>4429</v>
      </c>
      <c r="F21" s="141">
        <v>45694</v>
      </c>
      <c r="G21" s="136">
        <v>5720</v>
      </c>
      <c r="H21" s="136" t="s">
        <v>4456</v>
      </c>
      <c r="I21" s="136" t="s">
        <v>4457</v>
      </c>
      <c r="J21" s="136" t="s">
        <v>4455</v>
      </c>
      <c r="K21" s="136">
        <v>100019779</v>
      </c>
      <c r="L21" s="138">
        <v>6529.09</v>
      </c>
      <c r="M21" s="138">
        <v>0</v>
      </c>
      <c r="N21" s="136" t="s">
        <v>4425</v>
      </c>
      <c r="O21" s="136" t="s">
        <v>4426</v>
      </c>
      <c r="P21" s="136" t="s">
        <v>4427</v>
      </c>
      <c r="Q21" s="136" t="s">
        <v>4428</v>
      </c>
      <c r="R21" s="136">
        <v>0</v>
      </c>
      <c r="S21" s="142">
        <f>(Tabla18[[#This Row],[Debe]]-Tabla18[[#This Row],[Haber]])*
SUMIF('0_Indice_CAC'!$A:$A,Tabla18[[#This Row],[Mes]],'0_Indice_CAC'!$D:$D)</f>
        <v>6324.8036685927682</v>
      </c>
      <c r="T21" s="142">
        <f>Tabla18[[#This Row],[Debe]]-Tabla18[[#This Row],[Haber]]</f>
        <v>6529.09</v>
      </c>
      <c r="U21" s="322"/>
      <c r="V21" s="323"/>
      <c r="W21" s="142">
        <f t="shared" si="0"/>
        <v>6529.09</v>
      </c>
      <c r="X21" s="142" t="b">
        <f>ISNUMBER(MATCH(A21,'3_Control_Ppto'!$A$4:$A$70,0))</f>
        <v>1</v>
      </c>
      <c r="Y21" s="136"/>
    </row>
    <row r="22" spans="1:25" ht="12" customHeight="1" x14ac:dyDescent="0.3">
      <c r="A22" s="140" t="s">
        <v>4119</v>
      </c>
      <c r="B22" s="140" t="s">
        <v>25</v>
      </c>
      <c r="C22" s="549">
        <f>+EOMONTH(Tabla18[[#This Row],[Fecha Asiento]],-1)+1</f>
        <v>45689</v>
      </c>
      <c r="D22" s="136">
        <v>53022</v>
      </c>
      <c r="E22" s="136" t="s">
        <v>4429</v>
      </c>
      <c r="F22" s="141">
        <v>45694</v>
      </c>
      <c r="G22" s="136">
        <v>5720</v>
      </c>
      <c r="H22" s="136" t="s">
        <v>4456</v>
      </c>
      <c r="I22" s="136" t="s">
        <v>4457</v>
      </c>
      <c r="J22" s="136" t="s">
        <v>4455</v>
      </c>
      <c r="K22" s="136">
        <v>100019779</v>
      </c>
      <c r="L22" s="138">
        <v>15951.1</v>
      </c>
      <c r="M22" s="138">
        <v>0</v>
      </c>
      <c r="N22" s="136" t="s">
        <v>4425</v>
      </c>
      <c r="O22" s="136" t="s">
        <v>4426</v>
      </c>
      <c r="P22" s="136" t="s">
        <v>4427</v>
      </c>
      <c r="Q22" s="136" t="s">
        <v>4428</v>
      </c>
      <c r="R22" s="136">
        <v>0</v>
      </c>
      <c r="S22" s="142">
        <f>(Tabla18[[#This Row],[Debe]]-Tabla18[[#This Row],[Haber]])*
SUMIF('0_Indice_CAC'!$A:$A,Tabla18[[#This Row],[Mes]],'0_Indice_CAC'!$D:$D)</f>
        <v>15452.011811460725</v>
      </c>
      <c r="T22" s="142">
        <f>Tabla18[[#This Row],[Debe]]-Tabla18[[#This Row],[Haber]]</f>
        <v>15951.1</v>
      </c>
      <c r="U22" s="322"/>
      <c r="V22" s="323"/>
      <c r="W22" s="142">
        <f t="shared" si="0"/>
        <v>15951.1</v>
      </c>
      <c r="X22" s="142" t="b">
        <f>ISNUMBER(MATCH(A22,'3_Control_Ppto'!$A$4:$A$70,0))</f>
        <v>1</v>
      </c>
      <c r="Y22" s="136"/>
    </row>
    <row r="23" spans="1:25" ht="12" customHeight="1" x14ac:dyDescent="0.3">
      <c r="A23" s="140" t="s">
        <v>4119</v>
      </c>
      <c r="B23" s="140" t="s">
        <v>25</v>
      </c>
      <c r="C23" s="549">
        <f>+EOMONTH(Tabla18[[#This Row],[Fecha Asiento]],-1)+1</f>
        <v>45689</v>
      </c>
      <c r="D23" s="136">
        <v>53022</v>
      </c>
      <c r="E23" s="136" t="s">
        <v>4429</v>
      </c>
      <c r="F23" s="141">
        <v>45694</v>
      </c>
      <c r="G23" s="136">
        <v>5720</v>
      </c>
      <c r="H23" s="136" t="s">
        <v>4456</v>
      </c>
      <c r="I23" s="136" t="s">
        <v>4457</v>
      </c>
      <c r="J23" s="136" t="s">
        <v>4455</v>
      </c>
      <c r="K23" s="136">
        <v>100019779</v>
      </c>
      <c r="L23" s="138">
        <v>377415</v>
      </c>
      <c r="M23" s="138">
        <v>0</v>
      </c>
      <c r="N23" s="136" t="s">
        <v>4425</v>
      </c>
      <c r="O23" s="136" t="s">
        <v>4426</v>
      </c>
      <c r="P23" s="136" t="s">
        <v>4427</v>
      </c>
      <c r="Q23" s="136" t="s">
        <v>4428</v>
      </c>
      <c r="R23" s="136">
        <v>0</v>
      </c>
      <c r="S23" s="142">
        <f>(Tabla18[[#This Row],[Debe]]-Tabla18[[#This Row],[Haber]])*
SUMIF('0_Indice_CAC'!$A:$A,Tabla18[[#This Row],[Mes]],'0_Indice_CAC'!$D:$D)</f>
        <v>365606.19880901312</v>
      </c>
      <c r="T23" s="142">
        <f>Tabla18[[#This Row],[Debe]]-Tabla18[[#This Row],[Haber]]</f>
        <v>377415</v>
      </c>
      <c r="U23" s="322"/>
      <c r="V23" s="323"/>
      <c r="W23" s="142">
        <f t="shared" si="0"/>
        <v>377415</v>
      </c>
      <c r="X23" s="142" t="b">
        <f>ISNUMBER(MATCH(A23,'3_Control_Ppto'!$A$4:$A$70,0))</f>
        <v>1</v>
      </c>
      <c r="Y23" s="136"/>
    </row>
    <row r="24" spans="1:25" ht="12" customHeight="1" x14ac:dyDescent="0.3">
      <c r="A24" s="140" t="s">
        <v>4119</v>
      </c>
      <c r="B24" s="140" t="s">
        <v>56</v>
      </c>
      <c r="C24" s="549">
        <f>+EOMONTH(Tabla18[[#This Row],[Fecha Asiento]],-1)+1</f>
        <v>45689</v>
      </c>
      <c r="D24" s="136">
        <v>53022</v>
      </c>
      <c r="E24" s="136" t="s">
        <v>4429</v>
      </c>
      <c r="F24" s="141">
        <v>45701</v>
      </c>
      <c r="G24" s="136">
        <v>1276</v>
      </c>
      <c r="H24" s="136" t="s">
        <v>4458</v>
      </c>
      <c r="I24" s="136" t="s">
        <v>4459</v>
      </c>
      <c r="J24" s="136" t="s">
        <v>4455</v>
      </c>
      <c r="K24" s="136">
        <v>300021956</v>
      </c>
      <c r="L24" s="138">
        <v>80000</v>
      </c>
      <c r="M24" s="138">
        <v>0</v>
      </c>
      <c r="N24" s="136" t="s">
        <v>4425</v>
      </c>
      <c r="O24" s="136" t="s">
        <v>4426</v>
      </c>
      <c r="P24" s="136" t="s">
        <v>4427</v>
      </c>
      <c r="Q24" s="136" t="s">
        <v>4428</v>
      </c>
      <c r="R24" s="136">
        <v>0</v>
      </c>
      <c r="S24" s="142">
        <f>(Tabla18[[#This Row],[Debe]]-Tabla18[[#This Row],[Haber]])*
SUMIF('0_Indice_CAC'!$A:$A,Tabla18[[#This Row],[Mes]],'0_Indice_CAC'!$D:$D)</f>
        <v>77496.908985390226</v>
      </c>
      <c r="T24" s="142">
        <f>Tabla18[[#This Row],[Debe]]-Tabla18[[#This Row],[Haber]]</f>
        <v>80000</v>
      </c>
      <c r="U24" s="322"/>
      <c r="V24" s="323"/>
      <c r="W24" s="142">
        <f t="shared" si="0"/>
        <v>80000</v>
      </c>
      <c r="X24" s="142" t="b">
        <f>ISNUMBER(MATCH(A24,'3_Control_Ppto'!$A$4:$A$70,0))</f>
        <v>1</v>
      </c>
      <c r="Y24" s="136"/>
    </row>
    <row r="25" spans="1:25" ht="12" customHeight="1" x14ac:dyDescent="0.3">
      <c r="A25" s="140" t="s">
        <v>4119</v>
      </c>
      <c r="B25" s="140" t="s">
        <v>56</v>
      </c>
      <c r="C25" s="549">
        <f>+EOMONTH(Tabla18[[#This Row],[Fecha Asiento]],-1)+1</f>
        <v>45689</v>
      </c>
      <c r="D25" s="136">
        <v>53022</v>
      </c>
      <c r="E25" s="136" t="s">
        <v>4429</v>
      </c>
      <c r="F25" s="141">
        <v>45701</v>
      </c>
      <c r="G25" s="136">
        <v>1276</v>
      </c>
      <c r="H25" s="136" t="s">
        <v>4460</v>
      </c>
      <c r="I25" s="136" t="s">
        <v>4459</v>
      </c>
      <c r="J25" s="136" t="s">
        <v>4455</v>
      </c>
      <c r="K25" s="136">
        <v>300021956</v>
      </c>
      <c r="L25" s="138">
        <v>10000</v>
      </c>
      <c r="M25" s="138">
        <v>0</v>
      </c>
      <c r="N25" s="136" t="s">
        <v>4425</v>
      </c>
      <c r="O25" s="136" t="s">
        <v>4426</v>
      </c>
      <c r="P25" s="136" t="s">
        <v>4427</v>
      </c>
      <c r="Q25" s="136" t="s">
        <v>4428</v>
      </c>
      <c r="R25" s="136">
        <v>0</v>
      </c>
      <c r="S25" s="142">
        <f>(Tabla18[[#This Row],[Debe]]-Tabla18[[#This Row],[Haber]])*
SUMIF('0_Indice_CAC'!$A:$A,Tabla18[[#This Row],[Mes]],'0_Indice_CAC'!$D:$D)</f>
        <v>9687.1136231737783</v>
      </c>
      <c r="T25" s="142">
        <f>Tabla18[[#This Row],[Debe]]-Tabla18[[#This Row],[Haber]]</f>
        <v>10000</v>
      </c>
      <c r="U25" s="322"/>
      <c r="V25" s="323"/>
      <c r="W25" s="142">
        <f t="shared" si="0"/>
        <v>10000</v>
      </c>
      <c r="X25" s="142" t="b">
        <f>ISNUMBER(MATCH(A25,'3_Control_Ppto'!$A$4:$A$70,0))</f>
        <v>1</v>
      </c>
      <c r="Y25" s="136"/>
    </row>
    <row r="26" spans="1:25" ht="12" customHeight="1" x14ac:dyDescent="0.3">
      <c r="A26" s="140" t="s">
        <v>3219</v>
      </c>
      <c r="B26" s="140" t="s">
        <v>4090</v>
      </c>
      <c r="C26" s="549">
        <f>+EOMONTH(Tabla18[[#This Row],[Fecha Asiento]],-1)+1</f>
        <v>45689</v>
      </c>
      <c r="D26" s="136">
        <v>53019</v>
      </c>
      <c r="E26" s="136" t="s">
        <v>4461</v>
      </c>
      <c r="F26" s="141">
        <v>45702</v>
      </c>
      <c r="G26" s="136">
        <v>1735</v>
      </c>
      <c r="H26" s="136" t="s">
        <v>4462</v>
      </c>
      <c r="I26" s="136" t="s">
        <v>4463</v>
      </c>
      <c r="J26" s="136" t="s">
        <v>4455</v>
      </c>
      <c r="K26" s="136">
        <v>300004447</v>
      </c>
      <c r="L26" s="138">
        <v>1172127.44</v>
      </c>
      <c r="M26" s="138">
        <v>0</v>
      </c>
      <c r="N26" s="136" t="s">
        <v>4425</v>
      </c>
      <c r="O26" s="136" t="s">
        <v>4426</v>
      </c>
      <c r="P26" s="136" t="s">
        <v>4427</v>
      </c>
      <c r="Q26" s="136" t="s">
        <v>4428</v>
      </c>
      <c r="R26" s="136">
        <v>0</v>
      </c>
      <c r="S26" s="142">
        <f>(Tabla18[[#This Row],[Debe]]-Tabla18[[#This Row],[Haber]])*
SUMIF('0_Indice_CAC'!$A:$A,Tabla18[[#This Row],[Mes]],'0_Indice_CAC'!$D:$D)</f>
        <v>1135453.1692119804</v>
      </c>
      <c r="T26" s="142">
        <f>Tabla18[[#This Row],[Debe]]-Tabla18[[#This Row],[Haber]]</f>
        <v>1172127.44</v>
      </c>
      <c r="U26" s="322"/>
      <c r="V26" s="323"/>
      <c r="W26" s="142">
        <f t="shared" si="0"/>
        <v>1172127.44</v>
      </c>
      <c r="X26" s="142" t="b">
        <f>ISNUMBER(MATCH(A26,'3_Control_Ppto'!$A$4:$A$70,0))</f>
        <v>1</v>
      </c>
      <c r="Y26" s="136"/>
    </row>
    <row r="27" spans="1:25" ht="12" customHeight="1" x14ac:dyDescent="0.3">
      <c r="A27" s="140" t="s">
        <v>3219</v>
      </c>
      <c r="B27" s="140" t="s">
        <v>4090</v>
      </c>
      <c r="C27" s="549">
        <f>+EOMONTH(Tabla18[[#This Row],[Fecha Asiento]],-1)+1</f>
        <v>45689</v>
      </c>
      <c r="D27" s="136">
        <v>53019</v>
      </c>
      <c r="E27" s="136" t="s">
        <v>4461</v>
      </c>
      <c r="F27" s="141">
        <v>45702</v>
      </c>
      <c r="G27" s="136">
        <v>1735</v>
      </c>
      <c r="H27" s="136" t="s">
        <v>4462</v>
      </c>
      <c r="I27" s="136" t="s">
        <v>4463</v>
      </c>
      <c r="J27" s="136" t="s">
        <v>4455</v>
      </c>
      <c r="K27" s="136">
        <v>300004447</v>
      </c>
      <c r="L27" s="138">
        <v>11648.13</v>
      </c>
      <c r="M27" s="138">
        <v>0</v>
      </c>
      <c r="N27" s="136" t="s">
        <v>4425</v>
      </c>
      <c r="O27" s="136" t="s">
        <v>4426</v>
      </c>
      <c r="P27" s="136" t="s">
        <v>4427</v>
      </c>
      <c r="Q27" s="136" t="s">
        <v>4428</v>
      </c>
      <c r="R27" s="136">
        <v>0</v>
      </c>
      <c r="S27" s="142">
        <f>(Tabla18[[#This Row],[Debe]]-Tabla18[[#This Row],[Haber]])*
SUMIF('0_Indice_CAC'!$A:$A,Tabla18[[#This Row],[Mes]],'0_Indice_CAC'!$D:$D)</f>
        <v>11283.675880749917</v>
      </c>
      <c r="T27" s="142">
        <f>Tabla18[[#This Row],[Debe]]-Tabla18[[#This Row],[Haber]]</f>
        <v>11648.13</v>
      </c>
      <c r="U27" s="322"/>
      <c r="V27" s="323"/>
      <c r="W27" s="142">
        <f t="shared" si="0"/>
        <v>11648.13</v>
      </c>
      <c r="X27" s="142" t="b">
        <f>ISNUMBER(MATCH(A27,'3_Control_Ppto'!$A$4:$A$70,0))</f>
        <v>1</v>
      </c>
      <c r="Y27" s="136"/>
    </row>
    <row r="28" spans="1:25" ht="12" customHeight="1" x14ac:dyDescent="0.3">
      <c r="A28" s="140" t="s">
        <v>1285</v>
      </c>
      <c r="B28" s="140" t="s">
        <v>4090</v>
      </c>
      <c r="C28" s="549">
        <f>+EOMONTH(Tabla18[[#This Row],[Fecha Asiento]],-1)+1</f>
        <v>45689</v>
      </c>
      <c r="D28" s="136">
        <v>53001</v>
      </c>
      <c r="E28" s="136" t="s">
        <v>4464</v>
      </c>
      <c r="F28" s="141">
        <v>45705</v>
      </c>
      <c r="G28" s="136">
        <v>1462</v>
      </c>
      <c r="H28" s="136" t="s">
        <v>4465</v>
      </c>
      <c r="I28" s="136" t="s">
        <v>4466</v>
      </c>
      <c r="J28" s="136" t="s">
        <v>4455</v>
      </c>
      <c r="K28" s="136">
        <v>600010802</v>
      </c>
      <c r="L28" s="138">
        <v>4462.8100000000004</v>
      </c>
      <c r="M28" s="138">
        <v>0</v>
      </c>
      <c r="N28" s="136" t="s">
        <v>4425</v>
      </c>
      <c r="O28" s="136" t="s">
        <v>4426</v>
      </c>
      <c r="P28" s="136" t="s">
        <v>4427</v>
      </c>
      <c r="Q28" s="136" t="s">
        <v>4428</v>
      </c>
      <c r="R28" s="136">
        <v>0</v>
      </c>
      <c r="S28" s="142">
        <f>(Tabla18[[#This Row],[Debe]]-Tabla18[[#This Row],[Haber]])*
SUMIF('0_Indice_CAC'!$A:$A,Tabla18[[#This Row],[Mes]],'0_Indice_CAC'!$D:$D)</f>
        <v>4323.1747548636167</v>
      </c>
      <c r="T28" s="142">
        <f>Tabla18[[#This Row],[Debe]]-Tabla18[[#This Row],[Haber]]</f>
        <v>4462.8100000000004</v>
      </c>
      <c r="U28" s="322"/>
      <c r="V28" s="323"/>
      <c r="W28" s="142">
        <f t="shared" si="0"/>
        <v>4462.8100000000004</v>
      </c>
      <c r="X28" s="142" t="b">
        <f>ISNUMBER(MATCH(A28,'3_Control_Ppto'!$A$4:$A$70,0))</f>
        <v>1</v>
      </c>
      <c r="Y28" s="136"/>
    </row>
    <row r="29" spans="1:25" ht="12" customHeight="1" x14ac:dyDescent="0.3">
      <c r="A29" s="140" t="s">
        <v>106</v>
      </c>
      <c r="B29" s="140" t="s">
        <v>4090</v>
      </c>
      <c r="C29" s="549">
        <f>+EOMONTH(Tabla18[[#This Row],[Fecha Asiento]],-1)+1</f>
        <v>45689</v>
      </c>
      <c r="D29" s="136">
        <v>53023</v>
      </c>
      <c r="E29" s="136" t="s">
        <v>4467</v>
      </c>
      <c r="F29" s="141">
        <v>45705</v>
      </c>
      <c r="G29" s="136">
        <v>1155</v>
      </c>
      <c r="H29" s="136" t="s">
        <v>4468</v>
      </c>
      <c r="I29" s="136" t="s">
        <v>4423</v>
      </c>
      <c r="J29" s="136" t="s">
        <v>4424</v>
      </c>
      <c r="K29" s="136">
        <v>6569</v>
      </c>
      <c r="L29" s="138">
        <v>5400</v>
      </c>
      <c r="M29" s="138">
        <v>0</v>
      </c>
      <c r="N29" s="136" t="s">
        <v>4425</v>
      </c>
      <c r="O29" s="136" t="s">
        <v>4426</v>
      </c>
      <c r="P29" s="136" t="s">
        <v>4427</v>
      </c>
      <c r="Q29" s="136" t="s">
        <v>4428</v>
      </c>
      <c r="R29" s="136">
        <v>0</v>
      </c>
      <c r="S29" s="142">
        <f>(Tabla18[[#This Row],[Debe]]-Tabla18[[#This Row],[Haber]])*
SUMIF('0_Indice_CAC'!$A:$A,Tabla18[[#This Row],[Mes]],'0_Indice_CAC'!$D:$D)</f>
        <v>5231.0413565138397</v>
      </c>
      <c r="T29" s="142">
        <f>Tabla18[[#This Row],[Debe]]-Tabla18[[#This Row],[Haber]]</f>
        <v>5400</v>
      </c>
      <c r="U29" s="322"/>
      <c r="V29" s="323"/>
      <c r="W29" s="142">
        <f t="shared" si="0"/>
        <v>5400</v>
      </c>
      <c r="X29" s="142" t="b">
        <f>ISNUMBER(MATCH(A29,'3_Control_Ppto'!$A$4:$A$70,0))</f>
        <v>1</v>
      </c>
      <c r="Y29" s="136"/>
    </row>
    <row r="30" spans="1:25" ht="12" customHeight="1" x14ac:dyDescent="0.3">
      <c r="A30" s="140" t="s">
        <v>25</v>
      </c>
      <c r="B30" s="140" t="s">
        <v>25</v>
      </c>
      <c r="C30" s="549">
        <f>+EOMONTH(Tabla18[[#This Row],[Fecha Asiento]],-1)+1</f>
        <v>45689</v>
      </c>
      <c r="D30" s="136">
        <v>5108</v>
      </c>
      <c r="E30" s="136" t="s">
        <v>4469</v>
      </c>
      <c r="F30" s="141">
        <v>45706</v>
      </c>
      <c r="G30" s="136">
        <v>1305</v>
      </c>
      <c r="H30" s="136" t="s">
        <v>4470</v>
      </c>
      <c r="I30" s="136" t="s">
        <v>4471</v>
      </c>
      <c r="J30" s="136" t="s">
        <v>4455</v>
      </c>
      <c r="K30" s="136">
        <v>1000192524</v>
      </c>
      <c r="L30" s="138">
        <v>138171.31</v>
      </c>
      <c r="M30" s="138">
        <v>0</v>
      </c>
      <c r="N30" s="136" t="s">
        <v>4425</v>
      </c>
      <c r="O30" s="136" t="s">
        <v>4426</v>
      </c>
      <c r="P30" s="136" t="s">
        <v>4427</v>
      </c>
      <c r="Q30" s="136" t="s">
        <v>4428</v>
      </c>
      <c r="R30" s="136">
        <v>0</v>
      </c>
      <c r="S30" s="142">
        <f>(Tabla18[[#This Row],[Debe]]-Tabla18[[#This Row],[Haber]])*
SUMIF('0_Indice_CAC'!$A:$A,Tabla18[[#This Row],[Mes]],'0_Indice_CAC'!$D:$D)</f>
        <v>133848.11794327671</v>
      </c>
      <c r="T30" s="142">
        <f>Tabla18[[#This Row],[Debe]]-Tabla18[[#This Row],[Haber]]</f>
        <v>138171.31</v>
      </c>
      <c r="U30" s="322"/>
      <c r="V30" s="323"/>
      <c r="W30" s="142">
        <f t="shared" si="0"/>
        <v>138171.31</v>
      </c>
      <c r="X30" s="142" t="b">
        <f>ISNUMBER(MATCH(A30,'3_Control_Ppto'!$A$4:$A$70,0))</f>
        <v>0</v>
      </c>
      <c r="Y30" s="136"/>
    </row>
    <row r="31" spans="1:25" ht="12" customHeight="1" x14ac:dyDescent="0.3">
      <c r="A31" s="140" t="s">
        <v>1478</v>
      </c>
      <c r="B31" s="140" t="s">
        <v>56</v>
      </c>
      <c r="C31" s="549">
        <f>+EOMONTH(Tabla18[[#This Row],[Fecha Asiento]],-1)+1</f>
        <v>45689</v>
      </c>
      <c r="D31" s="136">
        <v>53005</v>
      </c>
      <c r="E31" s="136" t="s">
        <v>4472</v>
      </c>
      <c r="F31" s="141">
        <v>45706</v>
      </c>
      <c r="G31" s="136">
        <v>533</v>
      </c>
      <c r="H31" s="136" t="s">
        <v>4473</v>
      </c>
      <c r="I31" s="136" t="s">
        <v>4423</v>
      </c>
      <c r="J31" s="136" t="s">
        <v>4424</v>
      </c>
      <c r="K31" s="136">
        <v>5959</v>
      </c>
      <c r="L31" s="138">
        <v>911200</v>
      </c>
      <c r="M31" s="138">
        <v>0</v>
      </c>
      <c r="N31" s="136" t="s">
        <v>4425</v>
      </c>
      <c r="O31" s="136" t="s">
        <v>4426</v>
      </c>
      <c r="P31" s="136" t="s">
        <v>4427</v>
      </c>
      <c r="Q31" s="136" t="s">
        <v>4428</v>
      </c>
      <c r="R31" s="136">
        <v>0</v>
      </c>
      <c r="S31" s="142">
        <f>(Tabla18[[#This Row],[Debe]]-Tabla18[[#This Row],[Haber]])*
SUMIF('0_Indice_CAC'!$A:$A,Tabla18[[#This Row],[Mes]],'0_Indice_CAC'!$D:$D)</f>
        <v>882689.79334359465</v>
      </c>
      <c r="T31" s="142">
        <f>Tabla18[[#This Row],[Debe]]-Tabla18[[#This Row],[Haber]]</f>
        <v>911200</v>
      </c>
      <c r="U31" s="322" t="s">
        <v>4474</v>
      </c>
      <c r="V31" s="323"/>
      <c r="W31" s="142">
        <f t="shared" si="0"/>
        <v>911200</v>
      </c>
      <c r="X31" s="142" t="b">
        <f>ISNUMBER(MATCH(A31,'3_Control_Ppto'!$A$4:$A$70,0))</f>
        <v>1</v>
      </c>
      <c r="Y31" s="136"/>
    </row>
    <row r="32" spans="1:25" ht="12" customHeight="1" x14ac:dyDescent="0.3">
      <c r="A32" s="140" t="s">
        <v>106</v>
      </c>
      <c r="B32" s="140" t="s">
        <v>4090</v>
      </c>
      <c r="C32" s="549">
        <f>+EOMONTH(Tabla18[[#This Row],[Fecha Asiento]],-1)+1</f>
        <v>45689</v>
      </c>
      <c r="D32" s="136">
        <v>53023</v>
      </c>
      <c r="E32" s="136" t="s">
        <v>4467</v>
      </c>
      <c r="F32" s="141">
        <v>45706</v>
      </c>
      <c r="G32" s="136">
        <v>1305</v>
      </c>
      <c r="H32" s="136" t="s">
        <v>4475</v>
      </c>
      <c r="I32" s="136" t="s">
        <v>4471</v>
      </c>
      <c r="J32" s="136" t="s">
        <v>4455</v>
      </c>
      <c r="K32" s="136">
        <v>1000192524</v>
      </c>
      <c r="L32" s="138">
        <v>824299.87</v>
      </c>
      <c r="M32" s="138">
        <v>0</v>
      </c>
      <c r="N32" s="136" t="s">
        <v>4425</v>
      </c>
      <c r="O32" s="136" t="s">
        <v>4426</v>
      </c>
      <c r="P32" s="136" t="s">
        <v>4427</v>
      </c>
      <c r="Q32" s="136" t="s">
        <v>4428</v>
      </c>
      <c r="R32" s="136">
        <v>0</v>
      </c>
      <c r="S32" s="142">
        <f>(Tabla18[[#This Row],[Debe]]-Tabla18[[#This Row],[Haber]])*
SUMIF('0_Indice_CAC'!$A:$A,Tabla18[[#This Row],[Mes]],'0_Indice_CAC'!$D:$D)</f>
        <v>798508.65002573736</v>
      </c>
      <c r="T32" s="142">
        <f>Tabla18[[#This Row],[Debe]]-Tabla18[[#This Row],[Haber]]</f>
        <v>824299.87</v>
      </c>
      <c r="U32" s="322"/>
      <c r="V32" s="323"/>
      <c r="W32" s="142">
        <f t="shared" si="0"/>
        <v>824299.87</v>
      </c>
      <c r="X32" s="142" t="b">
        <f>ISNUMBER(MATCH(A32,'3_Control_Ppto'!$A$4:$A$70,0))</f>
        <v>1</v>
      </c>
      <c r="Y32" s="136"/>
    </row>
    <row r="33" spans="1:25" ht="12" customHeight="1" x14ac:dyDescent="0.3">
      <c r="A33" s="140" t="s">
        <v>4310</v>
      </c>
      <c r="B33" s="140" t="s">
        <v>56</v>
      </c>
      <c r="C33" s="549">
        <f>+EOMONTH(Tabla18[[#This Row],[Fecha Asiento]],-1)+1</f>
        <v>45689</v>
      </c>
      <c r="D33" s="136">
        <v>53026</v>
      </c>
      <c r="E33" s="136" t="s">
        <v>4310</v>
      </c>
      <c r="F33" s="141">
        <v>45706</v>
      </c>
      <c r="G33" s="136">
        <v>1305</v>
      </c>
      <c r="H33" s="136" t="s">
        <v>4476</v>
      </c>
      <c r="I33" s="136" t="s">
        <v>4471</v>
      </c>
      <c r="J33" s="136" t="s">
        <v>4455</v>
      </c>
      <c r="K33" s="136">
        <v>1000192524</v>
      </c>
      <c r="L33" s="138">
        <v>2835</v>
      </c>
      <c r="M33" s="138">
        <v>0</v>
      </c>
      <c r="N33" s="136" t="s">
        <v>4425</v>
      </c>
      <c r="O33" s="136" t="s">
        <v>4426</v>
      </c>
      <c r="P33" s="136" t="s">
        <v>4427</v>
      </c>
      <c r="Q33" s="136" t="s">
        <v>4428</v>
      </c>
      <c r="R33" s="136">
        <v>0</v>
      </c>
      <c r="S33" s="142">
        <f>(Tabla18[[#This Row],[Debe]]-Tabla18[[#This Row],[Haber]])*
SUMIF('0_Indice_CAC'!$A:$A,Tabla18[[#This Row],[Mes]],'0_Indice_CAC'!$D:$D)</f>
        <v>2746.2967121697661</v>
      </c>
      <c r="T33" s="142">
        <f>Tabla18[[#This Row],[Debe]]-Tabla18[[#This Row],[Haber]]</f>
        <v>2835</v>
      </c>
      <c r="U33" s="322"/>
      <c r="V33" s="323"/>
      <c r="W33" s="142">
        <f t="shared" si="0"/>
        <v>2835</v>
      </c>
      <c r="X33" s="142" t="b">
        <f>ISNUMBER(MATCH(A33,'3_Control_Ppto'!$A$4:$A$70,0))</f>
        <v>1</v>
      </c>
      <c r="Y33" s="136"/>
    </row>
    <row r="34" spans="1:25" ht="12" customHeight="1" x14ac:dyDescent="0.3">
      <c r="A34" s="140" t="s">
        <v>4317</v>
      </c>
      <c r="B34" s="140" t="s">
        <v>56</v>
      </c>
      <c r="C34" s="549">
        <f>+EOMONTH(Tabla18[[#This Row],[Fecha Asiento]],-1)+1</f>
        <v>45689</v>
      </c>
      <c r="D34" s="136">
        <v>52103</v>
      </c>
      <c r="E34" s="136" t="s">
        <v>4477</v>
      </c>
      <c r="F34" s="141">
        <v>45707</v>
      </c>
      <c r="G34" s="136">
        <v>1156</v>
      </c>
      <c r="H34" s="136" t="s">
        <v>4478</v>
      </c>
      <c r="I34" s="136" t="s">
        <v>4423</v>
      </c>
      <c r="J34" s="136" t="s">
        <v>4424</v>
      </c>
      <c r="K34" s="136">
        <v>6570</v>
      </c>
      <c r="L34" s="138">
        <v>2495</v>
      </c>
      <c r="M34" s="138">
        <v>0</v>
      </c>
      <c r="N34" s="136" t="s">
        <v>4425</v>
      </c>
      <c r="O34" s="136" t="s">
        <v>4426</v>
      </c>
      <c r="P34" s="136" t="s">
        <v>4427</v>
      </c>
      <c r="Q34" s="136" t="s">
        <v>4428</v>
      </c>
      <c r="R34" s="136">
        <v>0</v>
      </c>
      <c r="S34" s="142">
        <f>(Tabla18[[#This Row],[Debe]]-Tabla18[[#This Row],[Haber]])*
SUMIF('0_Indice_CAC'!$A:$A,Tabla18[[#This Row],[Mes]],'0_Indice_CAC'!$D:$D)</f>
        <v>2416.9348489818576</v>
      </c>
      <c r="T34" s="142">
        <f>Tabla18[[#This Row],[Debe]]-Tabla18[[#This Row],[Haber]]</f>
        <v>2495</v>
      </c>
      <c r="U34" s="322"/>
      <c r="V34" s="323"/>
      <c r="W34" s="142">
        <f t="shared" ref="W34:W65" si="1">IFERROR(T34-IF(V34="",0,V34),0)</f>
        <v>2495</v>
      </c>
      <c r="X34" s="142" t="b">
        <f>ISNUMBER(MATCH(A34,'3_Control_Ppto'!$A$4:$A$70,0))</f>
        <v>1</v>
      </c>
      <c r="Y34" s="136"/>
    </row>
    <row r="35" spans="1:25" ht="12" customHeight="1" x14ac:dyDescent="0.3">
      <c r="A35" s="140" t="s">
        <v>4317</v>
      </c>
      <c r="B35" s="140" t="s">
        <v>56</v>
      </c>
      <c r="C35" s="549">
        <f>+EOMONTH(Tabla18[[#This Row],[Fecha Asiento]],-1)+1</f>
        <v>45689</v>
      </c>
      <c r="D35" s="136">
        <v>52103</v>
      </c>
      <c r="E35" s="136" t="s">
        <v>4477</v>
      </c>
      <c r="F35" s="141">
        <v>45707</v>
      </c>
      <c r="G35" s="136">
        <v>1465</v>
      </c>
      <c r="H35" s="136" t="s">
        <v>4479</v>
      </c>
      <c r="I35" s="136" t="s">
        <v>4480</v>
      </c>
      <c r="J35" s="136" t="s">
        <v>4455</v>
      </c>
      <c r="K35" s="136">
        <v>1165500001127</v>
      </c>
      <c r="L35" s="138">
        <v>2061.98</v>
      </c>
      <c r="M35" s="138">
        <v>0</v>
      </c>
      <c r="N35" s="136" t="s">
        <v>4425</v>
      </c>
      <c r="O35" s="136" t="s">
        <v>4426</v>
      </c>
      <c r="P35" s="136" t="s">
        <v>4427</v>
      </c>
      <c r="Q35" s="136" t="s">
        <v>4428</v>
      </c>
      <c r="R35" s="136">
        <v>0</v>
      </c>
      <c r="S35" s="142">
        <f>(Tabla18[[#This Row],[Debe]]-Tabla18[[#This Row],[Haber]])*
SUMIF('0_Indice_CAC'!$A:$A,Tabla18[[#This Row],[Mes]],'0_Indice_CAC'!$D:$D)</f>
        <v>1997.4634548711865</v>
      </c>
      <c r="T35" s="142">
        <f>Tabla18[[#This Row],[Debe]]-Tabla18[[#This Row],[Haber]]</f>
        <v>2061.98</v>
      </c>
      <c r="U35" s="322"/>
      <c r="V35" s="323"/>
      <c r="W35" s="142">
        <f t="shared" si="1"/>
        <v>2061.98</v>
      </c>
      <c r="X35" s="142" t="b">
        <f>ISNUMBER(MATCH(A35,'3_Control_Ppto'!$A$4:$A$70,0))</f>
        <v>1</v>
      </c>
      <c r="Y35" s="136"/>
    </row>
    <row r="36" spans="1:25" ht="12" customHeight="1" x14ac:dyDescent="0.3">
      <c r="A36" s="140" t="s">
        <v>1285</v>
      </c>
      <c r="B36" s="140" t="s">
        <v>4090</v>
      </c>
      <c r="C36" s="549">
        <f>+EOMONTH(Tabla18[[#This Row],[Fecha Asiento]],-1)+1</f>
        <v>45689</v>
      </c>
      <c r="D36" s="136">
        <v>53001</v>
      </c>
      <c r="E36" s="136" t="s">
        <v>4464</v>
      </c>
      <c r="F36" s="141">
        <v>45707</v>
      </c>
      <c r="G36" s="136">
        <v>1463</v>
      </c>
      <c r="H36" s="136" t="s">
        <v>4481</v>
      </c>
      <c r="I36" s="136" t="s">
        <v>4482</v>
      </c>
      <c r="J36" s="136" t="s">
        <v>4455</v>
      </c>
      <c r="K36" s="136">
        <v>500000403</v>
      </c>
      <c r="L36" s="138">
        <v>23307</v>
      </c>
      <c r="M36" s="138">
        <v>0</v>
      </c>
      <c r="N36" s="136" t="s">
        <v>4425</v>
      </c>
      <c r="O36" s="136" t="s">
        <v>4426</v>
      </c>
      <c r="P36" s="136" t="s">
        <v>4427</v>
      </c>
      <c r="Q36" s="136" t="s">
        <v>4428</v>
      </c>
      <c r="R36" s="136">
        <v>0</v>
      </c>
      <c r="S36" s="142">
        <f>(Tabla18[[#This Row],[Debe]]-Tabla18[[#This Row],[Haber]])*
SUMIF('0_Indice_CAC'!$A:$A,Tabla18[[#This Row],[Mes]],'0_Indice_CAC'!$D:$D)</f>
        <v>22577.755721531124</v>
      </c>
      <c r="T36" s="142">
        <f>Tabla18[[#This Row],[Debe]]-Tabla18[[#This Row],[Haber]]</f>
        <v>23307</v>
      </c>
      <c r="U36" s="322"/>
      <c r="V36" s="323"/>
      <c r="W36" s="142">
        <f t="shared" si="1"/>
        <v>23307</v>
      </c>
      <c r="X36" s="142" t="b">
        <f>ISNUMBER(MATCH(A36,'3_Control_Ppto'!$A$4:$A$70,0))</f>
        <v>1</v>
      </c>
      <c r="Y36" s="136"/>
    </row>
    <row r="37" spans="1:25" ht="12" customHeight="1" x14ac:dyDescent="0.3">
      <c r="A37" s="140" t="s">
        <v>1285</v>
      </c>
      <c r="B37" s="140" t="s">
        <v>4090</v>
      </c>
      <c r="C37" s="549">
        <f>+EOMONTH(Tabla18[[#This Row],[Fecha Asiento]],-1)+1</f>
        <v>45689</v>
      </c>
      <c r="D37" s="136">
        <v>53001</v>
      </c>
      <c r="E37" s="136" t="s">
        <v>4464</v>
      </c>
      <c r="F37" s="141">
        <v>45707</v>
      </c>
      <c r="G37" s="136">
        <v>1464</v>
      </c>
      <c r="H37" s="136" t="s">
        <v>4483</v>
      </c>
      <c r="I37" s="136" t="s">
        <v>4466</v>
      </c>
      <c r="J37" s="136" t="s">
        <v>4455</v>
      </c>
      <c r="K37" s="136">
        <v>600010818</v>
      </c>
      <c r="L37" s="138">
        <v>17851.240000000002</v>
      </c>
      <c r="M37" s="138">
        <v>0</v>
      </c>
      <c r="N37" s="136" t="s">
        <v>4425</v>
      </c>
      <c r="O37" s="136" t="s">
        <v>4426</v>
      </c>
      <c r="P37" s="136" t="s">
        <v>4427</v>
      </c>
      <c r="Q37" s="136" t="s">
        <v>4428</v>
      </c>
      <c r="R37" s="136">
        <v>0</v>
      </c>
      <c r="S37" s="142">
        <f>(Tabla18[[#This Row],[Debe]]-Tabla18[[#This Row],[Haber]])*
SUMIF('0_Indice_CAC'!$A:$A,Tabla18[[#This Row],[Mes]],'0_Indice_CAC'!$D:$D)</f>
        <v>17292.699019454467</v>
      </c>
      <c r="T37" s="142">
        <f>Tabla18[[#This Row],[Debe]]-Tabla18[[#This Row],[Haber]]</f>
        <v>17851.240000000002</v>
      </c>
      <c r="U37" s="322"/>
      <c r="V37" s="323"/>
      <c r="W37" s="142">
        <f t="shared" si="1"/>
        <v>17851.240000000002</v>
      </c>
      <c r="X37" s="142" t="b">
        <f>ISNUMBER(MATCH(A37,'3_Control_Ppto'!$A$4:$A$70,0))</f>
        <v>1</v>
      </c>
      <c r="Y37" s="136"/>
    </row>
    <row r="38" spans="1:25" ht="12" customHeight="1" x14ac:dyDescent="0.3">
      <c r="A38" s="140" t="s">
        <v>106</v>
      </c>
      <c r="B38" s="140" t="s">
        <v>4090</v>
      </c>
      <c r="C38" s="549">
        <f>+EOMONTH(Tabla18[[#This Row],[Fecha Asiento]],-1)+1</f>
        <v>45689</v>
      </c>
      <c r="D38" s="136">
        <v>53023</v>
      </c>
      <c r="E38" s="136" t="s">
        <v>4467</v>
      </c>
      <c r="F38" s="141">
        <v>45707</v>
      </c>
      <c r="G38" s="136">
        <v>1157</v>
      </c>
      <c r="H38" s="136" t="s">
        <v>4468</v>
      </c>
      <c r="I38" s="136" t="s">
        <v>4423</v>
      </c>
      <c r="J38" s="136" t="s">
        <v>4424</v>
      </c>
      <c r="K38" s="136">
        <v>6571</v>
      </c>
      <c r="L38" s="138">
        <v>21600</v>
      </c>
      <c r="M38" s="138">
        <v>0</v>
      </c>
      <c r="N38" s="136" t="s">
        <v>4425</v>
      </c>
      <c r="O38" s="136" t="s">
        <v>4426</v>
      </c>
      <c r="P38" s="136" t="s">
        <v>4427</v>
      </c>
      <c r="Q38" s="136" t="s">
        <v>4428</v>
      </c>
      <c r="R38" s="136">
        <v>0</v>
      </c>
      <c r="S38" s="142">
        <f>(Tabla18[[#This Row],[Debe]]-Tabla18[[#This Row],[Haber]])*
SUMIF('0_Indice_CAC'!$A:$A,Tabla18[[#This Row],[Mes]],'0_Indice_CAC'!$D:$D)</f>
        <v>20924.165426055359</v>
      </c>
      <c r="T38" s="142">
        <f>Tabla18[[#This Row],[Debe]]-Tabla18[[#This Row],[Haber]]</f>
        <v>21600</v>
      </c>
      <c r="U38" s="322"/>
      <c r="V38" s="323"/>
      <c r="W38" s="142">
        <f t="shared" si="1"/>
        <v>21600</v>
      </c>
      <c r="X38" s="142" t="b">
        <f>ISNUMBER(MATCH(A38,'3_Control_Ppto'!$A$4:$A$70,0))</f>
        <v>1</v>
      </c>
      <c r="Y38" s="136"/>
    </row>
    <row r="39" spans="1:25" ht="12" customHeight="1" x14ac:dyDescent="0.3">
      <c r="A39" s="140" t="s">
        <v>106</v>
      </c>
      <c r="B39" s="140" t="s">
        <v>4090</v>
      </c>
      <c r="C39" s="549">
        <f>+EOMONTH(Tabla18[[#This Row],[Fecha Asiento]],-1)+1</f>
        <v>45689</v>
      </c>
      <c r="D39" s="136">
        <v>53023</v>
      </c>
      <c r="E39" s="136" t="s">
        <v>4467</v>
      </c>
      <c r="F39" s="141">
        <v>45707</v>
      </c>
      <c r="G39" s="136">
        <v>1158</v>
      </c>
      <c r="H39" s="136" t="s">
        <v>4468</v>
      </c>
      <c r="I39" s="136" t="s">
        <v>4423</v>
      </c>
      <c r="J39" s="136" t="s">
        <v>4424</v>
      </c>
      <c r="K39" s="136">
        <v>6572</v>
      </c>
      <c r="L39" s="138">
        <v>28201.47</v>
      </c>
      <c r="M39" s="138">
        <v>0</v>
      </c>
      <c r="N39" s="136" t="s">
        <v>4425</v>
      </c>
      <c r="O39" s="136" t="s">
        <v>4426</v>
      </c>
      <c r="P39" s="136" t="s">
        <v>4427</v>
      </c>
      <c r="Q39" s="136" t="s">
        <v>4428</v>
      </c>
      <c r="R39" s="136">
        <v>0</v>
      </c>
      <c r="S39" s="142">
        <f>(Tabla18[[#This Row],[Debe]]-Tabla18[[#This Row],[Haber]])*
SUMIF('0_Indice_CAC'!$A:$A,Tabla18[[#This Row],[Mes]],'0_Indice_CAC'!$D:$D)</f>
        <v>27319.08442305266</v>
      </c>
      <c r="T39" s="142">
        <f>Tabla18[[#This Row],[Debe]]-Tabla18[[#This Row],[Haber]]</f>
        <v>28201.47</v>
      </c>
      <c r="U39" s="322"/>
      <c r="V39" s="323"/>
      <c r="W39" s="142">
        <f t="shared" si="1"/>
        <v>28201.47</v>
      </c>
      <c r="X39" s="142" t="b">
        <f>ISNUMBER(MATCH(A39,'3_Control_Ppto'!$A$4:$A$70,0))</f>
        <v>1</v>
      </c>
      <c r="Y39" s="136"/>
    </row>
    <row r="40" spans="1:25" ht="12" customHeight="1" x14ac:dyDescent="0.3">
      <c r="A40" s="140" t="s">
        <v>4317</v>
      </c>
      <c r="B40" s="140" t="s">
        <v>56</v>
      </c>
      <c r="C40" s="549">
        <f>+EOMONTH(Tabla18[[#This Row],[Fecha Asiento]],-1)+1</f>
        <v>45689</v>
      </c>
      <c r="D40" s="136">
        <v>52103</v>
      </c>
      <c r="E40" s="136" t="s">
        <v>4477</v>
      </c>
      <c r="F40" s="141">
        <v>45708</v>
      </c>
      <c r="G40" s="136">
        <v>1159</v>
      </c>
      <c r="H40" s="136" t="s">
        <v>4478</v>
      </c>
      <c r="I40" s="136" t="s">
        <v>4423</v>
      </c>
      <c r="J40" s="136" t="s">
        <v>4424</v>
      </c>
      <c r="K40" s="136">
        <v>6573</v>
      </c>
      <c r="L40" s="138">
        <v>2495</v>
      </c>
      <c r="M40" s="138">
        <v>0</v>
      </c>
      <c r="N40" s="136" t="s">
        <v>4425</v>
      </c>
      <c r="O40" s="136" t="s">
        <v>4426</v>
      </c>
      <c r="P40" s="136" t="s">
        <v>4427</v>
      </c>
      <c r="Q40" s="136" t="s">
        <v>4428</v>
      </c>
      <c r="R40" s="136">
        <v>0</v>
      </c>
      <c r="S40" s="142">
        <f>(Tabla18[[#This Row],[Debe]]-Tabla18[[#This Row],[Haber]])*
SUMIF('0_Indice_CAC'!$A:$A,Tabla18[[#This Row],[Mes]],'0_Indice_CAC'!$D:$D)</f>
        <v>2416.9348489818576</v>
      </c>
      <c r="T40" s="142">
        <f>Tabla18[[#This Row],[Debe]]-Tabla18[[#This Row],[Haber]]</f>
        <v>2495</v>
      </c>
      <c r="U40" s="322"/>
      <c r="V40" s="323"/>
      <c r="W40" s="142">
        <f t="shared" si="1"/>
        <v>2495</v>
      </c>
      <c r="X40" s="142" t="b">
        <f>ISNUMBER(MATCH(A40,'3_Control_Ppto'!$A$4:$A$70,0))</f>
        <v>1</v>
      </c>
      <c r="Y40" s="136"/>
    </row>
    <row r="41" spans="1:25" ht="12" customHeight="1" x14ac:dyDescent="0.3">
      <c r="A41" s="140" t="s">
        <v>4317</v>
      </c>
      <c r="B41" s="140" t="s">
        <v>56</v>
      </c>
      <c r="C41" s="549">
        <f>+EOMONTH(Tabla18[[#This Row],[Fecha Asiento]],-1)+1</f>
        <v>45689</v>
      </c>
      <c r="D41" s="136">
        <v>52103</v>
      </c>
      <c r="E41" s="136" t="s">
        <v>4477</v>
      </c>
      <c r="F41" s="141">
        <v>45708</v>
      </c>
      <c r="G41" s="136">
        <v>1466</v>
      </c>
      <c r="H41" s="136" t="s">
        <v>4479</v>
      </c>
      <c r="I41" s="136" t="s">
        <v>4480</v>
      </c>
      <c r="J41" s="136" t="s">
        <v>4455</v>
      </c>
      <c r="K41" s="136">
        <v>1165500001129</v>
      </c>
      <c r="L41" s="138">
        <v>2061.98</v>
      </c>
      <c r="M41" s="138">
        <v>0</v>
      </c>
      <c r="N41" s="136" t="s">
        <v>4425</v>
      </c>
      <c r="O41" s="136" t="s">
        <v>4426</v>
      </c>
      <c r="P41" s="136" t="s">
        <v>4427</v>
      </c>
      <c r="Q41" s="136" t="s">
        <v>4428</v>
      </c>
      <c r="R41" s="136">
        <v>0</v>
      </c>
      <c r="S41" s="142">
        <f>(Tabla18[[#This Row],[Debe]]-Tabla18[[#This Row],[Haber]])*
SUMIF('0_Indice_CAC'!$A:$A,Tabla18[[#This Row],[Mes]],'0_Indice_CAC'!$D:$D)</f>
        <v>1997.4634548711865</v>
      </c>
      <c r="T41" s="142">
        <f>Tabla18[[#This Row],[Debe]]-Tabla18[[#This Row],[Haber]]</f>
        <v>2061.98</v>
      </c>
      <c r="U41" s="322"/>
      <c r="V41" s="323"/>
      <c r="W41" s="142">
        <f t="shared" si="1"/>
        <v>2061.98</v>
      </c>
      <c r="X41" s="142" t="b">
        <f>ISNUMBER(MATCH(A41,'3_Control_Ppto'!$A$4:$A$70,0))</f>
        <v>1</v>
      </c>
      <c r="Y41" s="136"/>
    </row>
    <row r="42" spans="1:25" ht="12" customHeight="1" x14ac:dyDescent="0.3">
      <c r="A42" s="140" t="s">
        <v>1285</v>
      </c>
      <c r="B42" s="140" t="s">
        <v>4090</v>
      </c>
      <c r="C42" s="549">
        <f>+EOMONTH(Tabla18[[#This Row],[Fecha Asiento]],-1)+1</f>
        <v>45689</v>
      </c>
      <c r="D42" s="136">
        <v>53001</v>
      </c>
      <c r="E42" s="136" t="s">
        <v>4464</v>
      </c>
      <c r="F42" s="141">
        <v>45708</v>
      </c>
      <c r="G42" s="136">
        <v>1467</v>
      </c>
      <c r="H42" s="136" t="s">
        <v>4483</v>
      </c>
      <c r="I42" s="136" t="s">
        <v>4466</v>
      </c>
      <c r="J42" s="136" t="s">
        <v>4455</v>
      </c>
      <c r="K42" s="136">
        <v>600010837</v>
      </c>
      <c r="L42" s="138">
        <v>3553.72</v>
      </c>
      <c r="M42" s="138">
        <v>0</v>
      </c>
      <c r="N42" s="136" t="s">
        <v>4425</v>
      </c>
      <c r="O42" s="136" t="s">
        <v>4426</v>
      </c>
      <c r="P42" s="136" t="s">
        <v>4427</v>
      </c>
      <c r="Q42" s="136" t="s">
        <v>4428</v>
      </c>
      <c r="R42" s="136">
        <v>0</v>
      </c>
      <c r="S42" s="142">
        <f>(Tabla18[[#This Row],[Debe]]-Tabla18[[#This Row],[Haber]])*
SUMIF('0_Indice_CAC'!$A:$A,Tabla18[[#This Row],[Mes]],'0_Indice_CAC'!$D:$D)</f>
        <v>3442.5289424945113</v>
      </c>
      <c r="T42" s="142">
        <f>Tabla18[[#This Row],[Debe]]-Tabla18[[#This Row],[Haber]]</f>
        <v>3553.72</v>
      </c>
      <c r="U42" s="322"/>
      <c r="V42" s="323"/>
      <c r="W42" s="142">
        <f t="shared" si="1"/>
        <v>3553.72</v>
      </c>
      <c r="X42" s="142" t="b">
        <f>ISNUMBER(MATCH(A42,'3_Control_Ppto'!$A$4:$A$70,0))</f>
        <v>1</v>
      </c>
      <c r="Y42" s="136"/>
    </row>
    <row r="43" spans="1:25" ht="12" customHeight="1" x14ac:dyDescent="0.3">
      <c r="A43" s="140" t="s">
        <v>106</v>
      </c>
      <c r="B43" s="140" t="s">
        <v>25</v>
      </c>
      <c r="C43" s="549">
        <f>+EOMONTH(Tabla18[[#This Row],[Fecha Asiento]],-1)+1</f>
        <v>45689</v>
      </c>
      <c r="D43" s="136">
        <v>53009</v>
      </c>
      <c r="E43" s="136" t="s">
        <v>4446</v>
      </c>
      <c r="F43" s="141">
        <v>45708</v>
      </c>
      <c r="G43" s="136">
        <v>475</v>
      </c>
      <c r="H43" s="136" t="s">
        <v>4484</v>
      </c>
      <c r="I43" s="136" t="s">
        <v>4423</v>
      </c>
      <c r="J43" s="136" t="s">
        <v>4424</v>
      </c>
      <c r="K43" s="136">
        <v>5901</v>
      </c>
      <c r="L43" s="138">
        <v>100000</v>
      </c>
      <c r="M43" s="138">
        <v>0</v>
      </c>
      <c r="N43" s="136" t="s">
        <v>4425</v>
      </c>
      <c r="O43" s="136" t="s">
        <v>4426</v>
      </c>
      <c r="P43" s="136" t="s">
        <v>4427</v>
      </c>
      <c r="Q43" s="136" t="s">
        <v>4428</v>
      </c>
      <c r="R43" s="136">
        <v>0</v>
      </c>
      <c r="S43" s="142">
        <f>(Tabla18[[#This Row],[Debe]]-Tabla18[[#This Row],[Haber]])*
SUMIF('0_Indice_CAC'!$A:$A,Tabla18[[#This Row],[Mes]],'0_Indice_CAC'!$D:$D)</f>
        <v>96871.136231737779</v>
      </c>
      <c r="T43" s="142">
        <f>Tabla18[[#This Row],[Debe]]-Tabla18[[#This Row],[Haber]]</f>
        <v>100000</v>
      </c>
      <c r="U43" s="322"/>
      <c r="V43" s="323"/>
      <c r="W43" s="142">
        <f t="shared" si="1"/>
        <v>100000</v>
      </c>
      <c r="X43" s="142" t="b">
        <f>ISNUMBER(MATCH(A43,'3_Control_Ppto'!$A$4:$A$70,0))</f>
        <v>1</v>
      </c>
      <c r="Y43" s="136"/>
    </row>
    <row r="44" spans="1:25" ht="12" customHeight="1" x14ac:dyDescent="0.3">
      <c r="A44" s="140" t="s">
        <v>106</v>
      </c>
      <c r="B44" s="140" t="s">
        <v>4090</v>
      </c>
      <c r="C44" s="549">
        <f>+EOMONTH(Tabla18[[#This Row],[Fecha Asiento]],-1)+1</f>
        <v>45689</v>
      </c>
      <c r="D44" s="136">
        <v>53023</v>
      </c>
      <c r="E44" s="136" t="s">
        <v>4467</v>
      </c>
      <c r="F44" s="141">
        <v>45708</v>
      </c>
      <c r="G44" s="136">
        <v>1160</v>
      </c>
      <c r="H44" s="136" t="s">
        <v>4468</v>
      </c>
      <c r="I44" s="136" t="s">
        <v>4423</v>
      </c>
      <c r="J44" s="136" t="s">
        <v>4424</v>
      </c>
      <c r="K44" s="136">
        <v>6574</v>
      </c>
      <c r="L44" s="138">
        <v>4300</v>
      </c>
      <c r="M44" s="138">
        <v>0</v>
      </c>
      <c r="N44" s="136" t="s">
        <v>4425</v>
      </c>
      <c r="O44" s="136" t="s">
        <v>4426</v>
      </c>
      <c r="P44" s="136" t="s">
        <v>4427</v>
      </c>
      <c r="Q44" s="136" t="s">
        <v>4428</v>
      </c>
      <c r="R44" s="136">
        <v>0</v>
      </c>
      <c r="S44" s="142">
        <f>(Tabla18[[#This Row],[Debe]]-Tabla18[[#This Row],[Haber]])*
SUMIF('0_Indice_CAC'!$A:$A,Tabla18[[#This Row],[Mes]],'0_Indice_CAC'!$D:$D)</f>
        <v>4165.4588579647243</v>
      </c>
      <c r="T44" s="142">
        <f>Tabla18[[#This Row],[Debe]]-Tabla18[[#This Row],[Haber]]</f>
        <v>4300</v>
      </c>
      <c r="U44" s="322"/>
      <c r="V44" s="323"/>
      <c r="W44" s="142">
        <f t="shared" si="1"/>
        <v>4300</v>
      </c>
      <c r="X44" s="142" t="b">
        <f>ISNUMBER(MATCH(A44,'3_Control_Ppto'!$A$4:$A$70,0))</f>
        <v>1</v>
      </c>
      <c r="Y44" s="136"/>
    </row>
    <row r="45" spans="1:25" ht="12" customHeight="1" x14ac:dyDescent="0.3">
      <c r="A45" s="140" t="s">
        <v>1285</v>
      </c>
      <c r="B45" s="140" t="s">
        <v>4090</v>
      </c>
      <c r="C45" s="549">
        <f>+EOMONTH(Tabla18[[#This Row],[Fecha Asiento]],-1)+1</f>
        <v>45689</v>
      </c>
      <c r="D45" s="136">
        <v>53001</v>
      </c>
      <c r="E45" s="136" t="s">
        <v>4464</v>
      </c>
      <c r="F45" s="141">
        <v>45709</v>
      </c>
      <c r="G45" s="136">
        <v>1163</v>
      </c>
      <c r="H45" s="136" t="s">
        <v>4485</v>
      </c>
      <c r="I45" s="136" t="s">
        <v>4423</v>
      </c>
      <c r="J45" s="136" t="s">
        <v>4424</v>
      </c>
      <c r="K45" s="136">
        <v>6577</v>
      </c>
      <c r="L45" s="138">
        <v>9000</v>
      </c>
      <c r="M45" s="138">
        <v>0</v>
      </c>
      <c r="N45" s="136" t="s">
        <v>4425</v>
      </c>
      <c r="O45" s="136" t="s">
        <v>4426</v>
      </c>
      <c r="P45" s="136" t="s">
        <v>4427</v>
      </c>
      <c r="Q45" s="136" t="s">
        <v>4428</v>
      </c>
      <c r="R45" s="136">
        <v>0</v>
      </c>
      <c r="S45" s="142">
        <f>(Tabla18[[#This Row],[Debe]]-Tabla18[[#This Row],[Haber]])*
SUMIF('0_Indice_CAC'!$A:$A,Tabla18[[#This Row],[Mes]],'0_Indice_CAC'!$D:$D)</f>
        <v>8718.4022608563992</v>
      </c>
      <c r="T45" s="142">
        <f>Tabla18[[#This Row],[Debe]]-Tabla18[[#This Row],[Haber]]</f>
        <v>9000</v>
      </c>
      <c r="U45" s="322"/>
      <c r="V45" s="323"/>
      <c r="W45" s="142">
        <f t="shared" si="1"/>
        <v>9000</v>
      </c>
      <c r="X45" s="142" t="b">
        <f>ISNUMBER(MATCH(A45,'3_Control_Ppto'!$A$4:$A$70,0))</f>
        <v>1</v>
      </c>
      <c r="Y45" s="136"/>
    </row>
    <row r="46" spans="1:25" ht="12" customHeight="1" x14ac:dyDescent="0.3">
      <c r="A46" s="140" t="s">
        <v>1285</v>
      </c>
      <c r="B46" s="140" t="s">
        <v>4090</v>
      </c>
      <c r="C46" s="549">
        <f>+EOMONTH(Tabla18[[#This Row],[Fecha Asiento]],-1)+1</f>
        <v>45689</v>
      </c>
      <c r="D46" s="136">
        <v>53001</v>
      </c>
      <c r="E46" s="136" t="s">
        <v>4464</v>
      </c>
      <c r="F46" s="141">
        <v>45709</v>
      </c>
      <c r="G46" s="136">
        <v>1164</v>
      </c>
      <c r="H46" s="136" t="s">
        <v>4485</v>
      </c>
      <c r="I46" s="136" t="s">
        <v>4423</v>
      </c>
      <c r="J46" s="136" t="s">
        <v>4424</v>
      </c>
      <c r="K46" s="136">
        <v>6578</v>
      </c>
      <c r="L46" s="138">
        <v>7600.01</v>
      </c>
      <c r="M46" s="138">
        <v>0</v>
      </c>
      <c r="N46" s="136" t="s">
        <v>4425</v>
      </c>
      <c r="O46" s="136" t="s">
        <v>4426</v>
      </c>
      <c r="P46" s="136" t="s">
        <v>4427</v>
      </c>
      <c r="Q46" s="136" t="s">
        <v>4428</v>
      </c>
      <c r="R46" s="136">
        <v>0</v>
      </c>
      <c r="S46" s="142">
        <f>(Tabla18[[#This Row],[Debe]]-Tabla18[[#This Row],[Haber]])*
SUMIF('0_Indice_CAC'!$A:$A,Tabla18[[#This Row],[Mes]],'0_Indice_CAC'!$D:$D)</f>
        <v>7362.2160407256943</v>
      </c>
      <c r="T46" s="142">
        <f>Tabla18[[#This Row],[Debe]]-Tabla18[[#This Row],[Haber]]</f>
        <v>7600.01</v>
      </c>
      <c r="U46" s="322"/>
      <c r="V46" s="323"/>
      <c r="W46" s="142">
        <f t="shared" si="1"/>
        <v>7600.01</v>
      </c>
      <c r="X46" s="142" t="b">
        <f>ISNUMBER(MATCH(A46,'3_Control_Ppto'!$A$4:$A$70,0))</f>
        <v>1</v>
      </c>
      <c r="Y46" s="136"/>
    </row>
    <row r="47" spans="1:25" ht="12" customHeight="1" x14ac:dyDescent="0.3">
      <c r="A47" s="140" t="s">
        <v>1285</v>
      </c>
      <c r="B47" s="140" t="s">
        <v>4090</v>
      </c>
      <c r="C47" s="549">
        <f>+EOMONTH(Tabla18[[#This Row],[Fecha Asiento]],-1)+1</f>
        <v>45689</v>
      </c>
      <c r="D47" s="136">
        <v>53001</v>
      </c>
      <c r="E47" s="136" t="s">
        <v>4464</v>
      </c>
      <c r="F47" s="141">
        <v>45709</v>
      </c>
      <c r="G47" s="136">
        <v>1468</v>
      </c>
      <c r="H47" s="136" t="s">
        <v>4486</v>
      </c>
      <c r="I47" s="136" t="s">
        <v>4487</v>
      </c>
      <c r="J47" s="136" t="s">
        <v>4455</v>
      </c>
      <c r="K47" s="136">
        <v>500000619</v>
      </c>
      <c r="L47" s="138">
        <v>7438.02</v>
      </c>
      <c r="M47" s="138">
        <v>0</v>
      </c>
      <c r="N47" s="136" t="s">
        <v>4425</v>
      </c>
      <c r="O47" s="136" t="s">
        <v>4426</v>
      </c>
      <c r="P47" s="136" t="s">
        <v>4427</v>
      </c>
      <c r="Q47" s="136" t="s">
        <v>4428</v>
      </c>
      <c r="R47" s="136">
        <v>0</v>
      </c>
      <c r="S47" s="142">
        <f>(Tabla18[[#This Row],[Debe]]-Tabla18[[#This Row],[Haber]])*
SUMIF('0_Indice_CAC'!$A:$A,Tabla18[[#This Row],[Mes]],'0_Indice_CAC'!$D:$D)</f>
        <v>7205.2944871439022</v>
      </c>
      <c r="T47" s="142">
        <f>Tabla18[[#This Row],[Debe]]-Tabla18[[#This Row],[Haber]]</f>
        <v>7438.02</v>
      </c>
      <c r="U47" s="322"/>
      <c r="V47" s="323"/>
      <c r="W47" s="142">
        <f t="shared" si="1"/>
        <v>7438.02</v>
      </c>
      <c r="X47" s="142" t="b">
        <f>ISNUMBER(MATCH(A47,'3_Control_Ppto'!$A$4:$A$70,0))</f>
        <v>1</v>
      </c>
      <c r="Y47" s="136"/>
    </row>
    <row r="48" spans="1:25" ht="12" customHeight="1" x14ac:dyDescent="0.3">
      <c r="A48" s="140" t="s">
        <v>1285</v>
      </c>
      <c r="B48" s="140" t="s">
        <v>4090</v>
      </c>
      <c r="C48" s="549">
        <f>+EOMONTH(Tabla18[[#This Row],[Fecha Asiento]],-1)+1</f>
        <v>45689</v>
      </c>
      <c r="D48" s="136">
        <v>53001</v>
      </c>
      <c r="E48" s="136" t="s">
        <v>4464</v>
      </c>
      <c r="F48" s="141">
        <v>45709</v>
      </c>
      <c r="G48" s="136">
        <v>1470</v>
      </c>
      <c r="H48" s="136" t="s">
        <v>4488</v>
      </c>
      <c r="I48" s="136" t="s">
        <v>4489</v>
      </c>
      <c r="J48" s="136" t="s">
        <v>4455</v>
      </c>
      <c r="K48" s="136">
        <v>300005764</v>
      </c>
      <c r="L48" s="138">
        <v>5355.37</v>
      </c>
      <c r="M48" s="138">
        <v>0</v>
      </c>
      <c r="N48" s="136" t="s">
        <v>4425</v>
      </c>
      <c r="O48" s="136" t="s">
        <v>4426</v>
      </c>
      <c r="P48" s="136" t="s">
        <v>4427</v>
      </c>
      <c r="Q48" s="136" t="s">
        <v>4428</v>
      </c>
      <c r="R48" s="136">
        <v>0</v>
      </c>
      <c r="S48" s="142">
        <f>(Tabla18[[#This Row],[Debe]]-Tabla18[[#This Row],[Haber]])*
SUMIF('0_Indice_CAC'!$A:$A,Tabla18[[#This Row],[Mes]],'0_Indice_CAC'!$D:$D)</f>
        <v>5187.8077684136151</v>
      </c>
      <c r="T48" s="142">
        <f>Tabla18[[#This Row],[Debe]]-Tabla18[[#This Row],[Haber]]</f>
        <v>5355.37</v>
      </c>
      <c r="U48" s="322"/>
      <c r="V48" s="323"/>
      <c r="W48" s="142">
        <f t="shared" si="1"/>
        <v>5355.37</v>
      </c>
      <c r="X48" s="142" t="b">
        <f>ISNUMBER(MATCH(A48,'3_Control_Ppto'!$A$4:$A$70,0))</f>
        <v>1</v>
      </c>
      <c r="Y48" s="136"/>
    </row>
    <row r="49" spans="1:25" ht="12" customHeight="1" x14ac:dyDescent="0.3">
      <c r="A49" s="140" t="s">
        <v>106</v>
      </c>
      <c r="B49" s="140" t="s">
        <v>4090</v>
      </c>
      <c r="C49" s="549">
        <f>+EOMONTH(Tabla18[[#This Row],[Fecha Asiento]],-1)+1</f>
        <v>45689</v>
      </c>
      <c r="D49" s="136">
        <v>53008</v>
      </c>
      <c r="E49" s="136" t="s">
        <v>4490</v>
      </c>
      <c r="F49" s="141">
        <v>45709</v>
      </c>
      <c r="G49" s="136">
        <v>1469</v>
      </c>
      <c r="H49" s="136" t="s">
        <v>4491</v>
      </c>
      <c r="I49" s="136" t="s">
        <v>4466</v>
      </c>
      <c r="J49" s="136" t="s">
        <v>4455</v>
      </c>
      <c r="K49" s="136">
        <v>600010845</v>
      </c>
      <c r="L49" s="138">
        <v>7479.36</v>
      </c>
      <c r="M49" s="138">
        <v>0</v>
      </c>
      <c r="N49" s="136" t="s">
        <v>4425</v>
      </c>
      <c r="O49" s="136" t="s">
        <v>4426</v>
      </c>
      <c r="P49" s="136" t="s">
        <v>4427</v>
      </c>
      <c r="Q49" s="136" t="s">
        <v>4428</v>
      </c>
      <c r="R49" s="136">
        <v>0</v>
      </c>
      <c r="S49" s="142">
        <f>(Tabla18[[#This Row],[Debe]]-Tabla18[[#This Row],[Haber]])*
SUMIF('0_Indice_CAC'!$A:$A,Tabla18[[#This Row],[Mes]],'0_Indice_CAC'!$D:$D)</f>
        <v>7245.3410148621024</v>
      </c>
      <c r="T49" s="142">
        <f>Tabla18[[#This Row],[Debe]]-Tabla18[[#This Row],[Haber]]</f>
        <v>7479.36</v>
      </c>
      <c r="U49" s="322"/>
      <c r="V49" s="323"/>
      <c r="W49" s="142">
        <f t="shared" si="1"/>
        <v>7479.36</v>
      </c>
      <c r="X49" s="142" t="b">
        <f>ISNUMBER(MATCH(A49,'3_Control_Ppto'!$A$4:$A$70,0))</f>
        <v>1</v>
      </c>
      <c r="Y49" s="136"/>
    </row>
    <row r="50" spans="1:25" ht="12" customHeight="1" x14ac:dyDescent="0.3">
      <c r="A50" s="140" t="s">
        <v>106</v>
      </c>
      <c r="B50" s="140" t="s">
        <v>4090</v>
      </c>
      <c r="C50" s="549">
        <f>+EOMONTH(Tabla18[[#This Row],[Fecha Asiento]],-1)+1</f>
        <v>45689</v>
      </c>
      <c r="D50" s="136">
        <v>53023</v>
      </c>
      <c r="E50" s="136" t="s">
        <v>4467</v>
      </c>
      <c r="F50" s="141">
        <v>45709</v>
      </c>
      <c r="G50" s="136">
        <v>1161</v>
      </c>
      <c r="H50" s="136" t="s">
        <v>4468</v>
      </c>
      <c r="I50" s="136" t="s">
        <v>4423</v>
      </c>
      <c r="J50" s="136" t="s">
        <v>4424</v>
      </c>
      <c r="K50" s="136">
        <v>6575</v>
      </c>
      <c r="L50" s="138">
        <v>6480</v>
      </c>
      <c r="M50" s="138">
        <v>0</v>
      </c>
      <c r="N50" s="136" t="s">
        <v>4425</v>
      </c>
      <c r="O50" s="136" t="s">
        <v>4426</v>
      </c>
      <c r="P50" s="136" t="s">
        <v>4427</v>
      </c>
      <c r="Q50" s="136" t="s">
        <v>4428</v>
      </c>
      <c r="R50" s="136">
        <v>0</v>
      </c>
      <c r="S50" s="142">
        <f>(Tabla18[[#This Row],[Debe]]-Tabla18[[#This Row],[Haber]])*
SUMIF('0_Indice_CAC'!$A:$A,Tabla18[[#This Row],[Mes]],'0_Indice_CAC'!$D:$D)</f>
        <v>6277.2496278166082</v>
      </c>
      <c r="T50" s="142">
        <f>Tabla18[[#This Row],[Debe]]-Tabla18[[#This Row],[Haber]]</f>
        <v>6480</v>
      </c>
      <c r="U50" s="322"/>
      <c r="V50" s="323"/>
      <c r="W50" s="142">
        <f t="shared" si="1"/>
        <v>6480</v>
      </c>
      <c r="X50" s="142" t="b">
        <f>ISNUMBER(MATCH(A50,'3_Control_Ppto'!$A$4:$A$70,0))</f>
        <v>1</v>
      </c>
      <c r="Y50" s="136"/>
    </row>
    <row r="51" spans="1:25" ht="12" customHeight="1" x14ac:dyDescent="0.3">
      <c r="A51" s="140" t="s">
        <v>106</v>
      </c>
      <c r="B51" s="140" t="s">
        <v>4090</v>
      </c>
      <c r="C51" s="549">
        <f>+EOMONTH(Tabla18[[#This Row],[Fecha Asiento]],-1)+1</f>
        <v>45689</v>
      </c>
      <c r="D51" s="136">
        <v>53023</v>
      </c>
      <c r="E51" s="136" t="s">
        <v>4467</v>
      </c>
      <c r="F51" s="141">
        <v>45709</v>
      </c>
      <c r="G51" s="136">
        <v>1162</v>
      </c>
      <c r="H51" s="136" t="s">
        <v>4468</v>
      </c>
      <c r="I51" s="136" t="s">
        <v>4423</v>
      </c>
      <c r="J51" s="136" t="s">
        <v>4424</v>
      </c>
      <c r="K51" s="136">
        <v>6576</v>
      </c>
      <c r="L51" s="138">
        <v>9050.0300000000007</v>
      </c>
      <c r="M51" s="138">
        <v>0</v>
      </c>
      <c r="N51" s="136" t="s">
        <v>4425</v>
      </c>
      <c r="O51" s="136" t="s">
        <v>4426</v>
      </c>
      <c r="P51" s="136" t="s">
        <v>4427</v>
      </c>
      <c r="Q51" s="136" t="s">
        <v>4428</v>
      </c>
      <c r="R51" s="136">
        <v>0</v>
      </c>
      <c r="S51" s="142">
        <f>(Tabla18[[#This Row],[Debe]]-Tabla18[[#This Row],[Haber]])*
SUMIF('0_Indice_CAC'!$A:$A,Tabla18[[#This Row],[Mes]],'0_Indice_CAC'!$D:$D)</f>
        <v>8766.8668903131384</v>
      </c>
      <c r="T51" s="142">
        <f>Tabla18[[#This Row],[Debe]]-Tabla18[[#This Row],[Haber]]</f>
        <v>9050.0300000000007</v>
      </c>
      <c r="U51" s="322"/>
      <c r="V51" s="323"/>
      <c r="W51" s="142">
        <f t="shared" si="1"/>
        <v>9050.0300000000007</v>
      </c>
      <c r="X51" s="142" t="b">
        <f>ISNUMBER(MATCH(A51,'3_Control_Ppto'!$A$4:$A$70,0))</f>
        <v>1</v>
      </c>
      <c r="Y51" s="136"/>
    </row>
    <row r="52" spans="1:25" ht="12" customHeight="1" x14ac:dyDescent="0.3">
      <c r="A52" s="140" t="s">
        <v>4317</v>
      </c>
      <c r="B52" s="140" t="s">
        <v>56</v>
      </c>
      <c r="C52" s="549">
        <f>+EOMONTH(Tabla18[[#This Row],[Fecha Asiento]],-1)+1</f>
        <v>45689</v>
      </c>
      <c r="D52" s="136">
        <v>52103</v>
      </c>
      <c r="E52" s="136" t="s">
        <v>4477</v>
      </c>
      <c r="F52" s="141">
        <v>45713</v>
      </c>
      <c r="G52" s="136">
        <v>1165</v>
      </c>
      <c r="H52" s="136" t="s">
        <v>4478</v>
      </c>
      <c r="I52" s="136" t="s">
        <v>4423</v>
      </c>
      <c r="J52" s="136" t="s">
        <v>4424</v>
      </c>
      <c r="K52" s="136">
        <v>6579</v>
      </c>
      <c r="L52" s="138">
        <v>3050</v>
      </c>
      <c r="M52" s="138">
        <v>0</v>
      </c>
      <c r="N52" s="136" t="s">
        <v>4425</v>
      </c>
      <c r="O52" s="136" t="s">
        <v>4426</v>
      </c>
      <c r="P52" s="136" t="s">
        <v>4427</v>
      </c>
      <c r="Q52" s="136" t="s">
        <v>4428</v>
      </c>
      <c r="R52" s="136">
        <v>0</v>
      </c>
      <c r="S52" s="142">
        <f>(Tabla18[[#This Row],[Debe]]-Tabla18[[#This Row],[Haber]])*
SUMIF('0_Indice_CAC'!$A:$A,Tabla18[[#This Row],[Mes]],'0_Indice_CAC'!$D:$D)</f>
        <v>2954.5696550680022</v>
      </c>
      <c r="T52" s="142">
        <f>Tabla18[[#This Row],[Debe]]-Tabla18[[#This Row],[Haber]]</f>
        <v>3050</v>
      </c>
      <c r="U52" s="322"/>
      <c r="V52" s="323"/>
      <c r="W52" s="142">
        <f t="shared" si="1"/>
        <v>3050</v>
      </c>
      <c r="X52" s="142" t="b">
        <f>ISNUMBER(MATCH(A52,'3_Control_Ppto'!$A$4:$A$70,0))</f>
        <v>1</v>
      </c>
      <c r="Y52" s="136"/>
    </row>
    <row r="53" spans="1:25" ht="12" customHeight="1" x14ac:dyDescent="0.3">
      <c r="A53" s="140" t="s">
        <v>4317</v>
      </c>
      <c r="B53" s="140" t="s">
        <v>56</v>
      </c>
      <c r="C53" s="549">
        <f>+EOMONTH(Tabla18[[#This Row],[Fecha Asiento]],-1)+1</f>
        <v>45689</v>
      </c>
      <c r="D53" s="136">
        <v>52103</v>
      </c>
      <c r="E53" s="136" t="s">
        <v>4477</v>
      </c>
      <c r="F53" s="141">
        <v>45713</v>
      </c>
      <c r="G53" s="136">
        <v>1471</v>
      </c>
      <c r="H53" s="136" t="s">
        <v>4479</v>
      </c>
      <c r="I53" s="136" t="s">
        <v>4480</v>
      </c>
      <c r="J53" s="136" t="s">
        <v>4455</v>
      </c>
      <c r="K53" s="136">
        <v>1165100000041</v>
      </c>
      <c r="L53" s="138">
        <v>2520.66</v>
      </c>
      <c r="M53" s="138">
        <v>0</v>
      </c>
      <c r="N53" s="136" t="s">
        <v>4425</v>
      </c>
      <c r="O53" s="136" t="s">
        <v>4426</v>
      </c>
      <c r="P53" s="136" t="s">
        <v>4427</v>
      </c>
      <c r="Q53" s="136" t="s">
        <v>4428</v>
      </c>
      <c r="R53" s="136">
        <v>0</v>
      </c>
      <c r="S53" s="142">
        <f>(Tabla18[[#This Row],[Debe]]-Tabla18[[#This Row],[Haber]])*
SUMIF('0_Indice_CAC'!$A:$A,Tabla18[[#This Row],[Mes]],'0_Indice_CAC'!$D:$D)</f>
        <v>2441.7919825389213</v>
      </c>
      <c r="T53" s="142">
        <f>Tabla18[[#This Row],[Debe]]-Tabla18[[#This Row],[Haber]]</f>
        <v>2520.66</v>
      </c>
      <c r="U53" s="322"/>
      <c r="V53" s="323"/>
      <c r="W53" s="142">
        <f t="shared" si="1"/>
        <v>2520.66</v>
      </c>
      <c r="X53" s="142" t="b">
        <f>ISNUMBER(MATCH(A53,'3_Control_Ppto'!$A$4:$A$70,0))</f>
        <v>1</v>
      </c>
      <c r="Y53" s="136"/>
    </row>
    <row r="54" spans="1:25" ht="12" customHeight="1" x14ac:dyDescent="0.3">
      <c r="A54" s="140" t="s">
        <v>1285</v>
      </c>
      <c r="B54" s="140" t="s">
        <v>4090</v>
      </c>
      <c r="C54" s="549">
        <f>+EOMONTH(Tabla18[[#This Row],[Fecha Asiento]],-1)+1</f>
        <v>45689</v>
      </c>
      <c r="D54" s="136">
        <v>53001</v>
      </c>
      <c r="E54" s="136" t="s">
        <v>4464</v>
      </c>
      <c r="F54" s="141">
        <v>45713</v>
      </c>
      <c r="G54" s="136">
        <v>1472</v>
      </c>
      <c r="H54" s="136" t="s">
        <v>4492</v>
      </c>
      <c r="I54" s="136" t="s">
        <v>4487</v>
      </c>
      <c r="J54" s="136" t="s">
        <v>4455</v>
      </c>
      <c r="K54" s="136">
        <v>500000635</v>
      </c>
      <c r="L54" s="138">
        <v>6281</v>
      </c>
      <c r="M54" s="138">
        <v>0</v>
      </c>
      <c r="N54" s="136" t="s">
        <v>4425</v>
      </c>
      <c r="O54" s="136" t="s">
        <v>4426</v>
      </c>
      <c r="P54" s="136" t="s">
        <v>4427</v>
      </c>
      <c r="Q54" s="136" t="s">
        <v>4428</v>
      </c>
      <c r="R54" s="136">
        <v>0</v>
      </c>
      <c r="S54" s="142">
        <f>(Tabla18[[#This Row],[Debe]]-Tabla18[[#This Row],[Haber]])*
SUMIF('0_Indice_CAC'!$A:$A,Tabla18[[#This Row],[Mes]],'0_Indice_CAC'!$D:$D)</f>
        <v>6084.4760667154496</v>
      </c>
      <c r="T54" s="142">
        <f>Tabla18[[#This Row],[Debe]]-Tabla18[[#This Row],[Haber]]</f>
        <v>6281</v>
      </c>
      <c r="U54" s="322"/>
      <c r="V54" s="323"/>
      <c r="W54" s="142">
        <f t="shared" si="1"/>
        <v>6281</v>
      </c>
      <c r="X54" s="142" t="b">
        <f>ISNUMBER(MATCH(A54,'3_Control_Ppto'!$A$4:$A$70,0))</f>
        <v>1</v>
      </c>
      <c r="Y54" s="136"/>
    </row>
    <row r="55" spans="1:25" ht="12" customHeight="1" x14ac:dyDescent="0.3">
      <c r="A55" s="140" t="s">
        <v>25</v>
      </c>
      <c r="B55" s="140" t="s">
        <v>25</v>
      </c>
      <c r="C55" s="549">
        <f>+EOMONTH(Tabla18[[#This Row],[Fecha Asiento]],-1)+1</f>
        <v>45689</v>
      </c>
      <c r="D55" s="136">
        <v>52405</v>
      </c>
      <c r="E55" s="136" t="s">
        <v>4493</v>
      </c>
      <c r="F55" s="141">
        <v>45714</v>
      </c>
      <c r="G55" s="136">
        <v>1491</v>
      </c>
      <c r="H55" s="136" t="s">
        <v>4494</v>
      </c>
      <c r="I55" s="136" t="s">
        <v>4495</v>
      </c>
      <c r="J55" s="136" t="s">
        <v>4455</v>
      </c>
      <c r="K55" s="136">
        <v>400011783</v>
      </c>
      <c r="L55" s="138">
        <v>0.05</v>
      </c>
      <c r="M55" s="138">
        <v>0</v>
      </c>
      <c r="N55" s="136" t="s">
        <v>4425</v>
      </c>
      <c r="O55" s="136" t="s">
        <v>4426</v>
      </c>
      <c r="P55" s="136" t="s">
        <v>4427</v>
      </c>
      <c r="Q55" s="136" t="s">
        <v>4428</v>
      </c>
      <c r="R55" s="136">
        <v>0</v>
      </c>
      <c r="S55" s="142">
        <f>(Tabla18[[#This Row],[Debe]]-Tabla18[[#This Row],[Haber]])*
SUMIF('0_Indice_CAC'!$A:$A,Tabla18[[#This Row],[Mes]],'0_Indice_CAC'!$D:$D)</f>
        <v>4.8435568115868889E-2</v>
      </c>
      <c r="T55" s="142">
        <f>Tabla18[[#This Row],[Debe]]-Tabla18[[#This Row],[Haber]]</f>
        <v>0.05</v>
      </c>
      <c r="U55" s="322"/>
      <c r="V55" s="323"/>
      <c r="W55" s="142">
        <f t="shared" si="1"/>
        <v>0.05</v>
      </c>
      <c r="X55" s="142" t="b">
        <f>ISNUMBER(MATCH(A55,'3_Control_Ppto'!$A$4:$A$70,0))</f>
        <v>0</v>
      </c>
      <c r="Y55" s="136"/>
    </row>
    <row r="56" spans="1:25" ht="12" customHeight="1" x14ac:dyDescent="0.3">
      <c r="A56" s="140" t="s">
        <v>1478</v>
      </c>
      <c r="B56" s="140" t="s">
        <v>4090</v>
      </c>
      <c r="C56" s="549">
        <f>+EOMONTH(Tabla18[[#This Row],[Fecha Asiento]],-1)+1</f>
        <v>45689</v>
      </c>
      <c r="D56" s="136">
        <v>53004</v>
      </c>
      <c r="E56" s="136" t="s">
        <v>4496</v>
      </c>
      <c r="F56" s="141">
        <v>45714</v>
      </c>
      <c r="G56" s="136">
        <v>1491</v>
      </c>
      <c r="H56" s="136" t="s">
        <v>4497</v>
      </c>
      <c r="I56" s="136" t="s">
        <v>4495</v>
      </c>
      <c r="J56" s="136" t="s">
        <v>4455</v>
      </c>
      <c r="K56" s="136">
        <v>400011783</v>
      </c>
      <c r="L56" s="138">
        <v>1220419</v>
      </c>
      <c r="M56" s="138">
        <v>0</v>
      </c>
      <c r="N56" s="136" t="s">
        <v>4425</v>
      </c>
      <c r="O56" s="136" t="s">
        <v>4426</v>
      </c>
      <c r="P56" s="136" t="s">
        <v>4427</v>
      </c>
      <c r="Q56" s="136" t="s">
        <v>4428</v>
      </c>
      <c r="R56" s="136">
        <v>0</v>
      </c>
      <c r="S56" s="142">
        <f>(Tabla18[[#This Row],[Debe]]-Tabla18[[#This Row],[Haber]])*
SUMIF('0_Indice_CAC'!$A:$A,Tabla18[[#This Row],[Mes]],'0_Indice_CAC'!$D:$D)</f>
        <v>1182233.7520880119</v>
      </c>
      <c r="T56" s="142">
        <f>Tabla18[[#This Row],[Debe]]-Tabla18[[#This Row],[Haber]]</f>
        <v>1220419</v>
      </c>
      <c r="U56" s="322"/>
      <c r="V56" s="323"/>
      <c r="W56" s="142">
        <f t="shared" si="1"/>
        <v>1220419</v>
      </c>
      <c r="X56" s="142" t="b">
        <f>ISNUMBER(MATCH(A56,'3_Control_Ppto'!$A$4:$A$70,0))</f>
        <v>1</v>
      </c>
      <c r="Y56" s="136"/>
    </row>
    <row r="57" spans="1:25" ht="12" customHeight="1" x14ac:dyDescent="0.3">
      <c r="A57" s="140" t="s">
        <v>106</v>
      </c>
      <c r="B57" s="140" t="s">
        <v>4090</v>
      </c>
      <c r="C57" s="549">
        <f>+EOMONTH(Tabla18[[#This Row],[Fecha Asiento]],-1)+1</f>
        <v>45689</v>
      </c>
      <c r="D57" s="136">
        <v>53023</v>
      </c>
      <c r="E57" s="136" t="s">
        <v>4467</v>
      </c>
      <c r="F57" s="141">
        <v>45714</v>
      </c>
      <c r="G57" s="136">
        <v>1166</v>
      </c>
      <c r="H57" s="136" t="s">
        <v>4468</v>
      </c>
      <c r="I57" s="136" t="s">
        <v>4423</v>
      </c>
      <c r="J57" s="136" t="s">
        <v>4424</v>
      </c>
      <c r="K57" s="136">
        <v>6580</v>
      </c>
      <c r="L57" s="138">
        <v>6599.99</v>
      </c>
      <c r="M57" s="138">
        <v>0</v>
      </c>
      <c r="N57" s="136" t="s">
        <v>4425</v>
      </c>
      <c r="O57" s="136" t="s">
        <v>4426</v>
      </c>
      <c r="P57" s="136" t="s">
        <v>4427</v>
      </c>
      <c r="Q57" s="136" t="s">
        <v>4428</v>
      </c>
      <c r="R57" s="136">
        <v>0</v>
      </c>
      <c r="S57" s="142">
        <f>(Tabla18[[#This Row],[Debe]]-Tabla18[[#This Row],[Haber]])*
SUMIF('0_Indice_CAC'!$A:$A,Tabla18[[#This Row],[Mes]],'0_Indice_CAC'!$D:$D)</f>
        <v>6393.4853041810702</v>
      </c>
      <c r="T57" s="142">
        <f>Tabla18[[#This Row],[Debe]]-Tabla18[[#This Row],[Haber]]</f>
        <v>6599.99</v>
      </c>
      <c r="U57" s="322"/>
      <c r="V57" s="323"/>
      <c r="W57" s="142">
        <f t="shared" si="1"/>
        <v>6599.99</v>
      </c>
      <c r="X57" s="142" t="b">
        <f>ISNUMBER(MATCH(A57,'3_Control_Ppto'!$A$4:$A$70,0))</f>
        <v>1</v>
      </c>
      <c r="Y57" s="136"/>
    </row>
    <row r="58" spans="1:25" ht="12" customHeight="1" x14ac:dyDescent="0.3">
      <c r="A58" s="140" t="s">
        <v>106</v>
      </c>
      <c r="B58" s="140" t="s">
        <v>4090</v>
      </c>
      <c r="C58" s="549">
        <f>+EOMONTH(Tabla18[[#This Row],[Fecha Asiento]],-1)+1</f>
        <v>45689</v>
      </c>
      <c r="D58" s="136">
        <v>53023</v>
      </c>
      <c r="E58" s="136" t="s">
        <v>4467</v>
      </c>
      <c r="F58" s="141">
        <v>45714</v>
      </c>
      <c r="G58" s="136">
        <v>1473</v>
      </c>
      <c r="H58" s="136" t="s">
        <v>4498</v>
      </c>
      <c r="I58" s="136" t="s">
        <v>4466</v>
      </c>
      <c r="J58" s="136" t="s">
        <v>4455</v>
      </c>
      <c r="K58" s="136">
        <v>600010876</v>
      </c>
      <c r="L58" s="138">
        <v>5454.54</v>
      </c>
      <c r="M58" s="138">
        <v>0</v>
      </c>
      <c r="N58" s="136" t="s">
        <v>4425</v>
      </c>
      <c r="O58" s="136" t="s">
        <v>4426</v>
      </c>
      <c r="P58" s="136" t="s">
        <v>4427</v>
      </c>
      <c r="Q58" s="136" t="s">
        <v>4428</v>
      </c>
      <c r="R58" s="136">
        <v>0</v>
      </c>
      <c r="S58" s="142">
        <f>(Tabla18[[#This Row],[Debe]]-Tabla18[[#This Row],[Haber]])*
SUMIF('0_Indice_CAC'!$A:$A,Tabla18[[#This Row],[Mes]],'0_Indice_CAC'!$D:$D)</f>
        <v>5283.8748742146299</v>
      </c>
      <c r="T58" s="142">
        <f>Tabla18[[#This Row],[Debe]]-Tabla18[[#This Row],[Haber]]</f>
        <v>5454.54</v>
      </c>
      <c r="U58" s="322"/>
      <c r="V58" s="323"/>
      <c r="W58" s="142">
        <f t="shared" si="1"/>
        <v>5454.54</v>
      </c>
      <c r="X58" s="142" t="b">
        <f>ISNUMBER(MATCH(A58,'3_Control_Ppto'!$A$4:$A$70,0))</f>
        <v>1</v>
      </c>
      <c r="Y58" s="136"/>
    </row>
    <row r="59" spans="1:25" ht="12" customHeight="1" x14ac:dyDescent="0.3">
      <c r="A59" s="140" t="s">
        <v>1285</v>
      </c>
      <c r="B59" s="140" t="s">
        <v>25</v>
      </c>
      <c r="C59" s="549">
        <f>+EOMONTH(Tabla18[[#This Row],[Fecha Asiento]],-1)+1</f>
        <v>45689</v>
      </c>
      <c r="D59" s="136">
        <v>53001</v>
      </c>
      <c r="E59" s="136" t="s">
        <v>4464</v>
      </c>
      <c r="F59" s="141">
        <v>45716</v>
      </c>
      <c r="G59" s="136">
        <v>592</v>
      </c>
      <c r="H59" s="136" t="s">
        <v>4499</v>
      </c>
      <c r="I59" s="136" t="s">
        <v>4423</v>
      </c>
      <c r="J59" s="136" t="s">
        <v>4424</v>
      </c>
      <c r="K59" s="136">
        <v>6018</v>
      </c>
      <c r="L59" s="138">
        <v>100000</v>
      </c>
      <c r="M59" s="138">
        <v>0</v>
      </c>
      <c r="N59" s="136" t="s">
        <v>4425</v>
      </c>
      <c r="O59" s="136" t="s">
        <v>4426</v>
      </c>
      <c r="P59" s="136" t="s">
        <v>4427</v>
      </c>
      <c r="Q59" s="136" t="s">
        <v>4428</v>
      </c>
      <c r="R59" s="136">
        <v>0</v>
      </c>
      <c r="S59" s="142">
        <f>(Tabla18[[#This Row],[Debe]]-Tabla18[[#This Row],[Haber]])*
SUMIF('0_Indice_CAC'!$A:$A,Tabla18[[#This Row],[Mes]],'0_Indice_CAC'!$D:$D)</f>
        <v>96871.136231737779</v>
      </c>
      <c r="T59" s="142">
        <f>Tabla18[[#This Row],[Debe]]-Tabla18[[#This Row],[Haber]]</f>
        <v>100000</v>
      </c>
      <c r="U59" s="322"/>
      <c r="V59" s="323"/>
      <c r="W59" s="142">
        <f t="shared" si="1"/>
        <v>100000</v>
      </c>
      <c r="X59" s="142" t="b">
        <f>ISNUMBER(MATCH(A59,'3_Control_Ppto'!$A$4:$A$70,0))</f>
        <v>1</v>
      </c>
      <c r="Y59" s="136"/>
    </row>
    <row r="60" spans="1:25" ht="12" customHeight="1" x14ac:dyDescent="0.3">
      <c r="A60" s="140" t="s">
        <v>1285</v>
      </c>
      <c r="B60" s="140" t="s">
        <v>25</v>
      </c>
      <c r="C60" s="549">
        <f>+EOMONTH(Tabla18[[#This Row],[Fecha Asiento]],-1)+1</f>
        <v>45689</v>
      </c>
      <c r="D60" s="136">
        <v>53001</v>
      </c>
      <c r="E60" s="136" t="s">
        <v>4464</v>
      </c>
      <c r="F60" s="141">
        <v>45716</v>
      </c>
      <c r="G60" s="136">
        <v>593</v>
      </c>
      <c r="H60" s="136" t="s">
        <v>4500</v>
      </c>
      <c r="I60" s="136" t="s">
        <v>4423</v>
      </c>
      <c r="J60" s="136" t="s">
        <v>4424</v>
      </c>
      <c r="K60" s="136">
        <v>6019</v>
      </c>
      <c r="L60" s="138">
        <v>100000</v>
      </c>
      <c r="M60" s="138">
        <v>0</v>
      </c>
      <c r="N60" s="136" t="s">
        <v>4425</v>
      </c>
      <c r="O60" s="136" t="s">
        <v>4426</v>
      </c>
      <c r="P60" s="136" t="s">
        <v>4427</v>
      </c>
      <c r="Q60" s="136" t="s">
        <v>4428</v>
      </c>
      <c r="R60" s="136">
        <v>0</v>
      </c>
      <c r="S60" s="142">
        <f>(Tabla18[[#This Row],[Debe]]-Tabla18[[#This Row],[Haber]])*
SUMIF('0_Indice_CAC'!$A:$A,Tabla18[[#This Row],[Mes]],'0_Indice_CAC'!$D:$D)</f>
        <v>96871.136231737779</v>
      </c>
      <c r="T60" s="142">
        <f>Tabla18[[#This Row],[Debe]]-Tabla18[[#This Row],[Haber]]</f>
        <v>100000</v>
      </c>
      <c r="U60" s="322"/>
      <c r="V60" s="323"/>
      <c r="W60" s="142">
        <f t="shared" si="1"/>
        <v>100000</v>
      </c>
      <c r="X60" s="142" t="b">
        <f>ISNUMBER(MATCH(A60,'3_Control_Ppto'!$A$4:$A$70,0))</f>
        <v>1</v>
      </c>
      <c r="Y60" s="136"/>
    </row>
    <row r="61" spans="1:25" ht="12" customHeight="1" x14ac:dyDescent="0.3">
      <c r="A61" s="140" t="s">
        <v>1285</v>
      </c>
      <c r="B61" s="140" t="s">
        <v>25</v>
      </c>
      <c r="C61" s="549">
        <f>+EOMONTH(Tabla18[[#This Row],[Fecha Asiento]],-1)+1</f>
        <v>45689</v>
      </c>
      <c r="D61" s="136">
        <v>53001</v>
      </c>
      <c r="E61" s="136" t="s">
        <v>4464</v>
      </c>
      <c r="F61" s="141">
        <v>45716</v>
      </c>
      <c r="G61" s="136">
        <v>594</v>
      </c>
      <c r="H61" s="136" t="s">
        <v>4501</v>
      </c>
      <c r="I61" s="136" t="s">
        <v>4423</v>
      </c>
      <c r="J61" s="136" t="s">
        <v>4424</v>
      </c>
      <c r="K61" s="136">
        <v>6020</v>
      </c>
      <c r="L61" s="138">
        <v>100000</v>
      </c>
      <c r="M61" s="138">
        <v>0</v>
      </c>
      <c r="N61" s="136" t="s">
        <v>4425</v>
      </c>
      <c r="O61" s="136" t="s">
        <v>4426</v>
      </c>
      <c r="P61" s="136" t="s">
        <v>4427</v>
      </c>
      <c r="Q61" s="136" t="s">
        <v>4428</v>
      </c>
      <c r="R61" s="136">
        <v>0</v>
      </c>
      <c r="S61" s="142">
        <f>(Tabla18[[#This Row],[Debe]]-Tabla18[[#This Row],[Haber]])*
SUMIF('0_Indice_CAC'!$A:$A,Tabla18[[#This Row],[Mes]],'0_Indice_CAC'!$D:$D)</f>
        <v>96871.136231737779</v>
      </c>
      <c r="T61" s="142">
        <f>Tabla18[[#This Row],[Debe]]-Tabla18[[#This Row],[Haber]]</f>
        <v>100000</v>
      </c>
      <c r="U61" s="322"/>
      <c r="V61" s="323"/>
      <c r="W61" s="142">
        <f t="shared" si="1"/>
        <v>100000</v>
      </c>
      <c r="X61" s="142" t="b">
        <f>ISNUMBER(MATCH(A61,'3_Control_Ppto'!$A$4:$A$70,0))</f>
        <v>1</v>
      </c>
      <c r="Y61" s="136"/>
    </row>
    <row r="62" spans="1:25" ht="12" customHeight="1" x14ac:dyDescent="0.3">
      <c r="A62" s="140" t="s">
        <v>4310</v>
      </c>
      <c r="B62" s="140" t="s">
        <v>56</v>
      </c>
      <c r="C62" s="549">
        <f>+EOMONTH(Tabla18[[#This Row],[Fecha Asiento]],-1)+1</f>
        <v>45717</v>
      </c>
      <c r="D62" s="136">
        <v>52204</v>
      </c>
      <c r="E62" s="136" t="s">
        <v>4452</v>
      </c>
      <c r="F62" s="141">
        <v>45721</v>
      </c>
      <c r="G62" s="136">
        <v>1438</v>
      </c>
      <c r="H62" s="136" t="s">
        <v>4453</v>
      </c>
      <c r="I62" s="136" t="s">
        <v>4454</v>
      </c>
      <c r="J62" s="136" t="s">
        <v>4455</v>
      </c>
      <c r="K62" s="136">
        <v>300001173</v>
      </c>
      <c r="L62" s="138">
        <v>307000</v>
      </c>
      <c r="M62" s="138">
        <v>0</v>
      </c>
      <c r="N62" s="136" t="s">
        <v>4425</v>
      </c>
      <c r="O62" s="136" t="s">
        <v>4426</v>
      </c>
      <c r="P62" s="136" t="s">
        <v>4427</v>
      </c>
      <c r="Q62" s="136" t="s">
        <v>4428</v>
      </c>
      <c r="R62" s="136">
        <v>0</v>
      </c>
      <c r="S62" s="142">
        <f>(Tabla18[[#This Row],[Debe]]-Tabla18[[#This Row],[Haber]])*
SUMIF('0_Indice_CAC'!$A:$A,Tabla18[[#This Row],[Mes]],'0_Indice_CAC'!$D:$D)</f>
        <v>294735.66150268202</v>
      </c>
      <c r="T62" s="142">
        <f>Tabla18[[#This Row],[Debe]]-Tabla18[[#This Row],[Haber]]</f>
        <v>307000</v>
      </c>
      <c r="U62" s="322"/>
      <c r="V62" s="323"/>
      <c r="W62" s="142">
        <f t="shared" si="1"/>
        <v>307000</v>
      </c>
      <c r="X62" s="142" t="b">
        <f>ISNUMBER(MATCH(A62,'3_Control_Ppto'!$A$4:$A$70,0))</f>
        <v>1</v>
      </c>
      <c r="Y62" s="136"/>
    </row>
    <row r="63" spans="1:25" ht="12" customHeight="1" x14ac:dyDescent="0.3">
      <c r="A63" s="140" t="s">
        <v>106</v>
      </c>
      <c r="B63" s="140" t="s">
        <v>4090</v>
      </c>
      <c r="C63" s="549">
        <f>+EOMONTH(Tabla18[[#This Row],[Fecha Asiento]],-1)+1</f>
        <v>45717</v>
      </c>
      <c r="D63" s="136">
        <v>53023</v>
      </c>
      <c r="E63" s="136" t="s">
        <v>4467</v>
      </c>
      <c r="F63" s="141">
        <v>45721</v>
      </c>
      <c r="G63" s="136">
        <v>1500</v>
      </c>
      <c r="H63" s="136" t="s">
        <v>4502</v>
      </c>
      <c r="I63" s="136" t="s">
        <v>4463</v>
      </c>
      <c r="J63" s="136" t="s">
        <v>4455</v>
      </c>
      <c r="K63" s="136">
        <v>300004802</v>
      </c>
      <c r="L63" s="138">
        <v>11201.33</v>
      </c>
      <c r="M63" s="138">
        <v>0</v>
      </c>
      <c r="N63" s="136" t="s">
        <v>4425</v>
      </c>
      <c r="O63" s="136" t="s">
        <v>4426</v>
      </c>
      <c r="P63" s="136" t="s">
        <v>4427</v>
      </c>
      <c r="Q63" s="136" t="s">
        <v>4428</v>
      </c>
      <c r="R63" s="136">
        <v>0</v>
      </c>
      <c r="S63" s="142">
        <f>(Tabla18[[#This Row],[Debe]]-Tabla18[[#This Row],[Haber]])*
SUMIF('0_Indice_CAC'!$A:$A,Tabla18[[#This Row],[Mes]],'0_Indice_CAC'!$D:$D)</f>
        <v>10753.848232116734</v>
      </c>
      <c r="T63" s="142">
        <f>Tabla18[[#This Row],[Debe]]-Tabla18[[#This Row],[Haber]]</f>
        <v>11201.33</v>
      </c>
      <c r="U63" s="322"/>
      <c r="V63" s="323"/>
      <c r="W63" s="142">
        <f t="shared" si="1"/>
        <v>11201.33</v>
      </c>
      <c r="X63" s="142" t="b">
        <f>ISNUMBER(MATCH(A63,'3_Control_Ppto'!$A$4:$A$70,0))</f>
        <v>1</v>
      </c>
      <c r="Y63" s="136"/>
    </row>
    <row r="64" spans="1:25" ht="12" customHeight="1" x14ac:dyDescent="0.3">
      <c r="A64" s="140" t="s">
        <v>4310</v>
      </c>
      <c r="B64" s="140" t="s">
        <v>56</v>
      </c>
      <c r="C64" s="549">
        <f>+EOMONTH(Tabla18[[#This Row],[Fecha Asiento]],-1)+1</f>
        <v>45717</v>
      </c>
      <c r="D64" s="136">
        <v>53026</v>
      </c>
      <c r="E64" s="136" t="s">
        <v>4310</v>
      </c>
      <c r="F64" s="141">
        <v>45721</v>
      </c>
      <c r="G64" s="136">
        <v>1440</v>
      </c>
      <c r="H64" s="136" t="s">
        <v>4503</v>
      </c>
      <c r="I64" s="136" t="s">
        <v>4504</v>
      </c>
      <c r="J64" s="136" t="s">
        <v>4455</v>
      </c>
      <c r="K64" s="136">
        <v>300001240</v>
      </c>
      <c r="L64" s="138">
        <v>149000</v>
      </c>
      <c r="M64" s="138">
        <v>0</v>
      </c>
      <c r="N64" s="136" t="s">
        <v>4425</v>
      </c>
      <c r="O64" s="136" t="s">
        <v>4426</v>
      </c>
      <c r="P64" s="136" t="s">
        <v>4427</v>
      </c>
      <c r="Q64" s="136" t="s">
        <v>4428</v>
      </c>
      <c r="R64" s="136">
        <v>0</v>
      </c>
      <c r="S64" s="142">
        <f>(Tabla18[[#This Row],[Debe]]-Tabla18[[#This Row],[Haber]])*
SUMIF('0_Indice_CAC'!$A:$A,Tabla18[[#This Row],[Mes]],'0_Indice_CAC'!$D:$D)</f>
        <v>143047.60118534078</v>
      </c>
      <c r="T64" s="142">
        <f>Tabla18[[#This Row],[Debe]]-Tabla18[[#This Row],[Haber]]</f>
        <v>149000</v>
      </c>
      <c r="U64" s="322"/>
      <c r="V64" s="323"/>
      <c r="W64" s="142">
        <f t="shared" si="1"/>
        <v>149000</v>
      </c>
      <c r="X64" s="142" t="b">
        <f>ISNUMBER(MATCH(A64,'3_Control_Ppto'!$A$4:$A$70,0))</f>
        <v>1</v>
      </c>
      <c r="Y64" s="136"/>
    </row>
    <row r="65" spans="1:25" ht="12" customHeight="1" x14ac:dyDescent="0.3">
      <c r="A65" s="140" t="s">
        <v>1285</v>
      </c>
      <c r="B65" s="140" t="s">
        <v>4090</v>
      </c>
      <c r="C65" s="549">
        <f>+EOMONTH(Tabla18[[#This Row],[Fecha Asiento]],-1)+1</f>
        <v>45717</v>
      </c>
      <c r="D65" s="136">
        <v>53001</v>
      </c>
      <c r="E65" s="136" t="s">
        <v>4464</v>
      </c>
      <c r="F65" s="141">
        <v>45722</v>
      </c>
      <c r="G65" s="136">
        <v>1945</v>
      </c>
      <c r="H65" s="136" t="s">
        <v>4505</v>
      </c>
      <c r="I65" s="136" t="s">
        <v>4506</v>
      </c>
      <c r="J65" s="136" t="s">
        <v>4455</v>
      </c>
      <c r="K65" s="136">
        <v>1400064174</v>
      </c>
      <c r="L65" s="138">
        <v>9092.01</v>
      </c>
      <c r="M65" s="138">
        <v>0</v>
      </c>
      <c r="N65" s="136" t="s">
        <v>4425</v>
      </c>
      <c r="O65" s="136" t="s">
        <v>4426</v>
      </c>
      <c r="P65" s="136" t="s">
        <v>4427</v>
      </c>
      <c r="Q65" s="136" t="s">
        <v>4428</v>
      </c>
      <c r="R65" s="136">
        <v>0</v>
      </c>
      <c r="S65" s="142">
        <f>(Tabla18[[#This Row],[Debe]]-Tabla18[[#This Row],[Haber]])*
SUMIF('0_Indice_CAC'!$A:$A,Tabla18[[#This Row],[Mes]],'0_Indice_CAC'!$D:$D)</f>
        <v>8728.7934258599362</v>
      </c>
      <c r="T65" s="142">
        <f>Tabla18[[#This Row],[Debe]]-Tabla18[[#This Row],[Haber]]</f>
        <v>9092.01</v>
      </c>
      <c r="U65" s="322"/>
      <c r="V65" s="323"/>
      <c r="W65" s="142">
        <f t="shared" si="1"/>
        <v>9092.01</v>
      </c>
      <c r="X65" s="142" t="b">
        <f>ISNUMBER(MATCH(A65,'3_Control_Ppto'!$A$4:$A$70,0))</f>
        <v>1</v>
      </c>
      <c r="Y65" s="136"/>
    </row>
    <row r="66" spans="1:25" ht="12" customHeight="1" x14ac:dyDescent="0.3">
      <c r="A66" s="140" t="s">
        <v>4165</v>
      </c>
      <c r="B66" s="140" t="s">
        <v>4090</v>
      </c>
      <c r="C66" s="549">
        <f>+EOMONTH(Tabla18[[#This Row],[Fecha Asiento]],-1)+1</f>
        <v>45717</v>
      </c>
      <c r="D66" s="136">
        <v>53010</v>
      </c>
      <c r="E66" s="136" t="s">
        <v>4507</v>
      </c>
      <c r="F66" s="141">
        <v>45722</v>
      </c>
      <c r="G66" s="136">
        <v>1167</v>
      </c>
      <c r="H66" s="136" t="s">
        <v>4508</v>
      </c>
      <c r="I66" s="136" t="s">
        <v>4423</v>
      </c>
      <c r="J66" s="136" t="s">
        <v>4424</v>
      </c>
      <c r="K66" s="136">
        <v>6581</v>
      </c>
      <c r="L66" s="138">
        <v>11228.53</v>
      </c>
      <c r="M66" s="138">
        <v>0</v>
      </c>
      <c r="N66" s="136" t="s">
        <v>4425</v>
      </c>
      <c r="O66" s="136" t="s">
        <v>4426</v>
      </c>
      <c r="P66" s="136" t="s">
        <v>4427</v>
      </c>
      <c r="Q66" s="136" t="s">
        <v>4428</v>
      </c>
      <c r="R66" s="136">
        <v>0</v>
      </c>
      <c r="S66" s="142">
        <f>(Tabla18[[#This Row],[Debe]]-Tabla18[[#This Row],[Haber]])*
SUMIF('0_Indice_CAC'!$A:$A,Tabla18[[#This Row],[Mes]],'0_Indice_CAC'!$D:$D)</f>
        <v>10779.96161971567</v>
      </c>
      <c r="T66" s="142">
        <f>Tabla18[[#This Row],[Debe]]-Tabla18[[#This Row],[Haber]]</f>
        <v>11228.53</v>
      </c>
      <c r="U66" s="322"/>
      <c r="V66" s="323"/>
      <c r="W66" s="142">
        <f t="shared" ref="W66:W97" si="2">IFERROR(T66-IF(V66="",0,V66),0)</f>
        <v>11228.53</v>
      </c>
      <c r="X66" s="142" t="b">
        <f>ISNUMBER(MATCH(A66,'3_Control_Ppto'!$A$4:$A$70,0))</f>
        <v>1</v>
      </c>
      <c r="Y66" s="136"/>
    </row>
    <row r="67" spans="1:25" ht="12" customHeight="1" x14ac:dyDescent="0.3">
      <c r="A67" s="140" t="s">
        <v>25</v>
      </c>
      <c r="B67" s="140" t="s">
        <v>25</v>
      </c>
      <c r="C67" s="549">
        <f>+EOMONTH(Tabla18[[#This Row],[Fecha Asiento]],-1)+1</f>
        <v>45717</v>
      </c>
      <c r="D67" s="136">
        <v>52405</v>
      </c>
      <c r="E67" s="136" t="s">
        <v>4493</v>
      </c>
      <c r="F67" s="141">
        <v>45723</v>
      </c>
      <c r="G67" s="136">
        <v>1804</v>
      </c>
      <c r="H67" s="136" t="s">
        <v>4509</v>
      </c>
      <c r="I67" s="136" t="s">
        <v>4510</v>
      </c>
      <c r="J67" s="136" t="s">
        <v>4455</v>
      </c>
      <c r="K67" s="136">
        <v>200011812</v>
      </c>
      <c r="L67" s="138">
        <v>0.01</v>
      </c>
      <c r="M67" s="138">
        <v>0</v>
      </c>
      <c r="N67" s="136" t="s">
        <v>4425</v>
      </c>
      <c r="O67" s="136" t="s">
        <v>4426</v>
      </c>
      <c r="P67" s="136" t="s">
        <v>4427</v>
      </c>
      <c r="Q67" s="136" t="s">
        <v>4428</v>
      </c>
      <c r="R67" s="136">
        <v>0</v>
      </c>
      <c r="S67" s="142">
        <f>(Tabla18[[#This Row],[Debe]]-Tabla18[[#This Row],[Haber]])*
SUMIF('0_Indice_CAC'!$A:$A,Tabla18[[#This Row],[Mes]],'0_Indice_CAC'!$D:$D)</f>
        <v>9.6005101466671676E-3</v>
      </c>
      <c r="T67" s="142">
        <f>Tabla18[[#This Row],[Debe]]-Tabla18[[#This Row],[Haber]]</f>
        <v>0.01</v>
      </c>
      <c r="U67" s="322"/>
      <c r="V67" s="323"/>
      <c r="W67" s="142">
        <f t="shared" si="2"/>
        <v>0.01</v>
      </c>
      <c r="X67" s="142" t="b">
        <f>ISNUMBER(MATCH(A67,'3_Control_Ppto'!$A$4:$A$70,0))</f>
        <v>0</v>
      </c>
      <c r="Y67" s="136"/>
    </row>
    <row r="68" spans="1:25" ht="12" customHeight="1" x14ac:dyDescent="0.3">
      <c r="A68" s="140" t="s">
        <v>25</v>
      </c>
      <c r="B68" s="140" t="s">
        <v>25</v>
      </c>
      <c r="C68" s="549">
        <f>+EOMONTH(Tabla18[[#This Row],[Fecha Asiento]],-1)+1</f>
        <v>45717</v>
      </c>
      <c r="D68" s="136">
        <v>52405</v>
      </c>
      <c r="E68" s="136" t="s">
        <v>4493</v>
      </c>
      <c r="F68" s="141">
        <v>45723</v>
      </c>
      <c r="G68" s="136">
        <v>1805</v>
      </c>
      <c r="H68" s="136" t="s">
        <v>4509</v>
      </c>
      <c r="I68" s="136" t="s">
        <v>4510</v>
      </c>
      <c r="J68" s="136" t="s">
        <v>4455</v>
      </c>
      <c r="K68" s="136">
        <v>200011805</v>
      </c>
      <c r="L68" s="138">
        <v>0.01</v>
      </c>
      <c r="M68" s="138">
        <v>0</v>
      </c>
      <c r="N68" s="136" t="s">
        <v>4425</v>
      </c>
      <c r="O68" s="136" t="s">
        <v>4426</v>
      </c>
      <c r="P68" s="136" t="s">
        <v>4427</v>
      </c>
      <c r="Q68" s="136" t="s">
        <v>4428</v>
      </c>
      <c r="R68" s="136">
        <v>0</v>
      </c>
      <c r="S68" s="142">
        <f>(Tabla18[[#This Row],[Debe]]-Tabla18[[#This Row],[Haber]])*
SUMIF('0_Indice_CAC'!$A:$A,Tabla18[[#This Row],[Mes]],'0_Indice_CAC'!$D:$D)</f>
        <v>9.6005101466671676E-3</v>
      </c>
      <c r="T68" s="142">
        <f>Tabla18[[#This Row],[Debe]]-Tabla18[[#This Row],[Haber]]</f>
        <v>0.01</v>
      </c>
      <c r="U68" s="322"/>
      <c r="V68" s="323"/>
      <c r="W68" s="142">
        <f t="shared" si="2"/>
        <v>0.01</v>
      </c>
      <c r="X68" s="142" t="b">
        <f>ISNUMBER(MATCH(A68,'3_Control_Ppto'!$A$4:$A$70,0))</f>
        <v>0</v>
      </c>
      <c r="Y68" s="136"/>
    </row>
    <row r="69" spans="1:25" ht="12" customHeight="1" x14ac:dyDescent="0.3">
      <c r="A69" s="140" t="s">
        <v>1285</v>
      </c>
      <c r="B69" s="140" t="s">
        <v>4090</v>
      </c>
      <c r="C69" s="549">
        <f>+EOMONTH(Tabla18[[#This Row],[Fecha Asiento]],-1)+1</f>
        <v>45717</v>
      </c>
      <c r="D69" s="136">
        <v>53001</v>
      </c>
      <c r="E69" s="136" t="s">
        <v>4464</v>
      </c>
      <c r="F69" s="141">
        <v>45723</v>
      </c>
      <c r="G69" s="136">
        <v>1804</v>
      </c>
      <c r="H69" s="136" t="s">
        <v>4511</v>
      </c>
      <c r="I69" s="136" t="s">
        <v>4510</v>
      </c>
      <c r="J69" s="136" t="s">
        <v>4455</v>
      </c>
      <c r="K69" s="136">
        <v>200011812</v>
      </c>
      <c r="L69" s="138">
        <v>2254328.19</v>
      </c>
      <c r="M69" s="138">
        <v>0</v>
      </c>
      <c r="N69" s="136" t="s">
        <v>4425</v>
      </c>
      <c r="O69" s="136" t="s">
        <v>4426</v>
      </c>
      <c r="P69" s="136" t="s">
        <v>4427</v>
      </c>
      <c r="Q69" s="136" t="s">
        <v>4428</v>
      </c>
      <c r="R69" s="136">
        <v>0</v>
      </c>
      <c r="S69" s="142">
        <f>(Tabla18[[#This Row],[Debe]]-Tabla18[[#This Row],[Haber]])*
SUMIF('0_Indice_CAC'!$A:$A,Tabla18[[#This Row],[Mes]],'0_Indice_CAC'!$D:$D)</f>
        <v>2164270.0662012827</v>
      </c>
      <c r="T69" s="142">
        <f>Tabla18[[#This Row],[Debe]]-Tabla18[[#This Row],[Haber]]</f>
        <v>2254328.19</v>
      </c>
      <c r="U69" s="322"/>
      <c r="V69" s="323"/>
      <c r="W69" s="142">
        <f t="shared" si="2"/>
        <v>2254328.19</v>
      </c>
      <c r="X69" s="142" t="b">
        <f>ISNUMBER(MATCH(A69,'3_Control_Ppto'!$A$4:$A$70,0))</f>
        <v>1</v>
      </c>
      <c r="Y69" s="136"/>
    </row>
    <row r="70" spans="1:25" ht="12" customHeight="1" x14ac:dyDescent="0.3">
      <c r="A70" s="140" t="s">
        <v>1478</v>
      </c>
      <c r="B70" s="140" t="s">
        <v>4090</v>
      </c>
      <c r="C70" s="549">
        <f>+EOMONTH(Tabla18[[#This Row],[Fecha Asiento]],-1)+1</f>
        <v>45717</v>
      </c>
      <c r="D70" s="136">
        <v>53004</v>
      </c>
      <c r="E70" s="136" t="s">
        <v>4496</v>
      </c>
      <c r="F70" s="141">
        <v>45723</v>
      </c>
      <c r="G70" s="136">
        <v>1805</v>
      </c>
      <c r="H70" s="136" t="s">
        <v>4512</v>
      </c>
      <c r="I70" s="136" t="s">
        <v>4510</v>
      </c>
      <c r="J70" s="136" t="s">
        <v>4455</v>
      </c>
      <c r="K70" s="136">
        <v>200011805</v>
      </c>
      <c r="L70" s="138">
        <v>2389199.1</v>
      </c>
      <c r="M70" s="138">
        <v>0</v>
      </c>
      <c r="N70" s="136" t="s">
        <v>4425</v>
      </c>
      <c r="O70" s="136" t="s">
        <v>4426</v>
      </c>
      <c r="P70" s="136" t="s">
        <v>4427</v>
      </c>
      <c r="Q70" s="136" t="s">
        <v>4428</v>
      </c>
      <c r="R70" s="136">
        <v>0</v>
      </c>
      <c r="S70" s="142">
        <f>(Tabla18[[#This Row],[Debe]]-Tabla18[[#This Row],[Haber]])*
SUMIF('0_Indice_CAC'!$A:$A,Tabla18[[#This Row],[Mes]],'0_Indice_CAC'!$D:$D)</f>
        <v>2293753.0201958064</v>
      </c>
      <c r="T70" s="142">
        <f>Tabla18[[#This Row],[Debe]]-Tabla18[[#This Row],[Haber]]</f>
        <v>2389199.1</v>
      </c>
      <c r="U70" s="322"/>
      <c r="V70" s="323"/>
      <c r="W70" s="142">
        <f t="shared" si="2"/>
        <v>2389199.1</v>
      </c>
      <c r="X70" s="142" t="b">
        <f>ISNUMBER(MATCH(A70,'3_Control_Ppto'!$A$4:$A$70,0))</f>
        <v>1</v>
      </c>
      <c r="Y70" s="136"/>
    </row>
    <row r="71" spans="1:25" ht="12" customHeight="1" x14ac:dyDescent="0.3">
      <c r="A71" s="140" t="s">
        <v>106</v>
      </c>
      <c r="B71" s="140" t="s">
        <v>25</v>
      </c>
      <c r="C71" s="549">
        <f>+EOMONTH(Tabla18[[#This Row],[Fecha Asiento]],-1)+1</f>
        <v>45717</v>
      </c>
      <c r="D71" s="136">
        <v>53009</v>
      </c>
      <c r="E71" s="136" t="s">
        <v>4446</v>
      </c>
      <c r="F71" s="141">
        <v>45723</v>
      </c>
      <c r="G71" s="136">
        <v>623</v>
      </c>
      <c r="H71" s="136" t="s">
        <v>4513</v>
      </c>
      <c r="I71" s="136" t="s">
        <v>4423</v>
      </c>
      <c r="J71" s="136" t="s">
        <v>4424</v>
      </c>
      <c r="K71" s="136">
        <v>6049</v>
      </c>
      <c r="L71" s="138">
        <v>81400</v>
      </c>
      <c r="M71" s="138">
        <v>0</v>
      </c>
      <c r="N71" s="136" t="s">
        <v>4425</v>
      </c>
      <c r="O71" s="136" t="s">
        <v>4426</v>
      </c>
      <c r="P71" s="136" t="s">
        <v>4427</v>
      </c>
      <c r="Q71" s="136" t="s">
        <v>4428</v>
      </c>
      <c r="R71" s="136">
        <v>0</v>
      </c>
      <c r="S71" s="142">
        <f>(Tabla18[[#This Row],[Debe]]-Tabla18[[#This Row],[Haber]])*
SUMIF('0_Indice_CAC'!$A:$A,Tabla18[[#This Row],[Mes]],'0_Indice_CAC'!$D:$D)</f>
        <v>78148.152593870735</v>
      </c>
      <c r="T71" s="142">
        <f>Tabla18[[#This Row],[Debe]]-Tabla18[[#This Row],[Haber]]</f>
        <v>81400</v>
      </c>
      <c r="U71" s="322"/>
      <c r="V71" s="323"/>
      <c r="W71" s="142">
        <f t="shared" si="2"/>
        <v>81400</v>
      </c>
      <c r="X71" s="142" t="b">
        <f>ISNUMBER(MATCH(A71,'3_Control_Ppto'!$A$4:$A$70,0))</f>
        <v>1</v>
      </c>
      <c r="Y71" s="136"/>
    </row>
    <row r="72" spans="1:25" ht="12" customHeight="1" x14ac:dyDescent="0.3">
      <c r="A72" s="140" t="s">
        <v>106</v>
      </c>
      <c r="B72" s="140" t="s">
        <v>25</v>
      </c>
      <c r="C72" s="549">
        <f>+EOMONTH(Tabla18[[#This Row],[Fecha Asiento]],-1)+1</f>
        <v>45717</v>
      </c>
      <c r="D72" s="136">
        <v>53009</v>
      </c>
      <c r="E72" s="136" t="s">
        <v>4446</v>
      </c>
      <c r="F72" s="141">
        <v>45723</v>
      </c>
      <c r="G72" s="136">
        <v>624</v>
      </c>
      <c r="H72" s="136" t="s">
        <v>4514</v>
      </c>
      <c r="I72" s="136" t="s">
        <v>4423</v>
      </c>
      <c r="J72" s="136" t="s">
        <v>4424</v>
      </c>
      <c r="K72" s="136">
        <v>6050</v>
      </c>
      <c r="L72" s="138">
        <v>106666.67</v>
      </c>
      <c r="M72" s="138">
        <v>0</v>
      </c>
      <c r="N72" s="136" t="s">
        <v>4425</v>
      </c>
      <c r="O72" s="136" t="s">
        <v>4426</v>
      </c>
      <c r="P72" s="136" t="s">
        <v>4427</v>
      </c>
      <c r="Q72" s="136" t="s">
        <v>4428</v>
      </c>
      <c r="R72" s="136">
        <v>0</v>
      </c>
      <c r="S72" s="142">
        <f>(Tabla18[[#This Row],[Debe]]-Tabla18[[#This Row],[Haber]])*
SUMIF('0_Indice_CAC'!$A:$A,Tabla18[[#This Row],[Mes]],'0_Indice_CAC'!$D:$D)</f>
        <v>102405.44476461982</v>
      </c>
      <c r="T72" s="142">
        <f>Tabla18[[#This Row],[Debe]]-Tabla18[[#This Row],[Haber]]</f>
        <v>106666.67</v>
      </c>
      <c r="U72" s="322"/>
      <c r="V72" s="323"/>
      <c r="W72" s="142">
        <f t="shared" si="2"/>
        <v>106666.67</v>
      </c>
      <c r="X72" s="142" t="b">
        <f>ISNUMBER(MATCH(A72,'3_Control_Ppto'!$A$4:$A$70,0))</f>
        <v>1</v>
      </c>
      <c r="Y72" s="136"/>
    </row>
    <row r="73" spans="1:25" ht="12" customHeight="1" x14ac:dyDescent="0.3">
      <c r="A73" s="140" t="s">
        <v>106</v>
      </c>
      <c r="B73" s="140" t="s">
        <v>25</v>
      </c>
      <c r="C73" s="549">
        <f>+EOMONTH(Tabla18[[#This Row],[Fecha Asiento]],-1)+1</f>
        <v>45717</v>
      </c>
      <c r="D73" s="136">
        <v>53009</v>
      </c>
      <c r="E73" s="136" t="s">
        <v>4446</v>
      </c>
      <c r="F73" s="141">
        <v>45723</v>
      </c>
      <c r="G73" s="136">
        <v>626</v>
      </c>
      <c r="H73" s="136" t="s">
        <v>4515</v>
      </c>
      <c r="I73" s="136" t="s">
        <v>4423</v>
      </c>
      <c r="J73" s="136" t="s">
        <v>4424</v>
      </c>
      <c r="K73" s="136">
        <v>6052</v>
      </c>
      <c r="L73" s="138">
        <v>160700</v>
      </c>
      <c r="M73" s="138">
        <v>0</v>
      </c>
      <c r="N73" s="136" t="s">
        <v>4425</v>
      </c>
      <c r="O73" s="136" t="s">
        <v>4426</v>
      </c>
      <c r="P73" s="136" t="s">
        <v>4427</v>
      </c>
      <c r="Q73" s="136" t="s">
        <v>4428</v>
      </c>
      <c r="R73" s="136">
        <v>0</v>
      </c>
      <c r="S73" s="142">
        <f>(Tabla18[[#This Row],[Debe]]-Tabla18[[#This Row],[Haber]])*
SUMIF('0_Indice_CAC'!$A:$A,Tabla18[[#This Row],[Mes]],'0_Indice_CAC'!$D:$D)</f>
        <v>154280.19805694139</v>
      </c>
      <c r="T73" s="142">
        <f>Tabla18[[#This Row],[Debe]]-Tabla18[[#This Row],[Haber]]</f>
        <v>160700</v>
      </c>
      <c r="U73" s="322"/>
      <c r="V73" s="323"/>
      <c r="W73" s="142">
        <f t="shared" si="2"/>
        <v>160700</v>
      </c>
      <c r="X73" s="142" t="b">
        <f>ISNUMBER(MATCH(A73,'3_Control_Ppto'!$A$4:$A$70,0))</f>
        <v>1</v>
      </c>
      <c r="Y73" s="136"/>
    </row>
    <row r="74" spans="1:25" ht="12" customHeight="1" x14ac:dyDescent="0.3">
      <c r="A74" s="140" t="s">
        <v>106</v>
      </c>
      <c r="B74" s="140" t="s">
        <v>25</v>
      </c>
      <c r="C74" s="549">
        <f>+EOMONTH(Tabla18[[#This Row],[Fecha Asiento]],-1)+1</f>
        <v>45717</v>
      </c>
      <c r="D74" s="136">
        <v>53009</v>
      </c>
      <c r="E74" s="136" t="s">
        <v>4446</v>
      </c>
      <c r="F74" s="141">
        <v>45723</v>
      </c>
      <c r="G74" s="136">
        <v>627</v>
      </c>
      <c r="H74" s="136" t="s">
        <v>4516</v>
      </c>
      <c r="I74" s="136" t="s">
        <v>4423</v>
      </c>
      <c r="J74" s="136" t="s">
        <v>4424</v>
      </c>
      <c r="K74" s="136">
        <v>6053</v>
      </c>
      <c r="L74" s="138">
        <v>160700</v>
      </c>
      <c r="M74" s="138">
        <v>0</v>
      </c>
      <c r="N74" s="136" t="s">
        <v>4425</v>
      </c>
      <c r="O74" s="136" t="s">
        <v>4426</v>
      </c>
      <c r="P74" s="136" t="s">
        <v>4427</v>
      </c>
      <c r="Q74" s="136" t="s">
        <v>4428</v>
      </c>
      <c r="R74" s="136">
        <v>0</v>
      </c>
      <c r="S74" s="142">
        <f>(Tabla18[[#This Row],[Debe]]-Tabla18[[#This Row],[Haber]])*
SUMIF('0_Indice_CAC'!$A:$A,Tabla18[[#This Row],[Mes]],'0_Indice_CAC'!$D:$D)</f>
        <v>154280.19805694139</v>
      </c>
      <c r="T74" s="142">
        <f>Tabla18[[#This Row],[Debe]]-Tabla18[[#This Row],[Haber]]</f>
        <v>160700</v>
      </c>
      <c r="U74" s="322"/>
      <c r="V74" s="323"/>
      <c r="W74" s="142">
        <f t="shared" si="2"/>
        <v>160700</v>
      </c>
      <c r="X74" s="142" t="b">
        <f>ISNUMBER(MATCH(A74,'3_Control_Ppto'!$A$4:$A$70,0))</f>
        <v>1</v>
      </c>
      <c r="Y74" s="136"/>
    </row>
    <row r="75" spans="1:25" ht="12" customHeight="1" x14ac:dyDescent="0.3">
      <c r="A75" s="140" t="s">
        <v>106</v>
      </c>
      <c r="B75" s="140" t="s">
        <v>25</v>
      </c>
      <c r="C75" s="549">
        <f>+EOMONTH(Tabla18[[#This Row],[Fecha Asiento]],-1)+1</f>
        <v>45717</v>
      </c>
      <c r="D75" s="136">
        <v>53009</v>
      </c>
      <c r="E75" s="136" t="s">
        <v>4446</v>
      </c>
      <c r="F75" s="141">
        <v>45723</v>
      </c>
      <c r="G75" s="136">
        <v>628</v>
      </c>
      <c r="H75" s="136" t="s">
        <v>4517</v>
      </c>
      <c r="I75" s="136" t="s">
        <v>4423</v>
      </c>
      <c r="J75" s="136" t="s">
        <v>4424</v>
      </c>
      <c r="K75" s="136">
        <v>6054</v>
      </c>
      <c r="L75" s="138">
        <v>160700</v>
      </c>
      <c r="M75" s="138">
        <v>0</v>
      </c>
      <c r="N75" s="136" t="s">
        <v>4425</v>
      </c>
      <c r="O75" s="136" t="s">
        <v>4426</v>
      </c>
      <c r="P75" s="136" t="s">
        <v>4427</v>
      </c>
      <c r="Q75" s="136" t="s">
        <v>4428</v>
      </c>
      <c r="R75" s="136">
        <v>0</v>
      </c>
      <c r="S75" s="142">
        <f>(Tabla18[[#This Row],[Debe]]-Tabla18[[#This Row],[Haber]])*
SUMIF('0_Indice_CAC'!$A:$A,Tabla18[[#This Row],[Mes]],'0_Indice_CAC'!$D:$D)</f>
        <v>154280.19805694139</v>
      </c>
      <c r="T75" s="142">
        <f>Tabla18[[#This Row],[Debe]]-Tabla18[[#This Row],[Haber]]</f>
        <v>160700</v>
      </c>
      <c r="U75" s="322"/>
      <c r="V75" s="323"/>
      <c r="W75" s="142">
        <f t="shared" si="2"/>
        <v>160700</v>
      </c>
      <c r="X75" s="142" t="b">
        <f>ISNUMBER(MATCH(A75,'3_Control_Ppto'!$A$4:$A$70,0))</f>
        <v>1</v>
      </c>
      <c r="Y75" s="136"/>
    </row>
    <row r="76" spans="1:25" ht="12" customHeight="1" x14ac:dyDescent="0.3">
      <c r="A76" s="140" t="s">
        <v>106</v>
      </c>
      <c r="B76" s="140" t="s">
        <v>25</v>
      </c>
      <c r="C76" s="549">
        <f>+EOMONTH(Tabla18[[#This Row],[Fecha Asiento]],-1)+1</f>
        <v>45717</v>
      </c>
      <c r="D76" s="136">
        <v>53009</v>
      </c>
      <c r="E76" s="136" t="s">
        <v>4446</v>
      </c>
      <c r="F76" s="141">
        <v>45723</v>
      </c>
      <c r="G76" s="136">
        <v>629</v>
      </c>
      <c r="H76" s="136" t="s">
        <v>4518</v>
      </c>
      <c r="I76" s="136" t="s">
        <v>4423</v>
      </c>
      <c r="J76" s="136" t="s">
        <v>4424</v>
      </c>
      <c r="K76" s="136">
        <v>6055</v>
      </c>
      <c r="L76" s="138">
        <v>83220</v>
      </c>
      <c r="M76" s="138">
        <v>0</v>
      </c>
      <c r="N76" s="136" t="s">
        <v>4425</v>
      </c>
      <c r="O76" s="136" t="s">
        <v>4426</v>
      </c>
      <c r="P76" s="136" t="s">
        <v>4427</v>
      </c>
      <c r="Q76" s="136" t="s">
        <v>4428</v>
      </c>
      <c r="R76" s="136">
        <v>0</v>
      </c>
      <c r="S76" s="142">
        <f>(Tabla18[[#This Row],[Debe]]-Tabla18[[#This Row],[Haber]])*
SUMIF('0_Indice_CAC'!$A:$A,Tabla18[[#This Row],[Mes]],'0_Indice_CAC'!$D:$D)</f>
        <v>79895.445440564159</v>
      </c>
      <c r="T76" s="142">
        <f>Tabla18[[#This Row],[Debe]]-Tabla18[[#This Row],[Haber]]</f>
        <v>83220</v>
      </c>
      <c r="U76" s="322"/>
      <c r="V76" s="323"/>
      <c r="W76" s="142">
        <f t="shared" si="2"/>
        <v>83220</v>
      </c>
      <c r="X76" s="142" t="b">
        <f>ISNUMBER(MATCH(A76,'3_Control_Ppto'!$A$4:$A$70,0))</f>
        <v>1</v>
      </c>
      <c r="Y76" s="136"/>
    </row>
    <row r="77" spans="1:25" ht="12" customHeight="1" x14ac:dyDescent="0.3">
      <c r="A77" s="140" t="s">
        <v>25</v>
      </c>
      <c r="B77" s="140" t="s">
        <v>25</v>
      </c>
      <c r="C77" s="549">
        <f>+EOMONTH(Tabla18[[#This Row],[Fecha Asiento]],-1)+1</f>
        <v>45717</v>
      </c>
      <c r="D77" s="136">
        <v>5108</v>
      </c>
      <c r="E77" s="136" t="s">
        <v>4469</v>
      </c>
      <c r="F77" s="141">
        <v>45726</v>
      </c>
      <c r="G77" s="136">
        <v>1808</v>
      </c>
      <c r="H77" s="136" t="s">
        <v>4470</v>
      </c>
      <c r="I77" s="136" t="s">
        <v>4471</v>
      </c>
      <c r="J77" s="136" t="s">
        <v>4519</v>
      </c>
      <c r="K77" s="136">
        <v>1000012643</v>
      </c>
      <c r="L77" s="138">
        <v>0</v>
      </c>
      <c r="M77" s="138">
        <v>59490.47</v>
      </c>
      <c r="N77" s="136" t="s">
        <v>4425</v>
      </c>
      <c r="O77" s="136" t="s">
        <v>4426</v>
      </c>
      <c r="P77" s="136" t="s">
        <v>4427</v>
      </c>
      <c r="Q77" s="136" t="s">
        <v>4428</v>
      </c>
      <c r="R77" s="136">
        <v>0</v>
      </c>
      <c r="S77" s="142">
        <f>(Tabla18[[#This Row],[Debe]]-Tabla18[[#This Row],[Haber]])*
SUMIF('0_Indice_CAC'!$A:$A,Tabla18[[#This Row],[Mes]],'0_Indice_CAC'!$D:$D)</f>
        <v>-57113.886086499871</v>
      </c>
      <c r="T77" s="142">
        <f>Tabla18[[#This Row],[Debe]]-Tabla18[[#This Row],[Haber]]</f>
        <v>-59490.47</v>
      </c>
      <c r="U77" s="322"/>
      <c r="V77" s="323"/>
      <c r="W77" s="142">
        <f t="shared" si="2"/>
        <v>-59490.47</v>
      </c>
      <c r="X77" s="142" t="b">
        <f>ISNUMBER(MATCH(A77,'3_Control_Ppto'!$A$4:$A$70,0))</f>
        <v>0</v>
      </c>
      <c r="Y77" s="136"/>
    </row>
    <row r="78" spans="1:25" ht="12" customHeight="1" x14ac:dyDescent="0.3">
      <c r="A78" s="140" t="s">
        <v>1285</v>
      </c>
      <c r="B78" s="140" t="s">
        <v>4090</v>
      </c>
      <c r="C78" s="549">
        <f>+EOMONTH(Tabla18[[#This Row],[Fecha Asiento]],-1)+1</f>
        <v>45717</v>
      </c>
      <c r="D78" s="136">
        <v>53001</v>
      </c>
      <c r="E78" s="136" t="s">
        <v>4464</v>
      </c>
      <c r="F78" s="141">
        <v>45726</v>
      </c>
      <c r="G78" s="136">
        <v>1168</v>
      </c>
      <c r="H78" s="136" t="s">
        <v>4485</v>
      </c>
      <c r="I78" s="136" t="s">
        <v>4423</v>
      </c>
      <c r="J78" s="136" t="s">
        <v>4424</v>
      </c>
      <c r="K78" s="136">
        <v>6582</v>
      </c>
      <c r="L78" s="138">
        <v>12800</v>
      </c>
      <c r="M78" s="138">
        <v>0</v>
      </c>
      <c r="N78" s="136" t="s">
        <v>4425</v>
      </c>
      <c r="O78" s="136" t="s">
        <v>4426</v>
      </c>
      <c r="P78" s="136" t="s">
        <v>4427</v>
      </c>
      <c r="Q78" s="136" t="s">
        <v>4428</v>
      </c>
      <c r="R78" s="136">
        <v>0</v>
      </c>
      <c r="S78" s="142">
        <f>(Tabla18[[#This Row],[Debe]]-Tabla18[[#This Row],[Haber]])*
SUMIF('0_Indice_CAC'!$A:$A,Tabla18[[#This Row],[Mes]],'0_Indice_CAC'!$D:$D)</f>
        <v>12288.652987733974</v>
      </c>
      <c r="T78" s="142">
        <f>Tabla18[[#This Row],[Debe]]-Tabla18[[#This Row],[Haber]]</f>
        <v>12800</v>
      </c>
      <c r="U78" s="322"/>
      <c r="V78" s="323"/>
      <c r="W78" s="142">
        <f t="shared" si="2"/>
        <v>12800</v>
      </c>
      <c r="X78" s="142" t="b">
        <f>ISNUMBER(MATCH(A78,'3_Control_Ppto'!$A$4:$A$70,0))</f>
        <v>1</v>
      </c>
      <c r="Y78" s="136"/>
    </row>
    <row r="79" spans="1:25" ht="12" customHeight="1" x14ac:dyDescent="0.3">
      <c r="A79" s="140" t="s">
        <v>1285</v>
      </c>
      <c r="B79" s="140" t="s">
        <v>4090</v>
      </c>
      <c r="C79" s="549">
        <f>+EOMONTH(Tabla18[[#This Row],[Fecha Asiento]],-1)+1</f>
        <v>45717</v>
      </c>
      <c r="D79" s="136">
        <v>53001</v>
      </c>
      <c r="E79" s="136" t="s">
        <v>4464</v>
      </c>
      <c r="F79" s="141">
        <v>45726</v>
      </c>
      <c r="G79" s="136">
        <v>1946</v>
      </c>
      <c r="H79" s="136" t="s">
        <v>4520</v>
      </c>
      <c r="I79" s="136" t="s">
        <v>4521</v>
      </c>
      <c r="J79" s="136" t="s">
        <v>4455</v>
      </c>
      <c r="K79" s="136">
        <v>400000327</v>
      </c>
      <c r="L79" s="138">
        <v>10578.51</v>
      </c>
      <c r="M79" s="138">
        <v>0</v>
      </c>
      <c r="N79" s="136" t="s">
        <v>4425</v>
      </c>
      <c r="O79" s="136" t="s">
        <v>4426</v>
      </c>
      <c r="P79" s="136" t="s">
        <v>4427</v>
      </c>
      <c r="Q79" s="136" t="s">
        <v>4428</v>
      </c>
      <c r="R79" s="136">
        <v>0</v>
      </c>
      <c r="S79" s="142">
        <f>(Tabla18[[#This Row],[Debe]]-Tabla18[[#This Row],[Haber]])*
SUMIF('0_Indice_CAC'!$A:$A,Tabla18[[#This Row],[Mes]],'0_Indice_CAC'!$D:$D)</f>
        <v>10155.90925916201</v>
      </c>
      <c r="T79" s="142">
        <f>Tabla18[[#This Row],[Debe]]-Tabla18[[#This Row],[Haber]]</f>
        <v>10578.51</v>
      </c>
      <c r="U79" s="322"/>
      <c r="V79" s="323"/>
      <c r="W79" s="142">
        <f t="shared" si="2"/>
        <v>10578.51</v>
      </c>
      <c r="X79" s="142" t="b">
        <f>ISNUMBER(MATCH(A79,'3_Control_Ppto'!$A$4:$A$70,0))</f>
        <v>1</v>
      </c>
      <c r="Y79" s="136"/>
    </row>
    <row r="80" spans="1:25" ht="12" customHeight="1" x14ac:dyDescent="0.3">
      <c r="A80" s="140" t="s">
        <v>25</v>
      </c>
      <c r="B80" s="140" t="s">
        <v>25</v>
      </c>
      <c r="C80" s="549">
        <f>+EOMONTH(Tabla18[[#This Row],[Fecha Asiento]],-1)+1</f>
        <v>45717</v>
      </c>
      <c r="D80" s="136">
        <v>5108</v>
      </c>
      <c r="E80" s="136" t="s">
        <v>4469</v>
      </c>
      <c r="F80" s="141">
        <v>45727</v>
      </c>
      <c r="G80" s="136">
        <v>1582</v>
      </c>
      <c r="H80" s="136" t="s">
        <v>4522</v>
      </c>
      <c r="I80" s="136" t="s">
        <v>4471</v>
      </c>
      <c r="J80" s="136" t="s">
        <v>4455</v>
      </c>
      <c r="K80" s="136">
        <v>1000193810</v>
      </c>
      <c r="L80" s="138">
        <v>389523.63</v>
      </c>
      <c r="M80" s="138">
        <v>0</v>
      </c>
      <c r="N80" s="136" t="s">
        <v>4425</v>
      </c>
      <c r="O80" s="136" t="s">
        <v>4426</v>
      </c>
      <c r="P80" s="136" t="s">
        <v>4427</v>
      </c>
      <c r="Q80" s="136" t="s">
        <v>4428</v>
      </c>
      <c r="R80" s="136">
        <v>0</v>
      </c>
      <c r="S80" s="142">
        <f>(Tabla18[[#This Row],[Debe]]-Tabla18[[#This Row],[Haber]])*
SUMIF('0_Indice_CAC'!$A:$A,Tabla18[[#This Row],[Mes]],'0_Indice_CAC'!$D:$D)</f>
        <v>373962.55621816276</v>
      </c>
      <c r="T80" s="142">
        <f>Tabla18[[#This Row],[Debe]]-Tabla18[[#This Row],[Haber]]</f>
        <v>389523.63</v>
      </c>
      <c r="U80" s="322"/>
      <c r="V80" s="323"/>
      <c r="W80" s="142">
        <f t="shared" si="2"/>
        <v>389523.63</v>
      </c>
      <c r="X80" s="142" t="b">
        <f>ISNUMBER(MATCH(A80,'3_Control_Ppto'!$A$4:$A$70,0))</f>
        <v>0</v>
      </c>
      <c r="Y80" s="136"/>
    </row>
    <row r="81" spans="1:25" ht="12" customHeight="1" x14ac:dyDescent="0.3">
      <c r="A81" s="140" t="s">
        <v>1285</v>
      </c>
      <c r="B81" s="140" t="s">
        <v>4090</v>
      </c>
      <c r="C81" s="549">
        <f>+EOMONTH(Tabla18[[#This Row],[Fecha Asiento]],-1)+1</f>
        <v>45717</v>
      </c>
      <c r="D81" s="136">
        <v>53001</v>
      </c>
      <c r="E81" s="136" t="s">
        <v>4464</v>
      </c>
      <c r="F81" s="141">
        <v>45727</v>
      </c>
      <c r="G81" s="136">
        <v>1171</v>
      </c>
      <c r="H81" s="136" t="s">
        <v>4485</v>
      </c>
      <c r="I81" s="136" t="s">
        <v>4423</v>
      </c>
      <c r="J81" s="136" t="s">
        <v>4424</v>
      </c>
      <c r="K81" s="136">
        <v>6585</v>
      </c>
      <c r="L81" s="138">
        <v>6999.97</v>
      </c>
      <c r="M81" s="138">
        <v>0</v>
      </c>
      <c r="N81" s="136" t="s">
        <v>4425</v>
      </c>
      <c r="O81" s="136" t="s">
        <v>4426</v>
      </c>
      <c r="P81" s="136" t="s">
        <v>4427</v>
      </c>
      <c r="Q81" s="136" t="s">
        <v>4428</v>
      </c>
      <c r="R81" s="136">
        <v>0</v>
      </c>
      <c r="S81" s="142">
        <f>(Tabla18[[#This Row],[Debe]]-Tabla18[[#This Row],[Haber]])*
SUMIF('0_Indice_CAC'!$A:$A,Tabla18[[#This Row],[Mes]],'0_Indice_CAC'!$D:$D)</f>
        <v>6720.3283011365775</v>
      </c>
      <c r="T81" s="142">
        <f>Tabla18[[#This Row],[Debe]]-Tabla18[[#This Row],[Haber]]</f>
        <v>6999.97</v>
      </c>
      <c r="U81" s="322"/>
      <c r="V81" s="323"/>
      <c r="W81" s="142">
        <f t="shared" si="2"/>
        <v>6999.97</v>
      </c>
      <c r="X81" s="142" t="b">
        <f>ISNUMBER(MATCH(A81,'3_Control_Ppto'!$A$4:$A$70,0))</f>
        <v>1</v>
      </c>
      <c r="Y81" s="136"/>
    </row>
    <row r="82" spans="1:25" ht="12" customHeight="1" x14ac:dyDescent="0.3">
      <c r="A82" s="140" t="s">
        <v>1285</v>
      </c>
      <c r="B82" s="140" t="s">
        <v>4090</v>
      </c>
      <c r="C82" s="549">
        <f>+EOMONTH(Tabla18[[#This Row],[Fecha Asiento]],-1)+1</f>
        <v>45717</v>
      </c>
      <c r="D82" s="136">
        <v>53001</v>
      </c>
      <c r="E82" s="136" t="s">
        <v>4464</v>
      </c>
      <c r="F82" s="141">
        <v>45727</v>
      </c>
      <c r="G82" s="136">
        <v>1947</v>
      </c>
      <c r="H82" s="136" t="s">
        <v>4481</v>
      </c>
      <c r="I82" s="136" t="s">
        <v>4482</v>
      </c>
      <c r="J82" s="136" t="s">
        <v>4455</v>
      </c>
      <c r="K82" s="136">
        <v>1000000052</v>
      </c>
      <c r="L82" s="138">
        <v>11984</v>
      </c>
      <c r="M82" s="138">
        <v>0</v>
      </c>
      <c r="N82" s="136" t="s">
        <v>4425</v>
      </c>
      <c r="O82" s="136" t="s">
        <v>4426</v>
      </c>
      <c r="P82" s="136" t="s">
        <v>4427</v>
      </c>
      <c r="Q82" s="136" t="s">
        <v>4428</v>
      </c>
      <c r="R82" s="136">
        <v>0</v>
      </c>
      <c r="S82" s="142">
        <f>(Tabla18[[#This Row],[Debe]]-Tabla18[[#This Row],[Haber]])*
SUMIF('0_Indice_CAC'!$A:$A,Tabla18[[#This Row],[Mes]],'0_Indice_CAC'!$D:$D)</f>
        <v>11505.251359765933</v>
      </c>
      <c r="T82" s="142">
        <f>Tabla18[[#This Row],[Debe]]-Tabla18[[#This Row],[Haber]]</f>
        <v>11984</v>
      </c>
      <c r="U82" s="322"/>
      <c r="V82" s="323"/>
      <c r="W82" s="142">
        <f t="shared" si="2"/>
        <v>11984</v>
      </c>
      <c r="X82" s="142" t="b">
        <f>ISNUMBER(MATCH(A82,'3_Control_Ppto'!$A$4:$A$70,0))</f>
        <v>1</v>
      </c>
      <c r="Y82" s="136"/>
    </row>
    <row r="83" spans="1:25" ht="12" customHeight="1" x14ac:dyDescent="0.3">
      <c r="A83" s="140" t="s">
        <v>1285</v>
      </c>
      <c r="B83" s="140" t="s">
        <v>4090</v>
      </c>
      <c r="C83" s="549">
        <f>+EOMONTH(Tabla18[[#This Row],[Fecha Asiento]],-1)+1</f>
        <v>45717</v>
      </c>
      <c r="D83" s="136">
        <v>53001</v>
      </c>
      <c r="E83" s="136" t="s">
        <v>4464</v>
      </c>
      <c r="F83" s="141">
        <v>45727</v>
      </c>
      <c r="G83" s="136">
        <v>1948</v>
      </c>
      <c r="H83" s="136" t="s">
        <v>4481</v>
      </c>
      <c r="I83" s="136" t="s">
        <v>4482</v>
      </c>
      <c r="J83" s="136" t="s">
        <v>4455</v>
      </c>
      <c r="K83" s="136">
        <v>500000418</v>
      </c>
      <c r="L83" s="138">
        <v>2892.6</v>
      </c>
      <c r="M83" s="138">
        <v>0</v>
      </c>
      <c r="N83" s="136" t="s">
        <v>4425</v>
      </c>
      <c r="O83" s="136" t="s">
        <v>4426</v>
      </c>
      <c r="P83" s="136" t="s">
        <v>4427</v>
      </c>
      <c r="Q83" s="136" t="s">
        <v>4428</v>
      </c>
      <c r="R83" s="136">
        <v>0</v>
      </c>
      <c r="S83" s="142">
        <f>(Tabla18[[#This Row],[Debe]]-Tabla18[[#This Row],[Haber]])*
SUMIF('0_Indice_CAC'!$A:$A,Tabla18[[#This Row],[Mes]],'0_Indice_CAC'!$D:$D)</f>
        <v>2777.0435650249447</v>
      </c>
      <c r="T83" s="142">
        <f>Tabla18[[#This Row],[Debe]]-Tabla18[[#This Row],[Haber]]</f>
        <v>2892.6</v>
      </c>
      <c r="U83" s="322"/>
      <c r="V83" s="323"/>
      <c r="W83" s="142">
        <f t="shared" si="2"/>
        <v>2892.6</v>
      </c>
      <c r="X83" s="142" t="b">
        <f>ISNUMBER(MATCH(A83,'3_Control_Ppto'!$A$4:$A$70,0))</f>
        <v>1</v>
      </c>
      <c r="Y83" s="136"/>
    </row>
    <row r="84" spans="1:25" ht="12" customHeight="1" x14ac:dyDescent="0.3">
      <c r="A84" s="140" t="s">
        <v>1285</v>
      </c>
      <c r="B84" s="140" t="s">
        <v>4090</v>
      </c>
      <c r="C84" s="549">
        <f>+EOMONTH(Tabla18[[#This Row],[Fecha Asiento]],-1)+1</f>
        <v>45717</v>
      </c>
      <c r="D84" s="136">
        <v>53001</v>
      </c>
      <c r="E84" s="136" t="s">
        <v>4464</v>
      </c>
      <c r="F84" s="141">
        <v>45727</v>
      </c>
      <c r="G84" s="136">
        <v>1949</v>
      </c>
      <c r="H84" s="136" t="s">
        <v>4520</v>
      </c>
      <c r="I84" s="136" t="s">
        <v>4521</v>
      </c>
      <c r="J84" s="136" t="s">
        <v>4455</v>
      </c>
      <c r="K84" s="136">
        <v>400000328</v>
      </c>
      <c r="L84" s="138">
        <v>5785.1</v>
      </c>
      <c r="M84" s="138">
        <v>0</v>
      </c>
      <c r="N84" s="136" t="s">
        <v>4425</v>
      </c>
      <c r="O84" s="136" t="s">
        <v>4426</v>
      </c>
      <c r="P84" s="136" t="s">
        <v>4427</v>
      </c>
      <c r="Q84" s="136" t="s">
        <v>4428</v>
      </c>
      <c r="R84" s="136">
        <v>0</v>
      </c>
      <c r="S84" s="142">
        <f>(Tabla18[[#This Row],[Debe]]-Tabla18[[#This Row],[Haber]])*
SUMIF('0_Indice_CAC'!$A:$A,Tabla18[[#This Row],[Mes]],'0_Indice_CAC'!$D:$D)</f>
        <v>5553.991124948423</v>
      </c>
      <c r="T84" s="142">
        <f>Tabla18[[#This Row],[Debe]]-Tabla18[[#This Row],[Haber]]</f>
        <v>5785.1</v>
      </c>
      <c r="U84" s="322"/>
      <c r="V84" s="323"/>
      <c r="W84" s="142">
        <f t="shared" si="2"/>
        <v>5785.1</v>
      </c>
      <c r="X84" s="142" t="b">
        <f>ISNUMBER(MATCH(A84,'3_Control_Ppto'!$A$4:$A$70,0))</f>
        <v>1</v>
      </c>
      <c r="Y84" s="136"/>
    </row>
    <row r="85" spans="1:25" ht="12" customHeight="1" x14ac:dyDescent="0.3">
      <c r="A85" s="140" t="s">
        <v>1285</v>
      </c>
      <c r="B85" s="140" t="s">
        <v>4090</v>
      </c>
      <c r="C85" s="549">
        <f>+EOMONTH(Tabla18[[#This Row],[Fecha Asiento]],-1)+1</f>
        <v>45717</v>
      </c>
      <c r="D85" s="136">
        <v>53001</v>
      </c>
      <c r="E85" s="136" t="s">
        <v>4464</v>
      </c>
      <c r="F85" s="141">
        <v>45727</v>
      </c>
      <c r="G85" s="136">
        <v>1950</v>
      </c>
      <c r="H85" s="136" t="s">
        <v>4481</v>
      </c>
      <c r="I85" s="136" t="s">
        <v>4482</v>
      </c>
      <c r="J85" s="136" t="s">
        <v>4455</v>
      </c>
      <c r="K85" s="136">
        <v>1000000051</v>
      </c>
      <c r="L85" s="138">
        <v>8762</v>
      </c>
      <c r="M85" s="138">
        <v>0</v>
      </c>
      <c r="N85" s="136" t="s">
        <v>4425</v>
      </c>
      <c r="O85" s="136" t="s">
        <v>4426</v>
      </c>
      <c r="P85" s="136" t="s">
        <v>4427</v>
      </c>
      <c r="Q85" s="136" t="s">
        <v>4428</v>
      </c>
      <c r="R85" s="136">
        <v>0</v>
      </c>
      <c r="S85" s="142">
        <f>(Tabla18[[#This Row],[Debe]]-Tabla18[[#This Row],[Haber]])*
SUMIF('0_Indice_CAC'!$A:$A,Tabla18[[#This Row],[Mes]],'0_Indice_CAC'!$D:$D)</f>
        <v>8411.9669905097726</v>
      </c>
      <c r="T85" s="142">
        <f>Tabla18[[#This Row],[Debe]]-Tabla18[[#This Row],[Haber]]</f>
        <v>8762</v>
      </c>
      <c r="U85" s="322"/>
      <c r="V85" s="323"/>
      <c r="W85" s="142">
        <f t="shared" si="2"/>
        <v>8762</v>
      </c>
      <c r="X85" s="142" t="b">
        <f>ISNUMBER(MATCH(A85,'3_Control_Ppto'!$A$4:$A$70,0))</f>
        <v>1</v>
      </c>
      <c r="Y85" s="136"/>
    </row>
    <row r="86" spans="1:25" ht="12" customHeight="1" x14ac:dyDescent="0.3">
      <c r="A86" s="140" t="s">
        <v>4125</v>
      </c>
      <c r="B86" s="140" t="s">
        <v>56</v>
      </c>
      <c r="C86" s="549">
        <f>+EOMONTH(Tabla18[[#This Row],[Fecha Asiento]],-1)+1</f>
        <v>45717</v>
      </c>
      <c r="D86" s="136">
        <v>53003</v>
      </c>
      <c r="E86" s="136" t="s">
        <v>4523</v>
      </c>
      <c r="F86" s="141">
        <v>45727</v>
      </c>
      <c r="G86" s="136">
        <v>790</v>
      </c>
      <c r="H86" s="136" t="s">
        <v>4524</v>
      </c>
      <c r="I86" s="136" t="s">
        <v>4423</v>
      </c>
      <c r="J86" s="136" t="s">
        <v>4424</v>
      </c>
      <c r="K86" s="136">
        <v>6213</v>
      </c>
      <c r="L86" s="138">
        <v>1580000</v>
      </c>
      <c r="M86" s="138">
        <v>0</v>
      </c>
      <c r="N86" s="136" t="s">
        <v>4425</v>
      </c>
      <c r="O86" s="136" t="s">
        <v>4426</v>
      </c>
      <c r="P86" s="136" t="s">
        <v>4427</v>
      </c>
      <c r="Q86" s="136" t="s">
        <v>4428</v>
      </c>
      <c r="R86" s="136">
        <v>0</v>
      </c>
      <c r="S86" s="142">
        <f>(Tabla18[[#This Row],[Debe]]-Tabla18[[#This Row],[Haber]])*
SUMIF('0_Indice_CAC'!$A:$A,Tabla18[[#This Row],[Mes]],'0_Indice_CAC'!$D:$D)</f>
        <v>1516880.6031734124</v>
      </c>
      <c r="T86" s="142">
        <f>Tabla18[[#This Row],[Debe]]-Tabla18[[#This Row],[Haber]]</f>
        <v>1580000</v>
      </c>
      <c r="U86" s="322" t="s">
        <v>4525</v>
      </c>
      <c r="V86" s="323"/>
      <c r="W86" s="142">
        <f t="shared" si="2"/>
        <v>1580000</v>
      </c>
      <c r="X86" s="142" t="b">
        <f>ISNUMBER(MATCH(A86,'3_Control_Ppto'!$A$4:$A$70,0))</f>
        <v>1</v>
      </c>
      <c r="Y86" s="136"/>
    </row>
    <row r="87" spans="1:25" ht="12" customHeight="1" x14ac:dyDescent="0.3">
      <c r="A87" s="140" t="s">
        <v>106</v>
      </c>
      <c r="B87" s="140" t="s">
        <v>4090</v>
      </c>
      <c r="C87" s="549">
        <f>+EOMONTH(Tabla18[[#This Row],[Fecha Asiento]],-1)+1</f>
        <v>45717</v>
      </c>
      <c r="D87" s="136">
        <v>53023</v>
      </c>
      <c r="E87" s="136" t="s">
        <v>4467</v>
      </c>
      <c r="F87" s="141">
        <v>45727</v>
      </c>
      <c r="G87" s="136">
        <v>1169</v>
      </c>
      <c r="H87" s="136" t="s">
        <v>4468</v>
      </c>
      <c r="I87" s="136" t="s">
        <v>4423</v>
      </c>
      <c r="J87" s="136" t="s">
        <v>4424</v>
      </c>
      <c r="K87" s="136">
        <v>6583</v>
      </c>
      <c r="L87" s="138">
        <v>14500.64</v>
      </c>
      <c r="M87" s="138">
        <v>0</v>
      </c>
      <c r="N87" s="136" t="s">
        <v>4425</v>
      </c>
      <c r="O87" s="136" t="s">
        <v>4426</v>
      </c>
      <c r="P87" s="136" t="s">
        <v>4427</v>
      </c>
      <c r="Q87" s="136" t="s">
        <v>4428</v>
      </c>
      <c r="R87" s="136">
        <v>0</v>
      </c>
      <c r="S87" s="142">
        <f>(Tabla18[[#This Row],[Debe]]-Tabla18[[#This Row],[Haber]])*
SUMIF('0_Indice_CAC'!$A:$A,Tabla18[[#This Row],[Mes]],'0_Indice_CAC'!$D:$D)</f>
        <v>13921.354145316778</v>
      </c>
      <c r="T87" s="142">
        <f>Tabla18[[#This Row],[Debe]]-Tabla18[[#This Row],[Haber]]</f>
        <v>14500.64</v>
      </c>
      <c r="U87" s="322"/>
      <c r="V87" s="323"/>
      <c r="W87" s="142">
        <f t="shared" si="2"/>
        <v>14500.64</v>
      </c>
      <c r="X87" s="142" t="b">
        <f>ISNUMBER(MATCH(A87,'3_Control_Ppto'!$A$4:$A$70,0))</f>
        <v>1</v>
      </c>
      <c r="Y87" s="136"/>
    </row>
    <row r="88" spans="1:25" ht="12" customHeight="1" x14ac:dyDescent="0.3">
      <c r="A88" s="140" t="s">
        <v>106</v>
      </c>
      <c r="B88" s="140" t="s">
        <v>4090</v>
      </c>
      <c r="C88" s="549">
        <f>+EOMONTH(Tabla18[[#This Row],[Fecha Asiento]],-1)+1</f>
        <v>45717</v>
      </c>
      <c r="D88" s="136">
        <v>53023</v>
      </c>
      <c r="E88" s="136" t="s">
        <v>4467</v>
      </c>
      <c r="F88" s="141">
        <v>45727</v>
      </c>
      <c r="G88" s="136">
        <v>1170</v>
      </c>
      <c r="H88" s="136" t="s">
        <v>4468</v>
      </c>
      <c r="I88" s="136" t="s">
        <v>4423</v>
      </c>
      <c r="J88" s="136" t="s">
        <v>4424</v>
      </c>
      <c r="K88" s="136">
        <v>6584</v>
      </c>
      <c r="L88" s="138">
        <v>3500.05</v>
      </c>
      <c r="M88" s="138">
        <v>0</v>
      </c>
      <c r="N88" s="136" t="s">
        <v>4425</v>
      </c>
      <c r="O88" s="136" t="s">
        <v>4426</v>
      </c>
      <c r="P88" s="136" t="s">
        <v>4427</v>
      </c>
      <c r="Q88" s="136" t="s">
        <v>4428</v>
      </c>
      <c r="R88" s="136">
        <v>0</v>
      </c>
      <c r="S88" s="142">
        <f>(Tabla18[[#This Row],[Debe]]-Tabla18[[#This Row],[Haber]])*
SUMIF('0_Indice_CAC'!$A:$A,Tabla18[[#This Row],[Mes]],'0_Indice_CAC'!$D:$D)</f>
        <v>3360.2265538842421</v>
      </c>
      <c r="T88" s="142">
        <f>Tabla18[[#This Row],[Debe]]-Tabla18[[#This Row],[Haber]]</f>
        <v>3500.05</v>
      </c>
      <c r="U88" s="322"/>
      <c r="V88" s="323"/>
      <c r="W88" s="142">
        <f t="shared" si="2"/>
        <v>3500.05</v>
      </c>
      <c r="X88" s="142" t="b">
        <f>ISNUMBER(MATCH(A88,'3_Control_Ppto'!$A$4:$A$70,0))</f>
        <v>1</v>
      </c>
      <c r="Y88" s="136"/>
    </row>
    <row r="89" spans="1:25" ht="12" customHeight="1" x14ac:dyDescent="0.3">
      <c r="A89" s="140" t="s">
        <v>106</v>
      </c>
      <c r="B89" s="140" t="s">
        <v>4090</v>
      </c>
      <c r="C89" s="549">
        <f>+EOMONTH(Tabla18[[#This Row],[Fecha Asiento]],-1)+1</f>
        <v>45717</v>
      </c>
      <c r="D89" s="136">
        <v>53023</v>
      </c>
      <c r="E89" s="136" t="s">
        <v>4467</v>
      </c>
      <c r="F89" s="141">
        <v>45727</v>
      </c>
      <c r="G89" s="136">
        <v>1172</v>
      </c>
      <c r="H89" s="136" t="s">
        <v>4468</v>
      </c>
      <c r="I89" s="136" t="s">
        <v>4423</v>
      </c>
      <c r="J89" s="136" t="s">
        <v>4424</v>
      </c>
      <c r="K89" s="136">
        <v>6586</v>
      </c>
      <c r="L89" s="138">
        <v>10602.02</v>
      </c>
      <c r="M89" s="138">
        <v>0</v>
      </c>
      <c r="N89" s="136" t="s">
        <v>4425</v>
      </c>
      <c r="O89" s="136" t="s">
        <v>4426</v>
      </c>
      <c r="P89" s="136" t="s">
        <v>4427</v>
      </c>
      <c r="Q89" s="136" t="s">
        <v>4428</v>
      </c>
      <c r="R89" s="136">
        <v>0</v>
      </c>
      <c r="S89" s="142">
        <f>(Tabla18[[#This Row],[Debe]]-Tabla18[[#This Row],[Haber]])*
SUMIF('0_Indice_CAC'!$A:$A,Tabla18[[#This Row],[Mes]],'0_Indice_CAC'!$D:$D)</f>
        <v>10178.480058516825</v>
      </c>
      <c r="T89" s="142">
        <f>Tabla18[[#This Row],[Debe]]-Tabla18[[#This Row],[Haber]]</f>
        <v>10602.02</v>
      </c>
      <c r="U89" s="322"/>
      <c r="V89" s="323"/>
      <c r="W89" s="142">
        <f t="shared" si="2"/>
        <v>10602.02</v>
      </c>
      <c r="X89" s="142" t="b">
        <f>ISNUMBER(MATCH(A89,'3_Control_Ppto'!$A$4:$A$70,0))</f>
        <v>1</v>
      </c>
      <c r="Y89" s="136"/>
    </row>
    <row r="90" spans="1:25" ht="12" customHeight="1" x14ac:dyDescent="0.3">
      <c r="A90" s="140" t="s">
        <v>106</v>
      </c>
      <c r="B90" s="140" t="s">
        <v>4090</v>
      </c>
      <c r="C90" s="549">
        <f>+EOMONTH(Tabla18[[#This Row],[Fecha Asiento]],-1)+1</f>
        <v>45717</v>
      </c>
      <c r="D90" s="136">
        <v>53023</v>
      </c>
      <c r="E90" s="136" t="s">
        <v>4467</v>
      </c>
      <c r="F90" s="141">
        <v>45727</v>
      </c>
      <c r="G90" s="136">
        <v>1579</v>
      </c>
      <c r="H90" s="136" t="s">
        <v>4475</v>
      </c>
      <c r="I90" s="136" t="s">
        <v>4471</v>
      </c>
      <c r="J90" s="136" t="s">
        <v>4455</v>
      </c>
      <c r="K90" s="136">
        <v>1000193811</v>
      </c>
      <c r="L90" s="138">
        <v>61701.43</v>
      </c>
      <c r="M90" s="138">
        <v>0</v>
      </c>
      <c r="N90" s="136" t="s">
        <v>4425</v>
      </c>
      <c r="O90" s="136" t="s">
        <v>4426</v>
      </c>
      <c r="P90" s="136" t="s">
        <v>4427</v>
      </c>
      <c r="Q90" s="136" t="s">
        <v>4428</v>
      </c>
      <c r="R90" s="136">
        <v>0</v>
      </c>
      <c r="S90" s="142">
        <f>(Tabla18[[#This Row],[Debe]]-Tabla18[[#This Row],[Haber]])*
SUMIF('0_Indice_CAC'!$A:$A,Tabla18[[#This Row],[Mes]],'0_Indice_CAC'!$D:$D)</f>
        <v>59236.520477887396</v>
      </c>
      <c r="T90" s="142">
        <f>Tabla18[[#This Row],[Debe]]-Tabla18[[#This Row],[Haber]]</f>
        <v>61701.43</v>
      </c>
      <c r="U90" s="322"/>
      <c r="V90" s="323"/>
      <c r="W90" s="142">
        <f t="shared" si="2"/>
        <v>61701.43</v>
      </c>
      <c r="X90" s="142" t="b">
        <f>ISNUMBER(MATCH(A90,'3_Control_Ppto'!$A$4:$A$70,0))</f>
        <v>1</v>
      </c>
      <c r="Y90" s="136"/>
    </row>
    <row r="91" spans="1:25" ht="12" customHeight="1" x14ac:dyDescent="0.3">
      <c r="A91" s="140" t="s">
        <v>106</v>
      </c>
      <c r="B91" s="140" t="s">
        <v>4090</v>
      </c>
      <c r="C91" s="549">
        <f>+EOMONTH(Tabla18[[#This Row],[Fecha Asiento]],-1)+1</f>
        <v>45717</v>
      </c>
      <c r="D91" s="136">
        <v>53023</v>
      </c>
      <c r="E91" s="136" t="s">
        <v>4467</v>
      </c>
      <c r="F91" s="141">
        <v>45727</v>
      </c>
      <c r="G91" s="136">
        <v>1580</v>
      </c>
      <c r="H91" s="136" t="s">
        <v>4475</v>
      </c>
      <c r="I91" s="136" t="s">
        <v>4471</v>
      </c>
      <c r="J91" s="136" t="s">
        <v>4455</v>
      </c>
      <c r="K91" s="136">
        <v>1000193809</v>
      </c>
      <c r="L91" s="138">
        <v>120793.61</v>
      </c>
      <c r="M91" s="138">
        <v>0</v>
      </c>
      <c r="N91" s="136" t="s">
        <v>4425</v>
      </c>
      <c r="O91" s="136" t="s">
        <v>4426</v>
      </c>
      <c r="P91" s="136" t="s">
        <v>4427</v>
      </c>
      <c r="Q91" s="136" t="s">
        <v>4428</v>
      </c>
      <c r="R91" s="136">
        <v>0</v>
      </c>
      <c r="S91" s="142">
        <f>(Tabla18[[#This Row],[Debe]]-Tabla18[[#This Row],[Haber]])*
SUMIF('0_Indice_CAC'!$A:$A,Tabla18[[#This Row],[Mes]],'0_Indice_CAC'!$D:$D)</f>
        <v>115968.02784575566</v>
      </c>
      <c r="T91" s="142">
        <f>Tabla18[[#This Row],[Debe]]-Tabla18[[#This Row],[Haber]]</f>
        <v>120793.61</v>
      </c>
      <c r="U91" s="322"/>
      <c r="V91" s="323"/>
      <c r="W91" s="142">
        <f t="shared" si="2"/>
        <v>120793.61</v>
      </c>
      <c r="X91" s="142" t="b">
        <f>ISNUMBER(MATCH(A91,'3_Control_Ppto'!$A$4:$A$70,0))</f>
        <v>1</v>
      </c>
      <c r="Y91" s="136"/>
    </row>
    <row r="92" spans="1:25" ht="12" customHeight="1" x14ac:dyDescent="0.3">
      <c r="A92" s="140" t="s">
        <v>106</v>
      </c>
      <c r="B92" s="140" t="s">
        <v>4090</v>
      </c>
      <c r="C92" s="549">
        <f>+EOMONTH(Tabla18[[#This Row],[Fecha Asiento]],-1)+1</f>
        <v>45717</v>
      </c>
      <c r="D92" s="136">
        <v>53023</v>
      </c>
      <c r="E92" s="136" t="s">
        <v>4467</v>
      </c>
      <c r="F92" s="141">
        <v>45727</v>
      </c>
      <c r="G92" s="136">
        <v>1581</v>
      </c>
      <c r="H92" s="136" t="s">
        <v>4475</v>
      </c>
      <c r="I92" s="136" t="s">
        <v>4471</v>
      </c>
      <c r="J92" s="136" t="s">
        <v>4455</v>
      </c>
      <c r="K92" s="136">
        <v>1000193808</v>
      </c>
      <c r="L92" s="138">
        <v>465215.14</v>
      </c>
      <c r="M92" s="138">
        <v>0</v>
      </c>
      <c r="N92" s="136" t="s">
        <v>4425</v>
      </c>
      <c r="O92" s="136" t="s">
        <v>4426</v>
      </c>
      <c r="P92" s="136" t="s">
        <v>4427</v>
      </c>
      <c r="Q92" s="136" t="s">
        <v>4428</v>
      </c>
      <c r="R92" s="136">
        <v>0</v>
      </c>
      <c r="S92" s="142">
        <f>(Tabla18[[#This Row],[Debe]]-Tabla18[[#This Row],[Haber]])*
SUMIF('0_Indice_CAC'!$A:$A,Tabla18[[#This Row],[Mes]],'0_Indice_CAC'!$D:$D)</f>
        <v>446630.26719531871</v>
      </c>
      <c r="T92" s="142">
        <f>Tabla18[[#This Row],[Debe]]-Tabla18[[#This Row],[Haber]]</f>
        <v>465215.14</v>
      </c>
      <c r="U92" s="322"/>
      <c r="V92" s="323"/>
      <c r="W92" s="142">
        <f t="shared" si="2"/>
        <v>465215.14</v>
      </c>
      <c r="X92" s="142" t="b">
        <f>ISNUMBER(MATCH(A92,'3_Control_Ppto'!$A$4:$A$70,0))</f>
        <v>1</v>
      </c>
      <c r="Y92" s="136"/>
    </row>
    <row r="93" spans="1:25" ht="12" customHeight="1" x14ac:dyDescent="0.3">
      <c r="A93" s="140" t="s">
        <v>106</v>
      </c>
      <c r="B93" s="140" t="s">
        <v>4090</v>
      </c>
      <c r="C93" s="549">
        <f>+EOMONTH(Tabla18[[#This Row],[Fecha Asiento]],-1)+1</f>
        <v>45717</v>
      </c>
      <c r="D93" s="136">
        <v>53023</v>
      </c>
      <c r="E93" s="136" t="s">
        <v>4467</v>
      </c>
      <c r="F93" s="141">
        <v>45727</v>
      </c>
      <c r="G93" s="136">
        <v>1582</v>
      </c>
      <c r="H93" s="136" t="s">
        <v>4475</v>
      </c>
      <c r="I93" s="136" t="s">
        <v>4471</v>
      </c>
      <c r="J93" s="136" t="s">
        <v>4455</v>
      </c>
      <c r="K93" s="136">
        <v>1000193810</v>
      </c>
      <c r="L93" s="138">
        <v>3416.18</v>
      </c>
      <c r="M93" s="138">
        <v>0</v>
      </c>
      <c r="N93" s="136" t="s">
        <v>4425</v>
      </c>
      <c r="O93" s="136" t="s">
        <v>4426</v>
      </c>
      <c r="P93" s="136" t="s">
        <v>4427</v>
      </c>
      <c r="Q93" s="136" t="s">
        <v>4428</v>
      </c>
      <c r="R93" s="136">
        <v>0</v>
      </c>
      <c r="S93" s="142">
        <f>(Tabla18[[#This Row],[Debe]]-Tabla18[[#This Row],[Haber]])*
SUMIF('0_Indice_CAC'!$A:$A,Tabla18[[#This Row],[Mes]],'0_Indice_CAC'!$D:$D)</f>
        <v>3279.7070752841441</v>
      </c>
      <c r="T93" s="142">
        <f>Tabla18[[#This Row],[Debe]]-Tabla18[[#This Row],[Haber]]</f>
        <v>3416.18</v>
      </c>
      <c r="U93" s="322"/>
      <c r="V93" s="323"/>
      <c r="W93" s="142">
        <f t="shared" si="2"/>
        <v>3416.18</v>
      </c>
      <c r="X93" s="142" t="b">
        <f>ISNUMBER(MATCH(A93,'3_Control_Ppto'!$A$4:$A$70,0))</f>
        <v>1</v>
      </c>
      <c r="Y93" s="136"/>
    </row>
    <row r="94" spans="1:25" ht="12" customHeight="1" x14ac:dyDescent="0.3">
      <c r="A94" s="140" t="s">
        <v>4310</v>
      </c>
      <c r="B94" s="140" t="s">
        <v>56</v>
      </c>
      <c r="C94" s="549">
        <f>+EOMONTH(Tabla18[[#This Row],[Fecha Asiento]],-1)+1</f>
        <v>45717</v>
      </c>
      <c r="D94" s="136">
        <v>53026</v>
      </c>
      <c r="E94" s="136" t="s">
        <v>4310</v>
      </c>
      <c r="F94" s="141">
        <v>45727</v>
      </c>
      <c r="G94" s="136">
        <v>1582</v>
      </c>
      <c r="H94" s="136" t="s">
        <v>4476</v>
      </c>
      <c r="I94" s="136" t="s">
        <v>4471</v>
      </c>
      <c r="J94" s="136" t="s">
        <v>4455</v>
      </c>
      <c r="K94" s="136">
        <v>1000193810</v>
      </c>
      <c r="L94" s="138">
        <v>188910.95</v>
      </c>
      <c r="M94" s="138">
        <v>0</v>
      </c>
      <c r="N94" s="136" t="s">
        <v>4425</v>
      </c>
      <c r="O94" s="136" t="s">
        <v>4426</v>
      </c>
      <c r="P94" s="136" t="s">
        <v>4427</v>
      </c>
      <c r="Q94" s="136" t="s">
        <v>4428</v>
      </c>
      <c r="R94" s="136">
        <v>0</v>
      </c>
      <c r="S94" s="142">
        <f>(Tabla18[[#This Row],[Debe]]-Tabla18[[#This Row],[Haber]])*
SUMIF('0_Indice_CAC'!$A:$A,Tabla18[[#This Row],[Mes]],'0_Indice_CAC'!$D:$D)</f>
        <v>181364.14922915341</v>
      </c>
      <c r="T94" s="142">
        <f>Tabla18[[#This Row],[Debe]]-Tabla18[[#This Row],[Haber]]</f>
        <v>188910.95</v>
      </c>
      <c r="U94" s="322"/>
      <c r="V94" s="323"/>
      <c r="W94" s="142">
        <f t="shared" si="2"/>
        <v>188910.95</v>
      </c>
      <c r="X94" s="142" t="b">
        <f>ISNUMBER(MATCH(A94,'3_Control_Ppto'!$A$4:$A$70,0))</f>
        <v>1</v>
      </c>
      <c r="Y94" s="136"/>
    </row>
    <row r="95" spans="1:25" ht="12" customHeight="1" x14ac:dyDescent="0.3">
      <c r="A95" s="140" t="s">
        <v>106</v>
      </c>
      <c r="B95" s="140" t="s">
        <v>4090</v>
      </c>
      <c r="C95" s="549">
        <f>+EOMONTH(Tabla18[[#This Row],[Fecha Asiento]],-1)+1</f>
        <v>45717</v>
      </c>
      <c r="D95" s="136">
        <v>53008</v>
      </c>
      <c r="E95" s="136" t="s">
        <v>4490</v>
      </c>
      <c r="F95" s="141">
        <v>45728</v>
      </c>
      <c r="G95" s="136">
        <v>1568</v>
      </c>
      <c r="H95" s="136" t="s">
        <v>4526</v>
      </c>
      <c r="I95" s="136" t="s">
        <v>4510</v>
      </c>
      <c r="J95" s="136" t="s">
        <v>4455</v>
      </c>
      <c r="K95" s="136">
        <v>200011848</v>
      </c>
      <c r="L95" s="138">
        <v>141995.76</v>
      </c>
      <c r="M95" s="138">
        <v>0</v>
      </c>
      <c r="N95" s="136" t="s">
        <v>4425</v>
      </c>
      <c r="O95" s="136" t="s">
        <v>4426</v>
      </c>
      <c r="P95" s="136" t="s">
        <v>4427</v>
      </c>
      <c r="Q95" s="136" t="s">
        <v>4428</v>
      </c>
      <c r="R95" s="136">
        <v>0</v>
      </c>
      <c r="S95" s="142">
        <f>(Tabla18[[#This Row],[Debe]]-Tabla18[[#This Row],[Haber]])*
SUMIF('0_Indice_CAC'!$A:$A,Tabla18[[#This Row],[Mes]],'0_Indice_CAC'!$D:$D)</f>
        <v>136323.17346637161</v>
      </c>
      <c r="T95" s="142">
        <f>Tabla18[[#This Row],[Debe]]-Tabla18[[#This Row],[Haber]]</f>
        <v>141995.76</v>
      </c>
      <c r="U95" s="322"/>
      <c r="V95" s="323"/>
      <c r="W95" s="142">
        <f t="shared" si="2"/>
        <v>141995.76</v>
      </c>
      <c r="X95" s="142" t="b">
        <f>ISNUMBER(MATCH(A95,'3_Control_Ppto'!$A$4:$A$70,0))</f>
        <v>1</v>
      </c>
      <c r="Y95" s="136"/>
    </row>
    <row r="96" spans="1:25" ht="12" customHeight="1" x14ac:dyDescent="0.3">
      <c r="A96" s="140" t="s">
        <v>4119</v>
      </c>
      <c r="B96" s="140" t="s">
        <v>56</v>
      </c>
      <c r="C96" s="549">
        <f>+EOMONTH(Tabla18[[#This Row],[Fecha Asiento]],-1)+1</f>
        <v>45717</v>
      </c>
      <c r="D96" s="136">
        <v>53022</v>
      </c>
      <c r="E96" s="136" t="s">
        <v>4429</v>
      </c>
      <c r="F96" s="141">
        <v>45728</v>
      </c>
      <c r="G96" s="136">
        <v>1587</v>
      </c>
      <c r="H96" s="136" t="s">
        <v>4527</v>
      </c>
      <c r="I96" s="136" t="s">
        <v>4459</v>
      </c>
      <c r="J96" s="136" t="s">
        <v>4455</v>
      </c>
      <c r="K96" s="136">
        <v>300022211</v>
      </c>
      <c r="L96" s="138">
        <v>80000</v>
      </c>
      <c r="M96" s="138">
        <v>0</v>
      </c>
      <c r="N96" s="136" t="s">
        <v>4425</v>
      </c>
      <c r="O96" s="136" t="s">
        <v>4426</v>
      </c>
      <c r="P96" s="136" t="s">
        <v>4427</v>
      </c>
      <c r="Q96" s="136" t="s">
        <v>4428</v>
      </c>
      <c r="R96" s="136">
        <v>0</v>
      </c>
      <c r="S96" s="142">
        <f>(Tabla18[[#This Row],[Debe]]-Tabla18[[#This Row],[Haber]])*
SUMIF('0_Indice_CAC'!$A:$A,Tabla18[[#This Row],[Mes]],'0_Indice_CAC'!$D:$D)</f>
        <v>76804.081173337341</v>
      </c>
      <c r="T96" s="142">
        <f>Tabla18[[#This Row],[Debe]]-Tabla18[[#This Row],[Haber]]</f>
        <v>80000</v>
      </c>
      <c r="U96" s="322"/>
      <c r="V96" s="323"/>
      <c r="W96" s="142">
        <f t="shared" si="2"/>
        <v>80000</v>
      </c>
      <c r="X96" s="142" t="b">
        <f>ISNUMBER(MATCH(A96,'3_Control_Ppto'!$A$4:$A$70,0))</f>
        <v>1</v>
      </c>
      <c r="Y96" s="136"/>
    </row>
    <row r="97" spans="1:25" ht="12" customHeight="1" x14ac:dyDescent="0.3">
      <c r="A97" s="140" t="s">
        <v>4119</v>
      </c>
      <c r="B97" s="140" t="s">
        <v>56</v>
      </c>
      <c r="C97" s="549">
        <f>+EOMONTH(Tabla18[[#This Row],[Fecha Asiento]],-1)+1</f>
        <v>45717</v>
      </c>
      <c r="D97" s="136">
        <v>52104</v>
      </c>
      <c r="E97" s="136" t="s">
        <v>4528</v>
      </c>
      <c r="F97" s="141">
        <v>45729</v>
      </c>
      <c r="G97" s="136">
        <v>1603</v>
      </c>
      <c r="H97" s="136" t="s">
        <v>4529</v>
      </c>
      <c r="I97" s="136" t="s">
        <v>4530</v>
      </c>
      <c r="J97" s="136" t="s">
        <v>4455</v>
      </c>
      <c r="K97" s="136">
        <v>200007273</v>
      </c>
      <c r="L97" s="138">
        <v>44000</v>
      </c>
      <c r="M97" s="138">
        <v>0</v>
      </c>
      <c r="N97" s="136" t="s">
        <v>4425</v>
      </c>
      <c r="O97" s="136" t="s">
        <v>4426</v>
      </c>
      <c r="P97" s="136" t="s">
        <v>4427</v>
      </c>
      <c r="Q97" s="136" t="s">
        <v>4428</v>
      </c>
      <c r="R97" s="136">
        <v>0</v>
      </c>
      <c r="S97" s="142">
        <f>(Tabla18[[#This Row],[Debe]]-Tabla18[[#This Row],[Haber]])*
SUMIF('0_Indice_CAC'!$A:$A,Tabla18[[#This Row],[Mes]],'0_Indice_CAC'!$D:$D)</f>
        <v>42242.244645335537</v>
      </c>
      <c r="T97" s="142">
        <f>Tabla18[[#This Row],[Debe]]-Tabla18[[#This Row],[Haber]]</f>
        <v>44000</v>
      </c>
      <c r="U97" s="322"/>
      <c r="V97" s="323"/>
      <c r="W97" s="142">
        <f t="shared" si="2"/>
        <v>44000</v>
      </c>
      <c r="X97" s="142" t="b">
        <f>ISNUMBER(MATCH(A97,'3_Control_Ppto'!$A$4:$A$70,0))</f>
        <v>1</v>
      </c>
      <c r="Y97" s="136"/>
    </row>
    <row r="98" spans="1:25" ht="12" customHeight="1" x14ac:dyDescent="0.3">
      <c r="A98" s="140" t="s">
        <v>106</v>
      </c>
      <c r="B98" s="140" t="s">
        <v>4090</v>
      </c>
      <c r="C98" s="549">
        <f>+EOMONTH(Tabla18[[#This Row],[Fecha Asiento]],-1)+1</f>
        <v>45717</v>
      </c>
      <c r="D98" s="136">
        <v>53023</v>
      </c>
      <c r="E98" s="136" t="s">
        <v>4467</v>
      </c>
      <c r="F98" s="141">
        <v>45730</v>
      </c>
      <c r="G98" s="136">
        <v>1173</v>
      </c>
      <c r="H98" s="136" t="s">
        <v>4468</v>
      </c>
      <c r="I98" s="136" t="s">
        <v>4423</v>
      </c>
      <c r="J98" s="136" t="s">
        <v>4424</v>
      </c>
      <c r="K98" s="136">
        <v>6587</v>
      </c>
      <c r="L98" s="138">
        <v>12800.01</v>
      </c>
      <c r="M98" s="138">
        <v>0</v>
      </c>
      <c r="N98" s="136" t="s">
        <v>4425</v>
      </c>
      <c r="O98" s="136" t="s">
        <v>4426</v>
      </c>
      <c r="P98" s="136" t="s">
        <v>4427</v>
      </c>
      <c r="Q98" s="136" t="s">
        <v>4428</v>
      </c>
      <c r="R98" s="136">
        <v>0</v>
      </c>
      <c r="S98" s="142">
        <f>(Tabla18[[#This Row],[Debe]]-Tabla18[[#This Row],[Haber]])*
SUMIF('0_Indice_CAC'!$A:$A,Tabla18[[#This Row],[Mes]],'0_Indice_CAC'!$D:$D)</f>
        <v>12288.66258824412</v>
      </c>
      <c r="T98" s="142">
        <f>Tabla18[[#This Row],[Debe]]-Tabla18[[#This Row],[Haber]]</f>
        <v>12800.01</v>
      </c>
      <c r="U98" s="322"/>
      <c r="V98" s="323"/>
      <c r="W98" s="142">
        <f t="shared" ref="W98:W129" si="3">IFERROR(T98-IF(V98="",0,V98),0)</f>
        <v>12800.01</v>
      </c>
      <c r="X98" s="142" t="b">
        <f>ISNUMBER(MATCH(A98,'3_Control_Ppto'!$A$4:$A$70,0))</f>
        <v>1</v>
      </c>
      <c r="Y98" s="136"/>
    </row>
    <row r="99" spans="1:25" ht="12" customHeight="1" x14ac:dyDescent="0.3">
      <c r="A99" s="140" t="s">
        <v>106</v>
      </c>
      <c r="B99" s="140" t="s">
        <v>4090</v>
      </c>
      <c r="C99" s="549">
        <f>+EOMONTH(Tabla18[[#This Row],[Fecha Asiento]],-1)+1</f>
        <v>45717</v>
      </c>
      <c r="D99" s="136">
        <v>53023</v>
      </c>
      <c r="E99" s="136" t="s">
        <v>4467</v>
      </c>
      <c r="F99" s="141">
        <v>45730</v>
      </c>
      <c r="G99" s="136">
        <v>1951</v>
      </c>
      <c r="H99" s="136" t="s">
        <v>4498</v>
      </c>
      <c r="I99" s="136" t="s">
        <v>4466</v>
      </c>
      <c r="J99" s="136" t="s">
        <v>4455</v>
      </c>
      <c r="K99" s="136">
        <v>600010990</v>
      </c>
      <c r="L99" s="138">
        <v>10578.52</v>
      </c>
      <c r="M99" s="138">
        <v>0</v>
      </c>
      <c r="N99" s="136" t="s">
        <v>4425</v>
      </c>
      <c r="O99" s="136" t="s">
        <v>4426</v>
      </c>
      <c r="P99" s="136" t="s">
        <v>4427</v>
      </c>
      <c r="Q99" s="136" t="s">
        <v>4428</v>
      </c>
      <c r="R99" s="136">
        <v>0</v>
      </c>
      <c r="S99" s="142">
        <f>(Tabla18[[#This Row],[Debe]]-Tabla18[[#This Row],[Haber]])*
SUMIF('0_Indice_CAC'!$A:$A,Tabla18[[#This Row],[Mes]],'0_Indice_CAC'!$D:$D)</f>
        <v>10155.918859672156</v>
      </c>
      <c r="T99" s="142">
        <f>Tabla18[[#This Row],[Debe]]-Tabla18[[#This Row],[Haber]]</f>
        <v>10578.52</v>
      </c>
      <c r="U99" s="322"/>
      <c r="V99" s="323"/>
      <c r="W99" s="142">
        <f t="shared" si="3"/>
        <v>10578.52</v>
      </c>
      <c r="X99" s="142" t="b">
        <f>ISNUMBER(MATCH(A99,'3_Control_Ppto'!$A$4:$A$70,0))</f>
        <v>1</v>
      </c>
      <c r="Y99" s="136"/>
    </row>
    <row r="100" spans="1:25" ht="12" customHeight="1" x14ac:dyDescent="0.3">
      <c r="A100" s="140" t="s">
        <v>4317</v>
      </c>
      <c r="B100" s="140" t="s">
        <v>56</v>
      </c>
      <c r="C100" s="549">
        <f>+EOMONTH(Tabla18[[#This Row],[Fecha Asiento]],-1)+1</f>
        <v>45717</v>
      </c>
      <c r="D100" s="136">
        <v>52302</v>
      </c>
      <c r="E100" s="136" t="s">
        <v>4444</v>
      </c>
      <c r="F100" s="141">
        <v>45731</v>
      </c>
      <c r="G100" s="136">
        <v>1818</v>
      </c>
      <c r="H100" s="136" t="s">
        <v>4531</v>
      </c>
      <c r="I100" s="136" t="s">
        <v>4532</v>
      </c>
      <c r="J100" s="136" t="s">
        <v>4455</v>
      </c>
      <c r="K100" s="136">
        <v>217201598671</v>
      </c>
      <c r="L100" s="138">
        <v>49673.86</v>
      </c>
      <c r="M100" s="138">
        <v>0</v>
      </c>
      <c r="N100" s="136" t="s">
        <v>4425</v>
      </c>
      <c r="O100" s="136" t="s">
        <v>4426</v>
      </c>
      <c r="P100" s="136" t="s">
        <v>4427</v>
      </c>
      <c r="Q100" s="136" t="s">
        <v>4428</v>
      </c>
      <c r="R100" s="136">
        <v>0</v>
      </c>
      <c r="S100" s="142">
        <f>(Tabla18[[#This Row],[Debe]]-Tabla18[[#This Row],[Haber]])*
SUMIF('0_Indice_CAC'!$A:$A,Tabla18[[#This Row],[Mes]],'0_Indice_CAC'!$D:$D)</f>
        <v>47689.439695412431</v>
      </c>
      <c r="T100" s="142">
        <f>Tabla18[[#This Row],[Debe]]-Tabla18[[#This Row],[Haber]]</f>
        <v>49673.86</v>
      </c>
      <c r="U100" s="322"/>
      <c r="V100" s="323"/>
      <c r="W100" s="142">
        <f t="shared" si="3"/>
        <v>49673.86</v>
      </c>
      <c r="X100" s="142" t="b">
        <f>ISNUMBER(MATCH(A100,'3_Control_Ppto'!$A$4:$A$70,0))</f>
        <v>1</v>
      </c>
      <c r="Y100" s="136"/>
    </row>
    <row r="101" spans="1:25" ht="12" customHeight="1" x14ac:dyDescent="0.3">
      <c r="A101" s="140" t="s">
        <v>4317</v>
      </c>
      <c r="B101" s="140" t="s">
        <v>56</v>
      </c>
      <c r="C101" s="549">
        <f>+EOMONTH(Tabla18[[#This Row],[Fecha Asiento]],-1)+1</f>
        <v>45717</v>
      </c>
      <c r="D101" s="136">
        <v>52302</v>
      </c>
      <c r="E101" s="136" t="s">
        <v>4444</v>
      </c>
      <c r="F101" s="141">
        <v>45731</v>
      </c>
      <c r="G101" s="136">
        <v>1818</v>
      </c>
      <c r="H101" s="136" t="s">
        <v>4533</v>
      </c>
      <c r="I101" s="136" t="s">
        <v>4532</v>
      </c>
      <c r="J101" s="136" t="s">
        <v>4455</v>
      </c>
      <c r="K101" s="136">
        <v>217201598671</v>
      </c>
      <c r="L101" s="138">
        <v>595.07000000000005</v>
      </c>
      <c r="M101" s="138">
        <v>0</v>
      </c>
      <c r="N101" s="136" t="s">
        <v>4425</v>
      </c>
      <c r="O101" s="136" t="s">
        <v>4426</v>
      </c>
      <c r="P101" s="136" t="s">
        <v>4427</v>
      </c>
      <c r="Q101" s="136" t="s">
        <v>4428</v>
      </c>
      <c r="R101" s="136">
        <v>0</v>
      </c>
      <c r="S101" s="142">
        <f>(Tabla18[[#This Row],[Debe]]-Tabla18[[#This Row],[Haber]])*
SUMIF('0_Indice_CAC'!$A:$A,Tabla18[[#This Row],[Mes]],'0_Indice_CAC'!$D:$D)</f>
        <v>571.29755729772319</v>
      </c>
      <c r="T101" s="142">
        <f>Tabla18[[#This Row],[Debe]]-Tabla18[[#This Row],[Haber]]</f>
        <v>595.07000000000005</v>
      </c>
      <c r="U101" s="322"/>
      <c r="V101" s="323"/>
      <c r="W101" s="142">
        <f t="shared" si="3"/>
        <v>595.07000000000005</v>
      </c>
      <c r="X101" s="142" t="b">
        <f>ISNUMBER(MATCH(A101,'3_Control_Ppto'!$A$4:$A$70,0))</f>
        <v>1</v>
      </c>
      <c r="Y101" s="136"/>
    </row>
    <row r="102" spans="1:25" ht="12" customHeight="1" x14ac:dyDescent="0.3">
      <c r="A102" s="140" t="s">
        <v>4317</v>
      </c>
      <c r="B102" s="140" t="s">
        <v>56</v>
      </c>
      <c r="C102" s="549">
        <f>+EOMONTH(Tabla18[[#This Row],[Fecha Asiento]],-1)+1</f>
        <v>45717</v>
      </c>
      <c r="D102" s="136">
        <v>52302</v>
      </c>
      <c r="E102" s="136" t="s">
        <v>4444</v>
      </c>
      <c r="F102" s="141">
        <v>45731</v>
      </c>
      <c r="G102" s="136">
        <v>1818</v>
      </c>
      <c r="H102" s="136" t="s">
        <v>4534</v>
      </c>
      <c r="I102" s="136" t="s">
        <v>4532</v>
      </c>
      <c r="J102" s="136" t="s">
        <v>4455</v>
      </c>
      <c r="K102" s="136">
        <v>217201598671</v>
      </c>
      <c r="L102" s="138">
        <v>7365.58</v>
      </c>
      <c r="M102" s="138">
        <v>0</v>
      </c>
      <c r="N102" s="136" t="s">
        <v>4425</v>
      </c>
      <c r="O102" s="136" t="s">
        <v>4426</v>
      </c>
      <c r="P102" s="136" t="s">
        <v>4427</v>
      </c>
      <c r="Q102" s="136" t="s">
        <v>4428</v>
      </c>
      <c r="R102" s="136">
        <v>0</v>
      </c>
      <c r="S102" s="142">
        <f>(Tabla18[[#This Row],[Debe]]-Tabla18[[#This Row],[Haber]])*
SUMIF('0_Indice_CAC'!$A:$A,Tabla18[[#This Row],[Mes]],'0_Indice_CAC'!$D:$D)</f>
        <v>7071.3325526088756</v>
      </c>
      <c r="T102" s="142">
        <f>Tabla18[[#This Row],[Debe]]-Tabla18[[#This Row],[Haber]]</f>
        <v>7365.58</v>
      </c>
      <c r="U102" s="322"/>
      <c r="V102" s="323"/>
      <c r="W102" s="142">
        <f t="shared" si="3"/>
        <v>7365.58</v>
      </c>
      <c r="X102" s="142" t="b">
        <f>ISNUMBER(MATCH(A102,'3_Control_Ppto'!$A$4:$A$70,0))</f>
        <v>1</v>
      </c>
      <c r="Y102" s="136"/>
    </row>
    <row r="103" spans="1:25" ht="12" customHeight="1" x14ac:dyDescent="0.3">
      <c r="A103" s="140" t="s">
        <v>4317</v>
      </c>
      <c r="B103" s="140" t="s">
        <v>56</v>
      </c>
      <c r="C103" s="549">
        <f>+EOMONTH(Tabla18[[#This Row],[Fecha Asiento]],-1)+1</f>
        <v>45717</v>
      </c>
      <c r="D103" s="136">
        <v>52102</v>
      </c>
      <c r="E103" s="136" t="s">
        <v>4535</v>
      </c>
      <c r="F103" s="141">
        <v>45733</v>
      </c>
      <c r="G103" s="136">
        <v>1952</v>
      </c>
      <c r="H103" s="136" t="s">
        <v>4536</v>
      </c>
      <c r="I103" s="136" t="s">
        <v>4480</v>
      </c>
      <c r="J103" s="136" t="s">
        <v>4455</v>
      </c>
      <c r="K103" s="136">
        <v>1165500001157</v>
      </c>
      <c r="L103" s="138">
        <v>4128.07</v>
      </c>
      <c r="M103" s="138">
        <v>0</v>
      </c>
      <c r="N103" s="136" t="s">
        <v>4425</v>
      </c>
      <c r="O103" s="136" t="s">
        <v>4426</v>
      </c>
      <c r="P103" s="136" t="s">
        <v>4427</v>
      </c>
      <c r="Q103" s="136" t="s">
        <v>4428</v>
      </c>
      <c r="R103" s="136">
        <v>0</v>
      </c>
      <c r="S103" s="142">
        <f>(Tabla18[[#This Row],[Debe]]-Tabla18[[#This Row],[Haber]])*
SUMIF('0_Indice_CAC'!$A:$A,Tabla18[[#This Row],[Mes]],'0_Indice_CAC'!$D:$D)</f>
        <v>3963.157792115233</v>
      </c>
      <c r="T103" s="142">
        <f>Tabla18[[#This Row],[Debe]]-Tabla18[[#This Row],[Haber]]</f>
        <v>4128.07</v>
      </c>
      <c r="U103" s="322"/>
      <c r="V103" s="323"/>
      <c r="W103" s="142">
        <f t="shared" si="3"/>
        <v>4128.07</v>
      </c>
      <c r="X103" s="142" t="b">
        <f>ISNUMBER(MATCH(A103,'3_Control_Ppto'!$A$4:$A$70,0))</f>
        <v>1</v>
      </c>
      <c r="Y103" s="136"/>
    </row>
    <row r="104" spans="1:25" ht="12" customHeight="1" x14ac:dyDescent="0.3">
      <c r="A104" s="140" t="s">
        <v>4317</v>
      </c>
      <c r="B104" s="140" t="s">
        <v>56</v>
      </c>
      <c r="C104" s="549">
        <f>+EOMONTH(Tabla18[[#This Row],[Fecha Asiento]],-1)+1</f>
        <v>45717</v>
      </c>
      <c r="D104" s="136">
        <v>52103</v>
      </c>
      <c r="E104" s="136" t="s">
        <v>4477</v>
      </c>
      <c r="F104" s="141">
        <v>45733</v>
      </c>
      <c r="G104" s="136">
        <v>1174</v>
      </c>
      <c r="H104" s="136" t="s">
        <v>4478</v>
      </c>
      <c r="I104" s="136" t="s">
        <v>4423</v>
      </c>
      <c r="J104" s="136" t="s">
        <v>4424</v>
      </c>
      <c r="K104" s="136">
        <v>6588</v>
      </c>
      <c r="L104" s="138">
        <v>5036.25</v>
      </c>
      <c r="M104" s="138">
        <v>0</v>
      </c>
      <c r="N104" s="136" t="s">
        <v>4425</v>
      </c>
      <c r="O104" s="136" t="s">
        <v>4426</v>
      </c>
      <c r="P104" s="136" t="s">
        <v>4427</v>
      </c>
      <c r="Q104" s="136" t="s">
        <v>4428</v>
      </c>
      <c r="R104" s="136">
        <v>0</v>
      </c>
      <c r="S104" s="142">
        <f>(Tabla18[[#This Row],[Debe]]-Tabla18[[#This Row],[Haber]])*
SUMIF('0_Indice_CAC'!$A:$A,Tabla18[[#This Row],[Mes]],'0_Indice_CAC'!$D:$D)</f>
        <v>4835.056922615252</v>
      </c>
      <c r="T104" s="142">
        <f>Tabla18[[#This Row],[Debe]]-Tabla18[[#This Row],[Haber]]</f>
        <v>5036.25</v>
      </c>
      <c r="U104" s="322"/>
      <c r="V104" s="323"/>
      <c r="W104" s="142">
        <f t="shared" si="3"/>
        <v>5036.25</v>
      </c>
      <c r="X104" s="142" t="b">
        <f>ISNUMBER(MATCH(A104,'3_Control_Ppto'!$A$4:$A$70,0))</f>
        <v>1</v>
      </c>
      <c r="Y104" s="136"/>
    </row>
    <row r="105" spans="1:25" ht="12" customHeight="1" x14ac:dyDescent="0.3">
      <c r="A105" s="140" t="s">
        <v>1478</v>
      </c>
      <c r="B105" s="140" t="s">
        <v>4090</v>
      </c>
      <c r="C105" s="549">
        <f>+EOMONTH(Tabla18[[#This Row],[Fecha Asiento]],-1)+1</f>
        <v>45717</v>
      </c>
      <c r="D105" s="136">
        <v>53004</v>
      </c>
      <c r="E105" s="136" t="s">
        <v>4496</v>
      </c>
      <c r="F105" s="141">
        <v>45734</v>
      </c>
      <c r="G105" s="136">
        <v>1821</v>
      </c>
      <c r="H105" s="136" t="s">
        <v>4537</v>
      </c>
      <c r="I105" s="136" t="s">
        <v>4538</v>
      </c>
      <c r="J105" s="136" t="s">
        <v>4455</v>
      </c>
      <c r="K105" s="136">
        <v>101000424312</v>
      </c>
      <c r="L105" s="138">
        <v>17917773.68</v>
      </c>
      <c r="M105" s="138">
        <v>0</v>
      </c>
      <c r="N105" s="136" t="s">
        <v>4425</v>
      </c>
      <c r="O105" s="136" t="s">
        <v>4426</v>
      </c>
      <c r="P105" s="136" t="s">
        <v>4427</v>
      </c>
      <c r="Q105" s="136" t="s">
        <v>4428</v>
      </c>
      <c r="R105" s="136">
        <v>0</v>
      </c>
      <c r="S105" s="142">
        <f>(Tabla18[[#This Row],[Debe]]-Tabla18[[#This Row],[Haber]])*
SUMIF('0_Indice_CAC'!$A:$A,Tabla18[[#This Row],[Mes]],'0_Indice_CAC'!$D:$D)</f>
        <v>17201976.802052591</v>
      </c>
      <c r="T105" s="142">
        <f>Tabla18[[#This Row],[Debe]]-Tabla18[[#This Row],[Haber]]</f>
        <v>17917773.68</v>
      </c>
      <c r="U105" s="322"/>
      <c r="V105" s="323"/>
      <c r="W105" s="142">
        <f t="shared" si="3"/>
        <v>17917773.68</v>
      </c>
      <c r="X105" s="142" t="b">
        <f>ISNUMBER(MATCH(A105,'3_Control_Ppto'!$A$4:$A$70,0))</f>
        <v>1</v>
      </c>
      <c r="Y105" s="136"/>
    </row>
    <row r="106" spans="1:25" ht="12" customHeight="1" x14ac:dyDescent="0.3">
      <c r="A106" s="140" t="s">
        <v>106</v>
      </c>
      <c r="B106" s="140" t="s">
        <v>4090</v>
      </c>
      <c r="C106" s="549">
        <f>+EOMONTH(Tabla18[[#This Row],[Fecha Asiento]],-1)+1</f>
        <v>45717</v>
      </c>
      <c r="D106" s="136">
        <v>53023</v>
      </c>
      <c r="E106" s="136" t="s">
        <v>4467</v>
      </c>
      <c r="F106" s="141">
        <v>45734</v>
      </c>
      <c r="G106" s="136">
        <v>1741</v>
      </c>
      <c r="H106" s="136" t="s">
        <v>4475</v>
      </c>
      <c r="I106" s="136" t="s">
        <v>4471</v>
      </c>
      <c r="J106" s="136" t="s">
        <v>4455</v>
      </c>
      <c r="K106" s="136">
        <v>1000194275</v>
      </c>
      <c r="L106" s="138">
        <v>257793.36</v>
      </c>
      <c r="M106" s="138">
        <v>0</v>
      </c>
      <c r="N106" s="136" t="s">
        <v>4425</v>
      </c>
      <c r="O106" s="136" t="s">
        <v>4426</v>
      </c>
      <c r="P106" s="136" t="s">
        <v>4427</v>
      </c>
      <c r="Q106" s="136" t="s">
        <v>4428</v>
      </c>
      <c r="R106" s="136">
        <v>0</v>
      </c>
      <c r="S106" s="142">
        <f>(Tabla18[[#This Row],[Debe]]-Tabla18[[#This Row],[Haber]])*
SUMIF('0_Indice_CAC'!$A:$A,Tabla18[[#This Row],[Mes]],'0_Indice_CAC'!$D:$D)</f>
        <v>247494.77684234217</v>
      </c>
      <c r="T106" s="142">
        <f>Tabla18[[#This Row],[Debe]]-Tabla18[[#This Row],[Haber]]</f>
        <v>257793.36</v>
      </c>
      <c r="U106" s="322"/>
      <c r="V106" s="323"/>
      <c r="W106" s="142">
        <f t="shared" si="3"/>
        <v>257793.36</v>
      </c>
      <c r="X106" s="142" t="b">
        <f>ISNUMBER(MATCH(A106,'3_Control_Ppto'!$A$4:$A$70,0))</f>
        <v>1</v>
      </c>
      <c r="Y106" s="136"/>
    </row>
    <row r="107" spans="1:25" ht="12" customHeight="1" x14ac:dyDescent="0.3">
      <c r="A107" s="140" t="s">
        <v>106</v>
      </c>
      <c r="B107" s="140" t="s">
        <v>4090</v>
      </c>
      <c r="C107" s="549">
        <f>+EOMONTH(Tabla18[[#This Row],[Fecha Asiento]],-1)+1</f>
        <v>45717</v>
      </c>
      <c r="D107" s="136">
        <v>53008</v>
      </c>
      <c r="E107" s="136" t="s">
        <v>4490</v>
      </c>
      <c r="F107" s="141">
        <v>45735</v>
      </c>
      <c r="G107" s="136">
        <v>1953</v>
      </c>
      <c r="H107" s="136" t="s">
        <v>4539</v>
      </c>
      <c r="I107" s="136" t="s">
        <v>4482</v>
      </c>
      <c r="J107" s="136" t="s">
        <v>4455</v>
      </c>
      <c r="K107" s="136">
        <v>1000000053</v>
      </c>
      <c r="L107" s="138">
        <v>1653</v>
      </c>
      <c r="M107" s="138">
        <v>0</v>
      </c>
      <c r="N107" s="136" t="s">
        <v>4425</v>
      </c>
      <c r="O107" s="136" t="s">
        <v>4426</v>
      </c>
      <c r="P107" s="136" t="s">
        <v>4427</v>
      </c>
      <c r="Q107" s="136" t="s">
        <v>4428</v>
      </c>
      <c r="R107" s="136">
        <v>0</v>
      </c>
      <c r="S107" s="142">
        <f>(Tabla18[[#This Row],[Debe]]-Tabla18[[#This Row],[Haber]])*
SUMIF('0_Indice_CAC'!$A:$A,Tabla18[[#This Row],[Mes]],'0_Indice_CAC'!$D:$D)</f>
        <v>1586.9643272440828</v>
      </c>
      <c r="T107" s="142">
        <f>Tabla18[[#This Row],[Debe]]-Tabla18[[#This Row],[Haber]]</f>
        <v>1653</v>
      </c>
      <c r="U107" s="322"/>
      <c r="V107" s="323"/>
      <c r="W107" s="142">
        <f t="shared" si="3"/>
        <v>1653</v>
      </c>
      <c r="X107" s="142" t="b">
        <f>ISNUMBER(MATCH(A107,'3_Control_Ppto'!$A$4:$A$70,0))</f>
        <v>1</v>
      </c>
      <c r="Y107" s="136"/>
    </row>
    <row r="108" spans="1:25" ht="12" customHeight="1" x14ac:dyDescent="0.3">
      <c r="A108" s="140" t="s">
        <v>4119</v>
      </c>
      <c r="B108" s="140" t="s">
        <v>4090</v>
      </c>
      <c r="C108" s="549">
        <f>+EOMONTH(Tabla18[[#This Row],[Fecha Asiento]],-1)+1</f>
        <v>45717</v>
      </c>
      <c r="D108" s="136">
        <v>53022</v>
      </c>
      <c r="E108" s="136" t="s">
        <v>4429</v>
      </c>
      <c r="F108" s="141">
        <v>45735</v>
      </c>
      <c r="G108" s="136">
        <v>1743</v>
      </c>
      <c r="H108" s="136" t="s">
        <v>4540</v>
      </c>
      <c r="I108" s="136" t="s">
        <v>4541</v>
      </c>
      <c r="J108" s="136" t="s">
        <v>4542</v>
      </c>
      <c r="K108" s="136">
        <v>200000465</v>
      </c>
      <c r="L108" s="138">
        <v>100000</v>
      </c>
      <c r="M108" s="138">
        <v>0</v>
      </c>
      <c r="N108" s="136" t="s">
        <v>4425</v>
      </c>
      <c r="O108" s="136" t="s">
        <v>4426</v>
      </c>
      <c r="P108" s="136" t="s">
        <v>4427</v>
      </c>
      <c r="Q108" s="136" t="s">
        <v>4428</v>
      </c>
      <c r="R108" s="136">
        <v>0</v>
      </c>
      <c r="S108" s="142">
        <f>(Tabla18[[#This Row],[Debe]]-Tabla18[[#This Row],[Haber]])*
SUMIF('0_Indice_CAC'!$A:$A,Tabla18[[#This Row],[Mes]],'0_Indice_CAC'!$D:$D)</f>
        <v>96005.101466671666</v>
      </c>
      <c r="T108" s="142">
        <f>Tabla18[[#This Row],[Debe]]-Tabla18[[#This Row],[Haber]]</f>
        <v>100000</v>
      </c>
      <c r="U108" s="322"/>
      <c r="V108" s="323"/>
      <c r="W108" s="142">
        <f t="shared" si="3"/>
        <v>100000</v>
      </c>
      <c r="X108" s="142" t="b">
        <f>ISNUMBER(MATCH(A108,'3_Control_Ppto'!$A$4:$A$70,0))</f>
        <v>1</v>
      </c>
      <c r="Y108" s="136"/>
    </row>
    <row r="109" spans="1:25" ht="12" customHeight="1" x14ac:dyDescent="0.3">
      <c r="A109" s="140" t="s">
        <v>106</v>
      </c>
      <c r="B109" s="140" t="s">
        <v>4090</v>
      </c>
      <c r="C109" s="549">
        <f>+EOMONTH(Tabla18[[#This Row],[Fecha Asiento]],-1)+1</f>
        <v>45717</v>
      </c>
      <c r="D109" s="136">
        <v>53023</v>
      </c>
      <c r="E109" s="136" t="s">
        <v>4467</v>
      </c>
      <c r="F109" s="141">
        <v>45735</v>
      </c>
      <c r="G109" s="136">
        <v>1175</v>
      </c>
      <c r="H109" s="136" t="s">
        <v>4468</v>
      </c>
      <c r="I109" s="136" t="s">
        <v>4423</v>
      </c>
      <c r="J109" s="136" t="s">
        <v>4424</v>
      </c>
      <c r="K109" s="136">
        <v>6589</v>
      </c>
      <c r="L109" s="138">
        <v>2000.13</v>
      </c>
      <c r="M109" s="138">
        <v>0</v>
      </c>
      <c r="N109" s="136" t="s">
        <v>4425</v>
      </c>
      <c r="O109" s="136" t="s">
        <v>4426</v>
      </c>
      <c r="P109" s="136" t="s">
        <v>4427</v>
      </c>
      <c r="Q109" s="136" t="s">
        <v>4428</v>
      </c>
      <c r="R109" s="136">
        <v>0</v>
      </c>
      <c r="S109" s="142">
        <f>(Tabla18[[#This Row],[Debe]]-Tabla18[[#This Row],[Haber]])*
SUMIF('0_Indice_CAC'!$A:$A,Tabla18[[#This Row],[Mes]],'0_Indice_CAC'!$D:$D)</f>
        <v>1920.2268359653401</v>
      </c>
      <c r="T109" s="142">
        <f>Tabla18[[#This Row],[Debe]]-Tabla18[[#This Row],[Haber]]</f>
        <v>2000.13</v>
      </c>
      <c r="U109" s="322"/>
      <c r="V109" s="323"/>
      <c r="W109" s="142">
        <f t="shared" si="3"/>
        <v>2000.13</v>
      </c>
      <c r="X109" s="142" t="b">
        <f>ISNUMBER(MATCH(A109,'3_Control_Ppto'!$A$4:$A$70,0))</f>
        <v>1</v>
      </c>
      <c r="Y109" s="136"/>
    </row>
    <row r="110" spans="1:25" ht="12" customHeight="1" x14ac:dyDescent="0.3">
      <c r="A110" s="140" t="s">
        <v>1285</v>
      </c>
      <c r="B110" s="140" t="s">
        <v>4090</v>
      </c>
      <c r="C110" s="549">
        <f>+EOMONTH(Tabla18[[#This Row],[Fecha Asiento]],-1)+1</f>
        <v>45717</v>
      </c>
      <c r="D110" s="136">
        <v>53001</v>
      </c>
      <c r="E110" s="136" t="s">
        <v>4464</v>
      </c>
      <c r="F110" s="141">
        <v>45736</v>
      </c>
      <c r="G110" s="136">
        <v>1746</v>
      </c>
      <c r="H110" s="136" t="s">
        <v>4543</v>
      </c>
      <c r="I110" s="136" t="s">
        <v>4544</v>
      </c>
      <c r="J110" s="136" t="s">
        <v>4455</v>
      </c>
      <c r="K110" s="136">
        <v>1400007323</v>
      </c>
      <c r="L110" s="138">
        <v>120800.1</v>
      </c>
      <c r="M110" s="138">
        <v>0</v>
      </c>
      <c r="N110" s="136" t="s">
        <v>4425</v>
      </c>
      <c r="O110" s="136" t="s">
        <v>4426</v>
      </c>
      <c r="P110" s="136" t="s">
        <v>4427</v>
      </c>
      <c r="Q110" s="136" t="s">
        <v>4428</v>
      </c>
      <c r="R110" s="136">
        <v>0</v>
      </c>
      <c r="S110" s="142">
        <f>(Tabla18[[#This Row],[Debe]]-Tabla18[[#This Row],[Haber]])*
SUMIF('0_Indice_CAC'!$A:$A,Tabla18[[#This Row],[Mes]],'0_Indice_CAC'!$D:$D)</f>
        <v>115974.25857684085</v>
      </c>
      <c r="T110" s="142">
        <f>Tabla18[[#This Row],[Debe]]-Tabla18[[#This Row],[Haber]]</f>
        <v>120800.1</v>
      </c>
      <c r="U110" s="322"/>
      <c r="V110" s="323"/>
      <c r="W110" s="142">
        <f t="shared" si="3"/>
        <v>120800.1</v>
      </c>
      <c r="X110" s="142" t="b">
        <f>ISNUMBER(MATCH(A110,'3_Control_Ppto'!$A$4:$A$70,0))</f>
        <v>1</v>
      </c>
      <c r="Y110" s="136"/>
    </row>
    <row r="111" spans="1:25" ht="12" customHeight="1" x14ac:dyDescent="0.3">
      <c r="A111" s="140" t="s">
        <v>106</v>
      </c>
      <c r="B111" s="140" t="s">
        <v>25</v>
      </c>
      <c r="C111" s="549">
        <f>+EOMONTH(Tabla18[[#This Row],[Fecha Asiento]],-1)+1</f>
        <v>45717</v>
      </c>
      <c r="D111" s="136">
        <v>53009</v>
      </c>
      <c r="E111" s="136" t="s">
        <v>4446</v>
      </c>
      <c r="F111" s="141">
        <v>45736</v>
      </c>
      <c r="G111" s="136">
        <v>878</v>
      </c>
      <c r="H111" s="136" t="s">
        <v>4545</v>
      </c>
      <c r="I111" s="136" t="s">
        <v>4423</v>
      </c>
      <c r="J111" s="136" t="s">
        <v>4424</v>
      </c>
      <c r="K111" s="136">
        <v>6295</v>
      </c>
      <c r="L111" s="138">
        <v>200000</v>
      </c>
      <c r="M111" s="138">
        <v>0</v>
      </c>
      <c r="N111" s="136" t="s">
        <v>4425</v>
      </c>
      <c r="O111" s="136" t="s">
        <v>4426</v>
      </c>
      <c r="P111" s="136" t="s">
        <v>4427</v>
      </c>
      <c r="Q111" s="136" t="s">
        <v>4428</v>
      </c>
      <c r="R111" s="136">
        <v>0</v>
      </c>
      <c r="S111" s="142">
        <f>(Tabla18[[#This Row],[Debe]]-Tabla18[[#This Row],[Haber]])*
SUMIF('0_Indice_CAC'!$A:$A,Tabla18[[#This Row],[Mes]],'0_Indice_CAC'!$D:$D)</f>
        <v>192010.20293334333</v>
      </c>
      <c r="T111" s="142">
        <f>Tabla18[[#This Row],[Debe]]-Tabla18[[#This Row],[Haber]]</f>
        <v>200000</v>
      </c>
      <c r="U111" s="322"/>
      <c r="V111" s="323"/>
      <c r="W111" s="142">
        <f t="shared" si="3"/>
        <v>200000</v>
      </c>
      <c r="X111" s="142" t="b">
        <f>ISNUMBER(MATCH(A111,'3_Control_Ppto'!$A$4:$A$70,0))</f>
        <v>1</v>
      </c>
      <c r="Y111" s="136"/>
    </row>
    <row r="112" spans="1:25" ht="12" customHeight="1" x14ac:dyDescent="0.3">
      <c r="A112" s="140" t="s">
        <v>106</v>
      </c>
      <c r="B112" s="140" t="s">
        <v>25</v>
      </c>
      <c r="C112" s="549">
        <f>+EOMONTH(Tabla18[[#This Row],[Fecha Asiento]],-1)+1</f>
        <v>45717</v>
      </c>
      <c r="D112" s="136">
        <v>53009</v>
      </c>
      <c r="E112" s="136" t="s">
        <v>4446</v>
      </c>
      <c r="F112" s="141">
        <v>45736</v>
      </c>
      <c r="G112" s="136">
        <v>882</v>
      </c>
      <c r="H112" s="136" t="s">
        <v>4546</v>
      </c>
      <c r="I112" s="136" t="s">
        <v>4423</v>
      </c>
      <c r="J112" s="136" t="s">
        <v>4424</v>
      </c>
      <c r="K112" s="136">
        <v>6299</v>
      </c>
      <c r="L112" s="138">
        <v>848200</v>
      </c>
      <c r="M112" s="138">
        <v>0</v>
      </c>
      <c r="N112" s="136" t="s">
        <v>4425</v>
      </c>
      <c r="O112" s="136" t="s">
        <v>4426</v>
      </c>
      <c r="P112" s="136" t="s">
        <v>4427</v>
      </c>
      <c r="Q112" s="136" t="s">
        <v>4428</v>
      </c>
      <c r="R112" s="136">
        <v>0</v>
      </c>
      <c r="S112" s="142">
        <f>(Tabla18[[#This Row],[Debe]]-Tabla18[[#This Row],[Haber]])*
SUMIF('0_Indice_CAC'!$A:$A,Tabla18[[#This Row],[Mes]],'0_Indice_CAC'!$D:$D)</f>
        <v>814315.27064030909</v>
      </c>
      <c r="T112" s="142">
        <f>Tabla18[[#This Row],[Debe]]-Tabla18[[#This Row],[Haber]]</f>
        <v>848200</v>
      </c>
      <c r="U112" s="322"/>
      <c r="V112" s="323"/>
      <c r="W112" s="142">
        <f t="shared" si="3"/>
        <v>848200</v>
      </c>
      <c r="X112" s="142" t="b">
        <f>ISNUMBER(MATCH(A112,'3_Control_Ppto'!$A$4:$A$70,0))</f>
        <v>1</v>
      </c>
      <c r="Y112" s="136"/>
    </row>
    <row r="113" spans="1:25" ht="12" customHeight="1" x14ac:dyDescent="0.3">
      <c r="A113" s="140" t="s">
        <v>1478</v>
      </c>
      <c r="B113" s="140" t="s">
        <v>4090</v>
      </c>
      <c r="C113" s="549">
        <f>+EOMONTH(Tabla18[[#This Row],[Fecha Asiento]],-1)+1</f>
        <v>45717</v>
      </c>
      <c r="D113" s="136">
        <v>53004</v>
      </c>
      <c r="E113" s="136" t="s">
        <v>4496</v>
      </c>
      <c r="F113" s="141">
        <v>45737</v>
      </c>
      <c r="G113" s="136">
        <v>1749</v>
      </c>
      <c r="H113" s="136" t="s">
        <v>4547</v>
      </c>
      <c r="I113" s="136" t="s">
        <v>4548</v>
      </c>
      <c r="J113" s="136" t="s">
        <v>4455</v>
      </c>
      <c r="K113" s="136">
        <v>200007164</v>
      </c>
      <c r="L113" s="138">
        <v>522880</v>
      </c>
      <c r="M113" s="138">
        <v>0</v>
      </c>
      <c r="N113" s="136" t="s">
        <v>4425</v>
      </c>
      <c r="O113" s="136" t="s">
        <v>4426</v>
      </c>
      <c r="P113" s="136" t="s">
        <v>4427</v>
      </c>
      <c r="Q113" s="136" t="s">
        <v>4428</v>
      </c>
      <c r="R113" s="136">
        <v>0</v>
      </c>
      <c r="S113" s="142">
        <f>(Tabla18[[#This Row],[Debe]]-Tabla18[[#This Row],[Haber]])*
SUMIF('0_Indice_CAC'!$A:$A,Tabla18[[#This Row],[Mes]],'0_Indice_CAC'!$D:$D)</f>
        <v>501991.47454893286</v>
      </c>
      <c r="T113" s="142">
        <f>Tabla18[[#This Row],[Debe]]-Tabla18[[#This Row],[Haber]]</f>
        <v>522880</v>
      </c>
      <c r="U113" s="322"/>
      <c r="V113" s="323"/>
      <c r="W113" s="142">
        <f t="shared" si="3"/>
        <v>522880</v>
      </c>
      <c r="X113" s="142" t="b">
        <f>ISNUMBER(MATCH(A113,'3_Control_Ppto'!$A$4:$A$70,0))</f>
        <v>1</v>
      </c>
      <c r="Y113" s="136"/>
    </row>
    <row r="114" spans="1:25" ht="12" customHeight="1" x14ac:dyDescent="0.3">
      <c r="A114" s="140" t="s">
        <v>25</v>
      </c>
      <c r="B114" s="140" t="s">
        <v>25</v>
      </c>
      <c r="C114" s="549">
        <f>+EOMONTH(Tabla18[[#This Row],[Fecha Asiento]],-1)+1</f>
        <v>45717</v>
      </c>
      <c r="D114" s="136">
        <v>52402</v>
      </c>
      <c r="E114" s="136" t="s">
        <v>4549</v>
      </c>
      <c r="F114" s="141">
        <v>45741</v>
      </c>
      <c r="G114" s="136">
        <v>1886</v>
      </c>
      <c r="H114" s="136" t="s">
        <v>4550</v>
      </c>
      <c r="I114" s="136" t="s">
        <v>4538</v>
      </c>
      <c r="J114" s="136" t="s">
        <v>4551</v>
      </c>
      <c r="K114" s="136">
        <v>17333</v>
      </c>
      <c r="L114" s="138">
        <v>80615.33</v>
      </c>
      <c r="M114" s="138">
        <v>0</v>
      </c>
      <c r="N114" s="136" t="s">
        <v>4425</v>
      </c>
      <c r="O114" s="136" t="s">
        <v>4426</v>
      </c>
      <c r="P114" s="136" t="s">
        <v>4427</v>
      </c>
      <c r="Q114" s="136" t="s">
        <v>4428</v>
      </c>
      <c r="R114" s="136">
        <v>0</v>
      </c>
      <c r="S114" s="142">
        <f>(Tabla18[[#This Row],[Debe]]-Tabla18[[#This Row],[Haber]])*
SUMIF('0_Indice_CAC'!$A:$A,Tabla18[[#This Row],[Mes]],'0_Indice_CAC'!$D:$D)</f>
        <v>77394.829364192206</v>
      </c>
      <c r="T114" s="142">
        <f>Tabla18[[#This Row],[Debe]]-Tabla18[[#This Row],[Haber]]</f>
        <v>80615.33</v>
      </c>
      <c r="U114" s="322"/>
      <c r="V114" s="323"/>
      <c r="W114" s="142">
        <f t="shared" si="3"/>
        <v>80615.33</v>
      </c>
      <c r="X114" s="142" t="b">
        <f>ISNUMBER(MATCH(A114,'3_Control_Ppto'!$A$4:$A$70,0))</f>
        <v>0</v>
      </c>
      <c r="Y114" s="136"/>
    </row>
    <row r="115" spans="1:25" ht="12" customHeight="1" x14ac:dyDescent="0.3">
      <c r="A115" s="140" t="s">
        <v>106</v>
      </c>
      <c r="B115" s="140" t="s">
        <v>4090</v>
      </c>
      <c r="C115" s="549">
        <f>+EOMONTH(Tabla18[[#This Row],[Fecha Asiento]],-1)+1</f>
        <v>45717</v>
      </c>
      <c r="D115" s="136">
        <v>53023</v>
      </c>
      <c r="E115" s="136" t="s">
        <v>4467</v>
      </c>
      <c r="F115" s="141">
        <v>45741</v>
      </c>
      <c r="G115" s="136">
        <v>1837</v>
      </c>
      <c r="H115" s="136" t="s">
        <v>4475</v>
      </c>
      <c r="I115" s="136" t="s">
        <v>4471</v>
      </c>
      <c r="J115" s="136" t="s">
        <v>4455</v>
      </c>
      <c r="K115" s="136">
        <v>1000194670</v>
      </c>
      <c r="L115" s="138">
        <v>197611.94</v>
      </c>
      <c r="M115" s="138">
        <v>0</v>
      </c>
      <c r="N115" s="136" t="s">
        <v>4425</v>
      </c>
      <c r="O115" s="136" t="s">
        <v>4426</v>
      </c>
      <c r="P115" s="136" t="s">
        <v>4427</v>
      </c>
      <c r="Q115" s="136" t="s">
        <v>4428</v>
      </c>
      <c r="R115" s="136">
        <v>0</v>
      </c>
      <c r="S115" s="142">
        <f>(Tabla18[[#This Row],[Debe]]-Tabla18[[#This Row],[Haber]])*
SUMIF('0_Indice_CAC'!$A:$A,Tabla18[[#This Row],[Mes]],'0_Indice_CAC'!$D:$D)</f>
        <v>189717.54350725835</v>
      </c>
      <c r="T115" s="142">
        <f>Tabla18[[#This Row],[Debe]]-Tabla18[[#This Row],[Haber]]</f>
        <v>197611.94</v>
      </c>
      <c r="U115" s="322"/>
      <c r="V115" s="323"/>
      <c r="W115" s="142">
        <f t="shared" si="3"/>
        <v>197611.94</v>
      </c>
      <c r="X115" s="142" t="b">
        <f>ISNUMBER(MATCH(A115,'3_Control_Ppto'!$A$4:$A$70,0))</f>
        <v>1</v>
      </c>
      <c r="Y115" s="136"/>
    </row>
    <row r="116" spans="1:25" ht="12" customHeight="1" x14ac:dyDescent="0.3">
      <c r="A116" s="140" t="s">
        <v>4310</v>
      </c>
      <c r="B116" s="140" t="s">
        <v>56</v>
      </c>
      <c r="C116" s="549">
        <f>+EOMONTH(Tabla18[[#This Row],[Fecha Asiento]],-1)+1</f>
        <v>45717</v>
      </c>
      <c r="D116" s="136">
        <v>53026</v>
      </c>
      <c r="E116" s="136" t="s">
        <v>4310</v>
      </c>
      <c r="F116" s="141">
        <v>45741</v>
      </c>
      <c r="G116" s="136">
        <v>1837</v>
      </c>
      <c r="H116" s="136" t="s">
        <v>4476</v>
      </c>
      <c r="I116" s="136" t="s">
        <v>4471</v>
      </c>
      <c r="J116" s="136" t="s">
        <v>4455</v>
      </c>
      <c r="K116" s="136">
        <v>1000194670</v>
      </c>
      <c r="L116" s="138">
        <v>93085.53</v>
      </c>
      <c r="M116" s="138">
        <v>0</v>
      </c>
      <c r="N116" s="136" t="s">
        <v>4425</v>
      </c>
      <c r="O116" s="136" t="s">
        <v>4426</v>
      </c>
      <c r="P116" s="136" t="s">
        <v>4427</v>
      </c>
      <c r="Q116" s="136" t="s">
        <v>4428</v>
      </c>
      <c r="R116" s="136">
        <v>0</v>
      </c>
      <c r="S116" s="142">
        <f>(Tabla18[[#This Row],[Debe]]-Tabla18[[#This Row],[Haber]])*
SUMIF('0_Indice_CAC'!$A:$A,Tabla18[[#This Row],[Mes]],'0_Indice_CAC'!$D:$D)</f>
        <v>89366.857527289103</v>
      </c>
      <c r="T116" s="142">
        <f>Tabla18[[#This Row],[Debe]]-Tabla18[[#This Row],[Haber]]</f>
        <v>93085.53</v>
      </c>
      <c r="U116" s="322"/>
      <c r="V116" s="323"/>
      <c r="W116" s="142">
        <f t="shared" si="3"/>
        <v>93085.53</v>
      </c>
      <c r="X116" s="142" t="b">
        <f>ISNUMBER(MATCH(A116,'3_Control_Ppto'!$A$4:$A$70,0))</f>
        <v>1</v>
      </c>
      <c r="Y116" s="136"/>
    </row>
    <row r="117" spans="1:25" ht="12" customHeight="1" x14ac:dyDescent="0.3">
      <c r="A117" s="140" t="s">
        <v>4119</v>
      </c>
      <c r="B117" s="140" t="s">
        <v>56</v>
      </c>
      <c r="C117" s="549">
        <f>+EOMONTH(Tabla18[[#This Row],[Fecha Asiento]],-1)+1</f>
        <v>45717</v>
      </c>
      <c r="D117" s="136">
        <v>52104</v>
      </c>
      <c r="E117" s="136" t="s">
        <v>4528</v>
      </c>
      <c r="F117" s="141">
        <v>45742</v>
      </c>
      <c r="G117" s="136">
        <v>1854</v>
      </c>
      <c r="H117" s="136" t="s">
        <v>4529</v>
      </c>
      <c r="I117" s="136" t="s">
        <v>4530</v>
      </c>
      <c r="J117" s="136" t="s">
        <v>4455</v>
      </c>
      <c r="K117" s="136">
        <v>200007301</v>
      </c>
      <c r="L117" s="138">
        <v>70400</v>
      </c>
      <c r="M117" s="138">
        <v>0</v>
      </c>
      <c r="N117" s="136" t="s">
        <v>4425</v>
      </c>
      <c r="O117" s="136" t="s">
        <v>4426</v>
      </c>
      <c r="P117" s="136" t="s">
        <v>4427</v>
      </c>
      <c r="Q117" s="136" t="s">
        <v>4428</v>
      </c>
      <c r="R117" s="136">
        <v>0</v>
      </c>
      <c r="S117" s="142">
        <f>(Tabla18[[#This Row],[Debe]]-Tabla18[[#This Row],[Haber]])*
SUMIF('0_Indice_CAC'!$A:$A,Tabla18[[#This Row],[Mes]],'0_Indice_CAC'!$D:$D)</f>
        <v>67587.59143253685</v>
      </c>
      <c r="T117" s="142">
        <f>Tabla18[[#This Row],[Debe]]-Tabla18[[#This Row],[Haber]]</f>
        <v>70400</v>
      </c>
      <c r="U117" s="322"/>
      <c r="V117" s="323"/>
      <c r="W117" s="142">
        <f t="shared" si="3"/>
        <v>70400</v>
      </c>
      <c r="X117" s="142" t="b">
        <f>ISNUMBER(MATCH(A117,'3_Control_Ppto'!$A$4:$A$70,0))</f>
        <v>1</v>
      </c>
      <c r="Y117" s="136"/>
    </row>
    <row r="118" spans="1:25" ht="12" customHeight="1" x14ac:dyDescent="0.3">
      <c r="A118" s="140" t="s">
        <v>4125</v>
      </c>
      <c r="B118" s="140" t="s">
        <v>56</v>
      </c>
      <c r="C118" s="549">
        <f>+EOMONTH(Tabla18[[#This Row],[Fecha Asiento]],-1)+1</f>
        <v>45717</v>
      </c>
      <c r="D118" s="136">
        <v>53003</v>
      </c>
      <c r="E118" s="136" t="s">
        <v>4523</v>
      </c>
      <c r="F118" s="141">
        <v>45742</v>
      </c>
      <c r="G118" s="136">
        <v>1954</v>
      </c>
      <c r="H118" s="136" t="s">
        <v>4552</v>
      </c>
      <c r="I118" s="136" t="s">
        <v>4482</v>
      </c>
      <c r="J118" s="136" t="s">
        <v>4455</v>
      </c>
      <c r="K118" s="136">
        <v>1000000056</v>
      </c>
      <c r="L118" s="138">
        <v>10335</v>
      </c>
      <c r="M118" s="138">
        <v>0</v>
      </c>
      <c r="N118" s="136" t="s">
        <v>4425</v>
      </c>
      <c r="O118" s="136" t="s">
        <v>4426</v>
      </c>
      <c r="P118" s="136" t="s">
        <v>4427</v>
      </c>
      <c r="Q118" s="136" t="s">
        <v>4428</v>
      </c>
      <c r="R118" s="136">
        <v>0</v>
      </c>
      <c r="S118" s="142">
        <f>(Tabla18[[#This Row],[Debe]]-Tabla18[[#This Row],[Haber]])*
SUMIF('0_Indice_CAC'!$A:$A,Tabla18[[#This Row],[Mes]],'0_Indice_CAC'!$D:$D)</f>
        <v>9922.127236580518</v>
      </c>
      <c r="T118" s="142">
        <f>Tabla18[[#This Row],[Debe]]-Tabla18[[#This Row],[Haber]]</f>
        <v>10335</v>
      </c>
      <c r="U118" s="322"/>
      <c r="V118" s="323"/>
      <c r="W118" s="142">
        <f t="shared" si="3"/>
        <v>10335</v>
      </c>
      <c r="X118" s="142" t="b">
        <f>ISNUMBER(MATCH(A118,'3_Control_Ppto'!$A$4:$A$70,0))</f>
        <v>1</v>
      </c>
      <c r="Y118" s="136"/>
    </row>
    <row r="119" spans="1:25" ht="12" customHeight="1" x14ac:dyDescent="0.3">
      <c r="A119" s="140" t="s">
        <v>106</v>
      </c>
      <c r="B119" s="140" t="s">
        <v>4090</v>
      </c>
      <c r="C119" s="549">
        <f>+EOMONTH(Tabla18[[#This Row],[Fecha Asiento]],-1)+1</f>
        <v>45717</v>
      </c>
      <c r="D119" s="136">
        <v>53023</v>
      </c>
      <c r="E119" s="136" t="s">
        <v>4467</v>
      </c>
      <c r="F119" s="141">
        <v>45742</v>
      </c>
      <c r="G119" s="136">
        <v>1176</v>
      </c>
      <c r="H119" s="136" t="s">
        <v>4468</v>
      </c>
      <c r="I119" s="136" t="s">
        <v>4423</v>
      </c>
      <c r="J119" s="136" t="s">
        <v>4424</v>
      </c>
      <c r="K119" s="136">
        <v>6590</v>
      </c>
      <c r="L119" s="138">
        <v>12505.35</v>
      </c>
      <c r="M119" s="138">
        <v>0</v>
      </c>
      <c r="N119" s="136" t="s">
        <v>4425</v>
      </c>
      <c r="O119" s="136" t="s">
        <v>4426</v>
      </c>
      <c r="P119" s="136" t="s">
        <v>4427</v>
      </c>
      <c r="Q119" s="136" t="s">
        <v>4428</v>
      </c>
      <c r="R119" s="136">
        <v>0</v>
      </c>
      <c r="S119" s="142">
        <f>(Tabla18[[#This Row],[Debe]]-Tabla18[[#This Row],[Haber]])*
SUMIF('0_Indice_CAC'!$A:$A,Tabla18[[#This Row],[Mes]],'0_Indice_CAC'!$D:$D)</f>
        <v>12005.773956262427</v>
      </c>
      <c r="T119" s="142">
        <f>Tabla18[[#This Row],[Debe]]-Tabla18[[#This Row],[Haber]]</f>
        <v>12505.35</v>
      </c>
      <c r="U119" s="322"/>
      <c r="V119" s="323"/>
      <c r="W119" s="142">
        <f t="shared" si="3"/>
        <v>12505.35</v>
      </c>
      <c r="X119" s="142" t="b">
        <f>ISNUMBER(MATCH(A119,'3_Control_Ppto'!$A$4:$A$70,0))</f>
        <v>1</v>
      </c>
      <c r="Y119" s="136"/>
    </row>
    <row r="120" spans="1:25" ht="12" customHeight="1" x14ac:dyDescent="0.3">
      <c r="A120" s="140" t="s">
        <v>106</v>
      </c>
      <c r="B120" s="140" t="s">
        <v>4090</v>
      </c>
      <c r="C120" s="549">
        <f>+EOMONTH(Tabla18[[#This Row],[Fecha Asiento]],-1)+1</f>
        <v>45717</v>
      </c>
      <c r="D120" s="136">
        <v>53023</v>
      </c>
      <c r="E120" s="136" t="s">
        <v>4467</v>
      </c>
      <c r="F120" s="141">
        <v>45742</v>
      </c>
      <c r="G120" s="136">
        <v>1848</v>
      </c>
      <c r="H120" s="136" t="s">
        <v>4475</v>
      </c>
      <c r="I120" s="136" t="s">
        <v>4471</v>
      </c>
      <c r="J120" s="136" t="s">
        <v>4519</v>
      </c>
      <c r="K120" s="136">
        <v>1000012701</v>
      </c>
      <c r="L120" s="138">
        <v>0</v>
      </c>
      <c r="M120" s="138">
        <v>3416.18</v>
      </c>
      <c r="N120" s="136" t="s">
        <v>4425</v>
      </c>
      <c r="O120" s="136" t="s">
        <v>4426</v>
      </c>
      <c r="P120" s="136" t="s">
        <v>4427</v>
      </c>
      <c r="Q120" s="136" t="s">
        <v>4428</v>
      </c>
      <c r="R120" s="136">
        <v>0</v>
      </c>
      <c r="S120" s="142">
        <f>(Tabla18[[#This Row],[Debe]]-Tabla18[[#This Row],[Haber]])*
SUMIF('0_Indice_CAC'!$A:$A,Tabla18[[#This Row],[Mes]],'0_Indice_CAC'!$D:$D)</f>
        <v>-3279.7070752841441</v>
      </c>
      <c r="T120" s="142">
        <f>Tabla18[[#This Row],[Debe]]-Tabla18[[#This Row],[Haber]]</f>
        <v>-3416.18</v>
      </c>
      <c r="U120" s="322"/>
      <c r="V120" s="323"/>
      <c r="W120" s="142">
        <f t="shared" si="3"/>
        <v>-3416.18</v>
      </c>
      <c r="X120" s="142" t="b">
        <f>ISNUMBER(MATCH(A120,'3_Control_Ppto'!$A$4:$A$70,0))</f>
        <v>1</v>
      </c>
      <c r="Y120" s="136"/>
    </row>
    <row r="121" spans="1:25" ht="12" customHeight="1" x14ac:dyDescent="0.3">
      <c r="A121" s="140" t="s">
        <v>106</v>
      </c>
      <c r="B121" s="140" t="s">
        <v>4090</v>
      </c>
      <c r="C121" s="549">
        <f>+EOMONTH(Tabla18[[#This Row],[Fecha Asiento]],-1)+1</f>
        <v>45717</v>
      </c>
      <c r="D121" s="136">
        <v>53023</v>
      </c>
      <c r="E121" s="136" t="s">
        <v>4467</v>
      </c>
      <c r="F121" s="141">
        <v>45743</v>
      </c>
      <c r="G121" s="136">
        <v>1856</v>
      </c>
      <c r="H121" s="136" t="s">
        <v>4553</v>
      </c>
      <c r="I121" s="136" t="s">
        <v>4554</v>
      </c>
      <c r="J121" s="136" t="s">
        <v>4455</v>
      </c>
      <c r="K121" s="136">
        <v>600013127</v>
      </c>
      <c r="L121" s="138">
        <v>204958.68</v>
      </c>
      <c r="M121" s="138">
        <v>0</v>
      </c>
      <c r="N121" s="136" t="s">
        <v>4425</v>
      </c>
      <c r="O121" s="136" t="s">
        <v>4426</v>
      </c>
      <c r="P121" s="136" t="s">
        <v>4427</v>
      </c>
      <c r="Q121" s="136" t="s">
        <v>4428</v>
      </c>
      <c r="R121" s="136">
        <v>0</v>
      </c>
      <c r="S121" s="142">
        <f>(Tabla18[[#This Row],[Debe]]-Tabla18[[#This Row],[Haber]])*
SUMIF('0_Indice_CAC'!$A:$A,Tabla18[[#This Row],[Mes]],'0_Indice_CAC'!$D:$D)</f>
        <v>196770.7886987509</v>
      </c>
      <c r="T121" s="142">
        <f>Tabla18[[#This Row],[Debe]]-Tabla18[[#This Row],[Haber]]</f>
        <v>204958.68</v>
      </c>
      <c r="U121" s="322"/>
      <c r="V121" s="323"/>
      <c r="W121" s="142">
        <f t="shared" si="3"/>
        <v>204958.68</v>
      </c>
      <c r="X121" s="142" t="b">
        <f>ISNUMBER(MATCH(A121,'3_Control_Ppto'!$A$4:$A$70,0))</f>
        <v>1</v>
      </c>
      <c r="Y121" s="136"/>
    </row>
    <row r="122" spans="1:25" ht="12" customHeight="1" x14ac:dyDescent="0.3">
      <c r="A122" s="140" t="s">
        <v>106</v>
      </c>
      <c r="B122" s="140" t="s">
        <v>4090</v>
      </c>
      <c r="C122" s="549">
        <f>+EOMONTH(Tabla18[[#This Row],[Fecha Asiento]],-1)+1</f>
        <v>45717</v>
      </c>
      <c r="D122" s="136">
        <v>53023</v>
      </c>
      <c r="E122" s="136" t="s">
        <v>4467</v>
      </c>
      <c r="F122" s="141">
        <v>45743</v>
      </c>
      <c r="G122" s="136">
        <v>1857</v>
      </c>
      <c r="H122" s="136" t="s">
        <v>4555</v>
      </c>
      <c r="I122" s="136" t="s">
        <v>4556</v>
      </c>
      <c r="J122" s="136" t="s">
        <v>4455</v>
      </c>
      <c r="K122" s="136">
        <v>11100006138</v>
      </c>
      <c r="L122" s="138">
        <v>32983.82</v>
      </c>
      <c r="M122" s="138">
        <v>0</v>
      </c>
      <c r="N122" s="136" t="s">
        <v>4425</v>
      </c>
      <c r="O122" s="136" t="s">
        <v>4426</v>
      </c>
      <c r="P122" s="136" t="s">
        <v>4427</v>
      </c>
      <c r="Q122" s="136" t="s">
        <v>4428</v>
      </c>
      <c r="R122" s="136">
        <v>0</v>
      </c>
      <c r="S122" s="142">
        <f>(Tabla18[[#This Row],[Debe]]-Tabla18[[#This Row],[Haber]])*
SUMIF('0_Indice_CAC'!$A:$A,Tabla18[[#This Row],[Mes]],'0_Indice_CAC'!$D:$D)</f>
        <v>31666.149858584344</v>
      </c>
      <c r="T122" s="142">
        <f>Tabla18[[#This Row],[Debe]]-Tabla18[[#This Row],[Haber]]</f>
        <v>32983.82</v>
      </c>
      <c r="U122" s="322"/>
      <c r="V122" s="323"/>
      <c r="W122" s="142">
        <f t="shared" si="3"/>
        <v>32983.82</v>
      </c>
      <c r="X122" s="142" t="b">
        <f>ISNUMBER(MATCH(A122,'3_Control_Ppto'!$A$4:$A$70,0))</f>
        <v>1</v>
      </c>
      <c r="Y122" s="136"/>
    </row>
    <row r="123" spans="1:25" ht="12" customHeight="1" x14ac:dyDescent="0.3">
      <c r="A123" s="140" t="s">
        <v>106</v>
      </c>
      <c r="B123" s="140" t="s">
        <v>4090</v>
      </c>
      <c r="C123" s="549">
        <f>+EOMONTH(Tabla18[[#This Row],[Fecha Asiento]],-1)+1</f>
        <v>45717</v>
      </c>
      <c r="D123" s="136">
        <v>53023</v>
      </c>
      <c r="E123" s="136" t="s">
        <v>4467</v>
      </c>
      <c r="F123" s="141">
        <v>45743</v>
      </c>
      <c r="G123" s="136">
        <v>1916</v>
      </c>
      <c r="H123" s="136" t="s">
        <v>4475</v>
      </c>
      <c r="I123" s="136" t="s">
        <v>4471</v>
      </c>
      <c r="J123" s="136" t="s">
        <v>4519</v>
      </c>
      <c r="K123" s="136">
        <v>1000012712</v>
      </c>
      <c r="L123" s="138">
        <v>0</v>
      </c>
      <c r="M123" s="138">
        <v>197611.94</v>
      </c>
      <c r="N123" s="136" t="s">
        <v>4425</v>
      </c>
      <c r="O123" s="136" t="s">
        <v>4426</v>
      </c>
      <c r="P123" s="136" t="s">
        <v>4427</v>
      </c>
      <c r="Q123" s="136" t="s">
        <v>4428</v>
      </c>
      <c r="R123" s="136">
        <v>0</v>
      </c>
      <c r="S123" s="142">
        <f>(Tabla18[[#This Row],[Debe]]-Tabla18[[#This Row],[Haber]])*
SUMIF('0_Indice_CAC'!$A:$A,Tabla18[[#This Row],[Mes]],'0_Indice_CAC'!$D:$D)</f>
        <v>-189717.54350725835</v>
      </c>
      <c r="T123" s="142">
        <f>Tabla18[[#This Row],[Debe]]-Tabla18[[#This Row],[Haber]]</f>
        <v>-197611.94</v>
      </c>
      <c r="U123" s="322"/>
      <c r="V123" s="323"/>
      <c r="W123" s="142">
        <f t="shared" si="3"/>
        <v>-197611.94</v>
      </c>
      <c r="X123" s="142" t="b">
        <f>ISNUMBER(MATCH(A123,'3_Control_Ppto'!$A$4:$A$70,0))</f>
        <v>1</v>
      </c>
      <c r="Y123" s="136"/>
    </row>
    <row r="124" spans="1:25" ht="12" customHeight="1" x14ac:dyDescent="0.3">
      <c r="A124" s="140" t="s">
        <v>106</v>
      </c>
      <c r="B124" s="140" t="s">
        <v>4090</v>
      </c>
      <c r="C124" s="549">
        <f>+EOMONTH(Tabla18[[#This Row],[Fecha Asiento]],-1)+1</f>
        <v>45717</v>
      </c>
      <c r="D124" s="136">
        <v>53023</v>
      </c>
      <c r="E124" s="136" t="s">
        <v>4467</v>
      </c>
      <c r="F124" s="141">
        <v>45743</v>
      </c>
      <c r="G124" s="136">
        <v>1918</v>
      </c>
      <c r="H124" s="136" t="s">
        <v>4475</v>
      </c>
      <c r="I124" s="136" t="s">
        <v>4471</v>
      </c>
      <c r="J124" s="136" t="s">
        <v>4455</v>
      </c>
      <c r="K124" s="136">
        <v>1000194801</v>
      </c>
      <c r="L124" s="138">
        <v>197611.94</v>
      </c>
      <c r="M124" s="138">
        <v>0</v>
      </c>
      <c r="N124" s="136" t="s">
        <v>4425</v>
      </c>
      <c r="O124" s="136" t="s">
        <v>4426</v>
      </c>
      <c r="P124" s="136" t="s">
        <v>4427</v>
      </c>
      <c r="Q124" s="136" t="s">
        <v>4428</v>
      </c>
      <c r="R124" s="136">
        <v>0</v>
      </c>
      <c r="S124" s="142">
        <f>(Tabla18[[#This Row],[Debe]]-Tabla18[[#This Row],[Haber]])*
SUMIF('0_Indice_CAC'!$A:$A,Tabla18[[#This Row],[Mes]],'0_Indice_CAC'!$D:$D)</f>
        <v>189717.54350725835</v>
      </c>
      <c r="T124" s="142">
        <f>Tabla18[[#This Row],[Debe]]-Tabla18[[#This Row],[Haber]]</f>
        <v>197611.94</v>
      </c>
      <c r="U124" s="322"/>
      <c r="V124" s="323"/>
      <c r="W124" s="142">
        <f t="shared" si="3"/>
        <v>197611.94</v>
      </c>
      <c r="X124" s="142" t="b">
        <f>ISNUMBER(MATCH(A124,'3_Control_Ppto'!$A$4:$A$70,0))</f>
        <v>1</v>
      </c>
      <c r="Y124" s="136"/>
    </row>
    <row r="125" spans="1:25" ht="12" customHeight="1" x14ac:dyDescent="0.3">
      <c r="A125" s="140" t="s">
        <v>4310</v>
      </c>
      <c r="B125" s="140" t="s">
        <v>56</v>
      </c>
      <c r="C125" s="549">
        <f>+EOMONTH(Tabla18[[#This Row],[Fecha Asiento]],-1)+1</f>
        <v>45717</v>
      </c>
      <c r="D125" s="136">
        <v>53026</v>
      </c>
      <c r="E125" s="136" t="s">
        <v>4310</v>
      </c>
      <c r="F125" s="141">
        <v>45743</v>
      </c>
      <c r="G125" s="136">
        <v>1916</v>
      </c>
      <c r="H125" s="136" t="s">
        <v>4476</v>
      </c>
      <c r="I125" s="136" t="s">
        <v>4471</v>
      </c>
      <c r="J125" s="136" t="s">
        <v>4519</v>
      </c>
      <c r="K125" s="136">
        <v>1000012712</v>
      </c>
      <c r="L125" s="138">
        <v>0</v>
      </c>
      <c r="M125" s="138">
        <v>93085.53</v>
      </c>
      <c r="N125" s="136" t="s">
        <v>4425</v>
      </c>
      <c r="O125" s="136" t="s">
        <v>4426</v>
      </c>
      <c r="P125" s="136" t="s">
        <v>4427</v>
      </c>
      <c r="Q125" s="136" t="s">
        <v>4428</v>
      </c>
      <c r="R125" s="136">
        <v>0</v>
      </c>
      <c r="S125" s="142">
        <f>(Tabla18[[#This Row],[Debe]]-Tabla18[[#This Row],[Haber]])*
SUMIF('0_Indice_CAC'!$A:$A,Tabla18[[#This Row],[Mes]],'0_Indice_CAC'!$D:$D)</f>
        <v>-89366.857527289103</v>
      </c>
      <c r="T125" s="142">
        <f>Tabla18[[#This Row],[Debe]]-Tabla18[[#This Row],[Haber]]</f>
        <v>-93085.53</v>
      </c>
      <c r="U125" s="322"/>
      <c r="V125" s="323"/>
      <c r="W125" s="142">
        <f t="shared" si="3"/>
        <v>-93085.53</v>
      </c>
      <c r="X125" s="142" t="b">
        <f>ISNUMBER(MATCH(A125,'3_Control_Ppto'!$A$4:$A$70,0))</f>
        <v>1</v>
      </c>
      <c r="Y125" s="136"/>
    </row>
    <row r="126" spans="1:25" ht="12" customHeight="1" x14ac:dyDescent="0.3">
      <c r="A126" s="140" t="s">
        <v>4310</v>
      </c>
      <c r="B126" s="140" t="s">
        <v>56</v>
      </c>
      <c r="C126" s="549">
        <f>+EOMONTH(Tabla18[[#This Row],[Fecha Asiento]],-1)+1</f>
        <v>45717</v>
      </c>
      <c r="D126" s="136">
        <v>53026</v>
      </c>
      <c r="E126" s="136" t="s">
        <v>4310</v>
      </c>
      <c r="F126" s="141">
        <v>45743</v>
      </c>
      <c r="G126" s="136">
        <v>1918</v>
      </c>
      <c r="H126" s="136" t="s">
        <v>4476</v>
      </c>
      <c r="I126" s="136" t="s">
        <v>4471</v>
      </c>
      <c r="J126" s="136" t="s">
        <v>4455</v>
      </c>
      <c r="K126" s="136">
        <v>1000194801</v>
      </c>
      <c r="L126" s="138">
        <v>86216.2</v>
      </c>
      <c r="M126" s="138">
        <v>0</v>
      </c>
      <c r="N126" s="136" t="s">
        <v>4425</v>
      </c>
      <c r="O126" s="136" t="s">
        <v>4426</v>
      </c>
      <c r="P126" s="136" t="s">
        <v>4427</v>
      </c>
      <c r="Q126" s="136" t="s">
        <v>4428</v>
      </c>
      <c r="R126" s="136">
        <v>0</v>
      </c>
      <c r="S126" s="142">
        <f>(Tabla18[[#This Row],[Debe]]-Tabla18[[#This Row],[Haber]])*
SUMIF('0_Indice_CAC'!$A:$A,Tabla18[[#This Row],[Mes]],'0_Indice_CAC'!$D:$D)</f>
        <v>82771.950290708584</v>
      </c>
      <c r="T126" s="142">
        <f>Tabla18[[#This Row],[Debe]]-Tabla18[[#This Row],[Haber]]</f>
        <v>86216.2</v>
      </c>
      <c r="U126" s="322"/>
      <c r="V126" s="323"/>
      <c r="W126" s="142">
        <f t="shared" si="3"/>
        <v>86216.2</v>
      </c>
      <c r="X126" s="142" t="b">
        <f>ISNUMBER(MATCH(A126,'3_Control_Ppto'!$A$4:$A$70,0))</f>
        <v>1</v>
      </c>
      <c r="Y126" s="136"/>
    </row>
    <row r="127" spans="1:25" ht="12" customHeight="1" x14ac:dyDescent="0.3">
      <c r="A127" s="140" t="s">
        <v>1478</v>
      </c>
      <c r="B127" s="140" t="s">
        <v>4090</v>
      </c>
      <c r="C127" s="549">
        <f>+EOMONTH(Tabla18[[#This Row],[Fecha Asiento]],-1)+1</f>
        <v>45717</v>
      </c>
      <c r="D127" s="136">
        <v>53004</v>
      </c>
      <c r="E127" s="136" t="s">
        <v>4496</v>
      </c>
      <c r="F127" s="141">
        <v>45744</v>
      </c>
      <c r="G127" s="136">
        <v>1930</v>
      </c>
      <c r="H127" s="136" t="s">
        <v>4557</v>
      </c>
      <c r="I127" s="136" t="s">
        <v>4558</v>
      </c>
      <c r="J127" s="136" t="s">
        <v>4455</v>
      </c>
      <c r="K127" s="136">
        <v>1700041407</v>
      </c>
      <c r="L127" s="138">
        <v>1024500</v>
      </c>
      <c r="M127" s="138">
        <v>0</v>
      </c>
      <c r="N127" s="136" t="s">
        <v>4425</v>
      </c>
      <c r="O127" s="136" t="s">
        <v>4426</v>
      </c>
      <c r="P127" s="136" t="s">
        <v>4427</v>
      </c>
      <c r="Q127" s="136" t="s">
        <v>4428</v>
      </c>
      <c r="R127" s="136">
        <v>0</v>
      </c>
      <c r="S127" s="142">
        <f>(Tabla18[[#This Row],[Debe]]-Tabla18[[#This Row],[Haber]])*
SUMIF('0_Indice_CAC'!$A:$A,Tabla18[[#This Row],[Mes]],'0_Indice_CAC'!$D:$D)</f>
        <v>983572.26452605124</v>
      </c>
      <c r="T127" s="142">
        <f>Tabla18[[#This Row],[Debe]]-Tabla18[[#This Row],[Haber]]</f>
        <v>1024500</v>
      </c>
      <c r="U127" s="322"/>
      <c r="V127" s="323"/>
      <c r="W127" s="142">
        <f t="shared" si="3"/>
        <v>1024500</v>
      </c>
      <c r="X127" s="142" t="b">
        <f>ISNUMBER(MATCH(A127,'3_Control_Ppto'!$A$4:$A$70,0))</f>
        <v>1</v>
      </c>
      <c r="Y127" s="136"/>
    </row>
    <row r="128" spans="1:25" ht="12" customHeight="1" x14ac:dyDescent="0.3">
      <c r="A128" s="140" t="s">
        <v>4310</v>
      </c>
      <c r="B128" s="140" t="s">
        <v>56</v>
      </c>
      <c r="C128" s="549">
        <f>+EOMONTH(Tabla18[[#This Row],[Fecha Asiento]],-1)+1</f>
        <v>45717</v>
      </c>
      <c r="D128" s="136">
        <v>52204</v>
      </c>
      <c r="E128" s="136" t="s">
        <v>4452</v>
      </c>
      <c r="F128" s="141">
        <v>45746</v>
      </c>
      <c r="G128" s="136">
        <v>1932</v>
      </c>
      <c r="H128" s="136" t="s">
        <v>4453</v>
      </c>
      <c r="I128" s="136" t="s">
        <v>4559</v>
      </c>
      <c r="J128" s="136" t="s">
        <v>4542</v>
      </c>
      <c r="K128" s="136">
        <v>100000027</v>
      </c>
      <c r="L128" s="138">
        <v>1250000</v>
      </c>
      <c r="M128" s="138">
        <v>0</v>
      </c>
      <c r="N128" s="136" t="s">
        <v>4425</v>
      </c>
      <c r="O128" s="136" t="s">
        <v>4426</v>
      </c>
      <c r="P128" s="136" t="s">
        <v>4427</v>
      </c>
      <c r="Q128" s="136" t="s">
        <v>4428</v>
      </c>
      <c r="R128" s="136">
        <v>0</v>
      </c>
      <c r="S128" s="142">
        <f>(Tabla18[[#This Row],[Debe]]-Tabla18[[#This Row],[Haber]])*
SUMIF('0_Indice_CAC'!$A:$A,Tabla18[[#This Row],[Mes]],'0_Indice_CAC'!$D:$D)</f>
        <v>1200063.7683333959</v>
      </c>
      <c r="T128" s="142">
        <f>Tabla18[[#This Row],[Debe]]-Tabla18[[#This Row],[Haber]]</f>
        <v>1250000</v>
      </c>
      <c r="U128" s="322"/>
      <c r="V128" s="323"/>
      <c r="W128" s="142">
        <f t="shared" si="3"/>
        <v>1250000</v>
      </c>
      <c r="X128" s="142" t="b">
        <f>ISNUMBER(MATCH(A128,'3_Control_Ppto'!$A$4:$A$70,0))</f>
        <v>1</v>
      </c>
      <c r="Y128" s="136"/>
    </row>
    <row r="129" spans="1:25" ht="12" customHeight="1" x14ac:dyDescent="0.3">
      <c r="A129" s="140" t="s">
        <v>4310</v>
      </c>
      <c r="B129" s="140" t="s">
        <v>56</v>
      </c>
      <c r="C129" s="549">
        <f>+EOMONTH(Tabla18[[#This Row],[Fecha Asiento]],-1)+1</f>
        <v>45748</v>
      </c>
      <c r="D129" s="136">
        <v>52204</v>
      </c>
      <c r="E129" s="136" t="s">
        <v>4452</v>
      </c>
      <c r="F129" s="141">
        <v>45748</v>
      </c>
      <c r="G129" s="136">
        <v>1995</v>
      </c>
      <c r="H129" s="136" t="s">
        <v>4453</v>
      </c>
      <c r="I129" s="136" t="s">
        <v>4454</v>
      </c>
      <c r="J129" s="136" t="s">
        <v>4455</v>
      </c>
      <c r="K129" s="136">
        <v>300001194</v>
      </c>
      <c r="L129" s="138">
        <v>446700</v>
      </c>
      <c r="M129" s="138">
        <v>0</v>
      </c>
      <c r="N129" s="136" t="s">
        <v>4425</v>
      </c>
      <c r="O129" s="136" t="s">
        <v>4426</v>
      </c>
      <c r="P129" s="136" t="s">
        <v>4427</v>
      </c>
      <c r="Q129" s="136" t="s">
        <v>4428</v>
      </c>
      <c r="R129" s="136">
        <v>0</v>
      </c>
      <c r="S129" s="142">
        <f>(Tabla18[[#This Row],[Debe]]-Tabla18[[#This Row],[Haber]])*
SUMIF('0_Indice_CAC'!$A:$A,Tabla18[[#This Row],[Mes]],'0_Indice_CAC'!$D:$D)</f>
        <v>422044.72144461196</v>
      </c>
      <c r="T129" s="142">
        <f>Tabla18[[#This Row],[Debe]]-Tabla18[[#This Row],[Haber]]</f>
        <v>446700</v>
      </c>
      <c r="U129" s="322"/>
      <c r="V129" s="323"/>
      <c r="W129" s="142">
        <f t="shared" si="3"/>
        <v>446700</v>
      </c>
      <c r="X129" s="142" t="b">
        <f>ISNUMBER(MATCH(A129,'3_Control_Ppto'!$A$4:$A$70,0))</f>
        <v>1</v>
      </c>
      <c r="Y129" s="136"/>
    </row>
    <row r="130" spans="1:25" ht="12" customHeight="1" x14ac:dyDescent="0.3">
      <c r="A130" s="140" t="s">
        <v>1478</v>
      </c>
      <c r="B130" s="140" t="s">
        <v>4090</v>
      </c>
      <c r="C130" s="549">
        <f>+EOMONTH(Tabla18[[#This Row],[Fecha Asiento]],-1)+1</f>
        <v>45748</v>
      </c>
      <c r="D130" s="136">
        <v>53004</v>
      </c>
      <c r="E130" s="136" t="s">
        <v>4496</v>
      </c>
      <c r="F130" s="141">
        <v>45748</v>
      </c>
      <c r="G130" s="136">
        <v>1015</v>
      </c>
      <c r="H130" s="136" t="s">
        <v>4560</v>
      </c>
      <c r="I130" s="136" t="s">
        <v>4423</v>
      </c>
      <c r="J130" s="136" t="s">
        <v>4424</v>
      </c>
      <c r="K130" s="136">
        <v>6429</v>
      </c>
      <c r="L130" s="138">
        <v>17884000</v>
      </c>
      <c r="M130" s="138">
        <v>0</v>
      </c>
      <c r="N130" s="136" t="s">
        <v>4425</v>
      </c>
      <c r="O130" s="136" t="s">
        <v>4426</v>
      </c>
      <c r="P130" s="136" t="s">
        <v>4427</v>
      </c>
      <c r="Q130" s="136" t="s">
        <v>4428</v>
      </c>
      <c r="R130" s="136">
        <v>0</v>
      </c>
      <c r="S130" s="142">
        <f>(Tabla18[[#This Row],[Debe]]-Tabla18[[#This Row],[Haber]])*
SUMIF('0_Indice_CAC'!$A:$A,Tabla18[[#This Row],[Mes]],'0_Indice_CAC'!$D:$D)</f>
        <v>16896905.74953087</v>
      </c>
      <c r="T130" s="142">
        <f>Tabla18[[#This Row],[Debe]]-Tabla18[[#This Row],[Haber]]</f>
        <v>17884000</v>
      </c>
      <c r="U130" s="322"/>
      <c r="V130" s="323"/>
      <c r="W130" s="142">
        <f t="shared" ref="W130:W161" si="4">IFERROR(T130-IF(V130="",0,V130),0)</f>
        <v>17884000</v>
      </c>
      <c r="X130" s="142" t="b">
        <f>ISNUMBER(MATCH(A130,'3_Control_Ppto'!$A$4:$A$70,0))</f>
        <v>1</v>
      </c>
      <c r="Y130" s="136"/>
    </row>
    <row r="131" spans="1:25" ht="12" customHeight="1" x14ac:dyDescent="0.3">
      <c r="A131" s="140" t="s">
        <v>4317</v>
      </c>
      <c r="B131" s="140" t="s">
        <v>56</v>
      </c>
      <c r="C131" s="549">
        <f>+EOMONTH(Tabla18[[#This Row],[Fecha Asiento]],-1)+1</f>
        <v>45748</v>
      </c>
      <c r="D131" s="136">
        <v>52103</v>
      </c>
      <c r="E131" s="136" t="s">
        <v>4477</v>
      </c>
      <c r="F131" s="141">
        <v>45750</v>
      </c>
      <c r="G131" s="136">
        <v>2213</v>
      </c>
      <c r="H131" s="136" t="s">
        <v>4561</v>
      </c>
      <c r="I131" s="136" t="s">
        <v>4562</v>
      </c>
      <c r="J131" s="136" t="s">
        <v>4455</v>
      </c>
      <c r="K131" s="136">
        <v>1178700000206</v>
      </c>
      <c r="L131" s="138">
        <v>2471.0700000000002</v>
      </c>
      <c r="M131" s="138">
        <v>0</v>
      </c>
      <c r="N131" s="136" t="s">
        <v>4425</v>
      </c>
      <c r="O131" s="136" t="s">
        <v>4426</v>
      </c>
      <c r="P131" s="136" t="s">
        <v>4427</v>
      </c>
      <c r="Q131" s="136" t="s">
        <v>4428</v>
      </c>
      <c r="R131" s="136">
        <v>0</v>
      </c>
      <c r="S131" s="142">
        <f>(Tabla18[[#This Row],[Debe]]-Tabla18[[#This Row],[Haber]])*
SUMIF('0_Indice_CAC'!$A:$A,Tabla18[[#This Row],[Mes]],'0_Indice_CAC'!$D:$D)</f>
        <v>2334.6811054849727</v>
      </c>
      <c r="T131" s="142">
        <f>Tabla18[[#This Row],[Debe]]-Tabla18[[#This Row],[Haber]]</f>
        <v>2471.0700000000002</v>
      </c>
      <c r="U131" s="322"/>
      <c r="V131" s="323"/>
      <c r="W131" s="142">
        <f t="shared" si="4"/>
        <v>2471.0700000000002</v>
      </c>
      <c r="X131" s="142" t="b">
        <f>ISNUMBER(MATCH(A131,'3_Control_Ppto'!$A$4:$A$70,0))</f>
        <v>1</v>
      </c>
      <c r="Y131" s="136"/>
    </row>
    <row r="132" spans="1:25" ht="12" customHeight="1" x14ac:dyDescent="0.3">
      <c r="A132" s="140" t="s">
        <v>25</v>
      </c>
      <c r="B132" s="140" t="s">
        <v>25</v>
      </c>
      <c r="C132" s="549">
        <f>+EOMONTH(Tabla18[[#This Row],[Fecha Asiento]],-1)+1</f>
        <v>45748</v>
      </c>
      <c r="D132" s="136">
        <v>52405</v>
      </c>
      <c r="E132" s="136" t="s">
        <v>4493</v>
      </c>
      <c r="F132" s="141">
        <v>45750</v>
      </c>
      <c r="G132" s="136">
        <v>2213</v>
      </c>
      <c r="H132" s="136" t="s">
        <v>4563</v>
      </c>
      <c r="I132" s="136" t="s">
        <v>4562</v>
      </c>
      <c r="J132" s="136" t="s">
        <v>4455</v>
      </c>
      <c r="K132" s="136">
        <v>1178700000206</v>
      </c>
      <c r="L132" s="138">
        <v>0.01</v>
      </c>
      <c r="M132" s="138">
        <v>0</v>
      </c>
      <c r="N132" s="136" t="s">
        <v>4425</v>
      </c>
      <c r="O132" s="136" t="s">
        <v>4426</v>
      </c>
      <c r="P132" s="136" t="s">
        <v>4427</v>
      </c>
      <c r="Q132" s="136" t="s">
        <v>4428</v>
      </c>
      <c r="R132" s="136">
        <v>0</v>
      </c>
      <c r="S132" s="142">
        <f>(Tabla18[[#This Row],[Debe]]-Tabla18[[#This Row],[Haber]])*
SUMIF('0_Indice_CAC'!$A:$A,Tabla18[[#This Row],[Mes]],'0_Indice_CAC'!$D:$D)</f>
        <v>9.4480573414956782E-3</v>
      </c>
      <c r="T132" s="142">
        <f>Tabla18[[#This Row],[Debe]]-Tabla18[[#This Row],[Haber]]</f>
        <v>0.01</v>
      </c>
      <c r="U132" s="322"/>
      <c r="V132" s="323"/>
      <c r="W132" s="142">
        <f t="shared" si="4"/>
        <v>0.01</v>
      </c>
      <c r="X132" s="142" t="b">
        <f>ISNUMBER(MATCH(A132,'3_Control_Ppto'!$A$4:$A$70,0))</f>
        <v>0</v>
      </c>
      <c r="Y132" s="136"/>
    </row>
    <row r="133" spans="1:25" ht="12" customHeight="1" x14ac:dyDescent="0.3">
      <c r="A133" s="140" t="s">
        <v>25</v>
      </c>
      <c r="B133" s="140" t="s">
        <v>25</v>
      </c>
      <c r="C133" s="549">
        <f>+EOMONTH(Tabla18[[#This Row],[Fecha Asiento]],-1)+1</f>
        <v>45748</v>
      </c>
      <c r="D133" s="136">
        <v>52405</v>
      </c>
      <c r="E133" s="136" t="s">
        <v>4493</v>
      </c>
      <c r="F133" s="141">
        <v>45750</v>
      </c>
      <c r="G133" s="136">
        <v>2214</v>
      </c>
      <c r="H133" s="136" t="s">
        <v>4564</v>
      </c>
      <c r="I133" s="136" t="s">
        <v>4480</v>
      </c>
      <c r="J133" s="136" t="s">
        <v>4455</v>
      </c>
      <c r="K133" s="136">
        <v>136500001451</v>
      </c>
      <c r="L133" s="138">
        <v>0.01</v>
      </c>
      <c r="M133" s="138">
        <v>0</v>
      </c>
      <c r="N133" s="136" t="s">
        <v>4425</v>
      </c>
      <c r="O133" s="136" t="s">
        <v>4426</v>
      </c>
      <c r="P133" s="136" t="s">
        <v>4427</v>
      </c>
      <c r="Q133" s="136" t="s">
        <v>4428</v>
      </c>
      <c r="R133" s="136">
        <v>0</v>
      </c>
      <c r="S133" s="142">
        <f>(Tabla18[[#This Row],[Debe]]-Tabla18[[#This Row],[Haber]])*
SUMIF('0_Indice_CAC'!$A:$A,Tabla18[[#This Row],[Mes]],'0_Indice_CAC'!$D:$D)</f>
        <v>9.4480573414956782E-3</v>
      </c>
      <c r="T133" s="142">
        <f>Tabla18[[#This Row],[Debe]]-Tabla18[[#This Row],[Haber]]</f>
        <v>0.01</v>
      </c>
      <c r="U133" s="322"/>
      <c r="V133" s="323"/>
      <c r="W133" s="142">
        <f t="shared" si="4"/>
        <v>0.01</v>
      </c>
      <c r="X133" s="142" t="b">
        <f>ISNUMBER(MATCH(A133,'3_Control_Ppto'!$A$4:$A$70,0))</f>
        <v>0</v>
      </c>
      <c r="Y133" s="136"/>
    </row>
    <row r="134" spans="1:25" ht="12" customHeight="1" x14ac:dyDescent="0.3">
      <c r="A134" s="140" t="s">
        <v>1285</v>
      </c>
      <c r="B134" s="140" t="s">
        <v>4090</v>
      </c>
      <c r="C134" s="549">
        <f>+EOMONTH(Tabla18[[#This Row],[Fecha Asiento]],-1)+1</f>
        <v>45748</v>
      </c>
      <c r="D134" s="136">
        <v>53001</v>
      </c>
      <c r="E134" s="136" t="s">
        <v>4464</v>
      </c>
      <c r="F134" s="141">
        <v>45750</v>
      </c>
      <c r="G134" s="136">
        <v>2214</v>
      </c>
      <c r="H134" s="136" t="s">
        <v>4565</v>
      </c>
      <c r="I134" s="136" t="s">
        <v>4480</v>
      </c>
      <c r="J134" s="136" t="s">
        <v>4455</v>
      </c>
      <c r="K134" s="136">
        <v>136500001451</v>
      </c>
      <c r="L134" s="138">
        <v>1971.07</v>
      </c>
      <c r="M134" s="138">
        <v>0</v>
      </c>
      <c r="N134" s="136" t="s">
        <v>4425</v>
      </c>
      <c r="O134" s="136" t="s">
        <v>4426</v>
      </c>
      <c r="P134" s="136" t="s">
        <v>4427</v>
      </c>
      <c r="Q134" s="136" t="s">
        <v>4428</v>
      </c>
      <c r="R134" s="136">
        <v>0</v>
      </c>
      <c r="S134" s="142">
        <f>(Tabla18[[#This Row],[Debe]]-Tabla18[[#This Row],[Haber]])*
SUMIF('0_Indice_CAC'!$A:$A,Tabla18[[#This Row],[Mes]],'0_Indice_CAC'!$D:$D)</f>
        <v>1862.2782384101886</v>
      </c>
      <c r="T134" s="142">
        <f>Tabla18[[#This Row],[Debe]]-Tabla18[[#This Row],[Haber]]</f>
        <v>1971.07</v>
      </c>
      <c r="U134" s="322"/>
      <c r="V134" s="323"/>
      <c r="W134" s="142">
        <f t="shared" si="4"/>
        <v>1971.07</v>
      </c>
      <c r="X134" s="142" t="b">
        <f>ISNUMBER(MATCH(A134,'3_Control_Ppto'!$A$4:$A$70,0))</f>
        <v>1</v>
      </c>
      <c r="Y134" s="136"/>
    </row>
    <row r="135" spans="1:25" ht="12" customHeight="1" x14ac:dyDescent="0.3">
      <c r="A135" s="140" t="s">
        <v>25</v>
      </c>
      <c r="B135" s="140" t="s">
        <v>25</v>
      </c>
      <c r="C135" s="549">
        <f>+EOMONTH(Tabla18[[#This Row],[Fecha Asiento]],-1)+1</f>
        <v>45748</v>
      </c>
      <c r="D135" s="136">
        <v>4201</v>
      </c>
      <c r="E135" s="136" t="s">
        <v>4566</v>
      </c>
      <c r="F135" s="141">
        <v>45751</v>
      </c>
      <c r="G135" s="136">
        <v>1405</v>
      </c>
      <c r="H135" s="136" t="s">
        <v>4567</v>
      </c>
      <c r="I135" s="136" t="s">
        <v>4423</v>
      </c>
      <c r="J135" s="136" t="s">
        <v>4568</v>
      </c>
      <c r="K135" s="136">
        <v>185</v>
      </c>
      <c r="L135" s="138">
        <v>0</v>
      </c>
      <c r="M135" s="138">
        <v>13000000</v>
      </c>
      <c r="N135" s="136" t="s">
        <v>4425</v>
      </c>
      <c r="O135" s="136" t="s">
        <v>4426</v>
      </c>
      <c r="P135" s="136" t="s">
        <v>4427</v>
      </c>
      <c r="Q135" s="136" t="s">
        <v>4428</v>
      </c>
      <c r="R135" s="136">
        <v>0</v>
      </c>
      <c r="S135" s="142">
        <f>(Tabla18[[#This Row],[Debe]]-Tabla18[[#This Row],[Haber]])*
SUMIF('0_Indice_CAC'!$A:$A,Tabla18[[#This Row],[Mes]],'0_Indice_CAC'!$D:$D)</f>
        <v>-12282474.543944381</v>
      </c>
      <c r="T135" s="142">
        <f>Tabla18[[#This Row],[Debe]]-Tabla18[[#This Row],[Haber]]</f>
        <v>-13000000</v>
      </c>
      <c r="U135" s="322"/>
      <c r="V135" s="323"/>
      <c r="W135" s="142">
        <f t="shared" si="4"/>
        <v>-13000000</v>
      </c>
      <c r="X135" s="142" t="b">
        <f>ISNUMBER(MATCH(A135,'3_Control_Ppto'!$A$4:$A$70,0))</f>
        <v>0</v>
      </c>
      <c r="Y135" s="136"/>
    </row>
    <row r="136" spans="1:25" ht="12" customHeight="1" x14ac:dyDescent="0.3">
      <c r="A136" s="140" t="s">
        <v>4317</v>
      </c>
      <c r="B136" s="140" t="s">
        <v>56</v>
      </c>
      <c r="C136" s="549">
        <f>+EOMONTH(Tabla18[[#This Row],[Fecha Asiento]],-1)+1</f>
        <v>45748</v>
      </c>
      <c r="D136" s="136">
        <v>52103</v>
      </c>
      <c r="E136" s="136" t="s">
        <v>4477</v>
      </c>
      <c r="F136" s="141">
        <v>45751</v>
      </c>
      <c r="G136" s="136">
        <v>2215</v>
      </c>
      <c r="H136" s="136" t="s">
        <v>4569</v>
      </c>
      <c r="I136" s="136" t="s">
        <v>4570</v>
      </c>
      <c r="J136" s="136" t="s">
        <v>4455</v>
      </c>
      <c r="K136" s="136">
        <v>418100126642</v>
      </c>
      <c r="L136" s="138">
        <v>9617.1200000000008</v>
      </c>
      <c r="M136" s="138">
        <v>0</v>
      </c>
      <c r="N136" s="136" t="s">
        <v>4425</v>
      </c>
      <c r="O136" s="136" t="s">
        <v>4426</v>
      </c>
      <c r="P136" s="136" t="s">
        <v>4427</v>
      </c>
      <c r="Q136" s="136" t="s">
        <v>4428</v>
      </c>
      <c r="R136" s="136">
        <v>0</v>
      </c>
      <c r="S136" s="142">
        <f>(Tabla18[[#This Row],[Debe]]-Tabla18[[#This Row],[Haber]])*
SUMIF('0_Indice_CAC'!$A:$A,Tabla18[[#This Row],[Mes]],'0_Indice_CAC'!$D:$D)</f>
        <v>9086.3101220044919</v>
      </c>
      <c r="T136" s="142">
        <f>Tabla18[[#This Row],[Debe]]-Tabla18[[#This Row],[Haber]]</f>
        <v>9617.1200000000008</v>
      </c>
      <c r="U136" s="322"/>
      <c r="V136" s="323"/>
      <c r="W136" s="142">
        <f t="shared" si="4"/>
        <v>9617.1200000000008</v>
      </c>
      <c r="X136" s="142" t="b">
        <f>ISNUMBER(MATCH(A136,'3_Control_Ppto'!$A$4:$A$70,0))</f>
        <v>1</v>
      </c>
      <c r="Y136" s="136"/>
    </row>
    <row r="137" spans="1:25" ht="12" customHeight="1" x14ac:dyDescent="0.3">
      <c r="A137" s="140" t="s">
        <v>4317</v>
      </c>
      <c r="B137" s="140" t="s">
        <v>56</v>
      </c>
      <c r="C137" s="549">
        <f>+EOMONTH(Tabla18[[#This Row],[Fecha Asiento]],-1)+1</f>
        <v>45748</v>
      </c>
      <c r="D137" s="136">
        <v>52103</v>
      </c>
      <c r="E137" s="136" t="s">
        <v>4477</v>
      </c>
      <c r="F137" s="141">
        <v>45751</v>
      </c>
      <c r="G137" s="136">
        <v>2215</v>
      </c>
      <c r="H137" s="136" t="s">
        <v>4569</v>
      </c>
      <c r="I137" s="136" t="s">
        <v>4570</v>
      </c>
      <c r="J137" s="136" t="s">
        <v>4455</v>
      </c>
      <c r="K137" s="136">
        <v>418100126642</v>
      </c>
      <c r="L137" s="138">
        <v>60947.5</v>
      </c>
      <c r="M137" s="138">
        <v>0</v>
      </c>
      <c r="N137" s="136" t="s">
        <v>4425</v>
      </c>
      <c r="O137" s="136" t="s">
        <v>4426</v>
      </c>
      <c r="P137" s="136" t="s">
        <v>4427</v>
      </c>
      <c r="Q137" s="136" t="s">
        <v>4428</v>
      </c>
      <c r="R137" s="136">
        <v>0</v>
      </c>
      <c r="S137" s="142">
        <f>(Tabla18[[#This Row],[Debe]]-Tabla18[[#This Row],[Haber]])*
SUMIF('0_Indice_CAC'!$A:$A,Tabla18[[#This Row],[Mes]],'0_Indice_CAC'!$D:$D)</f>
        <v>57583.547482080787</v>
      </c>
      <c r="T137" s="142">
        <f>Tabla18[[#This Row],[Debe]]-Tabla18[[#This Row],[Haber]]</f>
        <v>60947.5</v>
      </c>
      <c r="U137" s="322"/>
      <c r="V137" s="323"/>
      <c r="W137" s="142">
        <f t="shared" si="4"/>
        <v>60947.5</v>
      </c>
      <c r="X137" s="142" t="b">
        <f>ISNUMBER(MATCH(A137,'3_Control_Ppto'!$A$4:$A$70,0))</f>
        <v>1</v>
      </c>
      <c r="Y137" s="136"/>
    </row>
    <row r="138" spans="1:25" ht="12" customHeight="1" x14ac:dyDescent="0.3">
      <c r="A138" s="140" t="s">
        <v>3219</v>
      </c>
      <c r="B138" s="140" t="s">
        <v>4090</v>
      </c>
      <c r="C138" s="549">
        <f>+EOMONTH(Tabla18[[#This Row],[Fecha Asiento]],-1)+1</f>
        <v>45748</v>
      </c>
      <c r="D138" s="136">
        <v>53019</v>
      </c>
      <c r="E138" s="136" t="s">
        <v>4461</v>
      </c>
      <c r="F138" s="141">
        <v>45751</v>
      </c>
      <c r="G138" s="136">
        <v>2359</v>
      </c>
      <c r="H138" s="136" t="s">
        <v>4462</v>
      </c>
      <c r="I138" s="136" t="s">
        <v>4463</v>
      </c>
      <c r="J138" s="136" t="s">
        <v>4455</v>
      </c>
      <c r="K138" s="136">
        <v>300005443</v>
      </c>
      <c r="L138" s="138">
        <v>69216.11</v>
      </c>
      <c r="M138" s="138">
        <v>0</v>
      </c>
      <c r="N138" s="136" t="s">
        <v>4425</v>
      </c>
      <c r="O138" s="136" t="s">
        <v>4426</v>
      </c>
      <c r="P138" s="136" t="s">
        <v>4427</v>
      </c>
      <c r="Q138" s="136" t="s">
        <v>4428</v>
      </c>
      <c r="R138" s="136">
        <v>0</v>
      </c>
      <c r="S138" s="142">
        <f>(Tabla18[[#This Row],[Debe]]-Tabla18[[#This Row],[Haber]])*
SUMIF('0_Indice_CAC'!$A:$A,Tabla18[[#This Row],[Mes]],'0_Indice_CAC'!$D:$D)</f>
        <v>65395.777623527239</v>
      </c>
      <c r="T138" s="142">
        <f>Tabla18[[#This Row],[Debe]]-Tabla18[[#This Row],[Haber]]</f>
        <v>69216.11</v>
      </c>
      <c r="U138" s="322"/>
      <c r="V138" s="323"/>
      <c r="W138" s="142">
        <f t="shared" si="4"/>
        <v>69216.11</v>
      </c>
      <c r="X138" s="142" t="b">
        <f>ISNUMBER(MATCH(A138,'3_Control_Ppto'!$A$4:$A$70,0))</f>
        <v>1</v>
      </c>
      <c r="Y138" s="136"/>
    </row>
    <row r="139" spans="1:25" ht="12" customHeight="1" x14ac:dyDescent="0.3">
      <c r="A139" s="140" t="s">
        <v>1478</v>
      </c>
      <c r="B139" s="140" t="s">
        <v>4090</v>
      </c>
      <c r="C139" s="549">
        <f>+EOMONTH(Tabla18[[#This Row],[Fecha Asiento]],-1)+1</f>
        <v>45748</v>
      </c>
      <c r="D139" s="136">
        <v>53004</v>
      </c>
      <c r="E139" s="136" t="s">
        <v>4496</v>
      </c>
      <c r="F139" s="141">
        <v>45754</v>
      </c>
      <c r="G139" s="136">
        <v>972</v>
      </c>
      <c r="H139" s="136" t="s">
        <v>4571</v>
      </c>
      <c r="I139" s="136" t="s">
        <v>4423</v>
      </c>
      <c r="J139" s="136" t="s">
        <v>4424</v>
      </c>
      <c r="K139" s="136">
        <v>6388</v>
      </c>
      <c r="L139" s="138">
        <v>301500</v>
      </c>
      <c r="M139" s="138">
        <v>0</v>
      </c>
      <c r="N139" s="136" t="s">
        <v>4425</v>
      </c>
      <c r="O139" s="136" t="s">
        <v>4426</v>
      </c>
      <c r="P139" s="136" t="s">
        <v>4427</v>
      </c>
      <c r="Q139" s="136" t="s">
        <v>4428</v>
      </c>
      <c r="R139" s="136">
        <v>0</v>
      </c>
      <c r="S139" s="142">
        <f>(Tabla18[[#This Row],[Debe]]-Tabla18[[#This Row],[Haber]])*
SUMIF('0_Indice_CAC'!$A:$A,Tabla18[[#This Row],[Mes]],'0_Indice_CAC'!$D:$D)</f>
        <v>284858.9288460947</v>
      </c>
      <c r="T139" s="142">
        <f>Tabla18[[#This Row],[Debe]]-Tabla18[[#This Row],[Haber]]</f>
        <v>301500</v>
      </c>
      <c r="U139" s="322"/>
      <c r="V139" s="323"/>
      <c r="W139" s="142">
        <f t="shared" si="4"/>
        <v>301500</v>
      </c>
      <c r="X139" s="142" t="b">
        <f>ISNUMBER(MATCH(A139,'3_Control_Ppto'!$A$4:$A$70,0))</f>
        <v>1</v>
      </c>
      <c r="Y139" s="136"/>
    </row>
    <row r="140" spans="1:25" ht="12" customHeight="1" x14ac:dyDescent="0.3">
      <c r="A140" s="140" t="s">
        <v>1478</v>
      </c>
      <c r="B140" s="140" t="s">
        <v>4090</v>
      </c>
      <c r="C140" s="549">
        <f>+EOMONTH(Tabla18[[#This Row],[Fecha Asiento]],-1)+1</f>
        <v>45748</v>
      </c>
      <c r="D140" s="136">
        <v>53004</v>
      </c>
      <c r="E140" s="136" t="s">
        <v>4496</v>
      </c>
      <c r="F140" s="141">
        <v>45754</v>
      </c>
      <c r="G140" s="136">
        <v>973</v>
      </c>
      <c r="H140" s="136" t="s">
        <v>4571</v>
      </c>
      <c r="I140" s="136" t="s">
        <v>4423</v>
      </c>
      <c r="J140" s="136" t="s">
        <v>4424</v>
      </c>
      <c r="K140" s="136">
        <v>6389</v>
      </c>
      <c r="L140" s="138">
        <v>45000</v>
      </c>
      <c r="M140" s="138">
        <v>0</v>
      </c>
      <c r="N140" s="136" t="s">
        <v>4425</v>
      </c>
      <c r="O140" s="136" t="s">
        <v>4426</v>
      </c>
      <c r="P140" s="136" t="s">
        <v>4427</v>
      </c>
      <c r="Q140" s="136" t="s">
        <v>4428</v>
      </c>
      <c r="R140" s="136">
        <v>0</v>
      </c>
      <c r="S140" s="142">
        <f>(Tabla18[[#This Row],[Debe]]-Tabla18[[#This Row],[Haber]])*
SUMIF('0_Indice_CAC'!$A:$A,Tabla18[[#This Row],[Mes]],'0_Indice_CAC'!$D:$D)</f>
        <v>42516.258036730549</v>
      </c>
      <c r="T140" s="142">
        <f>Tabla18[[#This Row],[Debe]]-Tabla18[[#This Row],[Haber]]</f>
        <v>45000</v>
      </c>
      <c r="U140" s="322"/>
      <c r="V140" s="323"/>
      <c r="W140" s="142">
        <f t="shared" si="4"/>
        <v>45000</v>
      </c>
      <c r="X140" s="142" t="b">
        <f>ISNUMBER(MATCH(A140,'3_Control_Ppto'!$A$4:$A$70,0))</f>
        <v>1</v>
      </c>
      <c r="Y140" s="136"/>
    </row>
    <row r="141" spans="1:25" ht="12" customHeight="1" x14ac:dyDescent="0.3">
      <c r="A141" s="140" t="s">
        <v>1478</v>
      </c>
      <c r="B141" s="140" t="s">
        <v>25</v>
      </c>
      <c r="C141" s="549">
        <f>+EOMONTH(Tabla18[[#This Row],[Fecha Asiento]],-1)+1</f>
        <v>45748</v>
      </c>
      <c r="D141" s="136">
        <v>53005</v>
      </c>
      <c r="E141" s="136" t="s">
        <v>4472</v>
      </c>
      <c r="F141" s="141">
        <v>45754</v>
      </c>
      <c r="G141" s="136">
        <v>971</v>
      </c>
      <c r="H141" s="136" t="s">
        <v>4572</v>
      </c>
      <c r="I141" s="136" t="s">
        <v>4423</v>
      </c>
      <c r="J141" s="136" t="s">
        <v>4424</v>
      </c>
      <c r="K141" s="136">
        <v>6387</v>
      </c>
      <c r="L141" s="138">
        <v>229200</v>
      </c>
      <c r="M141" s="138">
        <v>0</v>
      </c>
      <c r="N141" s="136" t="s">
        <v>4425</v>
      </c>
      <c r="O141" s="136" t="s">
        <v>4426</v>
      </c>
      <c r="P141" s="136" t="s">
        <v>4427</v>
      </c>
      <c r="Q141" s="136" t="s">
        <v>4428</v>
      </c>
      <c r="R141" s="136">
        <v>0</v>
      </c>
      <c r="S141" s="142">
        <f>(Tabla18[[#This Row],[Debe]]-Tabla18[[#This Row],[Haber]])*
SUMIF('0_Indice_CAC'!$A:$A,Tabla18[[#This Row],[Mes]],'0_Indice_CAC'!$D:$D)</f>
        <v>216549.47426708095</v>
      </c>
      <c r="T141" s="142">
        <f>Tabla18[[#This Row],[Debe]]-Tabla18[[#This Row],[Haber]]</f>
        <v>229200</v>
      </c>
      <c r="U141" s="322"/>
      <c r="V141" s="323"/>
      <c r="W141" s="142">
        <f t="shared" si="4"/>
        <v>229200</v>
      </c>
      <c r="X141" s="142" t="b">
        <f>ISNUMBER(MATCH(A141,'3_Control_Ppto'!$A$4:$A$70,0))</f>
        <v>1</v>
      </c>
      <c r="Y141" s="136"/>
    </row>
    <row r="142" spans="1:25" ht="12" customHeight="1" x14ac:dyDescent="0.3">
      <c r="A142" s="140" t="s">
        <v>1478</v>
      </c>
      <c r="B142" s="140" t="s">
        <v>4090</v>
      </c>
      <c r="C142" s="549">
        <f>+EOMONTH(Tabla18[[#This Row],[Fecha Asiento]],-1)+1</f>
        <v>45748</v>
      </c>
      <c r="D142" s="136">
        <v>53004</v>
      </c>
      <c r="E142" s="136" t="s">
        <v>4496</v>
      </c>
      <c r="F142" s="141">
        <v>45755</v>
      </c>
      <c r="G142" s="136">
        <v>2051</v>
      </c>
      <c r="H142" s="136" t="s">
        <v>4573</v>
      </c>
      <c r="I142" s="136" t="s">
        <v>4574</v>
      </c>
      <c r="J142" s="136" t="s">
        <v>4455</v>
      </c>
      <c r="K142" s="136">
        <v>900004659</v>
      </c>
      <c r="L142" s="138">
        <v>71074.38</v>
      </c>
      <c r="M142" s="138">
        <v>0</v>
      </c>
      <c r="N142" s="136" t="s">
        <v>4425</v>
      </c>
      <c r="O142" s="136" t="s">
        <v>4426</v>
      </c>
      <c r="P142" s="136" t="s">
        <v>4427</v>
      </c>
      <c r="Q142" s="136" t="s">
        <v>4428</v>
      </c>
      <c r="R142" s="136">
        <v>0</v>
      </c>
      <c r="S142" s="142">
        <f>(Tabla18[[#This Row],[Debe]]-Tabla18[[#This Row],[Haber]])*
SUMIF('0_Indice_CAC'!$A:$A,Tabla18[[#This Row],[Mes]],'0_Indice_CAC'!$D:$D)</f>
        <v>67151.481775125358</v>
      </c>
      <c r="T142" s="142">
        <f>Tabla18[[#This Row],[Debe]]-Tabla18[[#This Row],[Haber]]</f>
        <v>71074.38</v>
      </c>
      <c r="U142" s="322"/>
      <c r="V142" s="323"/>
      <c r="W142" s="142">
        <f t="shared" si="4"/>
        <v>71074.38</v>
      </c>
      <c r="X142" s="142" t="b">
        <f>ISNUMBER(MATCH(A142,'3_Control_Ppto'!$A$4:$A$70,0))</f>
        <v>1</v>
      </c>
      <c r="Y142" s="136"/>
    </row>
    <row r="143" spans="1:25" ht="12" customHeight="1" x14ac:dyDescent="0.3">
      <c r="A143" s="140" t="s">
        <v>106</v>
      </c>
      <c r="B143" s="140" t="s">
        <v>4090</v>
      </c>
      <c r="C143" s="549">
        <f>+EOMONTH(Tabla18[[#This Row],[Fecha Asiento]],-1)+1</f>
        <v>45748</v>
      </c>
      <c r="D143" s="136">
        <v>53023</v>
      </c>
      <c r="E143" s="136" t="s">
        <v>4467</v>
      </c>
      <c r="F143" s="141">
        <v>45756</v>
      </c>
      <c r="G143" s="136">
        <v>2117</v>
      </c>
      <c r="H143" s="136" t="s">
        <v>4555</v>
      </c>
      <c r="I143" s="136" t="s">
        <v>4556</v>
      </c>
      <c r="J143" s="136" t="s">
        <v>4455</v>
      </c>
      <c r="K143" s="136">
        <v>11100006199</v>
      </c>
      <c r="L143" s="138">
        <v>89860.53</v>
      </c>
      <c r="M143" s="138">
        <v>0</v>
      </c>
      <c r="N143" s="136" t="s">
        <v>4425</v>
      </c>
      <c r="O143" s="136" t="s">
        <v>4426</v>
      </c>
      <c r="P143" s="136" t="s">
        <v>4427</v>
      </c>
      <c r="Q143" s="136" t="s">
        <v>4428</v>
      </c>
      <c r="R143" s="136">
        <v>0</v>
      </c>
      <c r="S143" s="142">
        <f>(Tabla18[[#This Row],[Debe]]-Tabla18[[#This Row],[Haber]])*
SUMIF('0_Indice_CAC'!$A:$A,Tabla18[[#This Row],[Mes]],'0_Indice_CAC'!$D:$D)</f>
        <v>84900.744017719262</v>
      </c>
      <c r="T143" s="142">
        <f>Tabla18[[#This Row],[Debe]]-Tabla18[[#This Row],[Haber]]</f>
        <v>89860.53</v>
      </c>
      <c r="U143" s="322"/>
      <c r="V143" s="323"/>
      <c r="W143" s="142">
        <f t="shared" si="4"/>
        <v>89860.53</v>
      </c>
      <c r="X143" s="142" t="b">
        <f>ISNUMBER(MATCH(A143,'3_Control_Ppto'!$A$4:$A$70,0))</f>
        <v>1</v>
      </c>
      <c r="Y143" s="136"/>
    </row>
    <row r="144" spans="1:25" ht="12" customHeight="1" x14ac:dyDescent="0.3">
      <c r="A144" s="140" t="s">
        <v>25</v>
      </c>
      <c r="B144" s="140" t="s">
        <v>25</v>
      </c>
      <c r="C144" s="549">
        <f>+EOMONTH(Tabla18[[#This Row],[Fecha Asiento]],-1)+1</f>
        <v>45748</v>
      </c>
      <c r="D144" s="136">
        <v>52405</v>
      </c>
      <c r="E144" s="136" t="s">
        <v>4493</v>
      </c>
      <c r="F144" s="141">
        <v>45761</v>
      </c>
      <c r="G144" s="136">
        <v>2143</v>
      </c>
      <c r="H144" s="136" t="s">
        <v>4509</v>
      </c>
      <c r="I144" s="136" t="s">
        <v>4510</v>
      </c>
      <c r="J144" s="136" t="s">
        <v>4455</v>
      </c>
      <c r="K144" s="136">
        <v>200012081</v>
      </c>
      <c r="L144" s="138">
        <v>0.01</v>
      </c>
      <c r="M144" s="138">
        <v>0</v>
      </c>
      <c r="N144" s="136" t="s">
        <v>4425</v>
      </c>
      <c r="O144" s="136" t="s">
        <v>4426</v>
      </c>
      <c r="P144" s="136" t="s">
        <v>4427</v>
      </c>
      <c r="Q144" s="136" t="s">
        <v>4428</v>
      </c>
      <c r="R144" s="136">
        <v>0</v>
      </c>
      <c r="S144" s="142">
        <f>(Tabla18[[#This Row],[Debe]]-Tabla18[[#This Row],[Haber]])*
SUMIF('0_Indice_CAC'!$A:$A,Tabla18[[#This Row],[Mes]],'0_Indice_CAC'!$D:$D)</f>
        <v>9.4480573414956782E-3</v>
      </c>
      <c r="T144" s="142">
        <f>Tabla18[[#This Row],[Debe]]-Tabla18[[#This Row],[Haber]]</f>
        <v>0.01</v>
      </c>
      <c r="U144" s="322"/>
      <c r="V144" s="323"/>
      <c r="W144" s="142">
        <f t="shared" si="4"/>
        <v>0.01</v>
      </c>
      <c r="X144" s="142" t="b">
        <f>ISNUMBER(MATCH(A144,'3_Control_Ppto'!$A$4:$A$70,0))</f>
        <v>0</v>
      </c>
      <c r="Y144" s="136"/>
    </row>
    <row r="145" spans="1:25" ht="12" customHeight="1" x14ac:dyDescent="0.3">
      <c r="A145" s="140" t="s">
        <v>1285</v>
      </c>
      <c r="B145" s="140" t="s">
        <v>4090</v>
      </c>
      <c r="C145" s="549">
        <f>+EOMONTH(Tabla18[[#This Row],[Fecha Asiento]],-1)+1</f>
        <v>45748</v>
      </c>
      <c r="D145" s="136">
        <v>53001</v>
      </c>
      <c r="E145" s="136" t="s">
        <v>4464</v>
      </c>
      <c r="F145" s="141">
        <v>45761</v>
      </c>
      <c r="G145" s="136">
        <v>2217</v>
      </c>
      <c r="H145" s="136" t="s">
        <v>4575</v>
      </c>
      <c r="I145" s="136" t="s">
        <v>4487</v>
      </c>
      <c r="J145" s="136" t="s">
        <v>4455</v>
      </c>
      <c r="K145" s="136">
        <v>500000968</v>
      </c>
      <c r="L145" s="138">
        <v>7438.02</v>
      </c>
      <c r="M145" s="138">
        <v>0</v>
      </c>
      <c r="N145" s="136" t="s">
        <v>4425</v>
      </c>
      <c r="O145" s="136" t="s">
        <v>4426</v>
      </c>
      <c r="P145" s="136" t="s">
        <v>4427</v>
      </c>
      <c r="Q145" s="136" t="s">
        <v>4428</v>
      </c>
      <c r="R145" s="136">
        <v>0</v>
      </c>
      <c r="S145" s="142">
        <f>(Tabla18[[#This Row],[Debe]]-Tabla18[[#This Row],[Haber]])*
SUMIF('0_Indice_CAC'!$A:$A,Tabla18[[#This Row],[Mes]],'0_Indice_CAC'!$D:$D)</f>
        <v>7027.4839467191687</v>
      </c>
      <c r="T145" s="142">
        <f>Tabla18[[#This Row],[Debe]]-Tabla18[[#This Row],[Haber]]</f>
        <v>7438.02</v>
      </c>
      <c r="U145" s="322"/>
      <c r="V145" s="323"/>
      <c r="W145" s="142">
        <f t="shared" si="4"/>
        <v>7438.02</v>
      </c>
      <c r="X145" s="142" t="b">
        <f>ISNUMBER(MATCH(A145,'3_Control_Ppto'!$A$4:$A$70,0))</f>
        <v>1</v>
      </c>
      <c r="Y145" s="136"/>
    </row>
    <row r="146" spans="1:25" ht="12" customHeight="1" x14ac:dyDescent="0.3">
      <c r="A146" s="140" t="s">
        <v>1478</v>
      </c>
      <c r="B146" s="140" t="s">
        <v>4090</v>
      </c>
      <c r="C146" s="549">
        <f>+EOMONTH(Tabla18[[#This Row],[Fecha Asiento]],-1)+1</f>
        <v>45748</v>
      </c>
      <c r="D146" s="136">
        <v>53004</v>
      </c>
      <c r="E146" s="136" t="s">
        <v>4496</v>
      </c>
      <c r="F146" s="141">
        <v>45761</v>
      </c>
      <c r="G146" s="136">
        <v>2142</v>
      </c>
      <c r="H146" s="136" t="s">
        <v>4576</v>
      </c>
      <c r="I146" s="136" t="s">
        <v>4558</v>
      </c>
      <c r="J146" s="136" t="s">
        <v>4455</v>
      </c>
      <c r="K146" s="136">
        <v>1700041735</v>
      </c>
      <c r="L146" s="138">
        <v>43767900</v>
      </c>
      <c r="M146" s="138">
        <v>0</v>
      </c>
      <c r="N146" s="136" t="s">
        <v>4425</v>
      </c>
      <c r="O146" s="136" t="s">
        <v>4426</v>
      </c>
      <c r="P146" s="136" t="s">
        <v>4427</v>
      </c>
      <c r="Q146" s="136" t="s">
        <v>4428</v>
      </c>
      <c r="R146" s="136">
        <v>0</v>
      </c>
      <c r="S146" s="142">
        <f>(Tabla18[[#This Row],[Debe]]-Tabla18[[#This Row],[Haber]])*
SUMIF('0_Indice_CAC'!$A:$A,Tabla18[[#This Row],[Mes]],'0_Indice_CAC'!$D:$D)</f>
        <v>41352162.891684867</v>
      </c>
      <c r="T146" s="142">
        <f>Tabla18[[#This Row],[Debe]]-Tabla18[[#This Row],[Haber]]</f>
        <v>43767900</v>
      </c>
      <c r="U146" s="322"/>
      <c r="V146" s="323"/>
      <c r="W146" s="142">
        <f t="shared" si="4"/>
        <v>43767900</v>
      </c>
      <c r="X146" s="142" t="b">
        <f>ISNUMBER(MATCH(A146,'3_Control_Ppto'!$A$4:$A$70,0))</f>
        <v>1</v>
      </c>
      <c r="Y146" s="136"/>
    </row>
    <row r="147" spans="1:25" ht="12" customHeight="1" x14ac:dyDescent="0.3">
      <c r="A147" s="140" t="s">
        <v>1478</v>
      </c>
      <c r="B147" s="140" t="s">
        <v>4090</v>
      </c>
      <c r="C147" s="549">
        <f>+EOMONTH(Tabla18[[#This Row],[Fecha Asiento]],-1)+1</f>
        <v>45748</v>
      </c>
      <c r="D147" s="136">
        <v>53004</v>
      </c>
      <c r="E147" s="136" t="s">
        <v>4496</v>
      </c>
      <c r="F147" s="141">
        <v>45761</v>
      </c>
      <c r="G147" s="136">
        <v>2143</v>
      </c>
      <c r="H147" s="136" t="s">
        <v>4512</v>
      </c>
      <c r="I147" s="136" t="s">
        <v>4510</v>
      </c>
      <c r="J147" s="136" t="s">
        <v>4455</v>
      </c>
      <c r="K147" s="136">
        <v>200012081</v>
      </c>
      <c r="L147" s="138">
        <v>661184.24</v>
      </c>
      <c r="M147" s="138">
        <v>0</v>
      </c>
      <c r="N147" s="136" t="s">
        <v>4425</v>
      </c>
      <c r="O147" s="136" t="s">
        <v>4426</v>
      </c>
      <c r="P147" s="136" t="s">
        <v>4427</v>
      </c>
      <c r="Q147" s="136" t="s">
        <v>4428</v>
      </c>
      <c r="R147" s="136">
        <v>0</v>
      </c>
      <c r="S147" s="142">
        <f>(Tabla18[[#This Row],[Debe]]-Tabla18[[#This Row],[Haber]])*
SUMIF('0_Indice_CAC'!$A:$A,Tabla18[[#This Row],[Mes]],'0_Indice_CAC'!$D:$D)</f>
        <v>624690.66128132399</v>
      </c>
      <c r="T147" s="142">
        <f>Tabla18[[#This Row],[Debe]]-Tabla18[[#This Row],[Haber]]</f>
        <v>661184.24</v>
      </c>
      <c r="U147" s="322"/>
      <c r="V147" s="323"/>
      <c r="W147" s="142">
        <f t="shared" si="4"/>
        <v>661184.24</v>
      </c>
      <c r="X147" s="142" t="b">
        <f>ISNUMBER(MATCH(A147,'3_Control_Ppto'!$A$4:$A$70,0))</f>
        <v>1</v>
      </c>
      <c r="Y147" s="136"/>
    </row>
    <row r="148" spans="1:25" ht="12" customHeight="1" x14ac:dyDescent="0.3">
      <c r="A148" s="140" t="s">
        <v>106</v>
      </c>
      <c r="B148" s="140" t="s">
        <v>4090</v>
      </c>
      <c r="C148" s="549">
        <f>+EOMONTH(Tabla18[[#This Row],[Fecha Asiento]],-1)+1</f>
        <v>45748</v>
      </c>
      <c r="D148" s="136">
        <v>53023</v>
      </c>
      <c r="E148" s="136" t="s">
        <v>4467</v>
      </c>
      <c r="F148" s="141">
        <v>45761</v>
      </c>
      <c r="G148" s="136">
        <v>2186</v>
      </c>
      <c r="H148" s="136" t="s">
        <v>4475</v>
      </c>
      <c r="I148" s="136" t="s">
        <v>4471</v>
      </c>
      <c r="J148" s="136" t="s">
        <v>4455</v>
      </c>
      <c r="K148" s="136">
        <v>1000196025</v>
      </c>
      <c r="L148" s="138">
        <v>177846.48</v>
      </c>
      <c r="M148" s="138">
        <v>0</v>
      </c>
      <c r="N148" s="136" t="s">
        <v>4425</v>
      </c>
      <c r="O148" s="136" t="s">
        <v>4426</v>
      </c>
      <c r="P148" s="136" t="s">
        <v>4427</v>
      </c>
      <c r="Q148" s="136" t="s">
        <v>4428</v>
      </c>
      <c r="R148" s="136">
        <v>0</v>
      </c>
      <c r="S148" s="142">
        <f>(Tabla18[[#This Row],[Debe]]-Tabla18[[#This Row],[Haber]])*
SUMIF('0_Indice_CAC'!$A:$A,Tabla18[[#This Row],[Mes]],'0_Indice_CAC'!$D:$D)</f>
        <v>168030.37410231645</v>
      </c>
      <c r="T148" s="142">
        <f>Tabla18[[#This Row],[Debe]]-Tabla18[[#This Row],[Haber]]</f>
        <v>177846.48</v>
      </c>
      <c r="U148" s="322"/>
      <c r="V148" s="323"/>
      <c r="W148" s="142">
        <f t="shared" si="4"/>
        <v>177846.48</v>
      </c>
      <c r="X148" s="142" t="b">
        <f>ISNUMBER(MATCH(A148,'3_Control_Ppto'!$A$4:$A$70,0))</f>
        <v>1</v>
      </c>
      <c r="Y148" s="136"/>
    </row>
    <row r="149" spans="1:25" ht="12" customHeight="1" x14ac:dyDescent="0.3">
      <c r="A149" s="140" t="s">
        <v>25</v>
      </c>
      <c r="B149" s="140" t="s">
        <v>25</v>
      </c>
      <c r="C149" s="549">
        <f>+EOMONTH(Tabla18[[#This Row],[Fecha Asiento]],-1)+1</f>
        <v>45748</v>
      </c>
      <c r="D149" s="136">
        <v>4201</v>
      </c>
      <c r="E149" s="136" t="s">
        <v>4566</v>
      </c>
      <c r="F149" s="141">
        <v>45762</v>
      </c>
      <c r="G149" s="136">
        <v>1406</v>
      </c>
      <c r="H149" s="136" t="s">
        <v>4577</v>
      </c>
      <c r="I149" s="136" t="s">
        <v>4423</v>
      </c>
      <c r="J149" s="136" t="s">
        <v>4568</v>
      </c>
      <c r="K149" s="136">
        <v>186</v>
      </c>
      <c r="L149" s="138">
        <v>0</v>
      </c>
      <c r="M149" s="138">
        <v>5080000</v>
      </c>
      <c r="N149" s="136" t="s">
        <v>4425</v>
      </c>
      <c r="O149" s="136" t="s">
        <v>4426</v>
      </c>
      <c r="P149" s="136" t="s">
        <v>4427</v>
      </c>
      <c r="Q149" s="136" t="s">
        <v>4428</v>
      </c>
      <c r="R149" s="136">
        <v>0</v>
      </c>
      <c r="S149" s="142">
        <f>(Tabla18[[#This Row],[Debe]]-Tabla18[[#This Row],[Haber]])*
SUMIF('0_Indice_CAC'!$A:$A,Tabla18[[#This Row],[Mes]],'0_Indice_CAC'!$D:$D)</f>
        <v>-4799613.1294798041</v>
      </c>
      <c r="T149" s="142">
        <f>Tabla18[[#This Row],[Debe]]-Tabla18[[#This Row],[Haber]]</f>
        <v>-5080000</v>
      </c>
      <c r="U149" s="322"/>
      <c r="V149" s="323"/>
      <c r="W149" s="142">
        <f t="shared" si="4"/>
        <v>-5080000</v>
      </c>
      <c r="X149" s="142" t="b">
        <f>ISNUMBER(MATCH(A149,'3_Control_Ppto'!$A$4:$A$70,0))</f>
        <v>0</v>
      </c>
      <c r="Y149" s="136"/>
    </row>
    <row r="150" spans="1:25" ht="12" customHeight="1" x14ac:dyDescent="0.3">
      <c r="A150" s="140" t="s">
        <v>4317</v>
      </c>
      <c r="B150" s="140" t="s">
        <v>56</v>
      </c>
      <c r="C150" s="549">
        <f>+EOMONTH(Tabla18[[#This Row],[Fecha Asiento]],-1)+1</f>
        <v>45748</v>
      </c>
      <c r="D150" s="136">
        <v>52302</v>
      </c>
      <c r="E150" s="136" t="s">
        <v>4444</v>
      </c>
      <c r="F150" s="141">
        <v>45762</v>
      </c>
      <c r="G150" s="136">
        <v>2292</v>
      </c>
      <c r="H150" s="136" t="s">
        <v>4578</v>
      </c>
      <c r="I150" s="136" t="s">
        <v>4532</v>
      </c>
      <c r="J150" s="136" t="s">
        <v>4455</v>
      </c>
      <c r="K150" s="136">
        <v>217201634197</v>
      </c>
      <c r="L150" s="138">
        <v>598.08000000000004</v>
      </c>
      <c r="M150" s="138">
        <v>0</v>
      </c>
      <c r="N150" s="136" t="s">
        <v>4425</v>
      </c>
      <c r="O150" s="136" t="s">
        <v>4426</v>
      </c>
      <c r="P150" s="136" t="s">
        <v>4427</v>
      </c>
      <c r="Q150" s="136" t="s">
        <v>4428</v>
      </c>
      <c r="R150" s="136">
        <v>0</v>
      </c>
      <c r="S150" s="142">
        <f>(Tabla18[[#This Row],[Debe]]-Tabla18[[#This Row],[Haber]])*
SUMIF('0_Indice_CAC'!$A:$A,Tabla18[[#This Row],[Mes]],'0_Indice_CAC'!$D:$D)</f>
        <v>565.06941348017358</v>
      </c>
      <c r="T150" s="142">
        <f>Tabla18[[#This Row],[Debe]]-Tabla18[[#This Row],[Haber]]</f>
        <v>598.08000000000004</v>
      </c>
      <c r="U150" s="322"/>
      <c r="V150" s="323"/>
      <c r="W150" s="142">
        <f t="shared" si="4"/>
        <v>598.08000000000004</v>
      </c>
      <c r="X150" s="142" t="b">
        <f>ISNUMBER(MATCH(A150,'3_Control_Ppto'!$A$4:$A$70,0))</f>
        <v>1</v>
      </c>
      <c r="Y150" s="136"/>
    </row>
    <row r="151" spans="1:25" ht="12" customHeight="1" x14ac:dyDescent="0.3">
      <c r="A151" s="140" t="s">
        <v>4317</v>
      </c>
      <c r="B151" s="140" t="s">
        <v>56</v>
      </c>
      <c r="C151" s="549">
        <f>+EOMONTH(Tabla18[[#This Row],[Fecha Asiento]],-1)+1</f>
        <v>45748</v>
      </c>
      <c r="D151" s="136">
        <v>52302</v>
      </c>
      <c r="E151" s="136" t="s">
        <v>4444</v>
      </c>
      <c r="F151" s="141">
        <v>45762</v>
      </c>
      <c r="G151" s="136">
        <v>2292</v>
      </c>
      <c r="H151" s="136" t="s">
        <v>4579</v>
      </c>
      <c r="I151" s="136" t="s">
        <v>4532</v>
      </c>
      <c r="J151" s="136" t="s">
        <v>4455</v>
      </c>
      <c r="K151" s="136">
        <v>217201634197</v>
      </c>
      <c r="L151" s="138">
        <v>46411.85</v>
      </c>
      <c r="M151" s="138">
        <v>0</v>
      </c>
      <c r="N151" s="136" t="s">
        <v>4425</v>
      </c>
      <c r="O151" s="136" t="s">
        <v>4426</v>
      </c>
      <c r="P151" s="136" t="s">
        <v>4427</v>
      </c>
      <c r="Q151" s="136" t="s">
        <v>4428</v>
      </c>
      <c r="R151" s="136">
        <v>0</v>
      </c>
      <c r="S151" s="142">
        <f>(Tabla18[[#This Row],[Debe]]-Tabla18[[#This Row],[Haber]])*
SUMIF('0_Indice_CAC'!$A:$A,Tabla18[[#This Row],[Mes]],'0_Indice_CAC'!$D:$D)</f>
        <v>43850.182012489619</v>
      </c>
      <c r="T151" s="142">
        <f>Tabla18[[#This Row],[Debe]]-Tabla18[[#This Row],[Haber]]</f>
        <v>46411.85</v>
      </c>
      <c r="U151" s="322"/>
      <c r="V151" s="323"/>
      <c r="W151" s="142">
        <f t="shared" si="4"/>
        <v>46411.85</v>
      </c>
      <c r="X151" s="142" t="b">
        <f>ISNUMBER(MATCH(A151,'3_Control_Ppto'!$A$4:$A$70,0))</f>
        <v>1</v>
      </c>
      <c r="Y151" s="136"/>
    </row>
    <row r="152" spans="1:25" ht="12" customHeight="1" x14ac:dyDescent="0.3">
      <c r="A152" s="140" t="s">
        <v>4317</v>
      </c>
      <c r="B152" s="140" t="s">
        <v>56</v>
      </c>
      <c r="C152" s="549">
        <f>+EOMONTH(Tabla18[[#This Row],[Fecha Asiento]],-1)+1</f>
        <v>45748</v>
      </c>
      <c r="D152" s="136">
        <v>52302</v>
      </c>
      <c r="E152" s="136" t="s">
        <v>4444</v>
      </c>
      <c r="F152" s="141">
        <v>45762</v>
      </c>
      <c r="G152" s="136">
        <v>2292</v>
      </c>
      <c r="H152" s="136" t="s">
        <v>4534</v>
      </c>
      <c r="I152" s="136" t="s">
        <v>4532</v>
      </c>
      <c r="J152" s="136" t="s">
        <v>4455</v>
      </c>
      <c r="K152" s="136">
        <v>217201634197</v>
      </c>
      <c r="L152" s="138">
        <v>7980.8</v>
      </c>
      <c r="M152" s="138">
        <v>0</v>
      </c>
      <c r="N152" s="136" t="s">
        <v>4425</v>
      </c>
      <c r="O152" s="136" t="s">
        <v>4426</v>
      </c>
      <c r="P152" s="136" t="s">
        <v>4427</v>
      </c>
      <c r="Q152" s="136" t="s">
        <v>4428</v>
      </c>
      <c r="R152" s="136">
        <v>0</v>
      </c>
      <c r="S152" s="142">
        <f>(Tabla18[[#This Row],[Debe]]-Tabla18[[#This Row],[Haber]])*
SUMIF('0_Indice_CAC'!$A:$A,Tabla18[[#This Row],[Mes]],'0_Indice_CAC'!$D:$D)</f>
        <v>7540.3056031008709</v>
      </c>
      <c r="T152" s="142">
        <f>Tabla18[[#This Row],[Debe]]-Tabla18[[#This Row],[Haber]]</f>
        <v>7980.8</v>
      </c>
      <c r="U152" s="322"/>
      <c r="V152" s="323"/>
      <c r="W152" s="142">
        <f t="shared" si="4"/>
        <v>7980.8</v>
      </c>
      <c r="X152" s="142" t="b">
        <f>ISNUMBER(MATCH(A152,'3_Control_Ppto'!$A$4:$A$70,0))</f>
        <v>1</v>
      </c>
      <c r="Y152" s="136"/>
    </row>
    <row r="153" spans="1:25" ht="12" customHeight="1" x14ac:dyDescent="0.3">
      <c r="A153" s="140" t="s">
        <v>4119</v>
      </c>
      <c r="B153" s="140" t="s">
        <v>56</v>
      </c>
      <c r="C153" s="549">
        <f>+EOMONTH(Tabla18[[#This Row],[Fecha Asiento]],-1)+1</f>
        <v>45748</v>
      </c>
      <c r="D153" s="136">
        <v>53022</v>
      </c>
      <c r="E153" s="136" t="s">
        <v>4429</v>
      </c>
      <c r="F153" s="141">
        <v>45762</v>
      </c>
      <c r="G153" s="136">
        <v>2219</v>
      </c>
      <c r="H153" s="136" t="s">
        <v>4580</v>
      </c>
      <c r="I153" s="136" t="s">
        <v>4459</v>
      </c>
      <c r="J153" s="136" t="s">
        <v>4455</v>
      </c>
      <c r="K153" s="136">
        <v>300022487</v>
      </c>
      <c r="L153" s="138">
        <v>80000</v>
      </c>
      <c r="M153" s="138">
        <v>0</v>
      </c>
      <c r="N153" s="136" t="s">
        <v>4425</v>
      </c>
      <c r="O153" s="136" t="s">
        <v>4426</v>
      </c>
      <c r="P153" s="136" t="s">
        <v>4427</v>
      </c>
      <c r="Q153" s="136" t="s">
        <v>4428</v>
      </c>
      <c r="R153" s="136">
        <v>0</v>
      </c>
      <c r="S153" s="142">
        <f>(Tabla18[[#This Row],[Debe]]-Tabla18[[#This Row],[Haber]])*
SUMIF('0_Indice_CAC'!$A:$A,Tabla18[[#This Row],[Mes]],'0_Indice_CAC'!$D:$D)</f>
        <v>75584.458731965424</v>
      </c>
      <c r="T153" s="142">
        <f>Tabla18[[#This Row],[Debe]]-Tabla18[[#This Row],[Haber]]</f>
        <v>80000</v>
      </c>
      <c r="U153" s="322"/>
      <c r="V153" s="323"/>
      <c r="W153" s="142">
        <f t="shared" si="4"/>
        <v>80000</v>
      </c>
      <c r="X153" s="142" t="b">
        <f>ISNUMBER(MATCH(A153,'3_Control_Ppto'!$A$4:$A$70,0))</f>
        <v>1</v>
      </c>
      <c r="Y153" s="136"/>
    </row>
    <row r="154" spans="1:25" ht="12" customHeight="1" x14ac:dyDescent="0.3">
      <c r="A154" s="140" t="s">
        <v>106</v>
      </c>
      <c r="B154" s="140" t="s">
        <v>4090</v>
      </c>
      <c r="C154" s="549">
        <f>+EOMONTH(Tabla18[[#This Row],[Fecha Asiento]],-1)+1</f>
        <v>45748</v>
      </c>
      <c r="D154" s="136">
        <v>53023</v>
      </c>
      <c r="E154" s="136" t="s">
        <v>4467</v>
      </c>
      <c r="F154" s="141">
        <v>45762</v>
      </c>
      <c r="G154" s="136">
        <v>5802</v>
      </c>
      <c r="H154" s="136" t="s">
        <v>4475</v>
      </c>
      <c r="I154" s="136" t="s">
        <v>4471</v>
      </c>
      <c r="J154" s="136" t="s">
        <v>4455</v>
      </c>
      <c r="K154" s="136">
        <v>1000196191</v>
      </c>
      <c r="L154" s="138">
        <v>180068.4</v>
      </c>
      <c r="M154" s="138">
        <v>0</v>
      </c>
      <c r="N154" s="136" t="s">
        <v>4425</v>
      </c>
      <c r="O154" s="136" t="s">
        <v>4426</v>
      </c>
      <c r="P154" s="136" t="s">
        <v>4427</v>
      </c>
      <c r="Q154" s="136" t="s">
        <v>4428</v>
      </c>
      <c r="R154" s="136">
        <v>0</v>
      </c>
      <c r="S154" s="142">
        <f>(Tabla18[[#This Row],[Debe]]-Tabla18[[#This Row],[Haber]])*
SUMIF('0_Indice_CAC'!$A:$A,Tabla18[[#This Row],[Mes]],'0_Indice_CAC'!$D:$D)</f>
        <v>170129.65685913802</v>
      </c>
      <c r="T154" s="142">
        <f>Tabla18[[#This Row],[Debe]]-Tabla18[[#This Row],[Haber]]</f>
        <v>180068.4</v>
      </c>
      <c r="U154" s="322"/>
      <c r="V154" s="323"/>
      <c r="W154" s="142">
        <f t="shared" si="4"/>
        <v>180068.4</v>
      </c>
      <c r="X154" s="142" t="b">
        <f>ISNUMBER(MATCH(A154,'3_Control_Ppto'!$A$4:$A$70,0))</f>
        <v>1</v>
      </c>
      <c r="Y154" s="136"/>
    </row>
    <row r="155" spans="1:25" ht="12" customHeight="1" x14ac:dyDescent="0.3">
      <c r="A155" s="140" t="s">
        <v>1478</v>
      </c>
      <c r="B155" s="140" t="s">
        <v>4090</v>
      </c>
      <c r="C155" s="549">
        <f>+EOMONTH(Tabla18[[#This Row],[Fecha Asiento]],-1)+1</f>
        <v>45748</v>
      </c>
      <c r="D155" s="136">
        <v>53004</v>
      </c>
      <c r="E155" s="136" t="s">
        <v>4496</v>
      </c>
      <c r="F155" s="141">
        <v>45763</v>
      </c>
      <c r="G155" s="136">
        <v>1195</v>
      </c>
      <c r="H155" s="136" t="s">
        <v>4581</v>
      </c>
      <c r="I155" s="136" t="s">
        <v>4423</v>
      </c>
      <c r="J155" s="136" t="s">
        <v>4424</v>
      </c>
      <c r="K155" s="136">
        <v>6608</v>
      </c>
      <c r="L155" s="138">
        <v>620000</v>
      </c>
      <c r="M155" s="138">
        <v>0</v>
      </c>
      <c r="N155" s="136" t="s">
        <v>4425</v>
      </c>
      <c r="O155" s="136" t="s">
        <v>4426</v>
      </c>
      <c r="P155" s="136" t="s">
        <v>4427</v>
      </c>
      <c r="Q155" s="136" t="s">
        <v>4428</v>
      </c>
      <c r="R155" s="136">
        <v>0</v>
      </c>
      <c r="S155" s="142">
        <f>(Tabla18[[#This Row],[Debe]]-Tabla18[[#This Row],[Haber]])*
SUMIF('0_Indice_CAC'!$A:$A,Tabla18[[#This Row],[Mes]],'0_Indice_CAC'!$D:$D)</f>
        <v>585779.5551727321</v>
      </c>
      <c r="T155" s="142">
        <f>Tabla18[[#This Row],[Debe]]-Tabla18[[#This Row],[Haber]]</f>
        <v>620000</v>
      </c>
      <c r="U155" s="322"/>
      <c r="V155" s="323"/>
      <c r="W155" s="142">
        <f t="shared" si="4"/>
        <v>620000</v>
      </c>
      <c r="X155" s="142" t="b">
        <f>ISNUMBER(MATCH(A155,'3_Control_Ppto'!$A$4:$A$70,0))</f>
        <v>1</v>
      </c>
      <c r="Y155" s="136"/>
    </row>
    <row r="156" spans="1:25" ht="12" customHeight="1" x14ac:dyDescent="0.3">
      <c r="A156" s="140" t="s">
        <v>1478</v>
      </c>
      <c r="B156" s="140" t="s">
        <v>4090</v>
      </c>
      <c r="C156" s="549">
        <f>+EOMONTH(Tabla18[[#This Row],[Fecha Asiento]],-1)+1</f>
        <v>45748</v>
      </c>
      <c r="D156" s="136">
        <v>53004</v>
      </c>
      <c r="E156" s="136" t="s">
        <v>4496</v>
      </c>
      <c r="F156" s="141">
        <v>45763</v>
      </c>
      <c r="G156" s="136">
        <v>1197</v>
      </c>
      <c r="H156" s="136" t="s">
        <v>4582</v>
      </c>
      <c r="I156" s="136" t="s">
        <v>4423</v>
      </c>
      <c r="J156" s="136" t="s">
        <v>4424</v>
      </c>
      <c r="K156" s="136">
        <v>6610</v>
      </c>
      <c r="L156" s="138">
        <v>66100</v>
      </c>
      <c r="M156" s="138">
        <v>0</v>
      </c>
      <c r="N156" s="136" t="s">
        <v>4425</v>
      </c>
      <c r="O156" s="136" t="s">
        <v>4426</v>
      </c>
      <c r="P156" s="136" t="s">
        <v>4427</v>
      </c>
      <c r="Q156" s="136" t="s">
        <v>4428</v>
      </c>
      <c r="R156" s="136">
        <v>0</v>
      </c>
      <c r="S156" s="142">
        <f>(Tabla18[[#This Row],[Debe]]-Tabla18[[#This Row],[Haber]])*
SUMIF('0_Indice_CAC'!$A:$A,Tabla18[[#This Row],[Mes]],'0_Indice_CAC'!$D:$D)</f>
        <v>62451.659027286434</v>
      </c>
      <c r="T156" s="142">
        <f>Tabla18[[#This Row],[Debe]]-Tabla18[[#This Row],[Haber]]</f>
        <v>66100</v>
      </c>
      <c r="U156" s="322"/>
      <c r="V156" s="323"/>
      <c r="W156" s="142">
        <f t="shared" si="4"/>
        <v>66100</v>
      </c>
      <c r="X156" s="142" t="b">
        <f>ISNUMBER(MATCH(A156,'3_Control_Ppto'!$A$4:$A$70,0))</f>
        <v>1</v>
      </c>
      <c r="Y156" s="136"/>
    </row>
    <row r="157" spans="1:25" ht="12" customHeight="1" x14ac:dyDescent="0.3">
      <c r="A157" s="140" t="s">
        <v>1478</v>
      </c>
      <c r="B157" s="140" t="s">
        <v>56</v>
      </c>
      <c r="C157" s="549">
        <f>+EOMONTH(Tabla18[[#This Row],[Fecha Asiento]],-1)+1</f>
        <v>45748</v>
      </c>
      <c r="D157" s="136">
        <v>53005</v>
      </c>
      <c r="E157" s="136" t="s">
        <v>4472</v>
      </c>
      <c r="F157" s="141">
        <v>45763</v>
      </c>
      <c r="G157" s="136">
        <v>1191</v>
      </c>
      <c r="H157" s="136" t="s">
        <v>4583</v>
      </c>
      <c r="I157" s="136" t="s">
        <v>4087</v>
      </c>
      <c r="J157" s="136" t="s">
        <v>4424</v>
      </c>
      <c r="K157" s="136">
        <v>6604</v>
      </c>
      <c r="L157" s="138">
        <v>2126070</v>
      </c>
      <c r="M157" s="138">
        <v>0</v>
      </c>
      <c r="N157" s="136" t="s">
        <v>4425</v>
      </c>
      <c r="O157" s="136" t="s">
        <v>4426</v>
      </c>
      <c r="P157" s="136" t="s">
        <v>4427</v>
      </c>
      <c r="Q157" s="136" t="s">
        <v>4428</v>
      </c>
      <c r="R157" s="136">
        <v>0</v>
      </c>
      <c r="S157" s="142">
        <f>(Tabla18[[#This Row],[Debe]]-Tabla18[[#This Row],[Haber]])*
SUMIF('0_Indice_CAC'!$A:$A,Tabla18[[#This Row],[Mes]],'0_Indice_CAC'!$D:$D)</f>
        <v>2008723.1272033716</v>
      </c>
      <c r="T157" s="142">
        <f>Tabla18[[#This Row],[Debe]]-Tabla18[[#This Row],[Haber]]</f>
        <v>2126070</v>
      </c>
      <c r="U157" s="322" t="s">
        <v>4474</v>
      </c>
      <c r="V157" s="323"/>
      <c r="W157" s="142">
        <f t="shared" si="4"/>
        <v>2126070</v>
      </c>
      <c r="X157" s="142" t="b">
        <f>ISNUMBER(MATCH(A157,'3_Control_Ppto'!$A$4:$A$70,0))</f>
        <v>1</v>
      </c>
      <c r="Y157" s="136"/>
    </row>
    <row r="158" spans="1:25" ht="12" customHeight="1" x14ac:dyDescent="0.3">
      <c r="A158" s="140" t="s">
        <v>1478</v>
      </c>
      <c r="B158" s="140" t="s">
        <v>56</v>
      </c>
      <c r="C158" s="549">
        <f>+EOMONTH(Tabla18[[#This Row],[Fecha Asiento]],-1)+1</f>
        <v>45748</v>
      </c>
      <c r="D158" s="136">
        <v>53005</v>
      </c>
      <c r="E158" s="136" t="s">
        <v>4472</v>
      </c>
      <c r="F158" s="141">
        <v>45763</v>
      </c>
      <c r="G158" s="136">
        <v>1192</v>
      </c>
      <c r="H158" s="136" t="s">
        <v>4584</v>
      </c>
      <c r="I158" s="136" t="s">
        <v>4423</v>
      </c>
      <c r="J158" s="136" t="s">
        <v>4424</v>
      </c>
      <c r="K158" s="136">
        <v>6605</v>
      </c>
      <c r="L158" s="138">
        <v>68700</v>
      </c>
      <c r="M158" s="138">
        <v>0</v>
      </c>
      <c r="N158" s="136" t="s">
        <v>4425</v>
      </c>
      <c r="O158" s="136" t="s">
        <v>4426</v>
      </c>
      <c r="P158" s="136" t="s">
        <v>4427</v>
      </c>
      <c r="Q158" s="136" t="s">
        <v>4428</v>
      </c>
      <c r="R158" s="136">
        <v>0</v>
      </c>
      <c r="S158" s="142">
        <f>(Tabla18[[#This Row],[Debe]]-Tabla18[[#This Row],[Haber]])*
SUMIF('0_Indice_CAC'!$A:$A,Tabla18[[#This Row],[Mes]],'0_Indice_CAC'!$D:$D)</f>
        <v>64908.153936075309</v>
      </c>
      <c r="T158" s="142">
        <f>Tabla18[[#This Row],[Debe]]-Tabla18[[#This Row],[Haber]]</f>
        <v>68700</v>
      </c>
      <c r="U158" s="322" t="s">
        <v>4474</v>
      </c>
      <c r="V158" s="323"/>
      <c r="W158" s="142">
        <f t="shared" si="4"/>
        <v>68700</v>
      </c>
      <c r="X158" s="142" t="b">
        <f>ISNUMBER(MATCH(A158,'3_Control_Ppto'!$A$4:$A$70,0))</f>
        <v>1</v>
      </c>
      <c r="Y158" s="136"/>
    </row>
    <row r="159" spans="1:25" ht="12" customHeight="1" x14ac:dyDescent="0.3">
      <c r="A159" s="140" t="s">
        <v>1478</v>
      </c>
      <c r="B159" s="140" t="s">
        <v>56</v>
      </c>
      <c r="C159" s="549">
        <f>+EOMONTH(Tabla18[[#This Row],[Fecha Asiento]],-1)+1</f>
        <v>45748</v>
      </c>
      <c r="D159" s="136">
        <v>53005</v>
      </c>
      <c r="E159" s="136" t="s">
        <v>4472</v>
      </c>
      <c r="F159" s="141">
        <v>45763</v>
      </c>
      <c r="G159" s="136">
        <v>1193</v>
      </c>
      <c r="H159" s="136" t="s">
        <v>4585</v>
      </c>
      <c r="I159" s="136" t="s">
        <v>4423</v>
      </c>
      <c r="J159" s="136" t="s">
        <v>4424</v>
      </c>
      <c r="K159" s="136">
        <v>6606</v>
      </c>
      <c r="L159" s="138">
        <v>29430</v>
      </c>
      <c r="M159" s="138">
        <v>0</v>
      </c>
      <c r="N159" s="136" t="s">
        <v>4425</v>
      </c>
      <c r="O159" s="136" t="s">
        <v>4426</v>
      </c>
      <c r="P159" s="136" t="s">
        <v>4427</v>
      </c>
      <c r="Q159" s="136" t="s">
        <v>4428</v>
      </c>
      <c r="R159" s="136">
        <v>0</v>
      </c>
      <c r="S159" s="142">
        <f>(Tabla18[[#This Row],[Debe]]-Tabla18[[#This Row],[Haber]])*
SUMIF('0_Indice_CAC'!$A:$A,Tabla18[[#This Row],[Mes]],'0_Indice_CAC'!$D:$D)</f>
        <v>27805.63275602178</v>
      </c>
      <c r="T159" s="142">
        <f>Tabla18[[#This Row],[Debe]]-Tabla18[[#This Row],[Haber]]</f>
        <v>29430</v>
      </c>
      <c r="U159" s="322" t="s">
        <v>4474</v>
      </c>
      <c r="V159" s="323">
        <v>29430</v>
      </c>
      <c r="W159" s="142">
        <v>0</v>
      </c>
      <c r="X159" s="142" t="b">
        <f>ISNUMBER(MATCH(A159,'3_Control_Ppto'!$A$4:$A$70,0))</f>
        <v>1</v>
      </c>
      <c r="Y159" s="136"/>
    </row>
    <row r="160" spans="1:25" ht="12" customHeight="1" x14ac:dyDescent="0.3">
      <c r="A160" s="140" t="s">
        <v>1285</v>
      </c>
      <c r="B160" s="140" t="s">
        <v>4090</v>
      </c>
      <c r="C160" s="549">
        <f>+EOMONTH(Tabla18[[#This Row],[Fecha Asiento]],-1)+1</f>
        <v>45748</v>
      </c>
      <c r="D160" s="136">
        <v>53001</v>
      </c>
      <c r="E160" s="136" t="s">
        <v>4464</v>
      </c>
      <c r="F160" s="141">
        <v>45764</v>
      </c>
      <c r="G160" s="136">
        <v>2225</v>
      </c>
      <c r="H160" s="136" t="s">
        <v>4565</v>
      </c>
      <c r="I160" s="136" t="s">
        <v>4480</v>
      </c>
      <c r="J160" s="136" t="s">
        <v>4455</v>
      </c>
      <c r="K160" s="136">
        <v>1165500001212</v>
      </c>
      <c r="L160" s="138">
        <v>4805.78</v>
      </c>
      <c r="M160" s="138">
        <v>0</v>
      </c>
      <c r="N160" s="136" t="s">
        <v>4425</v>
      </c>
      <c r="O160" s="136" t="s">
        <v>4426</v>
      </c>
      <c r="P160" s="136" t="s">
        <v>4427</v>
      </c>
      <c r="Q160" s="136" t="s">
        <v>4428</v>
      </c>
      <c r="R160" s="136">
        <v>0</v>
      </c>
      <c r="S160" s="142">
        <f>(Tabla18[[#This Row],[Debe]]-Tabla18[[#This Row],[Haber]])*
SUMIF('0_Indice_CAC'!$A:$A,Tabla18[[#This Row],[Mes]],'0_Indice_CAC'!$D:$D)</f>
        <v>4540.5285010613097</v>
      </c>
      <c r="T160" s="142">
        <f>Tabla18[[#This Row],[Debe]]-Tabla18[[#This Row],[Haber]]</f>
        <v>4805.78</v>
      </c>
      <c r="U160" s="322"/>
      <c r="V160" s="323"/>
      <c r="W160" s="142">
        <f t="shared" ref="W160:W223" si="5">IFERROR(T160-IF(V160="",0,V160),0)</f>
        <v>4805.78</v>
      </c>
      <c r="X160" s="142" t="b">
        <f>ISNUMBER(MATCH(A160,'3_Control_Ppto'!$A$4:$A$70,0))</f>
        <v>1</v>
      </c>
      <c r="Y160" s="136"/>
    </row>
    <row r="161" spans="1:25" ht="12" customHeight="1" x14ac:dyDescent="0.3">
      <c r="A161" s="140" t="s">
        <v>4317</v>
      </c>
      <c r="B161" s="140" t="s">
        <v>56</v>
      </c>
      <c r="C161" s="549">
        <f>+EOMONTH(Tabla18[[#This Row],[Fecha Asiento]],-1)+1</f>
        <v>45748</v>
      </c>
      <c r="D161" s="136">
        <v>52005</v>
      </c>
      <c r="E161" s="136" t="s">
        <v>4357</v>
      </c>
      <c r="F161" s="141">
        <v>45765</v>
      </c>
      <c r="G161" s="136">
        <v>2337</v>
      </c>
      <c r="H161" s="136" t="s">
        <v>4586</v>
      </c>
      <c r="I161" s="136" t="s">
        <v>4587</v>
      </c>
      <c r="J161" s="136" t="s">
        <v>4455</v>
      </c>
      <c r="K161" s="136">
        <v>426405225578</v>
      </c>
      <c r="L161" s="138">
        <v>19365</v>
      </c>
      <c r="M161" s="138">
        <v>0</v>
      </c>
      <c r="N161" s="136" t="s">
        <v>4425</v>
      </c>
      <c r="O161" s="136" t="s">
        <v>4426</v>
      </c>
      <c r="P161" s="136" t="s">
        <v>4427</v>
      </c>
      <c r="Q161" s="136" t="s">
        <v>4428</v>
      </c>
      <c r="R161" s="136">
        <v>0</v>
      </c>
      <c r="S161" s="142">
        <f>(Tabla18[[#This Row],[Debe]]-Tabla18[[#This Row],[Haber]])*
SUMIF('0_Indice_CAC'!$A:$A,Tabla18[[#This Row],[Mes]],'0_Indice_CAC'!$D:$D)</f>
        <v>18296.16304180638</v>
      </c>
      <c r="T161" s="142">
        <f>Tabla18[[#This Row],[Debe]]-Tabla18[[#This Row],[Haber]]</f>
        <v>19365</v>
      </c>
      <c r="U161" s="322"/>
      <c r="V161" s="323"/>
      <c r="W161" s="142">
        <f t="shared" si="5"/>
        <v>19365</v>
      </c>
      <c r="X161" s="142" t="b">
        <f>ISNUMBER(MATCH(A161,'3_Control_Ppto'!$A$4:$A$70,0))</f>
        <v>1</v>
      </c>
      <c r="Y161" s="136"/>
    </row>
    <row r="162" spans="1:25" ht="12" customHeight="1" x14ac:dyDescent="0.3">
      <c r="A162" s="140" t="s">
        <v>4317</v>
      </c>
      <c r="B162" s="140" t="s">
        <v>56</v>
      </c>
      <c r="C162" s="549">
        <f>+EOMONTH(Tabla18[[#This Row],[Fecha Asiento]],-1)+1</f>
        <v>45748</v>
      </c>
      <c r="D162" s="136">
        <v>52302</v>
      </c>
      <c r="E162" s="136" t="s">
        <v>4444</v>
      </c>
      <c r="F162" s="141">
        <v>45768</v>
      </c>
      <c r="G162" s="136">
        <v>2396</v>
      </c>
      <c r="H162" s="136" t="s">
        <v>4588</v>
      </c>
      <c r="I162" s="136" t="s">
        <v>4438</v>
      </c>
      <c r="J162" s="136" t="s">
        <v>4439</v>
      </c>
      <c r="K162" s="136">
        <v>1900071680</v>
      </c>
      <c r="L162" s="138">
        <v>3361.97</v>
      </c>
      <c r="M162" s="138">
        <v>0</v>
      </c>
      <c r="N162" s="136" t="s">
        <v>4425</v>
      </c>
      <c r="O162" s="136" t="s">
        <v>4426</v>
      </c>
      <c r="P162" s="136" t="s">
        <v>4427</v>
      </c>
      <c r="Q162" s="136" t="s">
        <v>4428</v>
      </c>
      <c r="R162" s="136">
        <v>0</v>
      </c>
      <c r="S162" s="142">
        <f>(Tabla18[[#This Row],[Debe]]-Tabla18[[#This Row],[Haber]])*
SUMIF('0_Indice_CAC'!$A:$A,Tabla18[[#This Row],[Mes]],'0_Indice_CAC'!$D:$D)</f>
        <v>3176.4085340388224</v>
      </c>
      <c r="T162" s="142">
        <f>Tabla18[[#This Row],[Debe]]-Tabla18[[#This Row],[Haber]]</f>
        <v>3361.97</v>
      </c>
      <c r="U162" s="322"/>
      <c r="V162" s="323"/>
      <c r="W162" s="142">
        <f t="shared" si="5"/>
        <v>3361.97</v>
      </c>
      <c r="X162" s="142" t="b">
        <f>ISNUMBER(MATCH(A162,'3_Control_Ppto'!$A$4:$A$70,0))</f>
        <v>1</v>
      </c>
      <c r="Y162" s="136"/>
    </row>
    <row r="163" spans="1:25" ht="12" customHeight="1" x14ac:dyDescent="0.3">
      <c r="A163" s="140" t="s">
        <v>4317</v>
      </c>
      <c r="B163" s="140" t="s">
        <v>56</v>
      </c>
      <c r="C163" s="549">
        <f>+EOMONTH(Tabla18[[#This Row],[Fecha Asiento]],-1)+1</f>
        <v>45748</v>
      </c>
      <c r="D163" s="136">
        <v>52302</v>
      </c>
      <c r="E163" s="136" t="s">
        <v>4444</v>
      </c>
      <c r="F163" s="141">
        <v>45768</v>
      </c>
      <c r="G163" s="136">
        <v>2396</v>
      </c>
      <c r="H163" s="136" t="s">
        <v>4588</v>
      </c>
      <c r="I163" s="136" t="s">
        <v>4438</v>
      </c>
      <c r="J163" s="136" t="s">
        <v>4439</v>
      </c>
      <c r="K163" s="136">
        <v>1900071680</v>
      </c>
      <c r="L163" s="138">
        <v>820.01</v>
      </c>
      <c r="M163" s="138">
        <v>0</v>
      </c>
      <c r="N163" s="136" t="s">
        <v>4425</v>
      </c>
      <c r="O163" s="136" t="s">
        <v>4426</v>
      </c>
      <c r="P163" s="136" t="s">
        <v>4427</v>
      </c>
      <c r="Q163" s="136" t="s">
        <v>4428</v>
      </c>
      <c r="R163" s="136">
        <v>0</v>
      </c>
      <c r="S163" s="142">
        <f>(Tabla18[[#This Row],[Debe]]-Tabla18[[#This Row],[Haber]])*
SUMIF('0_Indice_CAC'!$A:$A,Tabla18[[#This Row],[Mes]],'0_Indice_CAC'!$D:$D)</f>
        <v>774.75015005998705</v>
      </c>
      <c r="T163" s="142">
        <f>Tabla18[[#This Row],[Debe]]-Tabla18[[#This Row],[Haber]]</f>
        <v>820.01</v>
      </c>
      <c r="U163" s="322"/>
      <c r="V163" s="323"/>
      <c r="W163" s="142">
        <f t="shared" si="5"/>
        <v>820.01</v>
      </c>
      <c r="X163" s="142" t="b">
        <f>ISNUMBER(MATCH(A163,'3_Control_Ppto'!$A$4:$A$70,0))</f>
        <v>1</v>
      </c>
      <c r="Y163" s="136"/>
    </row>
    <row r="164" spans="1:25" ht="12" customHeight="1" x14ac:dyDescent="0.3">
      <c r="A164" s="140" t="s">
        <v>25</v>
      </c>
      <c r="B164" s="140" t="s">
        <v>25</v>
      </c>
      <c r="C164" s="549">
        <f>+EOMONTH(Tabla18[[#This Row],[Fecha Asiento]],-1)+1</f>
        <v>45748</v>
      </c>
      <c r="D164" s="136">
        <v>52405</v>
      </c>
      <c r="E164" s="136" t="s">
        <v>4493</v>
      </c>
      <c r="F164" s="141">
        <v>45768</v>
      </c>
      <c r="G164" s="136">
        <v>2396</v>
      </c>
      <c r="H164" s="136" t="s">
        <v>4589</v>
      </c>
      <c r="I164" s="136" t="s">
        <v>4438</v>
      </c>
      <c r="J164" s="136" t="s">
        <v>4439</v>
      </c>
      <c r="K164" s="136">
        <v>1900071680</v>
      </c>
      <c r="L164" s="138">
        <v>0.01</v>
      </c>
      <c r="M164" s="138">
        <v>0</v>
      </c>
      <c r="N164" s="136" t="s">
        <v>4425</v>
      </c>
      <c r="O164" s="136" t="s">
        <v>4426</v>
      </c>
      <c r="P164" s="136" t="s">
        <v>4427</v>
      </c>
      <c r="Q164" s="136" t="s">
        <v>4428</v>
      </c>
      <c r="R164" s="136">
        <v>0</v>
      </c>
      <c r="S164" s="142">
        <f>(Tabla18[[#This Row],[Debe]]-Tabla18[[#This Row],[Haber]])*
SUMIF('0_Indice_CAC'!$A:$A,Tabla18[[#This Row],[Mes]],'0_Indice_CAC'!$D:$D)</f>
        <v>9.4480573414956782E-3</v>
      </c>
      <c r="T164" s="142">
        <f>Tabla18[[#This Row],[Debe]]-Tabla18[[#This Row],[Haber]]</f>
        <v>0.01</v>
      </c>
      <c r="U164" s="322"/>
      <c r="V164" s="323"/>
      <c r="W164" s="142">
        <f t="shared" si="5"/>
        <v>0.01</v>
      </c>
      <c r="X164" s="142" t="b">
        <f>ISNUMBER(MATCH(A164,'3_Control_Ppto'!$A$4:$A$70,0))</f>
        <v>0</v>
      </c>
      <c r="Y164" s="136"/>
    </row>
    <row r="165" spans="1:25" ht="12" customHeight="1" x14ac:dyDescent="0.3">
      <c r="A165" s="140" t="s">
        <v>4119</v>
      </c>
      <c r="B165" s="140" t="s">
        <v>25</v>
      </c>
      <c r="C165" s="549">
        <f>+EOMONTH(Tabla18[[#This Row],[Fecha Asiento]],-1)+1</f>
        <v>45748</v>
      </c>
      <c r="D165" s="136">
        <v>53022</v>
      </c>
      <c r="E165" s="136" t="s">
        <v>4429</v>
      </c>
      <c r="F165" s="141">
        <v>45768</v>
      </c>
      <c r="G165" s="136">
        <v>2226</v>
      </c>
      <c r="H165" s="136" t="s">
        <v>4590</v>
      </c>
      <c r="I165" s="136" t="s">
        <v>4591</v>
      </c>
      <c r="J165" s="136" t="s">
        <v>4455</v>
      </c>
      <c r="K165" s="136">
        <v>200005503</v>
      </c>
      <c r="L165" s="138">
        <v>80495.87</v>
      </c>
      <c r="M165" s="138">
        <v>0</v>
      </c>
      <c r="N165" s="136" t="s">
        <v>4425</v>
      </c>
      <c r="O165" s="136" t="s">
        <v>4426</v>
      </c>
      <c r="P165" s="136" t="s">
        <v>4427</v>
      </c>
      <c r="Q165" s="136" t="s">
        <v>4428</v>
      </c>
      <c r="R165" s="136">
        <v>0</v>
      </c>
      <c r="S165" s="142">
        <f>(Tabla18[[#This Row],[Debe]]-Tabla18[[#This Row],[Haber]])*
SUMIF('0_Indice_CAC'!$A:$A,Tabla18[[#This Row],[Mes]],'0_Indice_CAC'!$D:$D)</f>
        <v>76052.959551358173</v>
      </c>
      <c r="T165" s="142">
        <f>Tabla18[[#This Row],[Debe]]-Tabla18[[#This Row],[Haber]]</f>
        <v>80495.87</v>
      </c>
      <c r="U165" s="322"/>
      <c r="V165" s="323"/>
      <c r="W165" s="142">
        <f t="shared" si="5"/>
        <v>80495.87</v>
      </c>
      <c r="X165" s="142" t="b">
        <f>ISNUMBER(MATCH(A165,'3_Control_Ppto'!$A$4:$A$70,0))</f>
        <v>1</v>
      </c>
      <c r="Y165" s="136"/>
    </row>
    <row r="166" spans="1:25" ht="12" customHeight="1" x14ac:dyDescent="0.3">
      <c r="A166" s="140" t="s">
        <v>4317</v>
      </c>
      <c r="B166" s="140" t="s">
        <v>56</v>
      </c>
      <c r="C166" s="549">
        <f>+EOMONTH(Tabla18[[#This Row],[Fecha Asiento]],-1)+1</f>
        <v>45748</v>
      </c>
      <c r="D166" s="136">
        <v>52102</v>
      </c>
      <c r="E166" s="136" t="s">
        <v>4535</v>
      </c>
      <c r="F166" s="141">
        <v>45769</v>
      </c>
      <c r="G166" s="136">
        <v>2397</v>
      </c>
      <c r="H166" s="136" t="s">
        <v>4536</v>
      </c>
      <c r="I166" s="136" t="s">
        <v>4480</v>
      </c>
      <c r="J166" s="136" t="s">
        <v>4439</v>
      </c>
      <c r="K166" s="136">
        <v>1165500001217</v>
      </c>
      <c r="L166" s="138">
        <v>3702.46</v>
      </c>
      <c r="M166" s="138">
        <v>0</v>
      </c>
      <c r="N166" s="136" t="s">
        <v>4425</v>
      </c>
      <c r="O166" s="136" t="s">
        <v>4426</v>
      </c>
      <c r="P166" s="136" t="s">
        <v>4427</v>
      </c>
      <c r="Q166" s="136" t="s">
        <v>4428</v>
      </c>
      <c r="R166" s="136">
        <v>0</v>
      </c>
      <c r="S166" s="142">
        <f>(Tabla18[[#This Row],[Debe]]-Tabla18[[#This Row],[Haber]])*
SUMIF('0_Indice_CAC'!$A:$A,Tabla18[[#This Row],[Mes]],'0_Indice_CAC'!$D:$D)</f>
        <v>3498.105438459409</v>
      </c>
      <c r="T166" s="142">
        <f>Tabla18[[#This Row],[Debe]]-Tabla18[[#This Row],[Haber]]</f>
        <v>3702.46</v>
      </c>
      <c r="U166" s="322"/>
      <c r="V166" s="323"/>
      <c r="W166" s="142">
        <f t="shared" si="5"/>
        <v>3702.46</v>
      </c>
      <c r="X166" s="142" t="b">
        <f>ISNUMBER(MATCH(A166,'3_Control_Ppto'!$A$4:$A$70,0))</f>
        <v>1</v>
      </c>
      <c r="Y166" s="136"/>
    </row>
    <row r="167" spans="1:25" ht="12" customHeight="1" x14ac:dyDescent="0.3">
      <c r="A167" s="140" t="s">
        <v>106</v>
      </c>
      <c r="B167" s="140" t="s">
        <v>25</v>
      </c>
      <c r="C167" s="549">
        <f>+EOMONTH(Tabla18[[#This Row],[Fecha Asiento]],-1)+1</f>
        <v>45748</v>
      </c>
      <c r="D167" s="136">
        <v>53009</v>
      </c>
      <c r="E167" s="136" t="s">
        <v>4446</v>
      </c>
      <c r="F167" s="141">
        <v>45769</v>
      </c>
      <c r="G167" s="136">
        <v>1213</v>
      </c>
      <c r="H167" s="136" t="s">
        <v>4592</v>
      </c>
      <c r="I167" s="136" t="s">
        <v>4423</v>
      </c>
      <c r="J167" s="136" t="s">
        <v>4424</v>
      </c>
      <c r="K167" s="136">
        <v>6626</v>
      </c>
      <c r="L167" s="138">
        <v>1294000</v>
      </c>
      <c r="M167" s="138">
        <v>0</v>
      </c>
      <c r="N167" s="136" t="s">
        <v>4425</v>
      </c>
      <c r="O167" s="136" t="s">
        <v>4426</v>
      </c>
      <c r="P167" s="136" t="s">
        <v>4427</v>
      </c>
      <c r="Q167" s="136" t="s">
        <v>4428</v>
      </c>
      <c r="R167" s="136">
        <v>0</v>
      </c>
      <c r="S167" s="142">
        <f>(Tabla18[[#This Row],[Debe]]-Tabla18[[#This Row],[Haber]])*
SUMIF('0_Indice_CAC'!$A:$A,Tabla18[[#This Row],[Mes]],'0_Indice_CAC'!$D:$D)</f>
        <v>1222578.6199895407</v>
      </c>
      <c r="T167" s="142">
        <f>Tabla18[[#This Row],[Debe]]-Tabla18[[#This Row],[Haber]]</f>
        <v>1294000</v>
      </c>
      <c r="U167" s="322"/>
      <c r="V167" s="323"/>
      <c r="W167" s="142">
        <f t="shared" si="5"/>
        <v>1294000</v>
      </c>
      <c r="X167" s="142" t="b">
        <f>ISNUMBER(MATCH(A167,'3_Control_Ppto'!$A$4:$A$70,0))</f>
        <v>1</v>
      </c>
      <c r="Y167" s="136"/>
    </row>
    <row r="168" spans="1:25" ht="12" customHeight="1" x14ac:dyDescent="0.3">
      <c r="A168" s="140" t="s">
        <v>106</v>
      </c>
      <c r="B168" s="140" t="s">
        <v>25</v>
      </c>
      <c r="C168" s="549">
        <f>+EOMONTH(Tabla18[[#This Row],[Fecha Asiento]],-1)+1</f>
        <v>45748</v>
      </c>
      <c r="D168" s="136">
        <v>53009</v>
      </c>
      <c r="E168" s="136" t="s">
        <v>4446</v>
      </c>
      <c r="F168" s="141">
        <v>45769</v>
      </c>
      <c r="G168" s="136">
        <v>1214</v>
      </c>
      <c r="H168" s="136" t="s">
        <v>4593</v>
      </c>
      <c r="I168" s="136" t="s">
        <v>4423</v>
      </c>
      <c r="J168" s="136" t="s">
        <v>4424</v>
      </c>
      <c r="K168" s="136">
        <v>6627</v>
      </c>
      <c r="L168" s="138">
        <v>200000</v>
      </c>
      <c r="M168" s="138">
        <v>0</v>
      </c>
      <c r="N168" s="136" t="s">
        <v>4425</v>
      </c>
      <c r="O168" s="136" t="s">
        <v>4426</v>
      </c>
      <c r="P168" s="136" t="s">
        <v>4427</v>
      </c>
      <c r="Q168" s="136" t="s">
        <v>4428</v>
      </c>
      <c r="R168" s="136">
        <v>0</v>
      </c>
      <c r="S168" s="142">
        <f>(Tabla18[[#This Row],[Debe]]-Tabla18[[#This Row],[Haber]])*
SUMIF('0_Indice_CAC'!$A:$A,Tabla18[[#This Row],[Mes]],'0_Indice_CAC'!$D:$D)</f>
        <v>188961.14682991357</v>
      </c>
      <c r="T168" s="142">
        <f>Tabla18[[#This Row],[Debe]]-Tabla18[[#This Row],[Haber]]</f>
        <v>200000</v>
      </c>
      <c r="U168" s="322"/>
      <c r="V168" s="323"/>
      <c r="W168" s="142">
        <f t="shared" si="5"/>
        <v>200000</v>
      </c>
      <c r="X168" s="142" t="b">
        <f>ISNUMBER(MATCH(A168,'3_Control_Ppto'!$A$4:$A$70,0))</f>
        <v>1</v>
      </c>
      <c r="Y168" s="136"/>
    </row>
    <row r="169" spans="1:25" ht="12" customHeight="1" x14ac:dyDescent="0.3">
      <c r="A169" s="140" t="s">
        <v>4317</v>
      </c>
      <c r="B169" s="140" t="s">
        <v>56</v>
      </c>
      <c r="C169" s="549">
        <f>+EOMONTH(Tabla18[[#This Row],[Fecha Asiento]],-1)+1</f>
        <v>45748</v>
      </c>
      <c r="D169" s="136">
        <v>52102</v>
      </c>
      <c r="E169" s="136" t="s">
        <v>4535</v>
      </c>
      <c r="F169" s="141">
        <v>45771</v>
      </c>
      <c r="G169" s="136">
        <v>2398</v>
      </c>
      <c r="H169" s="136" t="s">
        <v>4536</v>
      </c>
      <c r="I169" s="136" t="s">
        <v>4480</v>
      </c>
      <c r="J169" s="136" t="s">
        <v>4439</v>
      </c>
      <c r="K169" s="136">
        <v>1165500001227</v>
      </c>
      <c r="L169" s="138">
        <v>5454.55</v>
      </c>
      <c r="M169" s="138">
        <v>0</v>
      </c>
      <c r="N169" s="136" t="s">
        <v>4425</v>
      </c>
      <c r="O169" s="136" t="s">
        <v>4426</v>
      </c>
      <c r="P169" s="136" t="s">
        <v>4427</v>
      </c>
      <c r="Q169" s="136" t="s">
        <v>4428</v>
      </c>
      <c r="R169" s="136">
        <v>0</v>
      </c>
      <c r="S169" s="142">
        <f>(Tabla18[[#This Row],[Debe]]-Tabla18[[#This Row],[Haber]])*
SUMIF('0_Indice_CAC'!$A:$A,Tabla18[[#This Row],[Mes]],'0_Indice_CAC'!$D:$D)</f>
        <v>5153.4901172055252</v>
      </c>
      <c r="T169" s="142">
        <f>Tabla18[[#This Row],[Debe]]-Tabla18[[#This Row],[Haber]]</f>
        <v>5454.55</v>
      </c>
      <c r="U169" s="322"/>
      <c r="V169" s="323"/>
      <c r="W169" s="142">
        <f t="shared" si="5"/>
        <v>5454.55</v>
      </c>
      <c r="X169" s="142" t="b">
        <f>ISNUMBER(MATCH(A169,'3_Control_Ppto'!$A$4:$A$70,0))</f>
        <v>1</v>
      </c>
      <c r="Y169" s="136"/>
    </row>
    <row r="170" spans="1:25" ht="12" customHeight="1" x14ac:dyDescent="0.3">
      <c r="A170" s="140" t="s">
        <v>4125</v>
      </c>
      <c r="B170" s="140" t="s">
        <v>56</v>
      </c>
      <c r="C170" s="549">
        <f>+EOMONTH(Tabla18[[#This Row],[Fecha Asiento]],-1)+1</f>
        <v>45748</v>
      </c>
      <c r="D170" s="136">
        <v>53003</v>
      </c>
      <c r="E170" s="136" t="s">
        <v>4523</v>
      </c>
      <c r="F170" s="141">
        <v>45771</v>
      </c>
      <c r="G170" s="136">
        <v>1322</v>
      </c>
      <c r="H170" s="136" t="s">
        <v>4594</v>
      </c>
      <c r="I170" s="136" t="s">
        <v>4423</v>
      </c>
      <c r="J170" s="136" t="s">
        <v>4424</v>
      </c>
      <c r="K170" s="136">
        <v>6733</v>
      </c>
      <c r="L170" s="138">
        <v>1030000</v>
      </c>
      <c r="M170" s="138">
        <v>0</v>
      </c>
      <c r="N170" s="136" t="s">
        <v>4425</v>
      </c>
      <c r="O170" s="136" t="s">
        <v>4426</v>
      </c>
      <c r="P170" s="136" t="s">
        <v>4427</v>
      </c>
      <c r="Q170" s="136" t="s">
        <v>4428</v>
      </c>
      <c r="R170" s="136">
        <v>0</v>
      </c>
      <c r="S170" s="142">
        <f>(Tabla18[[#This Row],[Debe]]-Tabla18[[#This Row],[Haber]])*
SUMIF('0_Indice_CAC'!$A:$A,Tabla18[[#This Row],[Mes]],'0_Indice_CAC'!$D:$D)</f>
        <v>973149.90617405483</v>
      </c>
      <c r="T170" s="142">
        <f>Tabla18[[#This Row],[Debe]]-Tabla18[[#This Row],[Haber]]</f>
        <v>1030000</v>
      </c>
      <c r="U170" s="322" t="s">
        <v>4525</v>
      </c>
      <c r="V170" s="323"/>
      <c r="W170" s="142">
        <f t="shared" si="5"/>
        <v>1030000</v>
      </c>
      <c r="X170" s="142" t="b">
        <f>ISNUMBER(MATCH(A170,'3_Control_Ppto'!$A$4:$A$70,0))</f>
        <v>1</v>
      </c>
      <c r="Y170" s="136"/>
    </row>
    <row r="171" spans="1:25" ht="12" customHeight="1" x14ac:dyDescent="0.3">
      <c r="A171" s="140" t="s">
        <v>4317</v>
      </c>
      <c r="B171" s="140" t="s">
        <v>56</v>
      </c>
      <c r="C171" s="549">
        <f>+EOMONTH(Tabla18[[#This Row],[Fecha Asiento]],-1)+1</f>
        <v>45748</v>
      </c>
      <c r="D171" s="136">
        <v>52103</v>
      </c>
      <c r="E171" s="136" t="s">
        <v>4477</v>
      </c>
      <c r="F171" s="141">
        <v>45772</v>
      </c>
      <c r="G171" s="136">
        <v>2399</v>
      </c>
      <c r="H171" s="136" t="s">
        <v>4569</v>
      </c>
      <c r="I171" s="136" t="s">
        <v>4570</v>
      </c>
      <c r="J171" s="136" t="s">
        <v>4455</v>
      </c>
      <c r="K171" s="136">
        <v>418100128029</v>
      </c>
      <c r="L171" s="138">
        <v>7514.82</v>
      </c>
      <c r="M171" s="138">
        <v>0</v>
      </c>
      <c r="N171" s="136" t="s">
        <v>4425</v>
      </c>
      <c r="O171" s="136" t="s">
        <v>4426</v>
      </c>
      <c r="P171" s="136" t="s">
        <v>4427</v>
      </c>
      <c r="Q171" s="136" t="s">
        <v>4428</v>
      </c>
      <c r="R171" s="136">
        <v>0</v>
      </c>
      <c r="S171" s="142">
        <f>(Tabla18[[#This Row],[Debe]]-Tabla18[[#This Row],[Haber]])*
SUMIF('0_Indice_CAC'!$A:$A,Tabla18[[#This Row],[Mes]],'0_Indice_CAC'!$D:$D)</f>
        <v>7100.0450271018553</v>
      </c>
      <c r="T171" s="142">
        <f>Tabla18[[#This Row],[Debe]]-Tabla18[[#This Row],[Haber]]</f>
        <v>7514.82</v>
      </c>
      <c r="U171" s="322"/>
      <c r="V171" s="323"/>
      <c r="W171" s="142">
        <f t="shared" si="5"/>
        <v>7514.82</v>
      </c>
      <c r="X171" s="142" t="b">
        <f>ISNUMBER(MATCH(A171,'3_Control_Ppto'!$A$4:$A$70,0))</f>
        <v>1</v>
      </c>
      <c r="Y171" s="136"/>
    </row>
    <row r="172" spans="1:25" ht="12" customHeight="1" x14ac:dyDescent="0.3">
      <c r="A172" s="140" t="s">
        <v>4317</v>
      </c>
      <c r="B172" s="140" t="s">
        <v>56</v>
      </c>
      <c r="C172" s="549">
        <f>+EOMONTH(Tabla18[[#This Row],[Fecha Asiento]],-1)+1</f>
        <v>45748</v>
      </c>
      <c r="D172" s="136">
        <v>52103</v>
      </c>
      <c r="E172" s="136" t="s">
        <v>4477</v>
      </c>
      <c r="F172" s="141">
        <v>45772</v>
      </c>
      <c r="G172" s="136">
        <v>2399</v>
      </c>
      <c r="H172" s="136" t="s">
        <v>4569</v>
      </c>
      <c r="I172" s="136" t="s">
        <v>4570</v>
      </c>
      <c r="J172" s="136" t="s">
        <v>4455</v>
      </c>
      <c r="K172" s="136">
        <v>418100128029</v>
      </c>
      <c r="L172" s="138">
        <v>49173.67</v>
      </c>
      <c r="M172" s="138">
        <v>0</v>
      </c>
      <c r="N172" s="136" t="s">
        <v>4425</v>
      </c>
      <c r="O172" s="136" t="s">
        <v>4426</v>
      </c>
      <c r="P172" s="136" t="s">
        <v>4427</v>
      </c>
      <c r="Q172" s="136" t="s">
        <v>4428</v>
      </c>
      <c r="R172" s="136">
        <v>0</v>
      </c>
      <c r="S172" s="142">
        <f>(Tabla18[[#This Row],[Debe]]-Tabla18[[#This Row],[Haber]])*
SUMIF('0_Indice_CAC'!$A:$A,Tabla18[[#This Row],[Mes]],'0_Indice_CAC'!$D:$D)</f>
        <v>46459.565385178576</v>
      </c>
      <c r="T172" s="142">
        <f>Tabla18[[#This Row],[Debe]]-Tabla18[[#This Row],[Haber]]</f>
        <v>49173.67</v>
      </c>
      <c r="U172" s="322"/>
      <c r="V172" s="323"/>
      <c r="W172" s="142">
        <f t="shared" si="5"/>
        <v>49173.67</v>
      </c>
      <c r="X172" s="142" t="b">
        <f>ISNUMBER(MATCH(A172,'3_Control_Ppto'!$A$4:$A$70,0))</f>
        <v>1</v>
      </c>
      <c r="Y172" s="136"/>
    </row>
    <row r="173" spans="1:25" ht="12" customHeight="1" x14ac:dyDescent="0.3">
      <c r="A173" s="140" t="s">
        <v>1478</v>
      </c>
      <c r="B173" s="140" t="s">
        <v>4090</v>
      </c>
      <c r="C173" s="549">
        <f>+EOMONTH(Tabla18[[#This Row],[Fecha Asiento]],-1)+1</f>
        <v>45748</v>
      </c>
      <c r="D173" s="136">
        <v>53004</v>
      </c>
      <c r="E173" s="136" t="s">
        <v>4496</v>
      </c>
      <c r="F173" s="141">
        <v>45772</v>
      </c>
      <c r="G173" s="136">
        <v>2340</v>
      </c>
      <c r="H173" s="136" t="s">
        <v>4595</v>
      </c>
      <c r="I173" s="136" t="s">
        <v>4596</v>
      </c>
      <c r="J173" s="136" t="s">
        <v>4597</v>
      </c>
      <c r="K173" s="136">
        <v>22400005958</v>
      </c>
      <c r="L173" s="138">
        <v>248400</v>
      </c>
      <c r="M173" s="138">
        <v>0</v>
      </c>
      <c r="N173" s="136" t="s">
        <v>4425</v>
      </c>
      <c r="O173" s="136" t="s">
        <v>4426</v>
      </c>
      <c r="P173" s="136" t="s">
        <v>4427</v>
      </c>
      <c r="Q173" s="136" t="s">
        <v>4428</v>
      </c>
      <c r="R173" s="136">
        <v>0</v>
      </c>
      <c r="S173" s="142">
        <f>(Tabla18[[#This Row],[Debe]]-Tabla18[[#This Row],[Haber]])*
SUMIF('0_Indice_CAC'!$A:$A,Tabla18[[#This Row],[Mes]],'0_Indice_CAC'!$D:$D)</f>
        <v>234689.74436275265</v>
      </c>
      <c r="T173" s="142">
        <f>Tabla18[[#This Row],[Debe]]-Tabla18[[#This Row],[Haber]]</f>
        <v>248400</v>
      </c>
      <c r="U173" s="322"/>
      <c r="V173" s="323"/>
      <c r="W173" s="142">
        <f t="shared" si="5"/>
        <v>248400</v>
      </c>
      <c r="X173" s="142" t="b">
        <f>ISNUMBER(MATCH(A173,'3_Control_Ppto'!$A$4:$A$70,0))</f>
        <v>1</v>
      </c>
      <c r="Y173" s="136"/>
    </row>
    <row r="174" spans="1:25" ht="12" customHeight="1" x14ac:dyDescent="0.3">
      <c r="A174" s="140" t="s">
        <v>1478</v>
      </c>
      <c r="B174" s="140" t="s">
        <v>4090</v>
      </c>
      <c r="C174" s="549">
        <f>+EOMONTH(Tabla18[[#This Row],[Fecha Asiento]],-1)+1</f>
        <v>45748</v>
      </c>
      <c r="D174" s="136">
        <v>53004</v>
      </c>
      <c r="E174" s="136" t="s">
        <v>4496</v>
      </c>
      <c r="F174" s="141">
        <v>45776</v>
      </c>
      <c r="G174" s="136">
        <v>3081</v>
      </c>
      <c r="H174" s="136" t="s">
        <v>4598</v>
      </c>
      <c r="I174" s="136" t="s">
        <v>4596</v>
      </c>
      <c r="J174" s="136" t="s">
        <v>4597</v>
      </c>
      <c r="K174" s="136">
        <v>22400005974</v>
      </c>
      <c r="L174" s="138">
        <v>248400</v>
      </c>
      <c r="M174" s="138">
        <v>0</v>
      </c>
      <c r="N174" s="136" t="s">
        <v>4425</v>
      </c>
      <c r="O174" s="136" t="s">
        <v>4426</v>
      </c>
      <c r="P174" s="136" t="s">
        <v>4427</v>
      </c>
      <c r="Q174" s="136" t="s">
        <v>4428</v>
      </c>
      <c r="R174" s="136">
        <v>0</v>
      </c>
      <c r="S174" s="142">
        <f>(Tabla18[[#This Row],[Debe]]-Tabla18[[#This Row],[Haber]])*
SUMIF('0_Indice_CAC'!$A:$A,Tabla18[[#This Row],[Mes]],'0_Indice_CAC'!$D:$D)</f>
        <v>234689.74436275265</v>
      </c>
      <c r="T174" s="142">
        <f>Tabla18[[#This Row],[Debe]]-Tabla18[[#This Row],[Haber]]</f>
        <v>248400</v>
      </c>
      <c r="U174" s="322"/>
      <c r="V174" s="323"/>
      <c r="W174" s="142">
        <f t="shared" si="5"/>
        <v>248400</v>
      </c>
      <c r="X174" s="142" t="b">
        <f>ISNUMBER(MATCH(A174,'3_Control_Ppto'!$A$4:$A$70,0))</f>
        <v>1</v>
      </c>
      <c r="Y174" s="136"/>
    </row>
    <row r="175" spans="1:25" ht="12" customHeight="1" x14ac:dyDescent="0.3">
      <c r="A175" s="140" t="s">
        <v>1478</v>
      </c>
      <c r="B175" s="140" t="s">
        <v>4090</v>
      </c>
      <c r="C175" s="549">
        <f>+EOMONTH(Tabla18[[#This Row],[Fecha Asiento]],-1)+1</f>
        <v>45748</v>
      </c>
      <c r="D175" s="136">
        <v>53004</v>
      </c>
      <c r="E175" s="136" t="s">
        <v>4496</v>
      </c>
      <c r="F175" s="141">
        <v>45776</v>
      </c>
      <c r="G175" s="136">
        <v>3713</v>
      </c>
      <c r="H175" s="136" t="s">
        <v>4598</v>
      </c>
      <c r="I175" s="136" t="s">
        <v>4596</v>
      </c>
      <c r="J175" s="136" t="s">
        <v>4597</v>
      </c>
      <c r="K175" s="136">
        <v>22400005973</v>
      </c>
      <c r="L175" s="138">
        <v>248400</v>
      </c>
      <c r="M175" s="138">
        <v>0</v>
      </c>
      <c r="N175" s="136" t="s">
        <v>4425</v>
      </c>
      <c r="O175" s="136" t="s">
        <v>4426</v>
      </c>
      <c r="P175" s="136" t="s">
        <v>4427</v>
      </c>
      <c r="Q175" s="136" t="s">
        <v>4428</v>
      </c>
      <c r="R175" s="136">
        <v>0</v>
      </c>
      <c r="S175" s="142">
        <f>(Tabla18[[#This Row],[Debe]]-Tabla18[[#This Row],[Haber]])*
SUMIF('0_Indice_CAC'!$A:$A,Tabla18[[#This Row],[Mes]],'0_Indice_CAC'!$D:$D)</f>
        <v>234689.74436275265</v>
      </c>
      <c r="T175" s="142">
        <f>Tabla18[[#This Row],[Debe]]-Tabla18[[#This Row],[Haber]]</f>
        <v>248400</v>
      </c>
      <c r="U175" s="322"/>
      <c r="V175" s="323"/>
      <c r="W175" s="142">
        <f t="shared" si="5"/>
        <v>248400</v>
      </c>
      <c r="X175" s="142" t="b">
        <f>ISNUMBER(MATCH(A175,'3_Control_Ppto'!$A$4:$A$70,0))</f>
        <v>1</v>
      </c>
      <c r="Y175" s="136"/>
    </row>
    <row r="176" spans="1:25" ht="12" customHeight="1" x14ac:dyDescent="0.3">
      <c r="A176" s="140" t="s">
        <v>1478</v>
      </c>
      <c r="B176" s="140" t="s">
        <v>4090</v>
      </c>
      <c r="C176" s="549">
        <f>+EOMONTH(Tabla18[[#This Row],[Fecha Asiento]],-1)+1</f>
        <v>45748</v>
      </c>
      <c r="D176" s="136">
        <v>53004</v>
      </c>
      <c r="E176" s="136" t="s">
        <v>4496</v>
      </c>
      <c r="F176" s="141">
        <v>45777</v>
      </c>
      <c r="G176" s="136">
        <v>2379</v>
      </c>
      <c r="H176" s="136" t="s">
        <v>4512</v>
      </c>
      <c r="I176" s="136" t="s">
        <v>4510</v>
      </c>
      <c r="J176" s="136" t="s">
        <v>4455</v>
      </c>
      <c r="K176" s="136">
        <v>200012129</v>
      </c>
      <c r="L176" s="138">
        <v>216279.1</v>
      </c>
      <c r="M176" s="138">
        <v>0</v>
      </c>
      <c r="N176" s="136" t="s">
        <v>4425</v>
      </c>
      <c r="O176" s="136" t="s">
        <v>4426</v>
      </c>
      <c r="P176" s="136" t="s">
        <v>4427</v>
      </c>
      <c r="Q176" s="136" t="s">
        <v>4428</v>
      </c>
      <c r="R176" s="136">
        <v>0</v>
      </c>
      <c r="S176" s="142">
        <f>(Tabla18[[#This Row],[Debe]]-Tabla18[[#This Row],[Haber]])*
SUMIF('0_Indice_CAC'!$A:$A,Tabla18[[#This Row],[Mes]],'0_Indice_CAC'!$D:$D)</f>
        <v>204341.73385670781</v>
      </c>
      <c r="T176" s="142">
        <f>Tabla18[[#This Row],[Debe]]-Tabla18[[#This Row],[Haber]]</f>
        <v>216279.1</v>
      </c>
      <c r="U176" s="322"/>
      <c r="V176" s="323"/>
      <c r="W176" s="142">
        <f t="shared" si="5"/>
        <v>216279.1</v>
      </c>
      <c r="X176" s="142" t="b">
        <f>ISNUMBER(MATCH(A176,'3_Control_Ppto'!$A$4:$A$70,0))</f>
        <v>1</v>
      </c>
      <c r="Y176" s="136"/>
    </row>
    <row r="177" spans="1:25" ht="12" customHeight="1" x14ac:dyDescent="0.3">
      <c r="A177" s="140" t="s">
        <v>25</v>
      </c>
      <c r="B177" s="140" t="s">
        <v>25</v>
      </c>
      <c r="C177" s="549">
        <f>+EOMONTH(Tabla18[[#This Row],[Fecha Asiento]],-1)+1</f>
        <v>45778</v>
      </c>
      <c r="D177" s="136">
        <v>4201</v>
      </c>
      <c r="E177" s="136" t="s">
        <v>4566</v>
      </c>
      <c r="F177" s="141">
        <v>45779</v>
      </c>
      <c r="G177" s="136">
        <v>1597</v>
      </c>
      <c r="H177" s="136" t="s">
        <v>4599</v>
      </c>
      <c r="I177" s="136" t="s">
        <v>4423</v>
      </c>
      <c r="J177" s="136" t="s">
        <v>4568</v>
      </c>
      <c r="K177" s="136">
        <v>193</v>
      </c>
      <c r="L177" s="138">
        <v>0</v>
      </c>
      <c r="M177" s="138">
        <v>23800000</v>
      </c>
      <c r="N177" s="136" t="s">
        <v>4425</v>
      </c>
      <c r="O177" s="136" t="s">
        <v>4426</v>
      </c>
      <c r="P177" s="136" t="s">
        <v>4427</v>
      </c>
      <c r="Q177" s="136" t="s">
        <v>4428</v>
      </c>
      <c r="R177" s="136">
        <v>0</v>
      </c>
      <c r="S177" s="142">
        <f>(Tabla18[[#This Row],[Debe]]-Tabla18[[#This Row],[Haber]])*
SUMIF('0_Indice_CAC'!$A:$A,Tabla18[[#This Row],[Mes]],'0_Indice_CAC'!$D:$D)</f>
        <v>-22121886.292240925</v>
      </c>
      <c r="T177" s="142">
        <f>Tabla18[[#This Row],[Debe]]-Tabla18[[#This Row],[Haber]]</f>
        <v>-23800000</v>
      </c>
      <c r="U177" s="322"/>
      <c r="V177" s="323"/>
      <c r="W177" s="142">
        <f t="shared" si="5"/>
        <v>-23800000</v>
      </c>
      <c r="X177" s="142" t="b">
        <f>ISNUMBER(MATCH(A177,'3_Control_Ppto'!$A$4:$A$70,0))</f>
        <v>0</v>
      </c>
      <c r="Y177" s="136"/>
    </row>
    <row r="178" spans="1:25" ht="12" customHeight="1" x14ac:dyDescent="0.3">
      <c r="A178" s="140" t="s">
        <v>4317</v>
      </c>
      <c r="B178" s="140" t="s">
        <v>56</v>
      </c>
      <c r="C178" s="549">
        <f>+EOMONTH(Tabla18[[#This Row],[Fecha Asiento]],-1)+1</f>
        <v>45778</v>
      </c>
      <c r="D178" s="136">
        <v>52103</v>
      </c>
      <c r="E178" s="136" t="s">
        <v>4477</v>
      </c>
      <c r="F178" s="141">
        <v>45779</v>
      </c>
      <c r="G178" s="136">
        <v>2832</v>
      </c>
      <c r="H178" s="136" t="s">
        <v>4569</v>
      </c>
      <c r="I178" s="136" t="s">
        <v>4570</v>
      </c>
      <c r="J178" s="136" t="s">
        <v>4455</v>
      </c>
      <c r="K178" s="136">
        <v>1165500001249</v>
      </c>
      <c r="L178" s="138">
        <v>7095.04</v>
      </c>
      <c r="M178" s="138">
        <v>0</v>
      </c>
      <c r="N178" s="136" t="s">
        <v>4425</v>
      </c>
      <c r="O178" s="136" t="s">
        <v>4426</v>
      </c>
      <c r="P178" s="136" t="s">
        <v>4427</v>
      </c>
      <c r="Q178" s="136" t="s">
        <v>4428</v>
      </c>
      <c r="R178" s="136">
        <v>0</v>
      </c>
      <c r="S178" s="142">
        <f>(Tabla18[[#This Row],[Debe]]-Tabla18[[#This Row],[Haber]])*
SUMIF('0_Indice_CAC'!$A:$A,Tabla18[[#This Row],[Mes]],'0_Indice_CAC'!$D:$D)</f>
        <v>6594.775971382398</v>
      </c>
      <c r="T178" s="142">
        <f>Tabla18[[#This Row],[Debe]]-Tabla18[[#This Row],[Haber]]</f>
        <v>7095.04</v>
      </c>
      <c r="U178" s="322"/>
      <c r="V178" s="323"/>
      <c r="W178" s="142">
        <f t="shared" si="5"/>
        <v>7095.04</v>
      </c>
      <c r="X178" s="142" t="b">
        <f>ISNUMBER(MATCH(A178,'3_Control_Ppto'!$A$4:$A$70,0))</f>
        <v>1</v>
      </c>
      <c r="Y178" s="136"/>
    </row>
    <row r="179" spans="1:25" ht="12" customHeight="1" x14ac:dyDescent="0.3">
      <c r="A179" s="140" t="s">
        <v>4317</v>
      </c>
      <c r="B179" s="140" t="s">
        <v>56</v>
      </c>
      <c r="C179" s="549">
        <f>+EOMONTH(Tabla18[[#This Row],[Fecha Asiento]],-1)+1</f>
        <v>45778</v>
      </c>
      <c r="D179" s="136">
        <v>52103</v>
      </c>
      <c r="E179" s="136" t="s">
        <v>4477</v>
      </c>
      <c r="F179" s="141">
        <v>45779</v>
      </c>
      <c r="G179" s="136">
        <v>2833</v>
      </c>
      <c r="H179" s="136" t="s">
        <v>4479</v>
      </c>
      <c r="I179" s="136" t="s">
        <v>4480</v>
      </c>
      <c r="J179" s="136" t="s">
        <v>4439</v>
      </c>
      <c r="K179" s="136">
        <v>1165500001249</v>
      </c>
      <c r="L179" s="138">
        <v>7095.04</v>
      </c>
      <c r="M179" s="138">
        <v>0</v>
      </c>
      <c r="N179" s="136" t="s">
        <v>4425</v>
      </c>
      <c r="O179" s="136" t="s">
        <v>4426</v>
      </c>
      <c r="P179" s="136" t="s">
        <v>4427</v>
      </c>
      <c r="Q179" s="136" t="s">
        <v>4428</v>
      </c>
      <c r="R179" s="136">
        <v>0</v>
      </c>
      <c r="S179" s="142">
        <f>(Tabla18[[#This Row],[Debe]]-Tabla18[[#This Row],[Haber]])*
SUMIF('0_Indice_CAC'!$A:$A,Tabla18[[#This Row],[Mes]],'0_Indice_CAC'!$D:$D)</f>
        <v>6594.775971382398</v>
      </c>
      <c r="T179" s="142">
        <f>Tabla18[[#This Row],[Debe]]-Tabla18[[#This Row],[Haber]]</f>
        <v>7095.04</v>
      </c>
      <c r="U179" s="322"/>
      <c r="V179" s="323"/>
      <c r="W179" s="142">
        <f t="shared" si="5"/>
        <v>7095.04</v>
      </c>
      <c r="X179" s="142" t="b">
        <f>ISNUMBER(MATCH(A179,'3_Control_Ppto'!$A$4:$A$70,0))</f>
        <v>1</v>
      </c>
      <c r="Y179" s="136"/>
    </row>
    <row r="180" spans="1:25" ht="12" customHeight="1" x14ac:dyDescent="0.3">
      <c r="A180" s="140" t="s">
        <v>4317</v>
      </c>
      <c r="B180" s="140" t="s">
        <v>56</v>
      </c>
      <c r="C180" s="549">
        <f>+EOMONTH(Tabla18[[#This Row],[Fecha Asiento]],-1)+1</f>
        <v>45778</v>
      </c>
      <c r="D180" s="136">
        <v>52103</v>
      </c>
      <c r="E180" s="136" t="s">
        <v>4477</v>
      </c>
      <c r="F180" s="141">
        <v>45782</v>
      </c>
      <c r="G180" s="136">
        <v>2835</v>
      </c>
      <c r="H180" s="136" t="s">
        <v>4479</v>
      </c>
      <c r="I180" s="136" t="s">
        <v>4480</v>
      </c>
      <c r="J180" s="136" t="s">
        <v>4439</v>
      </c>
      <c r="K180" s="136">
        <v>1165600000044</v>
      </c>
      <c r="L180" s="138">
        <v>2074.38</v>
      </c>
      <c r="M180" s="138">
        <v>0</v>
      </c>
      <c r="N180" s="136" t="s">
        <v>4425</v>
      </c>
      <c r="O180" s="136" t="s">
        <v>4426</v>
      </c>
      <c r="P180" s="136" t="s">
        <v>4427</v>
      </c>
      <c r="Q180" s="136" t="s">
        <v>4428</v>
      </c>
      <c r="R180" s="136">
        <v>0</v>
      </c>
      <c r="S180" s="142">
        <f>(Tabla18[[#This Row],[Debe]]-Tabla18[[#This Row],[Haber]])*
SUMIF('0_Indice_CAC'!$A:$A,Tabla18[[#This Row],[Mes]],'0_Indice_CAC'!$D:$D)</f>
        <v>1928.1175834831402</v>
      </c>
      <c r="T180" s="142">
        <f>Tabla18[[#This Row],[Debe]]-Tabla18[[#This Row],[Haber]]</f>
        <v>2074.38</v>
      </c>
      <c r="U180" s="322"/>
      <c r="V180" s="323"/>
      <c r="W180" s="142">
        <f t="shared" si="5"/>
        <v>2074.38</v>
      </c>
      <c r="X180" s="142" t="b">
        <f>ISNUMBER(MATCH(A180,'3_Control_Ppto'!$A$4:$A$70,0))</f>
        <v>1</v>
      </c>
      <c r="Y180" s="136"/>
    </row>
    <row r="181" spans="1:25" ht="12" customHeight="1" x14ac:dyDescent="0.3">
      <c r="A181" s="140" t="s">
        <v>4310</v>
      </c>
      <c r="B181" s="140" t="s">
        <v>56</v>
      </c>
      <c r="C181" s="549">
        <f>+EOMONTH(Tabla18[[#This Row],[Fecha Asiento]],-1)+1</f>
        <v>45778</v>
      </c>
      <c r="D181" s="136">
        <v>52204</v>
      </c>
      <c r="E181" s="136" t="s">
        <v>4452</v>
      </c>
      <c r="F181" s="141">
        <v>45782</v>
      </c>
      <c r="G181" s="136">
        <v>2407</v>
      </c>
      <c r="H181" s="136" t="s">
        <v>4453</v>
      </c>
      <c r="I181" s="136" t="s">
        <v>4454</v>
      </c>
      <c r="J181" s="136" t="s">
        <v>4455</v>
      </c>
      <c r="K181" s="136">
        <v>300001214</v>
      </c>
      <c r="L181" s="138">
        <v>267000</v>
      </c>
      <c r="M181" s="138">
        <v>0</v>
      </c>
      <c r="N181" s="136" t="s">
        <v>4425</v>
      </c>
      <c r="O181" s="136" t="s">
        <v>4426</v>
      </c>
      <c r="P181" s="136" t="s">
        <v>4427</v>
      </c>
      <c r="Q181" s="136" t="s">
        <v>4428</v>
      </c>
      <c r="R181" s="136">
        <v>0</v>
      </c>
      <c r="S181" s="142">
        <f>(Tabla18[[#This Row],[Debe]]-Tabla18[[#This Row],[Haber]])*
SUMIF('0_Indice_CAC'!$A:$A,Tabla18[[#This Row],[Mes]],'0_Indice_CAC'!$D:$D)</f>
        <v>248174.10252219863</v>
      </c>
      <c r="T181" s="142">
        <f>Tabla18[[#This Row],[Debe]]-Tabla18[[#This Row],[Haber]]</f>
        <v>267000</v>
      </c>
      <c r="U181" s="322"/>
      <c r="V181" s="323"/>
      <c r="W181" s="142">
        <f t="shared" si="5"/>
        <v>267000</v>
      </c>
      <c r="X181" s="142" t="b">
        <f>ISNUMBER(MATCH(A181,'3_Control_Ppto'!$A$4:$A$70,0))</f>
        <v>1</v>
      </c>
      <c r="Y181" s="136"/>
    </row>
    <row r="182" spans="1:25" ht="12" customHeight="1" x14ac:dyDescent="0.3">
      <c r="A182" s="140" t="s">
        <v>4310</v>
      </c>
      <c r="B182" s="140" t="s">
        <v>56</v>
      </c>
      <c r="C182" s="549">
        <f>+EOMONTH(Tabla18[[#This Row],[Fecha Asiento]],-1)+1</f>
        <v>45778</v>
      </c>
      <c r="D182" s="136">
        <v>52204</v>
      </c>
      <c r="E182" s="136" t="s">
        <v>4452</v>
      </c>
      <c r="F182" s="141">
        <v>45782</v>
      </c>
      <c r="G182" s="136">
        <v>2407</v>
      </c>
      <c r="H182" s="136" t="s">
        <v>4453</v>
      </c>
      <c r="I182" s="136" t="s">
        <v>4454</v>
      </c>
      <c r="J182" s="136" t="s">
        <v>4455</v>
      </c>
      <c r="K182" s="136">
        <v>300001214</v>
      </c>
      <c r="L182" s="138">
        <v>190000</v>
      </c>
      <c r="M182" s="138">
        <v>0</v>
      </c>
      <c r="N182" s="136" t="s">
        <v>4425</v>
      </c>
      <c r="O182" s="136" t="s">
        <v>4426</v>
      </c>
      <c r="P182" s="136" t="s">
        <v>4427</v>
      </c>
      <c r="Q182" s="136" t="s">
        <v>4428</v>
      </c>
      <c r="R182" s="136">
        <v>0</v>
      </c>
      <c r="S182" s="142">
        <f>(Tabla18[[#This Row],[Debe]]-Tabla18[[#This Row],[Haber]])*
SUMIF('0_Indice_CAC'!$A:$A,Tabla18[[#This Row],[Mes]],'0_Indice_CAC'!$D:$D)</f>
        <v>176603.29392965446</v>
      </c>
      <c r="T182" s="142">
        <f>Tabla18[[#This Row],[Debe]]-Tabla18[[#This Row],[Haber]]</f>
        <v>190000</v>
      </c>
      <c r="U182" s="322"/>
      <c r="V182" s="323"/>
      <c r="W182" s="142">
        <f t="shared" si="5"/>
        <v>190000</v>
      </c>
      <c r="X182" s="142" t="b">
        <f>ISNUMBER(MATCH(A182,'3_Control_Ppto'!$A$4:$A$70,0))</f>
        <v>1</v>
      </c>
      <c r="Y182" s="136"/>
    </row>
    <row r="183" spans="1:25" ht="12" customHeight="1" x14ac:dyDescent="0.3">
      <c r="A183" s="140" t="s">
        <v>4310</v>
      </c>
      <c r="B183" s="140" t="s">
        <v>56</v>
      </c>
      <c r="C183" s="549">
        <f>+EOMONTH(Tabla18[[#This Row],[Fecha Asiento]],-1)+1</f>
        <v>45778</v>
      </c>
      <c r="D183" s="136">
        <v>52204</v>
      </c>
      <c r="E183" s="136" t="s">
        <v>4452</v>
      </c>
      <c r="F183" s="141">
        <v>45782</v>
      </c>
      <c r="G183" s="136">
        <v>2434</v>
      </c>
      <c r="H183" s="136" t="s">
        <v>4600</v>
      </c>
      <c r="I183" s="136" t="s">
        <v>4559</v>
      </c>
      <c r="J183" s="136" t="s">
        <v>4542</v>
      </c>
      <c r="K183" s="136">
        <v>100000028</v>
      </c>
      <c r="L183" s="138">
        <v>1250000</v>
      </c>
      <c r="M183" s="138">
        <v>0</v>
      </c>
      <c r="N183" s="136" t="s">
        <v>4425</v>
      </c>
      <c r="O183" s="136" t="s">
        <v>4426</v>
      </c>
      <c r="P183" s="136" t="s">
        <v>4427</v>
      </c>
      <c r="Q183" s="136" t="s">
        <v>4428</v>
      </c>
      <c r="R183" s="136">
        <v>0</v>
      </c>
      <c r="S183" s="142">
        <f>(Tabla18[[#This Row],[Debe]]-Tabla18[[#This Row],[Haber]])*
SUMIF('0_Indice_CAC'!$A:$A,Tabla18[[#This Row],[Mes]],'0_Indice_CAC'!$D:$D)</f>
        <v>1161863.7758529899</v>
      </c>
      <c r="T183" s="142">
        <f>Tabla18[[#This Row],[Debe]]-Tabla18[[#This Row],[Haber]]</f>
        <v>1250000</v>
      </c>
      <c r="U183" s="322"/>
      <c r="V183" s="323"/>
      <c r="W183" s="142">
        <f t="shared" si="5"/>
        <v>1250000</v>
      </c>
      <c r="X183" s="142" t="b">
        <f>ISNUMBER(MATCH(A183,'3_Control_Ppto'!$A$4:$A$70,0))</f>
        <v>1</v>
      </c>
      <c r="Y183" s="136"/>
    </row>
    <row r="184" spans="1:25" ht="12" customHeight="1" x14ac:dyDescent="0.3">
      <c r="A184" s="140" t="s">
        <v>4317</v>
      </c>
      <c r="B184" s="140" t="s">
        <v>56</v>
      </c>
      <c r="C184" s="549">
        <f>+EOMONTH(Tabla18[[#This Row],[Fecha Asiento]],-1)+1</f>
        <v>45778</v>
      </c>
      <c r="D184" s="136">
        <v>52302</v>
      </c>
      <c r="E184" s="136" t="s">
        <v>4444</v>
      </c>
      <c r="F184" s="141">
        <v>45783</v>
      </c>
      <c r="G184" s="136">
        <v>2836</v>
      </c>
      <c r="H184" s="136" t="s">
        <v>4601</v>
      </c>
      <c r="I184" s="136" t="s">
        <v>4602</v>
      </c>
      <c r="J184" s="136" t="s">
        <v>4455</v>
      </c>
      <c r="K184" s="136">
        <v>3000021376</v>
      </c>
      <c r="L184" s="138">
        <v>975.8</v>
      </c>
      <c r="M184" s="138">
        <v>0</v>
      </c>
      <c r="N184" s="136" t="s">
        <v>4425</v>
      </c>
      <c r="O184" s="136" t="s">
        <v>4426</v>
      </c>
      <c r="P184" s="136" t="s">
        <v>4427</v>
      </c>
      <c r="Q184" s="136" t="s">
        <v>4428</v>
      </c>
      <c r="R184" s="136">
        <v>0</v>
      </c>
      <c r="S184" s="142">
        <f>(Tabla18[[#This Row],[Debe]]-Tabla18[[#This Row],[Haber]])*
SUMIF('0_Indice_CAC'!$A:$A,Tabla18[[#This Row],[Mes]],'0_Indice_CAC'!$D:$D)</f>
        <v>906.99733798187799</v>
      </c>
      <c r="T184" s="142">
        <f>Tabla18[[#This Row],[Debe]]-Tabla18[[#This Row],[Haber]]</f>
        <v>975.8</v>
      </c>
      <c r="U184" s="322"/>
      <c r="V184" s="323"/>
      <c r="W184" s="142">
        <f t="shared" si="5"/>
        <v>975.8</v>
      </c>
      <c r="X184" s="142" t="b">
        <f>ISNUMBER(MATCH(A184,'3_Control_Ppto'!$A$4:$A$70,0))</f>
        <v>1</v>
      </c>
      <c r="Y184" s="136"/>
    </row>
    <row r="185" spans="1:25" ht="12" customHeight="1" x14ac:dyDescent="0.3">
      <c r="A185" s="140" t="s">
        <v>4317</v>
      </c>
      <c r="B185" s="140" t="s">
        <v>56</v>
      </c>
      <c r="C185" s="549">
        <f>+EOMONTH(Tabla18[[#This Row],[Fecha Asiento]],-1)+1</f>
        <v>45778</v>
      </c>
      <c r="D185" s="136">
        <v>52302</v>
      </c>
      <c r="E185" s="136" t="s">
        <v>4444</v>
      </c>
      <c r="F185" s="141">
        <v>45783</v>
      </c>
      <c r="G185" s="136">
        <v>2836</v>
      </c>
      <c r="H185" s="136" t="s">
        <v>4603</v>
      </c>
      <c r="I185" s="136" t="s">
        <v>4602</v>
      </c>
      <c r="J185" s="136" t="s">
        <v>4455</v>
      </c>
      <c r="K185" s="136">
        <v>3000021376</v>
      </c>
      <c r="L185" s="138">
        <v>59.77</v>
      </c>
      <c r="M185" s="138">
        <v>0</v>
      </c>
      <c r="N185" s="136" t="s">
        <v>4425</v>
      </c>
      <c r="O185" s="136" t="s">
        <v>4426</v>
      </c>
      <c r="P185" s="136" t="s">
        <v>4427</v>
      </c>
      <c r="Q185" s="136" t="s">
        <v>4428</v>
      </c>
      <c r="R185" s="136">
        <v>0</v>
      </c>
      <c r="S185" s="142">
        <f>(Tabla18[[#This Row],[Debe]]-Tabla18[[#This Row],[Haber]])*
SUMIF('0_Indice_CAC'!$A:$A,Tabla18[[#This Row],[Mes]],'0_Indice_CAC'!$D:$D)</f>
        <v>55.555678306186564</v>
      </c>
      <c r="T185" s="142">
        <f>Tabla18[[#This Row],[Debe]]-Tabla18[[#This Row],[Haber]]</f>
        <v>59.77</v>
      </c>
      <c r="U185" s="322"/>
      <c r="V185" s="323"/>
      <c r="W185" s="142">
        <f t="shared" si="5"/>
        <v>59.77</v>
      </c>
      <c r="X185" s="142" t="b">
        <f>ISNUMBER(MATCH(A185,'3_Control_Ppto'!$A$4:$A$70,0))</f>
        <v>1</v>
      </c>
      <c r="Y185" s="136"/>
    </row>
    <row r="186" spans="1:25" ht="12" customHeight="1" x14ac:dyDescent="0.3">
      <c r="A186" s="140" t="s">
        <v>4317</v>
      </c>
      <c r="B186" s="140" t="s">
        <v>56</v>
      </c>
      <c r="C186" s="549">
        <f>+EOMONTH(Tabla18[[#This Row],[Fecha Asiento]],-1)+1</f>
        <v>45778</v>
      </c>
      <c r="D186" s="136">
        <v>52302</v>
      </c>
      <c r="E186" s="136" t="s">
        <v>4444</v>
      </c>
      <c r="F186" s="141">
        <v>45783</v>
      </c>
      <c r="G186" s="136">
        <v>2836</v>
      </c>
      <c r="H186" s="136" t="s">
        <v>4604</v>
      </c>
      <c r="I186" s="136" t="s">
        <v>4602</v>
      </c>
      <c r="J186" s="136" t="s">
        <v>4455</v>
      </c>
      <c r="K186" s="136">
        <v>3000021376</v>
      </c>
      <c r="L186" s="138">
        <v>4354.12</v>
      </c>
      <c r="M186" s="138">
        <v>0</v>
      </c>
      <c r="N186" s="136" t="s">
        <v>4425</v>
      </c>
      <c r="O186" s="136" t="s">
        <v>4426</v>
      </c>
      <c r="P186" s="136" t="s">
        <v>4427</v>
      </c>
      <c r="Q186" s="136" t="s">
        <v>4428</v>
      </c>
      <c r="R186" s="136">
        <v>0</v>
      </c>
      <c r="S186" s="142">
        <f>(Tabla18[[#This Row],[Debe]]-Tabla18[[#This Row],[Haber]])*
SUMIF('0_Indice_CAC'!$A:$A,Tabla18[[#This Row],[Mes]],'0_Indice_CAC'!$D:$D)</f>
        <v>4047.1154429736162</v>
      </c>
      <c r="T186" s="142">
        <f>Tabla18[[#This Row],[Debe]]-Tabla18[[#This Row],[Haber]]</f>
        <v>4354.12</v>
      </c>
      <c r="U186" s="322"/>
      <c r="V186" s="323"/>
      <c r="W186" s="142">
        <f t="shared" si="5"/>
        <v>4354.12</v>
      </c>
      <c r="X186" s="142" t="b">
        <f>ISNUMBER(MATCH(A186,'3_Control_Ppto'!$A$4:$A$70,0))</f>
        <v>1</v>
      </c>
      <c r="Y186" s="136"/>
    </row>
    <row r="187" spans="1:25" ht="12" customHeight="1" x14ac:dyDescent="0.3">
      <c r="A187" s="140" t="s">
        <v>25</v>
      </c>
      <c r="B187" s="140" t="s">
        <v>25</v>
      </c>
      <c r="C187" s="549">
        <f>+EOMONTH(Tabla18[[#This Row],[Fecha Asiento]],-1)+1</f>
        <v>45778</v>
      </c>
      <c r="D187" s="136">
        <v>410222</v>
      </c>
      <c r="E187" s="136" t="s">
        <v>4605</v>
      </c>
      <c r="F187" s="141">
        <v>45784</v>
      </c>
      <c r="G187" s="136">
        <v>2442</v>
      </c>
      <c r="H187" s="136" t="s">
        <v>4606</v>
      </c>
      <c r="I187" s="136" t="s">
        <v>4607</v>
      </c>
      <c r="J187" s="136" t="s">
        <v>4608</v>
      </c>
      <c r="K187" s="136">
        <v>300000653</v>
      </c>
      <c r="L187" s="138">
        <v>0</v>
      </c>
      <c r="M187" s="138">
        <v>44000000</v>
      </c>
      <c r="N187" s="136" t="s">
        <v>4425</v>
      </c>
      <c r="O187" s="136" t="s">
        <v>4426</v>
      </c>
      <c r="P187" s="136" t="s">
        <v>4427</v>
      </c>
      <c r="Q187" s="136" t="s">
        <v>4428</v>
      </c>
      <c r="R187" s="136">
        <v>0</v>
      </c>
      <c r="S187" s="142">
        <f>(Tabla18[[#This Row],[Debe]]-Tabla18[[#This Row],[Haber]])*
SUMIF('0_Indice_CAC'!$A:$A,Tabla18[[#This Row],[Mes]],'0_Indice_CAC'!$D:$D)</f>
        <v>-40897604.910025239</v>
      </c>
      <c r="T187" s="142">
        <f>Tabla18[[#This Row],[Debe]]-Tabla18[[#This Row],[Haber]]</f>
        <v>-44000000</v>
      </c>
      <c r="U187" s="322"/>
      <c r="V187" s="323"/>
      <c r="W187" s="142">
        <f t="shared" si="5"/>
        <v>-44000000</v>
      </c>
      <c r="X187" s="142" t="b">
        <f>ISNUMBER(MATCH(A187,'3_Control_Ppto'!$A$4:$A$70,0))</f>
        <v>0</v>
      </c>
      <c r="Y187" s="136"/>
    </row>
    <row r="188" spans="1:25" ht="12" customHeight="1" x14ac:dyDescent="0.3">
      <c r="A188" s="140" t="s">
        <v>1478</v>
      </c>
      <c r="B188" s="140" t="s">
        <v>4090</v>
      </c>
      <c r="C188" s="549">
        <f>+EOMONTH(Tabla18[[#This Row],[Fecha Asiento]],-1)+1</f>
        <v>45778</v>
      </c>
      <c r="D188" s="136">
        <v>53004</v>
      </c>
      <c r="E188" s="136" t="s">
        <v>4496</v>
      </c>
      <c r="F188" s="141">
        <v>45785</v>
      </c>
      <c r="G188" s="136">
        <v>2837</v>
      </c>
      <c r="H188" s="136" t="s">
        <v>4609</v>
      </c>
      <c r="I188" s="136" t="s">
        <v>4610</v>
      </c>
      <c r="J188" s="136" t="s">
        <v>4455</v>
      </c>
      <c r="K188" s="136">
        <v>500007640</v>
      </c>
      <c r="L188" s="138">
        <v>8264.4599999999991</v>
      </c>
      <c r="M188" s="138">
        <v>0</v>
      </c>
      <c r="N188" s="136" t="s">
        <v>4425</v>
      </c>
      <c r="O188" s="136" t="s">
        <v>4426</v>
      </c>
      <c r="P188" s="136" t="s">
        <v>4427</v>
      </c>
      <c r="Q188" s="136" t="s">
        <v>4428</v>
      </c>
      <c r="R188" s="136">
        <v>0</v>
      </c>
      <c r="S188" s="142">
        <f>(Tabla18[[#This Row],[Debe]]-Tabla18[[#This Row],[Haber]])*
SUMIF('0_Indice_CAC'!$A:$A,Tabla18[[#This Row],[Mes]],'0_Indice_CAC'!$D:$D)</f>
        <v>7681.7413607887993</v>
      </c>
      <c r="T188" s="142">
        <f>Tabla18[[#This Row],[Debe]]-Tabla18[[#This Row],[Haber]]</f>
        <v>8264.4599999999991</v>
      </c>
      <c r="U188" s="322"/>
      <c r="V188" s="323"/>
      <c r="W188" s="142">
        <f t="shared" si="5"/>
        <v>8264.4599999999991</v>
      </c>
      <c r="X188" s="142" t="b">
        <f>ISNUMBER(MATCH(A188,'3_Control_Ppto'!$A$4:$A$70,0))</f>
        <v>1</v>
      </c>
      <c r="Y188" s="136"/>
    </row>
    <row r="189" spans="1:25" ht="12" customHeight="1" x14ac:dyDescent="0.3">
      <c r="A189" s="140" t="s">
        <v>106</v>
      </c>
      <c r="B189" s="140" t="s">
        <v>25</v>
      </c>
      <c r="C189" s="549">
        <f>+EOMONTH(Tabla18[[#This Row],[Fecha Asiento]],-1)+1</f>
        <v>45778</v>
      </c>
      <c r="D189" s="136">
        <v>53009</v>
      </c>
      <c r="E189" s="136" t="s">
        <v>4446</v>
      </c>
      <c r="F189" s="141">
        <v>45785</v>
      </c>
      <c r="G189" s="136">
        <v>1373</v>
      </c>
      <c r="H189" s="136" t="s">
        <v>4611</v>
      </c>
      <c r="I189" s="136" t="s">
        <v>4423</v>
      </c>
      <c r="J189" s="136" t="s">
        <v>4424</v>
      </c>
      <c r="K189" s="136">
        <v>6783</v>
      </c>
      <c r="L189" s="138">
        <v>200000</v>
      </c>
      <c r="M189" s="138">
        <v>0</v>
      </c>
      <c r="N189" s="136" t="s">
        <v>4425</v>
      </c>
      <c r="O189" s="136" t="s">
        <v>4426</v>
      </c>
      <c r="P189" s="136" t="s">
        <v>4427</v>
      </c>
      <c r="Q189" s="136" t="s">
        <v>4428</v>
      </c>
      <c r="R189" s="136">
        <v>0</v>
      </c>
      <c r="S189" s="142">
        <f>(Tabla18[[#This Row],[Debe]]-Tabla18[[#This Row],[Haber]])*
SUMIF('0_Indice_CAC'!$A:$A,Tabla18[[#This Row],[Mes]],'0_Indice_CAC'!$D:$D)</f>
        <v>185898.20413647837</v>
      </c>
      <c r="T189" s="142">
        <f>Tabla18[[#This Row],[Debe]]-Tabla18[[#This Row],[Haber]]</f>
        <v>200000</v>
      </c>
      <c r="U189" s="322"/>
      <c r="V189" s="323"/>
      <c r="W189" s="142">
        <f t="shared" si="5"/>
        <v>200000</v>
      </c>
      <c r="X189" s="142" t="b">
        <f>ISNUMBER(MATCH(A189,'3_Control_Ppto'!$A$4:$A$70,0))</f>
        <v>1</v>
      </c>
      <c r="Y189" s="136"/>
    </row>
    <row r="190" spans="1:25" ht="12" customHeight="1" x14ac:dyDescent="0.3">
      <c r="A190" s="140" t="s">
        <v>106</v>
      </c>
      <c r="B190" s="140" t="s">
        <v>25</v>
      </c>
      <c r="C190" s="549">
        <f>+EOMONTH(Tabla18[[#This Row],[Fecha Asiento]],-1)+1</f>
        <v>45778</v>
      </c>
      <c r="D190" s="136">
        <v>53009</v>
      </c>
      <c r="E190" s="136" t="s">
        <v>4446</v>
      </c>
      <c r="F190" s="141">
        <v>45785</v>
      </c>
      <c r="G190" s="136">
        <v>1381</v>
      </c>
      <c r="H190" s="136" t="s">
        <v>4612</v>
      </c>
      <c r="I190" s="136" t="s">
        <v>4423</v>
      </c>
      <c r="J190" s="136" t="s">
        <v>4424</v>
      </c>
      <c r="K190" s="136">
        <v>6791</v>
      </c>
      <c r="L190" s="138">
        <v>1586000</v>
      </c>
      <c r="M190" s="138">
        <v>0</v>
      </c>
      <c r="N190" s="136" t="s">
        <v>4425</v>
      </c>
      <c r="O190" s="136" t="s">
        <v>4426</v>
      </c>
      <c r="P190" s="136" t="s">
        <v>4427</v>
      </c>
      <c r="Q190" s="136" t="s">
        <v>4428</v>
      </c>
      <c r="R190" s="136">
        <v>0</v>
      </c>
      <c r="S190" s="142">
        <f>(Tabla18[[#This Row],[Debe]]-Tabla18[[#This Row],[Haber]])*
SUMIF('0_Indice_CAC'!$A:$A,Tabla18[[#This Row],[Mes]],'0_Indice_CAC'!$D:$D)</f>
        <v>1474172.7588022735</v>
      </c>
      <c r="T190" s="142">
        <f>Tabla18[[#This Row],[Debe]]-Tabla18[[#This Row],[Haber]]</f>
        <v>1586000</v>
      </c>
      <c r="U190" s="322"/>
      <c r="V190" s="323"/>
      <c r="W190" s="142">
        <f t="shared" si="5"/>
        <v>1586000</v>
      </c>
      <c r="X190" s="142" t="b">
        <f>ISNUMBER(MATCH(A190,'3_Control_Ppto'!$A$4:$A$70,0))</f>
        <v>1</v>
      </c>
      <c r="Y190" s="136"/>
    </row>
    <row r="191" spans="1:25" ht="12" customHeight="1" x14ac:dyDescent="0.3">
      <c r="A191" s="140" t="s">
        <v>25</v>
      </c>
      <c r="B191" s="140" t="s">
        <v>25</v>
      </c>
      <c r="C191" s="549">
        <f>+EOMONTH(Tabla18[[#This Row],[Fecha Asiento]],-1)+1</f>
        <v>45778</v>
      </c>
      <c r="D191" s="136">
        <v>4201</v>
      </c>
      <c r="E191" s="136" t="s">
        <v>4566</v>
      </c>
      <c r="F191" s="141">
        <v>45786</v>
      </c>
      <c r="G191" s="136">
        <v>1598</v>
      </c>
      <c r="H191" s="136" t="s">
        <v>4613</v>
      </c>
      <c r="I191" s="136" t="s">
        <v>4423</v>
      </c>
      <c r="J191" s="136" t="s">
        <v>4568</v>
      </c>
      <c r="K191" s="136">
        <v>194</v>
      </c>
      <c r="L191" s="138">
        <v>0</v>
      </c>
      <c r="M191" s="138">
        <v>57750000</v>
      </c>
      <c r="N191" s="136" t="s">
        <v>4425</v>
      </c>
      <c r="O191" s="136" t="s">
        <v>4426</v>
      </c>
      <c r="P191" s="136" t="s">
        <v>4427</v>
      </c>
      <c r="Q191" s="136" t="s">
        <v>4428</v>
      </c>
      <c r="R191" s="136">
        <v>0</v>
      </c>
      <c r="S191" s="142">
        <f>(Tabla18[[#This Row],[Debe]]-Tabla18[[#This Row],[Haber]])*
SUMIF('0_Indice_CAC'!$A:$A,Tabla18[[#This Row],[Mes]],'0_Indice_CAC'!$D:$D)</f>
        <v>-53678106.444408134</v>
      </c>
      <c r="T191" s="142">
        <f>Tabla18[[#This Row],[Debe]]-Tabla18[[#This Row],[Haber]]</f>
        <v>-57750000</v>
      </c>
      <c r="U191" s="322"/>
      <c r="V191" s="323"/>
      <c r="W191" s="142">
        <f t="shared" si="5"/>
        <v>-57750000</v>
      </c>
      <c r="X191" s="142" t="b">
        <f>ISNUMBER(MATCH(A191,'3_Control_Ppto'!$A$4:$A$70,0))</f>
        <v>0</v>
      </c>
      <c r="Y191" s="136"/>
    </row>
    <row r="192" spans="1:25" ht="12" customHeight="1" x14ac:dyDescent="0.3">
      <c r="A192" s="140" t="s">
        <v>4317</v>
      </c>
      <c r="B192" s="140" t="s">
        <v>56</v>
      </c>
      <c r="C192" s="549">
        <f>+EOMONTH(Tabla18[[#This Row],[Fecha Asiento]],-1)+1</f>
        <v>45778</v>
      </c>
      <c r="D192" s="136">
        <v>52103</v>
      </c>
      <c r="E192" s="136" t="s">
        <v>4477</v>
      </c>
      <c r="F192" s="141">
        <v>45786</v>
      </c>
      <c r="G192" s="136">
        <v>2838</v>
      </c>
      <c r="H192" s="136" t="s">
        <v>4569</v>
      </c>
      <c r="I192" s="136" t="s">
        <v>4570</v>
      </c>
      <c r="J192" s="136" t="s">
        <v>4455</v>
      </c>
      <c r="K192" s="136">
        <v>418100128972</v>
      </c>
      <c r="L192" s="138">
        <v>11049.53</v>
      </c>
      <c r="M192" s="138">
        <v>0</v>
      </c>
      <c r="N192" s="136" t="s">
        <v>4425</v>
      </c>
      <c r="O192" s="136" t="s">
        <v>4426</v>
      </c>
      <c r="P192" s="136" t="s">
        <v>4427</v>
      </c>
      <c r="Q192" s="136" t="s">
        <v>4428</v>
      </c>
      <c r="R192" s="136">
        <v>0</v>
      </c>
      <c r="S192" s="142">
        <f>(Tabla18[[#This Row],[Debe]]-Tabla18[[#This Row],[Haber]])*
SUMIF('0_Indice_CAC'!$A:$A,Tabla18[[#This Row],[Mes]],'0_Indice_CAC'!$D:$D)</f>
        <v>10270.43891776071</v>
      </c>
      <c r="T192" s="142">
        <f>Tabla18[[#This Row],[Debe]]-Tabla18[[#This Row],[Haber]]</f>
        <v>11049.53</v>
      </c>
      <c r="U192" s="322"/>
      <c r="V192" s="323"/>
      <c r="W192" s="142">
        <f t="shared" si="5"/>
        <v>11049.53</v>
      </c>
      <c r="X192" s="142" t="b">
        <f>ISNUMBER(MATCH(A192,'3_Control_Ppto'!$A$4:$A$70,0))</f>
        <v>1</v>
      </c>
      <c r="Y192" s="136"/>
    </row>
    <row r="193" spans="1:25" ht="12" customHeight="1" x14ac:dyDescent="0.3">
      <c r="A193" s="140" t="s">
        <v>4317</v>
      </c>
      <c r="B193" s="140" t="s">
        <v>56</v>
      </c>
      <c r="C193" s="549">
        <f>+EOMONTH(Tabla18[[#This Row],[Fecha Asiento]],-1)+1</f>
        <v>45778</v>
      </c>
      <c r="D193" s="136">
        <v>52103</v>
      </c>
      <c r="E193" s="136" t="s">
        <v>4477</v>
      </c>
      <c r="F193" s="141">
        <v>45786</v>
      </c>
      <c r="G193" s="136">
        <v>2838</v>
      </c>
      <c r="H193" s="136" t="s">
        <v>4569</v>
      </c>
      <c r="I193" s="136" t="s">
        <v>4570</v>
      </c>
      <c r="J193" s="136" t="s">
        <v>4455</v>
      </c>
      <c r="K193" s="136">
        <v>418100128972</v>
      </c>
      <c r="L193" s="138">
        <v>49941.34</v>
      </c>
      <c r="M193" s="138">
        <v>0</v>
      </c>
      <c r="N193" s="136" t="s">
        <v>4425</v>
      </c>
      <c r="O193" s="136" t="s">
        <v>4426</v>
      </c>
      <c r="P193" s="136" t="s">
        <v>4427</v>
      </c>
      <c r="Q193" s="136" t="s">
        <v>4428</v>
      </c>
      <c r="R193" s="136">
        <v>0</v>
      </c>
      <c r="S193" s="142">
        <f>(Tabla18[[#This Row],[Debe]]-Tabla18[[#This Row],[Haber]])*
SUMIF('0_Indice_CAC'!$A:$A,Tabla18[[#This Row],[Mes]],'0_Indice_CAC'!$D:$D)</f>
        <v>46420.027090846364</v>
      </c>
      <c r="T193" s="142">
        <f>Tabla18[[#This Row],[Debe]]-Tabla18[[#This Row],[Haber]]</f>
        <v>49941.34</v>
      </c>
      <c r="U193" s="322"/>
      <c r="V193" s="323"/>
      <c r="W193" s="142">
        <f t="shared" si="5"/>
        <v>49941.34</v>
      </c>
      <c r="X193" s="142" t="b">
        <f>ISNUMBER(MATCH(A193,'3_Control_Ppto'!$A$4:$A$70,0))</f>
        <v>1</v>
      </c>
      <c r="Y193" s="136"/>
    </row>
    <row r="194" spans="1:25" ht="12" customHeight="1" x14ac:dyDescent="0.3">
      <c r="A194" s="140" t="s">
        <v>25</v>
      </c>
      <c r="B194" s="140" t="s">
        <v>25</v>
      </c>
      <c r="C194" s="549">
        <f>+EOMONTH(Tabla18[[#This Row],[Fecha Asiento]],-1)+1</f>
        <v>45778</v>
      </c>
      <c r="D194" s="136">
        <v>4201</v>
      </c>
      <c r="E194" s="136" t="s">
        <v>4566</v>
      </c>
      <c r="F194" s="141">
        <v>45787</v>
      </c>
      <c r="G194" s="136">
        <v>1599</v>
      </c>
      <c r="H194" s="136" t="s">
        <v>4614</v>
      </c>
      <c r="I194" s="136" t="s">
        <v>4423</v>
      </c>
      <c r="J194" s="136" t="s">
        <v>4568</v>
      </c>
      <c r="K194" s="136">
        <v>195</v>
      </c>
      <c r="L194" s="138">
        <v>0</v>
      </c>
      <c r="M194" s="138">
        <v>3465000</v>
      </c>
      <c r="N194" s="136" t="s">
        <v>4425</v>
      </c>
      <c r="O194" s="136" t="s">
        <v>4426</v>
      </c>
      <c r="P194" s="136" t="s">
        <v>4427</v>
      </c>
      <c r="Q194" s="136" t="s">
        <v>4428</v>
      </c>
      <c r="R194" s="136">
        <v>0</v>
      </c>
      <c r="S194" s="142">
        <f>(Tabla18[[#This Row],[Debe]]-Tabla18[[#This Row],[Haber]])*
SUMIF('0_Indice_CAC'!$A:$A,Tabla18[[#This Row],[Mes]],'0_Indice_CAC'!$D:$D)</f>
        <v>-3220686.3866644879</v>
      </c>
      <c r="T194" s="142">
        <f>Tabla18[[#This Row],[Debe]]-Tabla18[[#This Row],[Haber]]</f>
        <v>-3465000</v>
      </c>
      <c r="U194" s="322"/>
      <c r="V194" s="323"/>
      <c r="W194" s="142">
        <f t="shared" si="5"/>
        <v>-3465000</v>
      </c>
      <c r="X194" s="142" t="b">
        <f>ISNUMBER(MATCH(A194,'3_Control_Ppto'!$A$4:$A$70,0))</f>
        <v>0</v>
      </c>
      <c r="Y194" s="136"/>
    </row>
    <row r="195" spans="1:25" ht="12" customHeight="1" x14ac:dyDescent="0.3">
      <c r="A195" s="140" t="s">
        <v>1478</v>
      </c>
      <c r="B195" s="140" t="s">
        <v>4090</v>
      </c>
      <c r="C195" s="549">
        <f>+EOMONTH(Tabla18[[#This Row],[Fecha Asiento]],-1)+1</f>
        <v>45778</v>
      </c>
      <c r="D195" s="136">
        <v>53004</v>
      </c>
      <c r="E195" s="136" t="s">
        <v>4496</v>
      </c>
      <c r="F195" s="141">
        <v>45789</v>
      </c>
      <c r="G195" s="136">
        <v>3307</v>
      </c>
      <c r="H195" s="136" t="s">
        <v>4598</v>
      </c>
      <c r="I195" s="136" t="s">
        <v>4596</v>
      </c>
      <c r="J195" s="136" t="s">
        <v>4597</v>
      </c>
      <c r="K195" s="136">
        <v>22400006002</v>
      </c>
      <c r="L195" s="138">
        <v>155200</v>
      </c>
      <c r="M195" s="138">
        <v>0</v>
      </c>
      <c r="N195" s="136" t="s">
        <v>4425</v>
      </c>
      <c r="O195" s="136" t="s">
        <v>4426</v>
      </c>
      <c r="P195" s="136" t="s">
        <v>4427</v>
      </c>
      <c r="Q195" s="136" t="s">
        <v>4428</v>
      </c>
      <c r="R195" s="136">
        <v>0</v>
      </c>
      <c r="S195" s="142">
        <f>(Tabla18[[#This Row],[Debe]]-Tabla18[[#This Row],[Haber]])*
SUMIF('0_Indice_CAC'!$A:$A,Tabla18[[#This Row],[Mes]],'0_Indice_CAC'!$D:$D)</f>
        <v>144257.00640990722</v>
      </c>
      <c r="T195" s="142">
        <f>Tabla18[[#This Row],[Debe]]-Tabla18[[#This Row],[Haber]]</f>
        <v>155200</v>
      </c>
      <c r="U195" s="322"/>
      <c r="V195" s="323"/>
      <c r="W195" s="142">
        <f t="shared" si="5"/>
        <v>155200</v>
      </c>
      <c r="X195" s="142" t="b">
        <f>ISNUMBER(MATCH(A195,'3_Control_Ppto'!$A$4:$A$70,0))</f>
        <v>1</v>
      </c>
      <c r="Y195" s="136"/>
    </row>
    <row r="196" spans="1:25" ht="12" customHeight="1" x14ac:dyDescent="0.3">
      <c r="A196" s="140" t="s">
        <v>4119</v>
      </c>
      <c r="B196" s="140" t="s">
        <v>56</v>
      </c>
      <c r="C196" s="549">
        <f>+EOMONTH(Tabla18[[#This Row],[Fecha Asiento]],-1)+1</f>
        <v>45778</v>
      </c>
      <c r="D196" s="136">
        <v>53022</v>
      </c>
      <c r="E196" s="136" t="s">
        <v>4429</v>
      </c>
      <c r="F196" s="141">
        <v>45790</v>
      </c>
      <c r="G196" s="136">
        <v>3484</v>
      </c>
      <c r="H196" s="136" t="s">
        <v>4615</v>
      </c>
      <c r="I196" s="136" t="s">
        <v>4459</v>
      </c>
      <c r="J196" s="136" t="s">
        <v>4455</v>
      </c>
      <c r="K196" s="136">
        <v>300022763</v>
      </c>
      <c r="L196" s="138">
        <v>80000</v>
      </c>
      <c r="M196" s="138">
        <v>0</v>
      </c>
      <c r="N196" s="136" t="s">
        <v>4425</v>
      </c>
      <c r="O196" s="136" t="s">
        <v>4426</v>
      </c>
      <c r="P196" s="136" t="s">
        <v>4427</v>
      </c>
      <c r="Q196" s="136" t="s">
        <v>4428</v>
      </c>
      <c r="R196" s="136">
        <v>0</v>
      </c>
      <c r="S196" s="142">
        <f>(Tabla18[[#This Row],[Debe]]-Tabla18[[#This Row],[Haber]])*
SUMIF('0_Indice_CAC'!$A:$A,Tabla18[[#This Row],[Mes]],'0_Indice_CAC'!$D:$D)</f>
        <v>74359.281654591352</v>
      </c>
      <c r="T196" s="142">
        <f>Tabla18[[#This Row],[Debe]]-Tabla18[[#This Row],[Haber]]</f>
        <v>80000</v>
      </c>
      <c r="U196" s="322"/>
      <c r="V196" s="323"/>
      <c r="W196" s="142">
        <f t="shared" si="5"/>
        <v>80000</v>
      </c>
      <c r="X196" s="142" t="b">
        <f>ISNUMBER(MATCH(A196,'3_Control_Ppto'!$A$4:$A$70,0))</f>
        <v>1</v>
      </c>
      <c r="Y196" s="136"/>
    </row>
    <row r="197" spans="1:25" ht="12" customHeight="1" x14ac:dyDescent="0.3">
      <c r="A197" s="140" t="s">
        <v>4317</v>
      </c>
      <c r="B197" s="140" t="s">
        <v>56</v>
      </c>
      <c r="C197" s="549">
        <f>+EOMONTH(Tabla18[[#This Row],[Fecha Asiento]],-1)+1</f>
        <v>45778</v>
      </c>
      <c r="D197" s="136">
        <v>52302</v>
      </c>
      <c r="E197" s="136" t="s">
        <v>4444</v>
      </c>
      <c r="F197" s="141">
        <v>45792</v>
      </c>
      <c r="G197" s="136">
        <v>3102</v>
      </c>
      <c r="H197" s="136" t="s">
        <v>4531</v>
      </c>
      <c r="I197" s="136" t="s">
        <v>4532</v>
      </c>
      <c r="J197" s="136" t="s">
        <v>4455</v>
      </c>
      <c r="K197" s="136">
        <v>217201669346</v>
      </c>
      <c r="L197" s="138">
        <v>33444.160000000003</v>
      </c>
      <c r="M197" s="138">
        <v>0</v>
      </c>
      <c r="N197" s="136" t="s">
        <v>4425</v>
      </c>
      <c r="O197" s="136" t="s">
        <v>4426</v>
      </c>
      <c r="P197" s="136" t="s">
        <v>4427</v>
      </c>
      <c r="Q197" s="136" t="s">
        <v>4428</v>
      </c>
      <c r="R197" s="136">
        <v>0</v>
      </c>
      <c r="S197" s="142">
        <f>(Tabla18[[#This Row],[Debe]]-Tabla18[[#This Row],[Haber]])*
SUMIF('0_Indice_CAC'!$A:$A,Tabla18[[#This Row],[Mes]],'0_Indice_CAC'!$D:$D)</f>
        <v>31086.046414265227</v>
      </c>
      <c r="T197" s="142">
        <f>Tabla18[[#This Row],[Debe]]-Tabla18[[#This Row],[Haber]]</f>
        <v>33444.160000000003</v>
      </c>
      <c r="U197" s="322"/>
      <c r="V197" s="323"/>
      <c r="W197" s="142">
        <f t="shared" si="5"/>
        <v>33444.160000000003</v>
      </c>
      <c r="X197" s="142" t="b">
        <f>ISNUMBER(MATCH(A197,'3_Control_Ppto'!$A$4:$A$70,0))</f>
        <v>1</v>
      </c>
      <c r="Y197" s="136"/>
    </row>
    <row r="198" spans="1:25" ht="12" customHeight="1" x14ac:dyDescent="0.3">
      <c r="A198" s="140" t="s">
        <v>4317</v>
      </c>
      <c r="B198" s="140" t="s">
        <v>56</v>
      </c>
      <c r="C198" s="549">
        <f>+EOMONTH(Tabla18[[#This Row],[Fecha Asiento]],-1)+1</f>
        <v>45778</v>
      </c>
      <c r="D198" s="136">
        <v>52302</v>
      </c>
      <c r="E198" s="136" t="s">
        <v>4444</v>
      </c>
      <c r="F198" s="141">
        <v>45792</v>
      </c>
      <c r="G198" s="136">
        <v>3102</v>
      </c>
      <c r="H198" s="136" t="s">
        <v>4533</v>
      </c>
      <c r="I198" s="136" t="s">
        <v>4532</v>
      </c>
      <c r="J198" s="136" t="s">
        <v>4455</v>
      </c>
      <c r="K198" s="136">
        <v>217201669346</v>
      </c>
      <c r="L198" s="138">
        <v>451.42</v>
      </c>
      <c r="M198" s="138">
        <v>0</v>
      </c>
      <c r="N198" s="136" t="s">
        <v>4425</v>
      </c>
      <c r="O198" s="136" t="s">
        <v>4426</v>
      </c>
      <c r="P198" s="136" t="s">
        <v>4427</v>
      </c>
      <c r="Q198" s="136" t="s">
        <v>4428</v>
      </c>
      <c r="R198" s="136">
        <v>0</v>
      </c>
      <c r="S198" s="142">
        <f>(Tabla18[[#This Row],[Debe]]-Tabla18[[#This Row],[Haber]])*
SUMIF('0_Indice_CAC'!$A:$A,Tabla18[[#This Row],[Mes]],'0_Indice_CAC'!$D:$D)</f>
        <v>419.59083655644537</v>
      </c>
      <c r="T198" s="142">
        <f>Tabla18[[#This Row],[Debe]]-Tabla18[[#This Row],[Haber]]</f>
        <v>451.42</v>
      </c>
      <c r="U198" s="322"/>
      <c r="V198" s="323"/>
      <c r="W198" s="142">
        <f t="shared" si="5"/>
        <v>451.42</v>
      </c>
      <c r="X198" s="142" t="b">
        <f>ISNUMBER(MATCH(A198,'3_Control_Ppto'!$A$4:$A$70,0))</f>
        <v>1</v>
      </c>
      <c r="Y198" s="136"/>
    </row>
    <row r="199" spans="1:25" ht="12" customHeight="1" x14ac:dyDescent="0.3">
      <c r="A199" s="140" t="s">
        <v>4317</v>
      </c>
      <c r="B199" s="140" t="s">
        <v>56</v>
      </c>
      <c r="C199" s="549">
        <f>+EOMONTH(Tabla18[[#This Row],[Fecha Asiento]],-1)+1</f>
        <v>45778</v>
      </c>
      <c r="D199" s="136">
        <v>52302</v>
      </c>
      <c r="E199" s="136" t="s">
        <v>4444</v>
      </c>
      <c r="F199" s="141">
        <v>45792</v>
      </c>
      <c r="G199" s="136">
        <v>3102</v>
      </c>
      <c r="H199" s="136" t="s">
        <v>4534</v>
      </c>
      <c r="I199" s="136" t="s">
        <v>4532</v>
      </c>
      <c r="J199" s="136" t="s">
        <v>4455</v>
      </c>
      <c r="K199" s="136">
        <v>217201669346</v>
      </c>
      <c r="L199" s="138">
        <v>6133.33</v>
      </c>
      <c r="M199" s="138">
        <v>0</v>
      </c>
      <c r="N199" s="136" t="s">
        <v>4425</v>
      </c>
      <c r="O199" s="136" t="s">
        <v>4426</v>
      </c>
      <c r="P199" s="136" t="s">
        <v>4427</v>
      </c>
      <c r="Q199" s="136" t="s">
        <v>4428</v>
      </c>
      <c r="R199" s="136">
        <v>0</v>
      </c>
      <c r="S199" s="142">
        <f>(Tabla18[[#This Row],[Debe]]-Tabla18[[#This Row],[Haber]])*
SUMIF('0_Indice_CAC'!$A:$A,Tabla18[[#This Row],[Mes]],'0_Indice_CAC'!$D:$D)</f>
        <v>5700.8751618819342</v>
      </c>
      <c r="T199" s="142">
        <f>Tabla18[[#This Row],[Debe]]-Tabla18[[#This Row],[Haber]]</f>
        <v>6133.33</v>
      </c>
      <c r="U199" s="322"/>
      <c r="V199" s="323"/>
      <c r="W199" s="142">
        <f t="shared" si="5"/>
        <v>6133.33</v>
      </c>
      <c r="X199" s="142" t="b">
        <f>ISNUMBER(MATCH(A199,'3_Control_Ppto'!$A$4:$A$70,0))</f>
        <v>1</v>
      </c>
      <c r="Y199" s="136"/>
    </row>
    <row r="200" spans="1:25" ht="12" customHeight="1" x14ac:dyDescent="0.3">
      <c r="A200" s="140" t="s">
        <v>25</v>
      </c>
      <c r="B200" s="140" t="s">
        <v>25</v>
      </c>
      <c r="C200" s="549">
        <f>+EOMONTH(Tabla18[[#This Row],[Fecha Asiento]],-1)+1</f>
        <v>45778</v>
      </c>
      <c r="D200" s="136">
        <v>4201</v>
      </c>
      <c r="E200" s="136" t="s">
        <v>4566</v>
      </c>
      <c r="F200" s="141">
        <v>45793</v>
      </c>
      <c r="G200" s="136">
        <v>1600</v>
      </c>
      <c r="H200" s="136" t="s">
        <v>4616</v>
      </c>
      <c r="I200" s="136" t="s">
        <v>4423</v>
      </c>
      <c r="J200" s="136" t="s">
        <v>4568</v>
      </c>
      <c r="K200" s="136">
        <v>196</v>
      </c>
      <c r="L200" s="138">
        <v>0</v>
      </c>
      <c r="M200" s="138">
        <v>57750000</v>
      </c>
      <c r="N200" s="136" t="s">
        <v>4425</v>
      </c>
      <c r="O200" s="136" t="s">
        <v>4426</v>
      </c>
      <c r="P200" s="136" t="s">
        <v>4427</v>
      </c>
      <c r="Q200" s="136" t="s">
        <v>4428</v>
      </c>
      <c r="R200" s="136">
        <v>0</v>
      </c>
      <c r="S200" s="142">
        <f>(Tabla18[[#This Row],[Debe]]-Tabla18[[#This Row],[Haber]])*
SUMIF('0_Indice_CAC'!$A:$A,Tabla18[[#This Row],[Mes]],'0_Indice_CAC'!$D:$D)</f>
        <v>-53678106.444408134</v>
      </c>
      <c r="T200" s="142">
        <f>Tabla18[[#This Row],[Debe]]-Tabla18[[#This Row],[Haber]]</f>
        <v>-57750000</v>
      </c>
      <c r="U200" s="322"/>
      <c r="V200" s="323"/>
      <c r="W200" s="142">
        <f t="shared" si="5"/>
        <v>-57750000</v>
      </c>
      <c r="X200" s="142" t="b">
        <f>ISNUMBER(MATCH(A200,'3_Control_Ppto'!$A$4:$A$70,0))</f>
        <v>0</v>
      </c>
      <c r="Y200" s="136"/>
    </row>
    <row r="201" spans="1:25" ht="12" customHeight="1" x14ac:dyDescent="0.3">
      <c r="A201" s="140" t="s">
        <v>25</v>
      </c>
      <c r="B201" s="140" t="s">
        <v>25</v>
      </c>
      <c r="C201" s="549">
        <f>+EOMONTH(Tabla18[[#This Row],[Fecha Asiento]],-1)+1</f>
        <v>45778</v>
      </c>
      <c r="D201" s="136">
        <v>52210</v>
      </c>
      <c r="E201" s="136" t="s">
        <v>4421</v>
      </c>
      <c r="F201" s="141">
        <v>45793</v>
      </c>
      <c r="G201" s="136">
        <v>1432</v>
      </c>
      <c r="H201" s="136" t="s">
        <v>4617</v>
      </c>
      <c r="I201" s="136" t="s">
        <v>4423</v>
      </c>
      <c r="J201" s="136" t="s">
        <v>4424</v>
      </c>
      <c r="K201" s="136">
        <v>6838</v>
      </c>
      <c r="L201" s="138">
        <v>180000</v>
      </c>
      <c r="M201" s="138">
        <v>0</v>
      </c>
      <c r="N201" s="136" t="s">
        <v>4425</v>
      </c>
      <c r="O201" s="136" t="s">
        <v>4426</v>
      </c>
      <c r="P201" s="136" t="s">
        <v>4427</v>
      </c>
      <c r="Q201" s="136" t="s">
        <v>4428</v>
      </c>
      <c r="R201" s="136">
        <v>0</v>
      </c>
      <c r="S201" s="142">
        <f>(Tabla18[[#This Row],[Debe]]-Tabla18[[#This Row],[Haber]])*
SUMIF('0_Indice_CAC'!$A:$A,Tabla18[[#This Row],[Mes]],'0_Indice_CAC'!$D:$D)</f>
        <v>167308.38372283053</v>
      </c>
      <c r="T201" s="142">
        <f>Tabla18[[#This Row],[Debe]]-Tabla18[[#This Row],[Haber]]</f>
        <v>180000</v>
      </c>
      <c r="U201" s="322"/>
      <c r="V201" s="323"/>
      <c r="W201" s="142">
        <f t="shared" si="5"/>
        <v>180000</v>
      </c>
      <c r="X201" s="142" t="b">
        <f>ISNUMBER(MATCH(A201,'3_Control_Ppto'!$A$4:$A$70,0))</f>
        <v>0</v>
      </c>
      <c r="Y201" s="136"/>
    </row>
    <row r="202" spans="1:25" ht="12" customHeight="1" x14ac:dyDescent="0.3">
      <c r="A202" s="140" t="s">
        <v>4317</v>
      </c>
      <c r="B202" s="140" t="s">
        <v>56</v>
      </c>
      <c r="C202" s="549">
        <f>+EOMONTH(Tabla18[[#This Row],[Fecha Asiento]],-1)+1</f>
        <v>45778</v>
      </c>
      <c r="D202" s="136">
        <v>52103</v>
      </c>
      <c r="E202" s="136" t="s">
        <v>4477</v>
      </c>
      <c r="F202" s="141">
        <v>45797</v>
      </c>
      <c r="G202" s="136">
        <v>2840</v>
      </c>
      <c r="H202" s="136" t="s">
        <v>4479</v>
      </c>
      <c r="I202" s="136" t="s">
        <v>4480</v>
      </c>
      <c r="J202" s="136" t="s">
        <v>4439</v>
      </c>
      <c r="K202" s="136">
        <v>1165500001276</v>
      </c>
      <c r="L202" s="138">
        <v>5409.09</v>
      </c>
      <c r="M202" s="138">
        <v>0</v>
      </c>
      <c r="N202" s="136" t="s">
        <v>4425</v>
      </c>
      <c r="O202" s="136" t="s">
        <v>4426</v>
      </c>
      <c r="P202" s="136" t="s">
        <v>4427</v>
      </c>
      <c r="Q202" s="136" t="s">
        <v>4428</v>
      </c>
      <c r="R202" s="136">
        <v>0</v>
      </c>
      <c r="S202" s="142">
        <f>(Tabla18[[#This Row],[Debe]]-Tabla18[[#This Row],[Haber]])*
SUMIF('0_Indice_CAC'!$A:$A,Tabla18[[#This Row],[Mes]],'0_Indice_CAC'!$D:$D)</f>
        <v>5027.7005850629193</v>
      </c>
      <c r="T202" s="142">
        <f>Tabla18[[#This Row],[Debe]]-Tabla18[[#This Row],[Haber]]</f>
        <v>5409.09</v>
      </c>
      <c r="U202" s="322"/>
      <c r="V202" s="323"/>
      <c r="W202" s="142">
        <f t="shared" si="5"/>
        <v>5409.09</v>
      </c>
      <c r="X202" s="142" t="b">
        <f>ISNUMBER(MATCH(A202,'3_Control_Ppto'!$A$4:$A$70,0))</f>
        <v>1</v>
      </c>
      <c r="Y202" s="136"/>
    </row>
    <row r="203" spans="1:25" ht="12" customHeight="1" x14ac:dyDescent="0.3">
      <c r="A203" s="140" t="s">
        <v>4317</v>
      </c>
      <c r="B203" s="140" t="s">
        <v>56</v>
      </c>
      <c r="C203" s="549">
        <f>+EOMONTH(Tabla18[[#This Row],[Fecha Asiento]],-1)+1</f>
        <v>45778</v>
      </c>
      <c r="D203" s="136">
        <v>52005</v>
      </c>
      <c r="E203" s="136" t="s">
        <v>4357</v>
      </c>
      <c r="F203" s="141">
        <v>45798</v>
      </c>
      <c r="G203" s="136">
        <v>3485</v>
      </c>
      <c r="H203" s="136" t="s">
        <v>4586</v>
      </c>
      <c r="I203" s="136" t="s">
        <v>4587</v>
      </c>
      <c r="J203" s="136" t="s">
        <v>4455</v>
      </c>
      <c r="K203" s="136">
        <v>426405353103</v>
      </c>
      <c r="L203" s="138">
        <v>20205</v>
      </c>
      <c r="M203" s="138">
        <v>0</v>
      </c>
      <c r="N203" s="136" t="s">
        <v>4425</v>
      </c>
      <c r="O203" s="136" t="s">
        <v>4426</v>
      </c>
      <c r="P203" s="136" t="s">
        <v>4427</v>
      </c>
      <c r="Q203" s="136" t="s">
        <v>4428</v>
      </c>
      <c r="R203" s="136">
        <v>0</v>
      </c>
      <c r="S203" s="142">
        <f>(Tabla18[[#This Row],[Debe]]-Tabla18[[#This Row],[Haber]])*
SUMIF('0_Indice_CAC'!$A:$A,Tabla18[[#This Row],[Mes]],'0_Indice_CAC'!$D:$D)</f>
        <v>18780.366072887729</v>
      </c>
      <c r="T203" s="142">
        <f>Tabla18[[#This Row],[Debe]]-Tabla18[[#This Row],[Haber]]</f>
        <v>20205</v>
      </c>
      <c r="U203" s="322"/>
      <c r="V203" s="323"/>
      <c r="W203" s="142">
        <f t="shared" si="5"/>
        <v>20205</v>
      </c>
      <c r="X203" s="142" t="b">
        <f>ISNUMBER(MATCH(A203,'3_Control_Ppto'!$A$4:$A$70,0))</f>
        <v>1</v>
      </c>
      <c r="Y203" s="136"/>
    </row>
    <row r="204" spans="1:25" ht="12" customHeight="1" x14ac:dyDescent="0.3">
      <c r="A204" s="140" t="s">
        <v>4125</v>
      </c>
      <c r="B204" s="140" t="s">
        <v>56</v>
      </c>
      <c r="C204" s="549">
        <f>+EOMONTH(Tabla18[[#This Row],[Fecha Asiento]],-1)+1</f>
        <v>45778</v>
      </c>
      <c r="D204" s="136">
        <v>53003</v>
      </c>
      <c r="E204" s="136" t="s">
        <v>4523</v>
      </c>
      <c r="F204" s="141">
        <v>45799</v>
      </c>
      <c r="G204" s="136">
        <v>1444</v>
      </c>
      <c r="H204" s="136" t="s">
        <v>4618</v>
      </c>
      <c r="I204" s="136" t="s">
        <v>4423</v>
      </c>
      <c r="J204" s="136" t="s">
        <v>4424</v>
      </c>
      <c r="K204" s="136">
        <v>6851</v>
      </c>
      <c r="L204" s="138">
        <v>1030000</v>
      </c>
      <c r="M204" s="138">
        <v>0</v>
      </c>
      <c r="N204" s="136" t="s">
        <v>4425</v>
      </c>
      <c r="O204" s="136" t="s">
        <v>4426</v>
      </c>
      <c r="P204" s="136" t="s">
        <v>4427</v>
      </c>
      <c r="Q204" s="136" t="s">
        <v>4428</v>
      </c>
      <c r="R204" s="136">
        <v>0</v>
      </c>
      <c r="S204" s="142">
        <f>(Tabla18[[#This Row],[Debe]]-Tabla18[[#This Row],[Haber]])*
SUMIF('0_Indice_CAC'!$A:$A,Tabla18[[#This Row],[Mes]],'0_Indice_CAC'!$D:$D)</f>
        <v>957375.75130286359</v>
      </c>
      <c r="T204" s="142">
        <f>Tabla18[[#This Row],[Debe]]-Tabla18[[#This Row],[Haber]]</f>
        <v>1030000</v>
      </c>
      <c r="U204" s="322" t="s">
        <v>4525</v>
      </c>
      <c r="V204" s="323"/>
      <c r="W204" s="142">
        <f t="shared" si="5"/>
        <v>1030000</v>
      </c>
      <c r="X204" s="142" t="b">
        <f>ISNUMBER(MATCH(A204,'3_Control_Ppto'!$A$4:$A$70,0))</f>
        <v>1</v>
      </c>
      <c r="Y204" s="136"/>
    </row>
    <row r="205" spans="1:25" ht="12" customHeight="1" x14ac:dyDescent="0.3">
      <c r="A205" s="140" t="s">
        <v>106</v>
      </c>
      <c r="B205" s="140" t="s">
        <v>25</v>
      </c>
      <c r="C205" s="549">
        <f>+EOMONTH(Tabla18[[#This Row],[Fecha Asiento]],-1)+1</f>
        <v>45778</v>
      </c>
      <c r="D205" s="136">
        <v>53009</v>
      </c>
      <c r="E205" s="136" t="s">
        <v>4446</v>
      </c>
      <c r="F205" s="141">
        <v>45799</v>
      </c>
      <c r="G205" s="136">
        <v>1449</v>
      </c>
      <c r="H205" s="136" t="s">
        <v>4619</v>
      </c>
      <c r="I205" s="136" t="s">
        <v>4423</v>
      </c>
      <c r="J205" s="136" t="s">
        <v>4424</v>
      </c>
      <c r="K205" s="136">
        <v>6856</v>
      </c>
      <c r="L205" s="138">
        <v>1256000</v>
      </c>
      <c r="M205" s="138">
        <v>0</v>
      </c>
      <c r="N205" s="136" t="s">
        <v>4425</v>
      </c>
      <c r="O205" s="136" t="s">
        <v>4426</v>
      </c>
      <c r="P205" s="136" t="s">
        <v>4427</v>
      </c>
      <c r="Q205" s="136" t="s">
        <v>4428</v>
      </c>
      <c r="R205" s="136">
        <v>0</v>
      </c>
      <c r="S205" s="142">
        <f>(Tabla18[[#This Row],[Debe]]-Tabla18[[#This Row],[Haber]])*
SUMIF('0_Indice_CAC'!$A:$A,Tabla18[[#This Row],[Mes]],'0_Indice_CAC'!$D:$D)</f>
        <v>1167440.7219770842</v>
      </c>
      <c r="T205" s="142">
        <f>Tabla18[[#This Row],[Debe]]-Tabla18[[#This Row],[Haber]]</f>
        <v>1256000</v>
      </c>
      <c r="U205" s="322"/>
      <c r="V205" s="323"/>
      <c r="W205" s="142">
        <f t="shared" si="5"/>
        <v>1256000</v>
      </c>
      <c r="X205" s="142" t="b">
        <f>ISNUMBER(MATCH(A205,'3_Control_Ppto'!$A$4:$A$70,0))</f>
        <v>1</v>
      </c>
      <c r="Y205" s="136"/>
    </row>
    <row r="206" spans="1:25" ht="12" customHeight="1" x14ac:dyDescent="0.3">
      <c r="A206" s="140" t="s">
        <v>106</v>
      </c>
      <c r="B206" s="140" t="s">
        <v>4090</v>
      </c>
      <c r="C206" s="549">
        <f>+EOMONTH(Tabla18[[#This Row],[Fecha Asiento]],-1)+1</f>
        <v>45778</v>
      </c>
      <c r="D206" s="136">
        <v>53023</v>
      </c>
      <c r="E206" s="136" t="s">
        <v>4467</v>
      </c>
      <c r="F206" s="141">
        <v>45799</v>
      </c>
      <c r="G206" s="136">
        <v>3119</v>
      </c>
      <c r="H206" s="136" t="s">
        <v>4475</v>
      </c>
      <c r="I206" s="136" t="s">
        <v>4471</v>
      </c>
      <c r="J206" s="136" t="s">
        <v>4455</v>
      </c>
      <c r="K206" s="136">
        <v>1000198956</v>
      </c>
      <c r="L206" s="138">
        <v>982045.93</v>
      </c>
      <c r="M206" s="138">
        <v>0</v>
      </c>
      <c r="N206" s="136" t="s">
        <v>4425</v>
      </c>
      <c r="O206" s="136" t="s">
        <v>4426</v>
      </c>
      <c r="P206" s="136" t="s">
        <v>4427</v>
      </c>
      <c r="Q206" s="136" t="s">
        <v>4428</v>
      </c>
      <c r="R206" s="136">
        <v>0</v>
      </c>
      <c r="S206" s="142">
        <f>(Tabla18[[#This Row],[Debe]]-Tabla18[[#This Row],[Haber]])*
SUMIF('0_Indice_CAC'!$A:$A,Tabla18[[#This Row],[Mes]],'0_Indice_CAC'!$D:$D)</f>
        <v>912802.87383268878</v>
      </c>
      <c r="T206" s="142">
        <f>Tabla18[[#This Row],[Debe]]-Tabla18[[#This Row],[Haber]]</f>
        <v>982045.93</v>
      </c>
      <c r="U206" s="322"/>
      <c r="V206" s="323"/>
      <c r="W206" s="142">
        <f t="shared" si="5"/>
        <v>982045.93</v>
      </c>
      <c r="X206" s="142" t="b">
        <f>ISNUMBER(MATCH(A206,'3_Control_Ppto'!$A$4:$A$70,0))</f>
        <v>1</v>
      </c>
      <c r="Y206" s="136"/>
    </row>
    <row r="207" spans="1:25" ht="12" customHeight="1" x14ac:dyDescent="0.3">
      <c r="A207" s="140" t="s">
        <v>4310</v>
      </c>
      <c r="B207" s="140" t="s">
        <v>56</v>
      </c>
      <c r="C207" s="549">
        <f>+EOMONTH(Tabla18[[#This Row],[Fecha Asiento]],-1)+1</f>
        <v>45778</v>
      </c>
      <c r="D207" s="136">
        <v>53026</v>
      </c>
      <c r="E207" s="136" t="s">
        <v>4310</v>
      </c>
      <c r="F207" s="141">
        <v>45799</v>
      </c>
      <c r="G207" s="136">
        <v>3119</v>
      </c>
      <c r="H207" s="136" t="s">
        <v>4522</v>
      </c>
      <c r="I207" s="136" t="s">
        <v>4471</v>
      </c>
      <c r="J207" s="136" t="s">
        <v>4455</v>
      </c>
      <c r="K207" s="136">
        <v>1000198956</v>
      </c>
      <c r="L207" s="138">
        <v>28077.66</v>
      </c>
      <c r="M207" s="138">
        <v>0</v>
      </c>
      <c r="N207" s="136" t="s">
        <v>4425</v>
      </c>
      <c r="O207" s="136" t="s">
        <v>4426</v>
      </c>
      <c r="P207" s="136" t="s">
        <v>4427</v>
      </c>
      <c r="Q207" s="136" t="s">
        <v>4428</v>
      </c>
      <c r="R207" s="136">
        <v>0</v>
      </c>
      <c r="S207" s="142">
        <f>(Tabla18[[#This Row],[Debe]]-Tabla18[[#This Row],[Haber]])*
SUMIF('0_Indice_CAC'!$A:$A,Tabla18[[#This Row],[Mes]],'0_Indice_CAC'!$D:$D)</f>
        <v>26097.932851773166</v>
      </c>
      <c r="T207" s="142">
        <f>Tabla18[[#This Row],[Debe]]-Tabla18[[#This Row],[Haber]]</f>
        <v>28077.66</v>
      </c>
      <c r="U207" s="322"/>
      <c r="V207" s="323"/>
      <c r="W207" s="142">
        <f t="shared" si="5"/>
        <v>28077.66</v>
      </c>
      <c r="X207" s="142" t="b">
        <f>ISNUMBER(MATCH(A207,'3_Control_Ppto'!$A$4:$A$70,0))</f>
        <v>1</v>
      </c>
      <c r="Y207" s="136"/>
    </row>
    <row r="208" spans="1:25" ht="12" customHeight="1" x14ac:dyDescent="0.3">
      <c r="A208" s="140" t="s">
        <v>4317</v>
      </c>
      <c r="B208" s="140" t="s">
        <v>56</v>
      </c>
      <c r="C208" s="549">
        <f>+EOMONTH(Tabla18[[#This Row],[Fecha Asiento]],-1)+1</f>
        <v>45778</v>
      </c>
      <c r="D208" s="136">
        <v>52302</v>
      </c>
      <c r="E208" s="136" t="s">
        <v>4444</v>
      </c>
      <c r="F208" s="141">
        <v>45801</v>
      </c>
      <c r="G208" s="136">
        <v>3130</v>
      </c>
      <c r="H208" s="136" t="s">
        <v>4620</v>
      </c>
      <c r="I208" s="136" t="s">
        <v>4602</v>
      </c>
      <c r="J208" s="136" t="s">
        <v>4455</v>
      </c>
      <c r="K208" s="136">
        <v>3000021734</v>
      </c>
      <c r="L208" s="138">
        <v>4171.91</v>
      </c>
      <c r="M208" s="138">
        <v>0</v>
      </c>
      <c r="N208" s="136" t="s">
        <v>4425</v>
      </c>
      <c r="O208" s="136" t="s">
        <v>4426</v>
      </c>
      <c r="P208" s="136" t="s">
        <v>4427</v>
      </c>
      <c r="Q208" s="136" t="s">
        <v>4428</v>
      </c>
      <c r="R208" s="136">
        <v>0</v>
      </c>
      <c r="S208" s="142">
        <f>(Tabla18[[#This Row],[Debe]]-Tabla18[[#This Row],[Haber]])*
SUMIF('0_Indice_CAC'!$A:$A,Tabla18[[#This Row],[Mes]],'0_Indice_CAC'!$D:$D)</f>
        <v>3877.7528840950772</v>
      </c>
      <c r="T208" s="142">
        <f>Tabla18[[#This Row],[Debe]]-Tabla18[[#This Row],[Haber]]</f>
        <v>4171.91</v>
      </c>
      <c r="U208" s="322"/>
      <c r="V208" s="323"/>
      <c r="W208" s="142">
        <f t="shared" si="5"/>
        <v>4171.91</v>
      </c>
      <c r="X208" s="142" t="b">
        <f>ISNUMBER(MATCH(A208,'3_Control_Ppto'!$A$4:$A$70,0))</f>
        <v>1</v>
      </c>
      <c r="Y208" s="136"/>
    </row>
    <row r="209" spans="1:25" ht="12" customHeight="1" x14ac:dyDescent="0.3">
      <c r="A209" s="140" t="s">
        <v>4317</v>
      </c>
      <c r="B209" s="140" t="s">
        <v>56</v>
      </c>
      <c r="C209" s="549">
        <f>+EOMONTH(Tabla18[[#This Row],[Fecha Asiento]],-1)+1</f>
        <v>45778</v>
      </c>
      <c r="D209" s="136">
        <v>52302</v>
      </c>
      <c r="E209" s="136" t="s">
        <v>4444</v>
      </c>
      <c r="F209" s="141">
        <v>45801</v>
      </c>
      <c r="G209" s="136">
        <v>3130</v>
      </c>
      <c r="H209" s="136" t="s">
        <v>4601</v>
      </c>
      <c r="I209" s="136" t="s">
        <v>4602</v>
      </c>
      <c r="J209" s="136" t="s">
        <v>4455</v>
      </c>
      <c r="K209" s="136">
        <v>3000021734</v>
      </c>
      <c r="L209" s="138">
        <v>917.8</v>
      </c>
      <c r="M209" s="138">
        <v>0</v>
      </c>
      <c r="N209" s="136" t="s">
        <v>4425</v>
      </c>
      <c r="O209" s="136" t="s">
        <v>4426</v>
      </c>
      <c r="P209" s="136" t="s">
        <v>4427</v>
      </c>
      <c r="Q209" s="136" t="s">
        <v>4428</v>
      </c>
      <c r="R209" s="136">
        <v>0</v>
      </c>
      <c r="S209" s="142">
        <f>(Tabla18[[#This Row],[Debe]]-Tabla18[[#This Row],[Haber]])*
SUMIF('0_Indice_CAC'!$A:$A,Tabla18[[#This Row],[Mes]],'0_Indice_CAC'!$D:$D)</f>
        <v>853.08685878229926</v>
      </c>
      <c r="T209" s="142">
        <f>Tabla18[[#This Row],[Debe]]-Tabla18[[#This Row],[Haber]]</f>
        <v>917.8</v>
      </c>
      <c r="U209" s="322"/>
      <c r="V209" s="323"/>
      <c r="W209" s="142">
        <f t="shared" si="5"/>
        <v>917.8</v>
      </c>
      <c r="X209" s="142" t="b">
        <f>ISNUMBER(MATCH(A209,'3_Control_Ppto'!$A$4:$A$70,0))</f>
        <v>1</v>
      </c>
      <c r="Y209" s="136"/>
    </row>
    <row r="210" spans="1:25" ht="12" customHeight="1" x14ac:dyDescent="0.3">
      <c r="A210" s="140" t="s">
        <v>4317</v>
      </c>
      <c r="B210" s="140" t="s">
        <v>56</v>
      </c>
      <c r="C210" s="549">
        <f>+EOMONTH(Tabla18[[#This Row],[Fecha Asiento]],-1)+1</f>
        <v>45778</v>
      </c>
      <c r="D210" s="136">
        <v>52302</v>
      </c>
      <c r="E210" s="136" t="s">
        <v>4444</v>
      </c>
      <c r="F210" s="141">
        <v>45801</v>
      </c>
      <c r="G210" s="136">
        <v>3130</v>
      </c>
      <c r="H210" s="136" t="s">
        <v>4603</v>
      </c>
      <c r="I210" s="136" t="s">
        <v>4602</v>
      </c>
      <c r="J210" s="136" t="s">
        <v>4455</v>
      </c>
      <c r="K210" s="136">
        <v>3000021734</v>
      </c>
      <c r="L210" s="138">
        <v>56.22</v>
      </c>
      <c r="M210" s="138">
        <v>0</v>
      </c>
      <c r="N210" s="136" t="s">
        <v>4425</v>
      </c>
      <c r="O210" s="136" t="s">
        <v>4426</v>
      </c>
      <c r="P210" s="136" t="s">
        <v>4427</v>
      </c>
      <c r="Q210" s="136" t="s">
        <v>4428</v>
      </c>
      <c r="R210" s="136">
        <v>0</v>
      </c>
      <c r="S210" s="142">
        <f>(Tabla18[[#This Row],[Debe]]-Tabla18[[#This Row],[Haber]])*
SUMIF('0_Indice_CAC'!$A:$A,Tabla18[[#This Row],[Mes]],'0_Indice_CAC'!$D:$D)</f>
        <v>52.255985182764071</v>
      </c>
      <c r="T210" s="142">
        <f>Tabla18[[#This Row],[Debe]]-Tabla18[[#This Row],[Haber]]</f>
        <v>56.22</v>
      </c>
      <c r="U210" s="322"/>
      <c r="V210" s="323"/>
      <c r="W210" s="142">
        <f t="shared" si="5"/>
        <v>56.22</v>
      </c>
      <c r="X210" s="142" t="b">
        <f>ISNUMBER(MATCH(A210,'3_Control_Ppto'!$A$4:$A$70,0))</f>
        <v>1</v>
      </c>
      <c r="Y210" s="136"/>
    </row>
    <row r="211" spans="1:25" ht="12" customHeight="1" x14ac:dyDescent="0.3">
      <c r="A211" s="140" t="s">
        <v>1478</v>
      </c>
      <c r="B211" s="140" t="s">
        <v>4090</v>
      </c>
      <c r="C211" s="549">
        <f>+EOMONTH(Tabla18[[#This Row],[Fecha Asiento]],-1)+1</f>
        <v>45778</v>
      </c>
      <c r="D211" s="136">
        <v>53004</v>
      </c>
      <c r="E211" s="136" t="s">
        <v>4496</v>
      </c>
      <c r="F211" s="141">
        <v>45804</v>
      </c>
      <c r="G211" s="136">
        <v>3143</v>
      </c>
      <c r="H211" s="136" t="s">
        <v>4621</v>
      </c>
      <c r="I211" s="136" t="s">
        <v>4622</v>
      </c>
      <c r="J211" s="136" t="s">
        <v>4455</v>
      </c>
      <c r="K211" s="136">
        <v>500031800</v>
      </c>
      <c r="L211" s="138">
        <v>342388.55</v>
      </c>
      <c r="M211" s="138">
        <v>0</v>
      </c>
      <c r="N211" s="136" t="s">
        <v>4425</v>
      </c>
      <c r="O211" s="136" t="s">
        <v>4426</v>
      </c>
      <c r="P211" s="136" t="s">
        <v>4427</v>
      </c>
      <c r="Q211" s="136" t="s">
        <v>4428</v>
      </c>
      <c r="R211" s="136">
        <v>0</v>
      </c>
      <c r="S211" s="142">
        <f>(Tabla18[[#This Row],[Debe]]-Tabla18[[#This Row],[Haber]])*
SUMIF('0_Indice_CAC'!$A:$A,Tabla18[[#This Row],[Mes]],'0_Indice_CAC'!$D:$D)</f>
        <v>318247.08280946413</v>
      </c>
      <c r="T211" s="142">
        <f>Tabla18[[#This Row],[Debe]]-Tabla18[[#This Row],[Haber]]</f>
        <v>342388.55</v>
      </c>
      <c r="U211" s="322"/>
      <c r="V211" s="323"/>
      <c r="W211" s="142">
        <f t="shared" si="5"/>
        <v>342388.55</v>
      </c>
      <c r="X211" s="142" t="b">
        <f>ISNUMBER(MATCH(A211,'3_Control_Ppto'!$A$4:$A$70,0))</f>
        <v>1</v>
      </c>
      <c r="Y211" s="136"/>
    </row>
    <row r="212" spans="1:25" ht="12" customHeight="1" x14ac:dyDescent="0.3">
      <c r="A212" s="140" t="s">
        <v>3219</v>
      </c>
      <c r="B212" s="140" t="s">
        <v>4090</v>
      </c>
      <c r="C212" s="549">
        <f>+EOMONTH(Tabla18[[#This Row],[Fecha Asiento]],-1)+1</f>
        <v>45778</v>
      </c>
      <c r="D212" s="136">
        <v>53019</v>
      </c>
      <c r="E212" s="136" t="s">
        <v>4461</v>
      </c>
      <c r="F212" s="141">
        <v>45804</v>
      </c>
      <c r="G212" s="136">
        <v>3136</v>
      </c>
      <c r="H212" s="136" t="s">
        <v>4462</v>
      </c>
      <c r="I212" s="136" t="s">
        <v>4463</v>
      </c>
      <c r="J212" s="136" t="s">
        <v>4455</v>
      </c>
      <c r="K212" s="136">
        <v>300006442</v>
      </c>
      <c r="L212" s="138">
        <v>279869.25</v>
      </c>
      <c r="M212" s="138">
        <v>0</v>
      </c>
      <c r="N212" s="136" t="s">
        <v>4425</v>
      </c>
      <c r="O212" s="136" t="s">
        <v>4426</v>
      </c>
      <c r="P212" s="136" t="s">
        <v>4427</v>
      </c>
      <c r="Q212" s="136" t="s">
        <v>4428</v>
      </c>
      <c r="R212" s="136">
        <v>0</v>
      </c>
      <c r="S212" s="142">
        <f>(Tabla18[[#This Row],[Debe]]-Tabla18[[#This Row],[Haber]])*
SUMIF('0_Indice_CAC'!$A:$A,Tabla18[[#This Row],[Mes]],'0_Indice_CAC'!$D:$D)</f>
        <v>260135.9548401155</v>
      </c>
      <c r="T212" s="142">
        <f>Tabla18[[#This Row],[Debe]]-Tabla18[[#This Row],[Haber]]</f>
        <v>279869.25</v>
      </c>
      <c r="U212" s="322"/>
      <c r="V212" s="323"/>
      <c r="W212" s="142">
        <f t="shared" si="5"/>
        <v>279869.25</v>
      </c>
      <c r="X212" s="142" t="b">
        <f>ISNUMBER(MATCH(A212,'3_Control_Ppto'!$A$4:$A$70,0))</f>
        <v>1</v>
      </c>
      <c r="Y212" s="136"/>
    </row>
    <row r="213" spans="1:25" ht="12" customHeight="1" x14ac:dyDescent="0.3">
      <c r="A213" s="140" t="s">
        <v>1478</v>
      </c>
      <c r="B213" s="140" t="s">
        <v>4090</v>
      </c>
      <c r="C213" s="549">
        <f>+EOMONTH(Tabla18[[#This Row],[Fecha Asiento]],-1)+1</f>
        <v>45778</v>
      </c>
      <c r="D213" s="136">
        <v>53004</v>
      </c>
      <c r="E213" s="136" t="s">
        <v>4496</v>
      </c>
      <c r="F213" s="141">
        <v>45805</v>
      </c>
      <c r="G213" s="136">
        <v>3150</v>
      </c>
      <c r="H213" s="136" t="s">
        <v>4623</v>
      </c>
      <c r="I213" s="136" t="s">
        <v>4624</v>
      </c>
      <c r="J213" s="136" t="s">
        <v>4455</v>
      </c>
      <c r="K213" s="136">
        <v>5000013747</v>
      </c>
      <c r="L213" s="138">
        <v>3429716.87</v>
      </c>
      <c r="M213" s="138">
        <v>0</v>
      </c>
      <c r="N213" s="136" t="s">
        <v>4425</v>
      </c>
      <c r="O213" s="136" t="s">
        <v>4426</v>
      </c>
      <c r="P213" s="136" t="s">
        <v>4427</v>
      </c>
      <c r="Q213" s="136" t="s">
        <v>4428</v>
      </c>
      <c r="R213" s="136">
        <v>0</v>
      </c>
      <c r="S213" s="142">
        <f>(Tabla18[[#This Row],[Debe]]-Tabla18[[#This Row],[Haber]])*
SUMIF('0_Indice_CAC'!$A:$A,Tabla18[[#This Row],[Mes]],'0_Indice_CAC'!$D:$D)</f>
        <v>3187891.0341479182</v>
      </c>
      <c r="T213" s="142">
        <f>Tabla18[[#This Row],[Debe]]-Tabla18[[#This Row],[Haber]]</f>
        <v>3429716.87</v>
      </c>
      <c r="U213" s="322"/>
      <c r="V213" s="323"/>
      <c r="W213" s="142">
        <f t="shared" si="5"/>
        <v>3429716.87</v>
      </c>
      <c r="X213" s="142" t="b">
        <f>ISNUMBER(MATCH(A213,'3_Control_Ppto'!$A$4:$A$70,0))</f>
        <v>1</v>
      </c>
      <c r="Y213" s="136"/>
    </row>
    <row r="214" spans="1:25" ht="12" customHeight="1" x14ac:dyDescent="0.3">
      <c r="A214" s="140" t="s">
        <v>1478</v>
      </c>
      <c r="B214" s="140" t="s">
        <v>4090</v>
      </c>
      <c r="C214" s="549">
        <f>+EOMONTH(Tabla18[[#This Row],[Fecha Asiento]],-1)+1</f>
        <v>45778</v>
      </c>
      <c r="D214" s="136">
        <v>53004</v>
      </c>
      <c r="E214" s="136" t="s">
        <v>4496</v>
      </c>
      <c r="F214" s="141">
        <v>45805</v>
      </c>
      <c r="G214" s="136">
        <v>3151</v>
      </c>
      <c r="H214" s="136" t="s">
        <v>4497</v>
      </c>
      <c r="I214" s="136" t="s">
        <v>4495</v>
      </c>
      <c r="J214" s="136" t="s">
        <v>4455</v>
      </c>
      <c r="K214" s="136">
        <v>400011908</v>
      </c>
      <c r="L214" s="138">
        <v>6612657.7999999998</v>
      </c>
      <c r="M214" s="138">
        <v>0</v>
      </c>
      <c r="N214" s="136" t="s">
        <v>4425</v>
      </c>
      <c r="O214" s="136" t="s">
        <v>4426</v>
      </c>
      <c r="P214" s="136" t="s">
        <v>4427</v>
      </c>
      <c r="Q214" s="136" t="s">
        <v>4428</v>
      </c>
      <c r="R214" s="136">
        <v>0</v>
      </c>
      <c r="S214" s="142">
        <f>(Tabla18[[#This Row],[Debe]]-Tabla18[[#This Row],[Haber]])*
SUMIF('0_Indice_CAC'!$A:$A,Tabla18[[#This Row],[Mes]],'0_Indice_CAC'!$D:$D)</f>
        <v>6146406.0479453793</v>
      </c>
      <c r="T214" s="142">
        <f>Tabla18[[#This Row],[Debe]]-Tabla18[[#This Row],[Haber]]</f>
        <v>6612657.7999999998</v>
      </c>
      <c r="U214" s="322"/>
      <c r="V214" s="323"/>
      <c r="W214" s="142">
        <f t="shared" si="5"/>
        <v>6612657.7999999998</v>
      </c>
      <c r="X214" s="142" t="b">
        <f>ISNUMBER(MATCH(A214,'3_Control_Ppto'!$A$4:$A$70,0))</f>
        <v>1</v>
      </c>
      <c r="Y214" s="136"/>
    </row>
    <row r="215" spans="1:25" ht="12" customHeight="1" x14ac:dyDescent="0.3">
      <c r="A215" s="140" t="s">
        <v>106</v>
      </c>
      <c r="B215" s="140" t="s">
        <v>4090</v>
      </c>
      <c r="C215" s="549">
        <f>+EOMONTH(Tabla18[[#This Row],[Fecha Asiento]],-1)+1</f>
        <v>45778</v>
      </c>
      <c r="D215" s="136">
        <v>53023</v>
      </c>
      <c r="E215" s="136" t="s">
        <v>4467</v>
      </c>
      <c r="F215" s="141">
        <v>45805</v>
      </c>
      <c r="G215" s="136">
        <v>1518</v>
      </c>
      <c r="H215" s="136" t="s">
        <v>4468</v>
      </c>
      <c r="I215" s="136" t="s">
        <v>4423</v>
      </c>
      <c r="J215" s="136" t="s">
        <v>4424</v>
      </c>
      <c r="K215" s="136">
        <v>6924</v>
      </c>
      <c r="L215" s="138">
        <v>4140</v>
      </c>
      <c r="M215" s="138">
        <v>0</v>
      </c>
      <c r="N215" s="136" t="s">
        <v>4425</v>
      </c>
      <c r="O215" s="136" t="s">
        <v>4426</v>
      </c>
      <c r="P215" s="136" t="s">
        <v>4427</v>
      </c>
      <c r="Q215" s="136" t="s">
        <v>4428</v>
      </c>
      <c r="R215" s="136">
        <v>0</v>
      </c>
      <c r="S215" s="142">
        <f>(Tabla18[[#This Row],[Debe]]-Tabla18[[#This Row],[Haber]])*
SUMIF('0_Indice_CAC'!$A:$A,Tabla18[[#This Row],[Mes]],'0_Indice_CAC'!$D:$D)</f>
        <v>3848.0928256251023</v>
      </c>
      <c r="T215" s="142">
        <f>Tabla18[[#This Row],[Debe]]-Tabla18[[#This Row],[Haber]]</f>
        <v>4140</v>
      </c>
      <c r="U215" s="322"/>
      <c r="V215" s="323"/>
      <c r="W215" s="142">
        <f t="shared" si="5"/>
        <v>4140</v>
      </c>
      <c r="X215" s="142" t="b">
        <f>ISNUMBER(MATCH(A215,'3_Control_Ppto'!$A$4:$A$70,0))</f>
        <v>1</v>
      </c>
      <c r="Y215" s="136"/>
    </row>
    <row r="216" spans="1:25" ht="12" customHeight="1" x14ac:dyDescent="0.3">
      <c r="A216" s="140" t="s">
        <v>1478</v>
      </c>
      <c r="B216" s="140" t="s">
        <v>4090</v>
      </c>
      <c r="C216" s="549">
        <f>+EOMONTH(Tabla18[[#This Row],[Fecha Asiento]],-1)+1</f>
        <v>45778</v>
      </c>
      <c r="D216" s="136">
        <v>53004</v>
      </c>
      <c r="E216" s="136" t="s">
        <v>4496</v>
      </c>
      <c r="F216" s="141">
        <v>45806</v>
      </c>
      <c r="G216" s="136">
        <v>3157</v>
      </c>
      <c r="H216" s="136" t="s">
        <v>4623</v>
      </c>
      <c r="I216" s="136" t="s">
        <v>4624</v>
      </c>
      <c r="J216" s="136" t="s">
        <v>4455</v>
      </c>
      <c r="K216" s="136">
        <v>5000013748</v>
      </c>
      <c r="L216" s="138">
        <v>3501881</v>
      </c>
      <c r="M216" s="138">
        <v>0</v>
      </c>
      <c r="N216" s="136" t="s">
        <v>4425</v>
      </c>
      <c r="O216" s="136" t="s">
        <v>4426</v>
      </c>
      <c r="P216" s="136" t="s">
        <v>4427</v>
      </c>
      <c r="Q216" s="136" t="s">
        <v>4428</v>
      </c>
      <c r="R216" s="136">
        <v>0</v>
      </c>
      <c r="S216" s="142">
        <f>(Tabla18[[#This Row],[Debe]]-Tabla18[[#This Row],[Haber]])*
SUMIF('0_Indice_CAC'!$A:$A,Tabla18[[#This Row],[Mes]],'0_Indice_CAC'!$D:$D)</f>
        <v>3254966.944998275</v>
      </c>
      <c r="T216" s="142">
        <f>Tabla18[[#This Row],[Debe]]-Tabla18[[#This Row],[Haber]]</f>
        <v>3501881</v>
      </c>
      <c r="U216" s="322"/>
      <c r="V216" s="323"/>
      <c r="W216" s="142">
        <f t="shared" si="5"/>
        <v>3501881</v>
      </c>
      <c r="X216" s="142" t="b">
        <f>ISNUMBER(MATCH(A216,'3_Control_Ppto'!$A$4:$A$70,0))</f>
        <v>1</v>
      </c>
      <c r="Y216" s="136"/>
    </row>
    <row r="217" spans="1:25" ht="12" customHeight="1" x14ac:dyDescent="0.3">
      <c r="A217" s="140" t="s">
        <v>1478</v>
      </c>
      <c r="B217" s="140" t="s">
        <v>4090</v>
      </c>
      <c r="C217" s="549">
        <f>+EOMONTH(Tabla18[[#This Row],[Fecha Asiento]],-1)+1</f>
        <v>45778</v>
      </c>
      <c r="D217" s="136">
        <v>53004</v>
      </c>
      <c r="E217" s="136" t="s">
        <v>4496</v>
      </c>
      <c r="F217" s="141">
        <v>45806</v>
      </c>
      <c r="G217" s="136">
        <v>3160</v>
      </c>
      <c r="H217" s="136" t="s">
        <v>4625</v>
      </c>
      <c r="I217" s="136" t="s">
        <v>4596</v>
      </c>
      <c r="J217" s="136" t="s">
        <v>4597</v>
      </c>
      <c r="K217" s="136">
        <v>22400006074</v>
      </c>
      <c r="L217" s="138">
        <v>155200</v>
      </c>
      <c r="M217" s="138">
        <v>0</v>
      </c>
      <c r="N217" s="136" t="s">
        <v>4425</v>
      </c>
      <c r="O217" s="136" t="s">
        <v>4426</v>
      </c>
      <c r="P217" s="136" t="s">
        <v>4427</v>
      </c>
      <c r="Q217" s="136" t="s">
        <v>4428</v>
      </c>
      <c r="R217" s="136">
        <v>0</v>
      </c>
      <c r="S217" s="142">
        <f>(Tabla18[[#This Row],[Debe]]-Tabla18[[#This Row],[Haber]])*
SUMIF('0_Indice_CAC'!$A:$A,Tabla18[[#This Row],[Mes]],'0_Indice_CAC'!$D:$D)</f>
        <v>144257.00640990722</v>
      </c>
      <c r="T217" s="142">
        <f>Tabla18[[#This Row],[Debe]]-Tabla18[[#This Row],[Haber]]</f>
        <v>155200</v>
      </c>
      <c r="U217" s="322"/>
      <c r="V217" s="323"/>
      <c r="W217" s="142">
        <f t="shared" si="5"/>
        <v>155200</v>
      </c>
      <c r="X217" s="142" t="b">
        <f>ISNUMBER(MATCH(A217,'3_Control_Ppto'!$A$4:$A$70,0))</f>
        <v>1</v>
      </c>
      <c r="Y217" s="136"/>
    </row>
    <row r="218" spans="1:25" ht="12" customHeight="1" x14ac:dyDescent="0.3">
      <c r="A218" s="140" t="s">
        <v>1478</v>
      </c>
      <c r="B218" s="140" t="s">
        <v>4090</v>
      </c>
      <c r="C218" s="549">
        <f>+EOMONTH(Tabla18[[#This Row],[Fecha Asiento]],-1)+1</f>
        <v>45778</v>
      </c>
      <c r="D218" s="136">
        <v>53004</v>
      </c>
      <c r="E218" s="136" t="s">
        <v>4496</v>
      </c>
      <c r="F218" s="141">
        <v>45806</v>
      </c>
      <c r="G218" s="136">
        <v>3163</v>
      </c>
      <c r="H218" s="136" t="s">
        <v>4626</v>
      </c>
      <c r="I218" s="136" t="s">
        <v>4624</v>
      </c>
      <c r="J218" s="136" t="s">
        <v>4519</v>
      </c>
      <c r="K218" s="136">
        <v>5000000980</v>
      </c>
      <c r="L218" s="138">
        <v>0</v>
      </c>
      <c r="M218" s="138">
        <v>3429716.87</v>
      </c>
      <c r="N218" s="136" t="s">
        <v>4425</v>
      </c>
      <c r="O218" s="136" t="s">
        <v>4426</v>
      </c>
      <c r="P218" s="136" t="s">
        <v>4427</v>
      </c>
      <c r="Q218" s="136" t="s">
        <v>4428</v>
      </c>
      <c r="R218" s="136">
        <v>0</v>
      </c>
      <c r="S218" s="142">
        <f>(Tabla18[[#This Row],[Debe]]-Tabla18[[#This Row],[Haber]])*
SUMIF('0_Indice_CAC'!$A:$A,Tabla18[[#This Row],[Mes]],'0_Indice_CAC'!$D:$D)</f>
        <v>-3187891.0341479182</v>
      </c>
      <c r="T218" s="142">
        <f>Tabla18[[#This Row],[Debe]]-Tabla18[[#This Row],[Haber]]</f>
        <v>-3429716.87</v>
      </c>
      <c r="U218" s="322"/>
      <c r="V218" s="323"/>
      <c r="W218" s="142">
        <f t="shared" si="5"/>
        <v>-3429716.87</v>
      </c>
      <c r="X218" s="142" t="b">
        <f>ISNUMBER(MATCH(A218,'3_Control_Ppto'!$A$4:$A$70,0))</f>
        <v>1</v>
      </c>
      <c r="Y218" s="136"/>
    </row>
    <row r="219" spans="1:25" ht="12" customHeight="1" x14ac:dyDescent="0.3">
      <c r="A219" s="140" t="s">
        <v>4317</v>
      </c>
      <c r="B219" s="140" t="s">
        <v>56</v>
      </c>
      <c r="C219" s="549">
        <f>+EOMONTH(Tabla18[[#This Row],[Fecha Asiento]],-1)+1</f>
        <v>45778</v>
      </c>
      <c r="D219" s="136">
        <v>52103</v>
      </c>
      <c r="E219" s="136" t="s">
        <v>4477</v>
      </c>
      <c r="F219" s="141">
        <v>45807</v>
      </c>
      <c r="G219" s="136">
        <v>3168</v>
      </c>
      <c r="H219" s="136" t="s">
        <v>4627</v>
      </c>
      <c r="I219" s="136" t="s">
        <v>4628</v>
      </c>
      <c r="J219" s="136" t="s">
        <v>4455</v>
      </c>
      <c r="K219" s="136">
        <v>800000283</v>
      </c>
      <c r="L219" s="138">
        <v>3305.79</v>
      </c>
      <c r="M219" s="138">
        <v>0</v>
      </c>
      <c r="N219" s="136" t="s">
        <v>4425</v>
      </c>
      <c r="O219" s="136" t="s">
        <v>4426</v>
      </c>
      <c r="P219" s="136" t="s">
        <v>4427</v>
      </c>
      <c r="Q219" s="136" t="s">
        <v>4428</v>
      </c>
      <c r="R219" s="136">
        <v>0</v>
      </c>
      <c r="S219" s="142">
        <f>(Tabla18[[#This Row],[Debe]]-Tabla18[[#This Row],[Haber]])*
SUMIF('0_Indice_CAC'!$A:$A,Tabla18[[#This Row],[Mes]],'0_Indice_CAC'!$D:$D)</f>
        <v>3072.7021212616442</v>
      </c>
      <c r="T219" s="142">
        <f>Tabla18[[#This Row],[Debe]]-Tabla18[[#This Row],[Haber]]</f>
        <v>3305.79</v>
      </c>
      <c r="U219" s="322"/>
      <c r="V219" s="323"/>
      <c r="W219" s="142">
        <f t="shared" si="5"/>
        <v>3305.79</v>
      </c>
      <c r="X219" s="142" t="b">
        <f>ISNUMBER(MATCH(A219,'3_Control_Ppto'!$A$4:$A$70,0))</f>
        <v>1</v>
      </c>
      <c r="Y219" s="136"/>
    </row>
    <row r="220" spans="1:25" ht="12" customHeight="1" x14ac:dyDescent="0.3">
      <c r="A220" s="140" t="s">
        <v>4317</v>
      </c>
      <c r="B220" s="140" t="s">
        <v>56</v>
      </c>
      <c r="C220" s="549">
        <f>+EOMONTH(Tabla18[[#This Row],[Fecha Asiento]],-1)+1</f>
        <v>45778</v>
      </c>
      <c r="D220" s="136">
        <v>52103</v>
      </c>
      <c r="E220" s="136" t="s">
        <v>4477</v>
      </c>
      <c r="F220" s="141">
        <v>45807</v>
      </c>
      <c r="G220" s="136">
        <v>3169</v>
      </c>
      <c r="H220" s="136" t="s">
        <v>4569</v>
      </c>
      <c r="I220" s="136" t="s">
        <v>4570</v>
      </c>
      <c r="J220" s="136" t="s">
        <v>4455</v>
      </c>
      <c r="K220" s="136">
        <v>418100130429</v>
      </c>
      <c r="L220" s="138">
        <v>5591.26</v>
      </c>
      <c r="M220" s="138">
        <v>0</v>
      </c>
      <c r="N220" s="136" t="s">
        <v>4425</v>
      </c>
      <c r="O220" s="136" t="s">
        <v>4426</v>
      </c>
      <c r="P220" s="136" t="s">
        <v>4427</v>
      </c>
      <c r="Q220" s="136" t="s">
        <v>4428</v>
      </c>
      <c r="R220" s="136">
        <v>0</v>
      </c>
      <c r="S220" s="142">
        <f>(Tabla18[[#This Row],[Debe]]-Tabla18[[#This Row],[Haber]])*
SUMIF('0_Indice_CAC'!$A:$A,Tabla18[[#This Row],[Mes]],'0_Indice_CAC'!$D:$D)</f>
        <v>5197.0259643006302</v>
      </c>
      <c r="T220" s="142">
        <f>Tabla18[[#This Row],[Debe]]-Tabla18[[#This Row],[Haber]]</f>
        <v>5591.26</v>
      </c>
      <c r="U220" s="322"/>
      <c r="V220" s="323"/>
      <c r="W220" s="142">
        <f t="shared" si="5"/>
        <v>5591.26</v>
      </c>
      <c r="X220" s="142" t="b">
        <f>ISNUMBER(MATCH(A220,'3_Control_Ppto'!$A$4:$A$70,0))</f>
        <v>1</v>
      </c>
      <c r="Y220" s="136"/>
    </row>
    <row r="221" spans="1:25" ht="12" customHeight="1" x14ac:dyDescent="0.3">
      <c r="A221" s="140" t="s">
        <v>4317</v>
      </c>
      <c r="B221" s="140" t="s">
        <v>56</v>
      </c>
      <c r="C221" s="549">
        <f>+EOMONTH(Tabla18[[#This Row],[Fecha Asiento]],-1)+1</f>
        <v>45778</v>
      </c>
      <c r="D221" s="136">
        <v>52103</v>
      </c>
      <c r="E221" s="136" t="s">
        <v>4477</v>
      </c>
      <c r="F221" s="141">
        <v>45807</v>
      </c>
      <c r="G221" s="136">
        <v>3169</v>
      </c>
      <c r="H221" s="136" t="s">
        <v>4569</v>
      </c>
      <c r="I221" s="136" t="s">
        <v>4570</v>
      </c>
      <c r="J221" s="136" t="s">
        <v>4455</v>
      </c>
      <c r="K221" s="136">
        <v>418100130429</v>
      </c>
      <c r="L221" s="138">
        <v>50130.6</v>
      </c>
      <c r="M221" s="138">
        <v>0</v>
      </c>
      <c r="N221" s="136" t="s">
        <v>4425</v>
      </c>
      <c r="O221" s="136" t="s">
        <v>4426</v>
      </c>
      <c r="P221" s="136" t="s">
        <v>4427</v>
      </c>
      <c r="Q221" s="136" t="s">
        <v>4428</v>
      </c>
      <c r="R221" s="136">
        <v>0</v>
      </c>
      <c r="S221" s="142">
        <f>(Tabla18[[#This Row],[Debe]]-Tabla18[[#This Row],[Haber]])*
SUMIF('0_Indice_CAC'!$A:$A,Tabla18[[#This Row],[Mes]],'0_Indice_CAC'!$D:$D)</f>
        <v>46595.942561420714</v>
      </c>
      <c r="T221" s="142">
        <f>Tabla18[[#This Row],[Debe]]-Tabla18[[#This Row],[Haber]]</f>
        <v>50130.6</v>
      </c>
      <c r="U221" s="322"/>
      <c r="V221" s="323"/>
      <c r="W221" s="142">
        <f t="shared" si="5"/>
        <v>50130.6</v>
      </c>
      <c r="X221" s="142" t="b">
        <f>ISNUMBER(MATCH(A221,'3_Control_Ppto'!$A$4:$A$70,0))</f>
        <v>1</v>
      </c>
      <c r="Y221" s="136"/>
    </row>
    <row r="222" spans="1:25" ht="12" customHeight="1" x14ac:dyDescent="0.3">
      <c r="A222" s="140" t="s">
        <v>1478</v>
      </c>
      <c r="B222" s="140" t="s">
        <v>4090</v>
      </c>
      <c r="C222" s="549">
        <f>+EOMONTH(Tabla18[[#This Row],[Fecha Asiento]],-1)+1</f>
        <v>45778</v>
      </c>
      <c r="D222" s="136">
        <v>53004</v>
      </c>
      <c r="E222" s="136" t="s">
        <v>4496</v>
      </c>
      <c r="F222" s="141">
        <v>45807</v>
      </c>
      <c r="G222" s="136">
        <v>3166</v>
      </c>
      <c r="H222" s="136" t="s">
        <v>4629</v>
      </c>
      <c r="I222" s="136" t="s">
        <v>4630</v>
      </c>
      <c r="J222" s="136" t="s">
        <v>4455</v>
      </c>
      <c r="K222" s="136">
        <v>1500080163</v>
      </c>
      <c r="L222" s="138">
        <v>712497.53</v>
      </c>
      <c r="M222" s="138">
        <v>0</v>
      </c>
      <c r="N222" s="136" t="s">
        <v>4425</v>
      </c>
      <c r="O222" s="136" t="s">
        <v>4426</v>
      </c>
      <c r="P222" s="136" t="s">
        <v>4427</v>
      </c>
      <c r="Q222" s="136" t="s">
        <v>4428</v>
      </c>
      <c r="R222" s="136">
        <v>0</v>
      </c>
      <c r="S222" s="142">
        <f>(Tabla18[[#This Row],[Debe]]-Tabla18[[#This Row],[Haber]])*
SUMIF('0_Indice_CAC'!$A:$A,Tabla18[[#This Row],[Mes]],'0_Indice_CAC'!$D:$D)</f>
        <v>662260.05639338319</v>
      </c>
      <c r="T222" s="142">
        <f>Tabla18[[#This Row],[Debe]]-Tabla18[[#This Row],[Haber]]</f>
        <v>712497.53</v>
      </c>
      <c r="U222" s="322"/>
      <c r="V222" s="323"/>
      <c r="W222" s="142">
        <f t="shared" si="5"/>
        <v>712497.53</v>
      </c>
      <c r="X222" s="142" t="b">
        <f>ISNUMBER(MATCH(A222,'3_Control_Ppto'!$A$4:$A$70,0))</f>
        <v>1</v>
      </c>
      <c r="Y222" s="136"/>
    </row>
    <row r="223" spans="1:25" ht="12" customHeight="1" x14ac:dyDescent="0.3">
      <c r="A223" s="140" t="s">
        <v>4317</v>
      </c>
      <c r="B223" s="140" t="s">
        <v>56</v>
      </c>
      <c r="C223" s="549">
        <f>+EOMONTH(Tabla18[[#This Row],[Fecha Asiento]],-1)+1</f>
        <v>45778</v>
      </c>
      <c r="D223" s="136">
        <v>52302</v>
      </c>
      <c r="E223" s="136" t="s">
        <v>4444</v>
      </c>
      <c r="F223" s="141">
        <v>45808</v>
      </c>
      <c r="G223" s="136">
        <v>3195</v>
      </c>
      <c r="H223" s="136" t="s">
        <v>4578</v>
      </c>
      <c r="I223" s="136" t="s">
        <v>4532</v>
      </c>
      <c r="J223" s="136" t="s">
        <v>4455</v>
      </c>
      <c r="K223" s="136">
        <v>217201683487</v>
      </c>
      <c r="L223" s="138">
        <v>375.18</v>
      </c>
      <c r="M223" s="138">
        <v>0</v>
      </c>
      <c r="N223" s="136" t="s">
        <v>4425</v>
      </c>
      <c r="O223" s="136" t="s">
        <v>4426</v>
      </c>
      <c r="P223" s="136" t="s">
        <v>4427</v>
      </c>
      <c r="Q223" s="136" t="s">
        <v>4428</v>
      </c>
      <c r="R223" s="136">
        <v>0</v>
      </c>
      <c r="S223" s="142">
        <f>(Tabla18[[#This Row],[Debe]]-Tabla18[[#This Row],[Haber]])*
SUMIF('0_Indice_CAC'!$A:$A,Tabla18[[#This Row],[Mes]],'0_Indice_CAC'!$D:$D)</f>
        <v>348.72644113961979</v>
      </c>
      <c r="T223" s="142">
        <f>Tabla18[[#This Row],[Debe]]-Tabla18[[#This Row],[Haber]]</f>
        <v>375.18</v>
      </c>
      <c r="U223" s="322"/>
      <c r="V223" s="323"/>
      <c r="W223" s="142">
        <f t="shared" si="5"/>
        <v>375.18</v>
      </c>
      <c r="X223" s="142" t="b">
        <f>ISNUMBER(MATCH(A223,'3_Control_Ppto'!$A$4:$A$70,0))</f>
        <v>1</v>
      </c>
      <c r="Y223" s="136"/>
    </row>
    <row r="224" spans="1:25" ht="12" customHeight="1" x14ac:dyDescent="0.3">
      <c r="A224" s="140" t="s">
        <v>4317</v>
      </c>
      <c r="B224" s="140" t="s">
        <v>56</v>
      </c>
      <c r="C224" s="549">
        <f>+EOMONTH(Tabla18[[#This Row],[Fecha Asiento]],-1)+1</f>
        <v>45778</v>
      </c>
      <c r="D224" s="136">
        <v>52302</v>
      </c>
      <c r="E224" s="136" t="s">
        <v>4444</v>
      </c>
      <c r="F224" s="141">
        <v>45808</v>
      </c>
      <c r="G224" s="136">
        <v>3195</v>
      </c>
      <c r="H224" s="136" t="s">
        <v>4631</v>
      </c>
      <c r="I224" s="136" t="s">
        <v>4532</v>
      </c>
      <c r="J224" s="136" t="s">
        <v>4455</v>
      </c>
      <c r="K224" s="136">
        <v>217201683487</v>
      </c>
      <c r="L224" s="138">
        <v>27571.85</v>
      </c>
      <c r="M224" s="138">
        <v>0</v>
      </c>
      <c r="N224" s="136" t="s">
        <v>4425</v>
      </c>
      <c r="O224" s="136" t="s">
        <v>4426</v>
      </c>
      <c r="P224" s="136" t="s">
        <v>4427</v>
      </c>
      <c r="Q224" s="136" t="s">
        <v>4428</v>
      </c>
      <c r="R224" s="136">
        <v>0</v>
      </c>
      <c r="S224" s="142">
        <f>(Tabla18[[#This Row],[Debe]]-Tabla18[[#This Row],[Haber]])*
SUMIF('0_Indice_CAC'!$A:$A,Tabla18[[#This Row],[Mes]],'0_Indice_CAC'!$D:$D)</f>
        <v>25627.786998601805</v>
      </c>
      <c r="T224" s="142">
        <f>Tabla18[[#This Row],[Debe]]-Tabla18[[#This Row],[Haber]]</f>
        <v>27571.85</v>
      </c>
      <c r="U224" s="322"/>
      <c r="V224" s="323"/>
      <c r="W224" s="142">
        <f t="shared" ref="W224:W287" si="6">IFERROR(T224-IF(V224="",0,V224),0)</f>
        <v>27571.85</v>
      </c>
      <c r="X224" s="142" t="b">
        <f>ISNUMBER(MATCH(A224,'3_Control_Ppto'!$A$4:$A$70,0))</f>
        <v>1</v>
      </c>
      <c r="Y224" s="136"/>
    </row>
    <row r="225" spans="1:25" ht="12" customHeight="1" x14ac:dyDescent="0.3">
      <c r="A225" s="140" t="s">
        <v>4317</v>
      </c>
      <c r="B225" s="140" t="s">
        <v>56</v>
      </c>
      <c r="C225" s="549">
        <f>+EOMONTH(Tabla18[[#This Row],[Fecha Asiento]],-1)+1</f>
        <v>45778</v>
      </c>
      <c r="D225" s="136">
        <v>52302</v>
      </c>
      <c r="E225" s="136" t="s">
        <v>4444</v>
      </c>
      <c r="F225" s="141">
        <v>45808</v>
      </c>
      <c r="G225" s="136">
        <v>3195</v>
      </c>
      <c r="H225" s="136" t="s">
        <v>4534</v>
      </c>
      <c r="I225" s="136" t="s">
        <v>4532</v>
      </c>
      <c r="J225" s="136" t="s">
        <v>4455</v>
      </c>
      <c r="K225" s="136">
        <v>217201683487</v>
      </c>
      <c r="L225" s="138">
        <v>4341.93</v>
      </c>
      <c r="M225" s="138">
        <v>0</v>
      </c>
      <c r="N225" s="136" t="s">
        <v>4425</v>
      </c>
      <c r="O225" s="136" t="s">
        <v>4426</v>
      </c>
      <c r="P225" s="136" t="s">
        <v>4427</v>
      </c>
      <c r="Q225" s="136" t="s">
        <v>4428</v>
      </c>
      <c r="R225" s="136">
        <v>0</v>
      </c>
      <c r="S225" s="142">
        <f>(Tabla18[[#This Row],[Debe]]-Tabla18[[#This Row],[Haber]])*
SUMIF('0_Indice_CAC'!$A:$A,Tabla18[[#This Row],[Mes]],'0_Indice_CAC'!$D:$D)</f>
        <v>4035.784947431498</v>
      </c>
      <c r="T225" s="142">
        <f>Tabla18[[#This Row],[Debe]]-Tabla18[[#This Row],[Haber]]</f>
        <v>4341.93</v>
      </c>
      <c r="U225" s="322"/>
      <c r="V225" s="323"/>
      <c r="W225" s="142">
        <f t="shared" si="6"/>
        <v>4341.93</v>
      </c>
      <c r="X225" s="142" t="b">
        <f>ISNUMBER(MATCH(A225,'3_Control_Ppto'!$A$4:$A$70,0))</f>
        <v>1</v>
      </c>
      <c r="Y225" s="136"/>
    </row>
    <row r="226" spans="1:25" ht="12" customHeight="1" x14ac:dyDescent="0.3">
      <c r="A226" s="140" t="s">
        <v>4317</v>
      </c>
      <c r="B226" s="140" t="s">
        <v>56</v>
      </c>
      <c r="C226" s="549">
        <f>+EOMONTH(Tabla18[[#This Row],[Fecha Asiento]],-1)+1</f>
        <v>45778</v>
      </c>
      <c r="D226" s="136">
        <v>52302</v>
      </c>
      <c r="E226" s="136" t="s">
        <v>4444</v>
      </c>
      <c r="F226" s="141">
        <v>45808</v>
      </c>
      <c r="G226" s="136">
        <v>3195</v>
      </c>
      <c r="H226" s="136" t="s">
        <v>4632</v>
      </c>
      <c r="I226" s="136" t="s">
        <v>4532</v>
      </c>
      <c r="J226" s="136" t="s">
        <v>4455</v>
      </c>
      <c r="K226" s="136">
        <v>217201683487</v>
      </c>
      <c r="L226" s="138">
        <v>19158.09</v>
      </c>
      <c r="M226" s="138">
        <v>0</v>
      </c>
      <c r="N226" s="136" t="s">
        <v>4425</v>
      </c>
      <c r="O226" s="136" t="s">
        <v>4426</v>
      </c>
      <c r="P226" s="136" t="s">
        <v>4427</v>
      </c>
      <c r="Q226" s="136" t="s">
        <v>4428</v>
      </c>
      <c r="R226" s="136">
        <v>0</v>
      </c>
      <c r="S226" s="142">
        <f>(Tabla18[[#This Row],[Debe]]-Tabla18[[#This Row],[Haber]])*
SUMIF('0_Indice_CAC'!$A:$A,Tabla18[[#This Row],[Mes]],'0_Indice_CAC'!$D:$D)</f>
        <v>17807.272628425126</v>
      </c>
      <c r="T226" s="142">
        <f>Tabla18[[#This Row],[Debe]]-Tabla18[[#This Row],[Haber]]</f>
        <v>19158.09</v>
      </c>
      <c r="U226" s="322"/>
      <c r="V226" s="323"/>
      <c r="W226" s="142">
        <f t="shared" si="6"/>
        <v>19158.09</v>
      </c>
      <c r="X226" s="142" t="b">
        <f>ISNUMBER(MATCH(A226,'3_Control_Ppto'!$A$4:$A$70,0))</f>
        <v>1</v>
      </c>
      <c r="Y226" s="136"/>
    </row>
    <row r="227" spans="1:25" ht="12" customHeight="1" x14ac:dyDescent="0.3">
      <c r="A227" s="140" t="s">
        <v>4317</v>
      </c>
      <c r="B227" s="140" t="s">
        <v>56</v>
      </c>
      <c r="C227" s="549">
        <f>+EOMONTH(Tabla18[[#This Row],[Fecha Asiento]],-1)+1</f>
        <v>45809</v>
      </c>
      <c r="D227" s="136">
        <v>52102</v>
      </c>
      <c r="E227" s="136" t="s">
        <v>4535</v>
      </c>
      <c r="F227" s="141">
        <v>45812</v>
      </c>
      <c r="G227" s="136">
        <v>3380</v>
      </c>
      <c r="H227" s="136" t="s">
        <v>4633</v>
      </c>
      <c r="I227" s="136" t="s">
        <v>4634</v>
      </c>
      <c r="J227" s="136" t="s">
        <v>4542</v>
      </c>
      <c r="K227" s="136">
        <v>400006365</v>
      </c>
      <c r="L227" s="138">
        <v>19700</v>
      </c>
      <c r="M227" s="138">
        <v>0</v>
      </c>
      <c r="N227" s="136" t="s">
        <v>4425</v>
      </c>
      <c r="O227" s="136" t="s">
        <v>4426</v>
      </c>
      <c r="P227" s="136" t="s">
        <v>4427</v>
      </c>
      <c r="Q227" s="136" t="s">
        <v>4428</v>
      </c>
      <c r="R227" s="136">
        <v>0</v>
      </c>
      <c r="S227" s="142">
        <f>(Tabla18[[#This Row],[Debe]]-Tabla18[[#This Row],[Haber]])*
SUMIF('0_Indice_CAC'!$A:$A,Tabla18[[#This Row],[Mes]],'0_Indice_CAC'!$D:$D)</f>
        <v>18176.639388586464</v>
      </c>
      <c r="T227" s="142">
        <f>Tabla18[[#This Row],[Debe]]-Tabla18[[#This Row],[Haber]]</f>
        <v>19700</v>
      </c>
      <c r="U227" s="322"/>
      <c r="V227" s="323"/>
      <c r="W227" s="142">
        <f t="shared" si="6"/>
        <v>19700</v>
      </c>
      <c r="X227" s="142" t="b">
        <f>ISNUMBER(MATCH(A227,'3_Control_Ppto'!$A$4:$A$70,0))</f>
        <v>1</v>
      </c>
      <c r="Y227" s="136"/>
    </row>
    <row r="228" spans="1:25" ht="12" customHeight="1" x14ac:dyDescent="0.3">
      <c r="A228" s="140" t="s">
        <v>4310</v>
      </c>
      <c r="B228" s="140" t="s">
        <v>56</v>
      </c>
      <c r="C228" s="549">
        <f>+EOMONTH(Tabla18[[#This Row],[Fecha Asiento]],-1)+1</f>
        <v>45809</v>
      </c>
      <c r="D228" s="136">
        <v>52204</v>
      </c>
      <c r="E228" s="136" t="s">
        <v>4452</v>
      </c>
      <c r="F228" s="141">
        <v>45812</v>
      </c>
      <c r="G228" s="136">
        <v>3203</v>
      </c>
      <c r="H228" s="136" t="s">
        <v>4453</v>
      </c>
      <c r="I228" s="136" t="s">
        <v>4454</v>
      </c>
      <c r="J228" s="136" t="s">
        <v>4455</v>
      </c>
      <c r="K228" s="136">
        <v>300001238</v>
      </c>
      <c r="L228" s="138">
        <v>275000</v>
      </c>
      <c r="M228" s="138">
        <v>0</v>
      </c>
      <c r="N228" s="136" t="s">
        <v>4425</v>
      </c>
      <c r="O228" s="136" t="s">
        <v>4426</v>
      </c>
      <c r="P228" s="136" t="s">
        <v>4427</v>
      </c>
      <c r="Q228" s="136" t="s">
        <v>4428</v>
      </c>
      <c r="R228" s="136">
        <v>0</v>
      </c>
      <c r="S228" s="142">
        <f>(Tabla18[[#This Row],[Debe]]-Tabla18[[#This Row],[Haber]])*
SUMIF('0_Indice_CAC'!$A:$A,Tabla18[[#This Row],[Mes]],'0_Indice_CAC'!$D:$D)</f>
        <v>253734.81380006485</v>
      </c>
      <c r="T228" s="142">
        <f>Tabla18[[#This Row],[Debe]]-Tabla18[[#This Row],[Haber]]</f>
        <v>275000</v>
      </c>
      <c r="U228" s="322"/>
      <c r="V228" s="323"/>
      <c r="W228" s="142">
        <f t="shared" si="6"/>
        <v>275000</v>
      </c>
      <c r="X228" s="142" t="b">
        <f>ISNUMBER(MATCH(A228,'3_Control_Ppto'!$A$4:$A$70,0))</f>
        <v>1</v>
      </c>
      <c r="Y228" s="136"/>
    </row>
    <row r="229" spans="1:25" ht="12" customHeight="1" x14ac:dyDescent="0.3">
      <c r="A229" s="140" t="s">
        <v>4310</v>
      </c>
      <c r="B229" s="140" t="s">
        <v>56</v>
      </c>
      <c r="C229" s="549">
        <f>+EOMONTH(Tabla18[[#This Row],[Fecha Asiento]],-1)+1</f>
        <v>45809</v>
      </c>
      <c r="D229" s="136">
        <v>52204</v>
      </c>
      <c r="E229" s="136" t="s">
        <v>4452</v>
      </c>
      <c r="F229" s="141">
        <v>45812</v>
      </c>
      <c r="G229" s="136">
        <v>3203</v>
      </c>
      <c r="H229" s="136" t="s">
        <v>4453</v>
      </c>
      <c r="I229" s="136" t="s">
        <v>4454</v>
      </c>
      <c r="J229" s="136" t="s">
        <v>4455</v>
      </c>
      <c r="K229" s="136">
        <v>300001238</v>
      </c>
      <c r="L229" s="138">
        <v>137500</v>
      </c>
      <c r="M229" s="138">
        <v>0</v>
      </c>
      <c r="N229" s="136" t="s">
        <v>4425</v>
      </c>
      <c r="O229" s="136" t="s">
        <v>4426</v>
      </c>
      <c r="P229" s="136" t="s">
        <v>4427</v>
      </c>
      <c r="Q229" s="136" t="s">
        <v>4428</v>
      </c>
      <c r="R229" s="136">
        <v>0</v>
      </c>
      <c r="S229" s="142">
        <f>(Tabla18[[#This Row],[Debe]]-Tabla18[[#This Row],[Haber]])*
SUMIF('0_Indice_CAC'!$A:$A,Tabla18[[#This Row],[Mes]],'0_Indice_CAC'!$D:$D)</f>
        <v>126867.40690003242</v>
      </c>
      <c r="T229" s="142">
        <f>Tabla18[[#This Row],[Debe]]-Tabla18[[#This Row],[Haber]]</f>
        <v>137500</v>
      </c>
      <c r="U229" s="322"/>
      <c r="V229" s="323"/>
      <c r="W229" s="142">
        <f t="shared" si="6"/>
        <v>137500</v>
      </c>
      <c r="X229" s="142" t="b">
        <f>ISNUMBER(MATCH(A229,'3_Control_Ppto'!$A$4:$A$70,0))</f>
        <v>1</v>
      </c>
      <c r="Y229" s="136"/>
    </row>
    <row r="230" spans="1:25" ht="12" customHeight="1" x14ac:dyDescent="0.3">
      <c r="A230" s="140" t="s">
        <v>4310</v>
      </c>
      <c r="B230" s="140" t="s">
        <v>56</v>
      </c>
      <c r="C230" s="549">
        <f>+EOMONTH(Tabla18[[#This Row],[Fecha Asiento]],-1)+1</f>
        <v>45809</v>
      </c>
      <c r="D230" s="136">
        <v>52204</v>
      </c>
      <c r="E230" s="136" t="s">
        <v>4452</v>
      </c>
      <c r="F230" s="141">
        <v>45812</v>
      </c>
      <c r="G230" s="136">
        <v>3203</v>
      </c>
      <c r="H230" s="136" t="s">
        <v>4453</v>
      </c>
      <c r="I230" s="136" t="s">
        <v>4454</v>
      </c>
      <c r="J230" s="136" t="s">
        <v>4455</v>
      </c>
      <c r="K230" s="136">
        <v>300001238</v>
      </c>
      <c r="L230" s="138">
        <v>190000</v>
      </c>
      <c r="M230" s="138">
        <v>0</v>
      </c>
      <c r="N230" s="136" t="s">
        <v>4425</v>
      </c>
      <c r="O230" s="136" t="s">
        <v>4426</v>
      </c>
      <c r="P230" s="136" t="s">
        <v>4427</v>
      </c>
      <c r="Q230" s="136" t="s">
        <v>4428</v>
      </c>
      <c r="R230" s="136">
        <v>0</v>
      </c>
      <c r="S230" s="142">
        <f>(Tabla18[[#This Row],[Debe]]-Tabla18[[#This Row],[Haber]])*
SUMIF('0_Indice_CAC'!$A:$A,Tabla18[[#This Row],[Mes]],'0_Indice_CAC'!$D:$D)</f>
        <v>175307.68953459026</v>
      </c>
      <c r="T230" s="142">
        <f>Tabla18[[#This Row],[Debe]]-Tabla18[[#This Row],[Haber]]</f>
        <v>190000</v>
      </c>
      <c r="U230" s="322"/>
      <c r="V230" s="323"/>
      <c r="W230" s="142">
        <f t="shared" si="6"/>
        <v>190000</v>
      </c>
      <c r="X230" s="142" t="b">
        <f>ISNUMBER(MATCH(A230,'3_Control_Ppto'!$A$4:$A$70,0))</f>
        <v>1</v>
      </c>
      <c r="Y230" s="136"/>
    </row>
    <row r="231" spans="1:25" ht="12" customHeight="1" x14ac:dyDescent="0.3">
      <c r="A231" s="140" t="s">
        <v>106</v>
      </c>
      <c r="B231" s="140" t="s">
        <v>25</v>
      </c>
      <c r="C231" s="549">
        <f>+EOMONTH(Tabla18[[#This Row],[Fecha Asiento]],-1)+1</f>
        <v>45809</v>
      </c>
      <c r="D231" s="136">
        <v>53009</v>
      </c>
      <c r="E231" s="136" t="s">
        <v>4446</v>
      </c>
      <c r="F231" s="141">
        <v>45812</v>
      </c>
      <c r="G231" s="136">
        <v>1538</v>
      </c>
      <c r="H231" s="136" t="s">
        <v>4635</v>
      </c>
      <c r="I231" s="136" t="s">
        <v>4423</v>
      </c>
      <c r="J231" s="136" t="s">
        <v>4424</v>
      </c>
      <c r="K231" s="136">
        <v>6943</v>
      </c>
      <c r="L231" s="138">
        <v>1769545</v>
      </c>
      <c r="M231" s="138">
        <v>0</v>
      </c>
      <c r="N231" s="136" t="s">
        <v>4425</v>
      </c>
      <c r="O231" s="136" t="s">
        <v>4426</v>
      </c>
      <c r="P231" s="136" t="s">
        <v>4427</v>
      </c>
      <c r="Q231" s="136" t="s">
        <v>4428</v>
      </c>
      <c r="R231" s="136">
        <v>0</v>
      </c>
      <c r="S231" s="142">
        <f>(Tabla18[[#This Row],[Debe]]-Tabla18[[#This Row],[Haber]])*
SUMIF('0_Indice_CAC'!$A:$A,Tabla18[[#This Row],[Mes]],'0_Indice_CAC'!$D:$D)</f>
        <v>1632709.7130394028</v>
      </c>
      <c r="T231" s="142">
        <f>Tabla18[[#This Row],[Debe]]-Tabla18[[#This Row],[Haber]]</f>
        <v>1769545</v>
      </c>
      <c r="U231" s="322"/>
      <c r="V231" s="323"/>
      <c r="W231" s="142">
        <f t="shared" si="6"/>
        <v>1769545</v>
      </c>
      <c r="X231" s="142" t="b">
        <f>ISNUMBER(MATCH(A231,'3_Control_Ppto'!$A$4:$A$70,0))</f>
        <v>1</v>
      </c>
      <c r="Y231" s="136"/>
    </row>
    <row r="232" spans="1:25" ht="12" customHeight="1" x14ac:dyDescent="0.3">
      <c r="A232" s="140" t="s">
        <v>4310</v>
      </c>
      <c r="B232" s="140" t="s">
        <v>56</v>
      </c>
      <c r="C232" s="549">
        <f>+EOMONTH(Tabla18[[#This Row],[Fecha Asiento]],-1)+1</f>
        <v>45809</v>
      </c>
      <c r="D232" s="136">
        <v>52204</v>
      </c>
      <c r="E232" s="136" t="s">
        <v>4452</v>
      </c>
      <c r="F232" s="141">
        <v>45814</v>
      </c>
      <c r="G232" s="136">
        <v>3219</v>
      </c>
      <c r="H232" s="136" t="s">
        <v>4453</v>
      </c>
      <c r="I232" s="136" t="s">
        <v>4559</v>
      </c>
      <c r="J232" s="136" t="s">
        <v>4542</v>
      </c>
      <c r="K232" s="136">
        <v>100000029</v>
      </c>
      <c r="L232" s="138">
        <v>1250000</v>
      </c>
      <c r="M232" s="138">
        <v>0</v>
      </c>
      <c r="N232" s="136" t="s">
        <v>4425</v>
      </c>
      <c r="O232" s="136" t="s">
        <v>4426</v>
      </c>
      <c r="P232" s="136" t="s">
        <v>4427</v>
      </c>
      <c r="Q232" s="136" t="s">
        <v>4428</v>
      </c>
      <c r="R232" s="136">
        <v>0</v>
      </c>
      <c r="S232" s="142">
        <f>(Tabla18[[#This Row],[Debe]]-Tabla18[[#This Row],[Haber]])*
SUMIF('0_Indice_CAC'!$A:$A,Tabla18[[#This Row],[Mes]],'0_Indice_CAC'!$D:$D)</f>
        <v>1153340.0627275675</v>
      </c>
      <c r="T232" s="142">
        <f>Tabla18[[#This Row],[Debe]]-Tabla18[[#This Row],[Haber]]</f>
        <v>1250000</v>
      </c>
      <c r="U232" s="322"/>
      <c r="V232" s="323"/>
      <c r="W232" s="142">
        <f t="shared" si="6"/>
        <v>1250000</v>
      </c>
      <c r="X232" s="142" t="b">
        <f>ISNUMBER(MATCH(A232,'3_Control_Ppto'!$A$4:$A$70,0))</f>
        <v>1</v>
      </c>
      <c r="Y232" s="136"/>
    </row>
    <row r="233" spans="1:25" ht="12" customHeight="1" x14ac:dyDescent="0.3">
      <c r="A233" s="140" t="s">
        <v>4125</v>
      </c>
      <c r="B233" s="140" t="s">
        <v>56</v>
      </c>
      <c r="C233" s="549">
        <f>+EOMONTH(Tabla18[[#This Row],[Fecha Asiento]],-1)+1</f>
        <v>45809</v>
      </c>
      <c r="D233" s="136">
        <v>53003</v>
      </c>
      <c r="E233" s="136" t="s">
        <v>4523</v>
      </c>
      <c r="F233" s="141">
        <v>45814</v>
      </c>
      <c r="G233" s="136">
        <v>1572</v>
      </c>
      <c r="H233" s="136" t="s">
        <v>4636</v>
      </c>
      <c r="I233" s="136" t="s">
        <v>4423</v>
      </c>
      <c r="J233" s="136" t="s">
        <v>4424</v>
      </c>
      <c r="K233" s="136">
        <v>6978</v>
      </c>
      <c r="L233" s="138">
        <v>1944000</v>
      </c>
      <c r="M233" s="138">
        <v>0</v>
      </c>
      <c r="N233" s="136" t="s">
        <v>4425</v>
      </c>
      <c r="O233" s="136" t="s">
        <v>4426</v>
      </c>
      <c r="P233" s="136" t="s">
        <v>4427</v>
      </c>
      <c r="Q233" s="136" t="s">
        <v>4428</v>
      </c>
      <c r="R233" s="136">
        <v>0</v>
      </c>
      <c r="S233" s="142">
        <f>(Tabla18[[#This Row],[Debe]]-Tabla18[[#This Row],[Haber]])*
SUMIF('0_Indice_CAC'!$A:$A,Tabla18[[#This Row],[Mes]],'0_Indice_CAC'!$D:$D)</f>
        <v>1793674.465553913</v>
      </c>
      <c r="T233" s="142">
        <f>Tabla18[[#This Row],[Debe]]-Tabla18[[#This Row],[Haber]]</f>
        <v>1944000</v>
      </c>
      <c r="U233" s="322" t="s">
        <v>4525</v>
      </c>
      <c r="V233" s="323"/>
      <c r="W233" s="142">
        <f t="shared" si="6"/>
        <v>1944000</v>
      </c>
      <c r="X233" s="142" t="b">
        <f>ISNUMBER(MATCH(A233,'3_Control_Ppto'!$A$4:$A$70,0))</f>
        <v>1</v>
      </c>
      <c r="Y233" s="136"/>
    </row>
    <row r="234" spans="1:25" ht="12" customHeight="1" x14ac:dyDescent="0.3">
      <c r="A234" s="140" t="s">
        <v>1478</v>
      </c>
      <c r="B234" s="140" t="s">
        <v>4090</v>
      </c>
      <c r="C234" s="549">
        <f>+EOMONTH(Tabla18[[#This Row],[Fecha Asiento]],-1)+1</f>
        <v>45809</v>
      </c>
      <c r="D234" s="136">
        <v>53004</v>
      </c>
      <c r="E234" s="136" t="s">
        <v>4496</v>
      </c>
      <c r="F234" s="141">
        <v>45814</v>
      </c>
      <c r="G234" s="136">
        <v>3225</v>
      </c>
      <c r="H234" s="136" t="s">
        <v>4637</v>
      </c>
      <c r="I234" s="136" t="s">
        <v>4548</v>
      </c>
      <c r="J234" s="136" t="s">
        <v>4455</v>
      </c>
      <c r="K234" s="136">
        <v>200007598</v>
      </c>
      <c r="L234" s="138">
        <v>324630</v>
      </c>
      <c r="M234" s="138">
        <v>0</v>
      </c>
      <c r="N234" s="136" t="s">
        <v>4425</v>
      </c>
      <c r="O234" s="136" t="s">
        <v>4426</v>
      </c>
      <c r="P234" s="136" t="s">
        <v>4427</v>
      </c>
      <c r="Q234" s="136" t="s">
        <v>4428</v>
      </c>
      <c r="R234" s="136">
        <v>0</v>
      </c>
      <c r="S234" s="142">
        <f>(Tabla18[[#This Row],[Debe]]-Tabla18[[#This Row],[Haber]])*
SUMIF('0_Indice_CAC'!$A:$A,Tabla18[[#This Row],[Mes]],'0_Indice_CAC'!$D:$D)</f>
        <v>299527.02765060018</v>
      </c>
      <c r="T234" s="142">
        <f>Tabla18[[#This Row],[Debe]]-Tabla18[[#This Row],[Haber]]</f>
        <v>324630</v>
      </c>
      <c r="U234" s="322"/>
      <c r="V234" s="323"/>
      <c r="W234" s="142">
        <f t="shared" si="6"/>
        <v>324630</v>
      </c>
      <c r="X234" s="142" t="b">
        <f>ISNUMBER(MATCH(A234,'3_Control_Ppto'!$A$4:$A$70,0))</f>
        <v>1</v>
      </c>
      <c r="Y234" s="136"/>
    </row>
    <row r="235" spans="1:25" ht="12" customHeight="1" x14ac:dyDescent="0.3">
      <c r="A235" s="140" t="s">
        <v>4119</v>
      </c>
      <c r="B235" s="140" t="s">
        <v>25</v>
      </c>
      <c r="C235" s="549">
        <f>+EOMONTH(Tabla18[[#This Row],[Fecha Asiento]],-1)+1</f>
        <v>45809</v>
      </c>
      <c r="D235" s="136">
        <v>53022</v>
      </c>
      <c r="E235" s="136" t="s">
        <v>4429</v>
      </c>
      <c r="F235" s="141">
        <v>45814</v>
      </c>
      <c r="G235" s="136">
        <v>1556</v>
      </c>
      <c r="H235" s="136" t="s">
        <v>4638</v>
      </c>
      <c r="I235" s="136" t="s">
        <v>4423</v>
      </c>
      <c r="J235" s="136" t="s">
        <v>4424</v>
      </c>
      <c r="K235" s="136">
        <v>6961</v>
      </c>
      <c r="L235" s="138">
        <v>91000</v>
      </c>
      <c r="M235" s="138">
        <v>0</v>
      </c>
      <c r="N235" s="136" t="s">
        <v>4425</v>
      </c>
      <c r="O235" s="136" t="s">
        <v>4426</v>
      </c>
      <c r="P235" s="136" t="s">
        <v>4427</v>
      </c>
      <c r="Q235" s="136" t="s">
        <v>4428</v>
      </c>
      <c r="R235" s="136">
        <v>0</v>
      </c>
      <c r="S235" s="142">
        <f>(Tabla18[[#This Row],[Debe]]-Tabla18[[#This Row],[Haber]])*
SUMIF('0_Indice_CAC'!$A:$A,Tabla18[[#This Row],[Mes]],'0_Indice_CAC'!$D:$D)</f>
        <v>83963.156566566919</v>
      </c>
      <c r="T235" s="142">
        <f>Tabla18[[#This Row],[Debe]]-Tabla18[[#This Row],[Haber]]</f>
        <v>91000</v>
      </c>
      <c r="U235" s="322"/>
      <c r="V235" s="323"/>
      <c r="W235" s="142">
        <f t="shared" si="6"/>
        <v>91000</v>
      </c>
      <c r="X235" s="142" t="b">
        <f>ISNUMBER(MATCH(A235,'3_Control_Ppto'!$A$4:$A$70,0))</f>
        <v>1</v>
      </c>
      <c r="Y235" s="136"/>
    </row>
    <row r="236" spans="1:25" ht="12" customHeight="1" x14ac:dyDescent="0.3">
      <c r="A236" s="140" t="s">
        <v>4119</v>
      </c>
      <c r="B236" s="140" t="s">
        <v>56</v>
      </c>
      <c r="C236" s="549">
        <f>+EOMONTH(Tabla18[[#This Row],[Fecha Asiento]],-1)+1</f>
        <v>45809</v>
      </c>
      <c r="D236" s="136">
        <v>53022</v>
      </c>
      <c r="E236" s="136" t="s">
        <v>4429</v>
      </c>
      <c r="F236" s="141">
        <v>45820</v>
      </c>
      <c r="G236" s="136">
        <v>3331</v>
      </c>
      <c r="H236" s="136" t="s">
        <v>4639</v>
      </c>
      <c r="I236" s="136" t="s">
        <v>4459</v>
      </c>
      <c r="J236" s="136" t="s">
        <v>4455</v>
      </c>
      <c r="K236" s="136">
        <v>300023035</v>
      </c>
      <c r="L236" s="138">
        <v>80000</v>
      </c>
      <c r="M236" s="138">
        <v>0</v>
      </c>
      <c r="N236" s="136" t="s">
        <v>4425</v>
      </c>
      <c r="O236" s="136" t="s">
        <v>4426</v>
      </c>
      <c r="P236" s="136" t="s">
        <v>4427</v>
      </c>
      <c r="Q236" s="136" t="s">
        <v>4428</v>
      </c>
      <c r="R236" s="136">
        <v>0</v>
      </c>
      <c r="S236" s="142">
        <f>(Tabla18[[#This Row],[Debe]]-Tabla18[[#This Row],[Haber]])*
SUMIF('0_Indice_CAC'!$A:$A,Tabla18[[#This Row],[Mes]],'0_Indice_CAC'!$D:$D)</f>
        <v>73813.764014564324</v>
      </c>
      <c r="T236" s="142">
        <f>Tabla18[[#This Row],[Debe]]-Tabla18[[#This Row],[Haber]]</f>
        <v>80000</v>
      </c>
      <c r="U236" s="322"/>
      <c r="V236" s="323"/>
      <c r="W236" s="142">
        <f t="shared" si="6"/>
        <v>80000</v>
      </c>
      <c r="X236" s="142" t="b">
        <f>ISNUMBER(MATCH(A236,'3_Control_Ppto'!$A$4:$A$70,0))</f>
        <v>1</v>
      </c>
      <c r="Y236" s="136"/>
    </row>
    <row r="237" spans="1:25" ht="12" customHeight="1" x14ac:dyDescent="0.3">
      <c r="A237" s="140" t="s">
        <v>4317</v>
      </c>
      <c r="B237" s="140" t="s">
        <v>56</v>
      </c>
      <c r="C237" s="549">
        <f>+EOMONTH(Tabla18[[#This Row],[Fecha Asiento]],-1)+1</f>
        <v>45809</v>
      </c>
      <c r="D237" s="136">
        <v>52103</v>
      </c>
      <c r="E237" s="136" t="s">
        <v>4477</v>
      </c>
      <c r="F237" s="141">
        <v>45821</v>
      </c>
      <c r="G237" s="136">
        <v>3392</v>
      </c>
      <c r="H237" s="136" t="s">
        <v>4569</v>
      </c>
      <c r="I237" s="136" t="s">
        <v>4570</v>
      </c>
      <c r="J237" s="136" t="s">
        <v>4455</v>
      </c>
      <c r="K237" s="136">
        <v>418100131462</v>
      </c>
      <c r="L237" s="138">
        <v>7360.5</v>
      </c>
      <c r="M237" s="138">
        <v>0</v>
      </c>
      <c r="N237" s="136" t="s">
        <v>4425</v>
      </c>
      <c r="O237" s="136" t="s">
        <v>4426</v>
      </c>
      <c r="P237" s="136" t="s">
        <v>4427</v>
      </c>
      <c r="Q237" s="136" t="s">
        <v>4428</v>
      </c>
      <c r="R237" s="136">
        <v>0</v>
      </c>
      <c r="S237" s="142">
        <f>(Tabla18[[#This Row],[Debe]]-Tabla18[[#This Row],[Haber]])*
SUMIF('0_Indice_CAC'!$A:$A,Tabla18[[#This Row],[Mes]],'0_Indice_CAC'!$D:$D)</f>
        <v>6791.3276253650083</v>
      </c>
      <c r="T237" s="142">
        <f>Tabla18[[#This Row],[Debe]]-Tabla18[[#This Row],[Haber]]</f>
        <v>7360.5</v>
      </c>
      <c r="U237" s="322"/>
      <c r="V237" s="323"/>
      <c r="W237" s="142">
        <f t="shared" si="6"/>
        <v>7360.5</v>
      </c>
      <c r="X237" s="142" t="b">
        <f>ISNUMBER(MATCH(A237,'3_Control_Ppto'!$A$4:$A$70,0))</f>
        <v>1</v>
      </c>
      <c r="Y237" s="136"/>
    </row>
    <row r="238" spans="1:25" ht="12" customHeight="1" x14ac:dyDescent="0.3">
      <c r="A238" s="140" t="s">
        <v>4317</v>
      </c>
      <c r="B238" s="140" t="s">
        <v>56</v>
      </c>
      <c r="C238" s="549">
        <f>+EOMONTH(Tabla18[[#This Row],[Fecha Asiento]],-1)+1</f>
        <v>45809</v>
      </c>
      <c r="D238" s="136">
        <v>52103</v>
      </c>
      <c r="E238" s="136" t="s">
        <v>4477</v>
      </c>
      <c r="F238" s="141">
        <v>45821</v>
      </c>
      <c r="G238" s="136">
        <v>3392</v>
      </c>
      <c r="H238" s="136" t="s">
        <v>4569</v>
      </c>
      <c r="I238" s="136" t="s">
        <v>4570</v>
      </c>
      <c r="J238" s="136" t="s">
        <v>4455</v>
      </c>
      <c r="K238" s="136">
        <v>418100131462</v>
      </c>
      <c r="L238" s="138">
        <v>40003.67</v>
      </c>
      <c r="M238" s="138">
        <v>0</v>
      </c>
      <c r="N238" s="136" t="s">
        <v>4425</v>
      </c>
      <c r="O238" s="136" t="s">
        <v>4426</v>
      </c>
      <c r="P238" s="136" t="s">
        <v>4427</v>
      </c>
      <c r="Q238" s="136" t="s">
        <v>4428</v>
      </c>
      <c r="R238" s="136">
        <v>0</v>
      </c>
      <c r="S238" s="142">
        <f>(Tabla18[[#This Row],[Debe]]-Tabla18[[#This Row],[Haber]])*
SUMIF('0_Indice_CAC'!$A:$A,Tabla18[[#This Row],[Mes]],'0_Indice_CAC'!$D:$D)</f>
        <v>36910.268213706324</v>
      </c>
      <c r="T238" s="142">
        <f>Tabla18[[#This Row],[Debe]]-Tabla18[[#This Row],[Haber]]</f>
        <v>40003.67</v>
      </c>
      <c r="U238" s="322"/>
      <c r="V238" s="323"/>
      <c r="W238" s="142">
        <f t="shared" si="6"/>
        <v>40003.67</v>
      </c>
      <c r="X238" s="142" t="b">
        <f>ISNUMBER(MATCH(A238,'3_Control_Ppto'!$A$4:$A$70,0))</f>
        <v>1</v>
      </c>
      <c r="Y238" s="136"/>
    </row>
    <row r="239" spans="1:25" ht="12" customHeight="1" x14ac:dyDescent="0.3">
      <c r="A239" s="140" t="s">
        <v>4317</v>
      </c>
      <c r="B239" s="140" t="s">
        <v>56</v>
      </c>
      <c r="C239" s="549">
        <f>+EOMONTH(Tabla18[[#This Row],[Fecha Asiento]],-1)+1</f>
        <v>45809</v>
      </c>
      <c r="D239" s="136">
        <v>52302</v>
      </c>
      <c r="E239" s="136" t="s">
        <v>4444</v>
      </c>
      <c r="F239" s="141">
        <v>45821</v>
      </c>
      <c r="G239" s="136">
        <v>1627</v>
      </c>
      <c r="H239" s="136" t="s">
        <v>4640</v>
      </c>
      <c r="I239" s="136" t="s">
        <v>4423</v>
      </c>
      <c r="J239" s="136" t="s">
        <v>4424</v>
      </c>
      <c r="K239" s="136">
        <v>7027</v>
      </c>
      <c r="L239" s="138">
        <v>17864</v>
      </c>
      <c r="M239" s="138">
        <v>0</v>
      </c>
      <c r="N239" s="136" t="s">
        <v>4425</v>
      </c>
      <c r="O239" s="136" t="s">
        <v>4426</v>
      </c>
      <c r="P239" s="136" t="s">
        <v>4427</v>
      </c>
      <c r="Q239" s="136" t="s">
        <v>4428</v>
      </c>
      <c r="R239" s="136">
        <v>0</v>
      </c>
      <c r="S239" s="142">
        <f>(Tabla18[[#This Row],[Debe]]-Tabla18[[#This Row],[Haber]])*
SUMIF('0_Indice_CAC'!$A:$A,Tabla18[[#This Row],[Mes]],'0_Indice_CAC'!$D:$D)</f>
        <v>16482.613504452213</v>
      </c>
      <c r="T239" s="142">
        <f>Tabla18[[#This Row],[Debe]]-Tabla18[[#This Row],[Haber]]</f>
        <v>17864</v>
      </c>
      <c r="U239" s="322"/>
      <c r="V239" s="323"/>
      <c r="W239" s="142">
        <f t="shared" si="6"/>
        <v>17864</v>
      </c>
      <c r="X239" s="142" t="b">
        <f>ISNUMBER(MATCH(A239,'3_Control_Ppto'!$A$4:$A$70,0))</f>
        <v>1</v>
      </c>
      <c r="Y239" s="136"/>
    </row>
    <row r="240" spans="1:25" ht="12" customHeight="1" x14ac:dyDescent="0.3">
      <c r="A240" s="140" t="s">
        <v>106</v>
      </c>
      <c r="B240" s="140" t="s">
        <v>4090</v>
      </c>
      <c r="C240" s="549">
        <f>+EOMONTH(Tabla18[[#This Row],[Fecha Asiento]],-1)+1</f>
        <v>45809</v>
      </c>
      <c r="D240" s="136">
        <v>53008</v>
      </c>
      <c r="E240" s="136" t="s">
        <v>4490</v>
      </c>
      <c r="F240" s="141">
        <v>45821</v>
      </c>
      <c r="G240" s="136">
        <v>3317</v>
      </c>
      <c r="H240" s="136" t="s">
        <v>4641</v>
      </c>
      <c r="I240" s="136" t="s">
        <v>4630</v>
      </c>
      <c r="J240" s="136" t="s">
        <v>4455</v>
      </c>
      <c r="K240" s="136">
        <v>1500080784</v>
      </c>
      <c r="L240" s="138">
        <v>43528.94</v>
      </c>
      <c r="M240" s="138">
        <v>0</v>
      </c>
      <c r="N240" s="136" t="s">
        <v>4425</v>
      </c>
      <c r="O240" s="136" t="s">
        <v>4426</v>
      </c>
      <c r="P240" s="136" t="s">
        <v>4427</v>
      </c>
      <c r="Q240" s="136" t="s">
        <v>4428</v>
      </c>
      <c r="R240" s="136">
        <v>0</v>
      </c>
      <c r="S240" s="142">
        <f>(Tabla18[[#This Row],[Debe]]-Tabla18[[#This Row],[Haber]])*
SUMIF('0_Indice_CAC'!$A:$A,Tabla18[[#This Row],[Mes]],'0_Indice_CAC'!$D:$D)</f>
        <v>40162.936312051621</v>
      </c>
      <c r="T240" s="142">
        <f>Tabla18[[#This Row],[Debe]]-Tabla18[[#This Row],[Haber]]</f>
        <v>43528.94</v>
      </c>
      <c r="U240" s="322"/>
      <c r="V240" s="323"/>
      <c r="W240" s="142">
        <f t="shared" si="6"/>
        <v>43528.94</v>
      </c>
      <c r="X240" s="142" t="b">
        <f>ISNUMBER(MATCH(A240,'3_Control_Ppto'!$A$4:$A$70,0))</f>
        <v>1</v>
      </c>
      <c r="Y240" s="136"/>
    </row>
    <row r="241" spans="1:25" ht="12" customHeight="1" x14ac:dyDescent="0.3">
      <c r="A241" s="140" t="s">
        <v>4317</v>
      </c>
      <c r="B241" s="140" t="s">
        <v>56</v>
      </c>
      <c r="C241" s="549">
        <f>+EOMONTH(Tabla18[[#This Row],[Fecha Asiento]],-1)+1</f>
        <v>45809</v>
      </c>
      <c r="D241" s="136">
        <v>52302</v>
      </c>
      <c r="E241" s="136" t="s">
        <v>4444</v>
      </c>
      <c r="F241" s="141">
        <v>45823</v>
      </c>
      <c r="G241" s="136">
        <v>3395</v>
      </c>
      <c r="H241" s="136" t="s">
        <v>4578</v>
      </c>
      <c r="I241" s="136" t="s">
        <v>4532</v>
      </c>
      <c r="J241" s="136" t="s">
        <v>4455</v>
      </c>
      <c r="K241" s="136">
        <v>217201705229</v>
      </c>
      <c r="L241" s="138">
        <v>417.21</v>
      </c>
      <c r="M241" s="138">
        <v>0</v>
      </c>
      <c r="N241" s="136" t="s">
        <v>4425</v>
      </c>
      <c r="O241" s="136" t="s">
        <v>4426</v>
      </c>
      <c r="P241" s="136" t="s">
        <v>4427</v>
      </c>
      <c r="Q241" s="136" t="s">
        <v>4428</v>
      </c>
      <c r="R241" s="136">
        <v>0</v>
      </c>
      <c r="S241" s="142">
        <f>(Tabla18[[#This Row],[Debe]]-Tabla18[[#This Row],[Haber]])*
SUMIF('0_Indice_CAC'!$A:$A,Tabla18[[#This Row],[Mes]],'0_Indice_CAC'!$D:$D)</f>
        <v>384.94800605645474</v>
      </c>
      <c r="T241" s="142">
        <f>Tabla18[[#This Row],[Debe]]-Tabla18[[#This Row],[Haber]]</f>
        <v>417.21</v>
      </c>
      <c r="U241" s="322"/>
      <c r="V241" s="323"/>
      <c r="W241" s="142">
        <f t="shared" si="6"/>
        <v>417.21</v>
      </c>
      <c r="X241" s="142" t="b">
        <f>ISNUMBER(MATCH(A241,'3_Control_Ppto'!$A$4:$A$70,0))</f>
        <v>1</v>
      </c>
      <c r="Y241" s="136"/>
    </row>
    <row r="242" spans="1:25" ht="12" customHeight="1" x14ac:dyDescent="0.3">
      <c r="A242" s="140" t="s">
        <v>4317</v>
      </c>
      <c r="B242" s="140" t="s">
        <v>56</v>
      </c>
      <c r="C242" s="549">
        <f>+EOMONTH(Tabla18[[#This Row],[Fecha Asiento]],-1)+1</f>
        <v>45809</v>
      </c>
      <c r="D242" s="136">
        <v>52302</v>
      </c>
      <c r="E242" s="136" t="s">
        <v>4444</v>
      </c>
      <c r="F242" s="141">
        <v>45823</v>
      </c>
      <c r="G242" s="136">
        <v>3395</v>
      </c>
      <c r="H242" s="136" t="s">
        <v>4642</v>
      </c>
      <c r="I242" s="136" t="s">
        <v>4532</v>
      </c>
      <c r="J242" s="136" t="s">
        <v>4455</v>
      </c>
      <c r="K242" s="136">
        <v>217201705229</v>
      </c>
      <c r="L242" s="138">
        <v>27501.75</v>
      </c>
      <c r="M242" s="138">
        <v>0</v>
      </c>
      <c r="N242" s="136" t="s">
        <v>4425</v>
      </c>
      <c r="O242" s="136" t="s">
        <v>4426</v>
      </c>
      <c r="P242" s="136" t="s">
        <v>4427</v>
      </c>
      <c r="Q242" s="136" t="s">
        <v>4428</v>
      </c>
      <c r="R242" s="136">
        <v>0</v>
      </c>
      <c r="S242" s="142">
        <f>(Tabla18[[#This Row],[Debe]]-Tabla18[[#This Row],[Haber]])*
SUMIF('0_Indice_CAC'!$A:$A,Tabla18[[#This Row],[Mes]],'0_Indice_CAC'!$D:$D)</f>
        <v>25375.096056094302</v>
      </c>
      <c r="T242" s="142">
        <f>Tabla18[[#This Row],[Debe]]-Tabla18[[#This Row],[Haber]]</f>
        <v>27501.75</v>
      </c>
      <c r="U242" s="322"/>
      <c r="V242" s="323"/>
      <c r="W242" s="142">
        <f t="shared" si="6"/>
        <v>27501.75</v>
      </c>
      <c r="X242" s="142" t="b">
        <f>ISNUMBER(MATCH(A242,'3_Control_Ppto'!$A$4:$A$70,0))</f>
        <v>1</v>
      </c>
      <c r="Y242" s="136"/>
    </row>
    <row r="243" spans="1:25" ht="12" customHeight="1" x14ac:dyDescent="0.3">
      <c r="A243" s="140" t="s">
        <v>4317</v>
      </c>
      <c r="B243" s="140" t="s">
        <v>56</v>
      </c>
      <c r="C243" s="549">
        <f>+EOMONTH(Tabla18[[#This Row],[Fecha Asiento]],-1)+1</f>
        <v>45809</v>
      </c>
      <c r="D243" s="136">
        <v>52302</v>
      </c>
      <c r="E243" s="136" t="s">
        <v>4444</v>
      </c>
      <c r="F243" s="141">
        <v>45823</v>
      </c>
      <c r="G243" s="136">
        <v>3395</v>
      </c>
      <c r="H243" s="136" t="s">
        <v>4643</v>
      </c>
      <c r="I243" s="136" t="s">
        <v>4532</v>
      </c>
      <c r="J243" s="136" t="s">
        <v>4455</v>
      </c>
      <c r="K243" s="136">
        <v>217201705229</v>
      </c>
      <c r="L243" s="138">
        <v>18338.62</v>
      </c>
      <c r="M243" s="138">
        <v>0</v>
      </c>
      <c r="N243" s="136" t="s">
        <v>4425</v>
      </c>
      <c r="O243" s="136" t="s">
        <v>4426</v>
      </c>
      <c r="P243" s="136" t="s">
        <v>4427</v>
      </c>
      <c r="Q243" s="136" t="s">
        <v>4428</v>
      </c>
      <c r="R243" s="136">
        <v>0</v>
      </c>
      <c r="S243" s="142">
        <f>(Tabla18[[#This Row],[Debe]]-Tabla18[[#This Row],[Haber]])*
SUMIF('0_Indice_CAC'!$A:$A,Tabla18[[#This Row],[Mes]],'0_Indice_CAC'!$D:$D)</f>
        <v>16920.532112909619</v>
      </c>
      <c r="T243" s="142">
        <f>Tabla18[[#This Row],[Debe]]-Tabla18[[#This Row],[Haber]]</f>
        <v>18338.62</v>
      </c>
      <c r="U243" s="322"/>
      <c r="V243" s="323"/>
      <c r="W243" s="142">
        <f t="shared" si="6"/>
        <v>18338.62</v>
      </c>
      <c r="X243" s="142" t="b">
        <f>ISNUMBER(MATCH(A243,'3_Control_Ppto'!$A$4:$A$70,0))</f>
        <v>1</v>
      </c>
      <c r="Y243" s="136"/>
    </row>
    <row r="244" spans="1:25" ht="12" customHeight="1" x14ac:dyDescent="0.3">
      <c r="A244" s="140" t="s">
        <v>4317</v>
      </c>
      <c r="B244" s="140" t="s">
        <v>56</v>
      </c>
      <c r="C244" s="549">
        <f>+EOMONTH(Tabla18[[#This Row],[Fecha Asiento]],-1)+1</f>
        <v>45809</v>
      </c>
      <c r="D244" s="136">
        <v>52302</v>
      </c>
      <c r="E244" s="136" t="s">
        <v>4444</v>
      </c>
      <c r="F244" s="141">
        <v>45823</v>
      </c>
      <c r="G244" s="136">
        <v>3395</v>
      </c>
      <c r="H244" s="136" t="s">
        <v>4534</v>
      </c>
      <c r="I244" s="136" t="s">
        <v>4532</v>
      </c>
      <c r="J244" s="136" t="s">
        <v>4455</v>
      </c>
      <c r="K244" s="136">
        <v>217201705229</v>
      </c>
      <c r="L244" s="138">
        <v>5038.3999999999996</v>
      </c>
      <c r="M244" s="138">
        <v>0</v>
      </c>
      <c r="N244" s="136" t="s">
        <v>4425</v>
      </c>
      <c r="O244" s="136" t="s">
        <v>4426</v>
      </c>
      <c r="P244" s="136" t="s">
        <v>4427</v>
      </c>
      <c r="Q244" s="136" t="s">
        <v>4428</v>
      </c>
      <c r="R244" s="136">
        <v>0</v>
      </c>
      <c r="S244" s="142">
        <f>(Tabla18[[#This Row],[Debe]]-Tabla18[[#This Row],[Haber]])*
SUMIF('0_Indice_CAC'!$A:$A,Tabla18[[#This Row],[Mes]],'0_Indice_CAC'!$D:$D)</f>
        <v>4648.7908576372602</v>
      </c>
      <c r="T244" s="142">
        <f>Tabla18[[#This Row],[Debe]]-Tabla18[[#This Row],[Haber]]</f>
        <v>5038.3999999999996</v>
      </c>
      <c r="U244" s="322"/>
      <c r="V244" s="323"/>
      <c r="W244" s="142">
        <f t="shared" si="6"/>
        <v>5038.3999999999996</v>
      </c>
      <c r="X244" s="142" t="b">
        <f>ISNUMBER(MATCH(A244,'3_Control_Ppto'!$A$4:$A$70,0))</f>
        <v>1</v>
      </c>
      <c r="Y244" s="136"/>
    </row>
    <row r="245" spans="1:25" ht="12" customHeight="1" x14ac:dyDescent="0.3">
      <c r="A245" s="140" t="s">
        <v>4317</v>
      </c>
      <c r="B245" s="140" t="s">
        <v>56</v>
      </c>
      <c r="C245" s="549">
        <f>+EOMONTH(Tabla18[[#This Row],[Fecha Asiento]],-1)+1</f>
        <v>45809</v>
      </c>
      <c r="D245" s="136">
        <v>52005</v>
      </c>
      <c r="E245" s="136" t="s">
        <v>4357</v>
      </c>
      <c r="F245" s="141">
        <v>45826</v>
      </c>
      <c r="G245" s="136">
        <v>3490</v>
      </c>
      <c r="H245" s="136" t="s">
        <v>4586</v>
      </c>
      <c r="I245" s="136" t="s">
        <v>4587</v>
      </c>
      <c r="J245" s="136" t="s">
        <v>4455</v>
      </c>
      <c r="K245" s="136">
        <v>426405489994</v>
      </c>
      <c r="L245" s="138">
        <v>20595</v>
      </c>
      <c r="M245" s="138">
        <v>0</v>
      </c>
      <c r="N245" s="136" t="s">
        <v>4425</v>
      </c>
      <c r="O245" s="136" t="s">
        <v>4426</v>
      </c>
      <c r="P245" s="136" t="s">
        <v>4427</v>
      </c>
      <c r="Q245" s="136" t="s">
        <v>4428</v>
      </c>
      <c r="R245" s="136">
        <v>0</v>
      </c>
      <c r="S245" s="142">
        <f>(Tabla18[[#This Row],[Debe]]-Tabla18[[#This Row],[Haber]])*
SUMIF('0_Indice_CAC'!$A:$A,Tabla18[[#This Row],[Mes]],'0_Indice_CAC'!$D:$D)</f>
        <v>19002.430873499401</v>
      </c>
      <c r="T245" s="142">
        <f>Tabla18[[#This Row],[Debe]]-Tabla18[[#This Row],[Haber]]</f>
        <v>20595</v>
      </c>
      <c r="U245" s="322"/>
      <c r="V245" s="323"/>
      <c r="W245" s="142">
        <f t="shared" si="6"/>
        <v>20595</v>
      </c>
      <c r="X245" s="142" t="b">
        <f>ISNUMBER(MATCH(A245,'3_Control_Ppto'!$A$4:$A$70,0))</f>
        <v>1</v>
      </c>
      <c r="Y245" s="136"/>
    </row>
    <row r="246" spans="1:25" ht="12" customHeight="1" x14ac:dyDescent="0.3">
      <c r="A246" s="140" t="s">
        <v>1478</v>
      </c>
      <c r="B246" s="140" t="s">
        <v>25</v>
      </c>
      <c r="C246" s="549">
        <f>+EOMONTH(Tabla18[[#This Row],[Fecha Asiento]],-1)+1</f>
        <v>45809</v>
      </c>
      <c r="D246" s="136">
        <v>53005</v>
      </c>
      <c r="E246" s="136" t="s">
        <v>4472</v>
      </c>
      <c r="F246" s="141">
        <v>45826</v>
      </c>
      <c r="G246" s="136">
        <v>1611</v>
      </c>
      <c r="H246" s="136" t="s">
        <v>4644</v>
      </c>
      <c r="I246" s="136" t="s">
        <v>4423</v>
      </c>
      <c r="J246" s="136" t="s">
        <v>4424</v>
      </c>
      <c r="K246" s="136">
        <v>7011</v>
      </c>
      <c r="L246" s="138">
        <v>63170</v>
      </c>
      <c r="M246" s="138">
        <v>0</v>
      </c>
      <c r="N246" s="136" t="s">
        <v>4425</v>
      </c>
      <c r="O246" s="136" t="s">
        <v>4426</v>
      </c>
      <c r="P246" s="136" t="s">
        <v>4427</v>
      </c>
      <c r="Q246" s="136" t="s">
        <v>4428</v>
      </c>
      <c r="R246" s="136">
        <v>0</v>
      </c>
      <c r="S246" s="142">
        <f>(Tabla18[[#This Row],[Debe]]-Tabla18[[#This Row],[Haber]])*
SUMIF('0_Indice_CAC'!$A:$A,Tabla18[[#This Row],[Mes]],'0_Indice_CAC'!$D:$D)</f>
        <v>58285.193410000349</v>
      </c>
      <c r="T246" s="142">
        <f>Tabla18[[#This Row],[Debe]]-Tabla18[[#This Row],[Haber]]</f>
        <v>63170</v>
      </c>
      <c r="U246" s="322"/>
      <c r="V246" s="323"/>
      <c r="W246" s="142">
        <f t="shared" si="6"/>
        <v>63170</v>
      </c>
      <c r="X246" s="142" t="b">
        <f>ISNUMBER(MATCH(A246,'3_Control_Ppto'!$A$4:$A$70,0))</f>
        <v>1</v>
      </c>
      <c r="Y246" s="136"/>
    </row>
    <row r="247" spans="1:25" ht="12" customHeight="1" x14ac:dyDescent="0.3">
      <c r="A247" s="140" t="s">
        <v>25</v>
      </c>
      <c r="B247" s="140" t="s">
        <v>25</v>
      </c>
      <c r="C247" s="549">
        <f>+EOMONTH(Tabla18[[#This Row],[Fecha Asiento]],-1)+1</f>
        <v>45809</v>
      </c>
      <c r="D247" s="136">
        <v>4201</v>
      </c>
      <c r="E247" s="136" t="s">
        <v>4566</v>
      </c>
      <c r="F247" s="141">
        <v>45831</v>
      </c>
      <c r="G247" s="136">
        <v>1969</v>
      </c>
      <c r="H247" s="136" t="s">
        <v>4645</v>
      </c>
      <c r="I247" s="136" t="s">
        <v>4423</v>
      </c>
      <c r="J247" s="136" t="s">
        <v>4568</v>
      </c>
      <c r="K247" s="136">
        <v>206</v>
      </c>
      <c r="L247" s="138">
        <v>0</v>
      </c>
      <c r="M247" s="138">
        <v>35700000</v>
      </c>
      <c r="N247" s="136" t="s">
        <v>4425</v>
      </c>
      <c r="O247" s="136" t="s">
        <v>4426</v>
      </c>
      <c r="P247" s="136" t="s">
        <v>4427</v>
      </c>
      <c r="Q247" s="136" t="s">
        <v>4428</v>
      </c>
      <c r="R247" s="136">
        <v>0</v>
      </c>
      <c r="S247" s="142">
        <f>(Tabla18[[#This Row],[Debe]]-Tabla18[[#This Row],[Haber]])*
SUMIF('0_Indice_CAC'!$A:$A,Tabla18[[#This Row],[Mes]],'0_Indice_CAC'!$D:$D)</f>
        <v>-32939392.191499326</v>
      </c>
      <c r="T247" s="142">
        <f>Tabla18[[#This Row],[Debe]]-Tabla18[[#This Row],[Haber]]</f>
        <v>-35700000</v>
      </c>
      <c r="U247" s="322"/>
      <c r="V247" s="323"/>
      <c r="W247" s="142">
        <f t="shared" si="6"/>
        <v>-35700000</v>
      </c>
      <c r="X247" s="142" t="b">
        <f>ISNUMBER(MATCH(A247,'3_Control_Ppto'!$A$4:$A$70,0))</f>
        <v>0</v>
      </c>
      <c r="Y247" s="136"/>
    </row>
    <row r="248" spans="1:25" ht="12" customHeight="1" x14ac:dyDescent="0.3">
      <c r="A248" s="140" t="s">
        <v>4119</v>
      </c>
      <c r="B248" s="140" t="s">
        <v>4090</v>
      </c>
      <c r="C248" s="549">
        <f>+EOMONTH(Tabla18[[#This Row],[Fecha Asiento]],-1)+1</f>
        <v>45809</v>
      </c>
      <c r="D248" s="136">
        <v>53022</v>
      </c>
      <c r="E248" s="136" t="s">
        <v>4429</v>
      </c>
      <c r="F248" s="141">
        <v>45831</v>
      </c>
      <c r="G248" s="136">
        <v>1712</v>
      </c>
      <c r="H248" s="136" t="s">
        <v>4646</v>
      </c>
      <c r="I248" s="136" t="s">
        <v>4423</v>
      </c>
      <c r="J248" s="136" t="s">
        <v>4424</v>
      </c>
      <c r="K248" s="136">
        <v>7114</v>
      </c>
      <c r="L248" s="138">
        <v>300000</v>
      </c>
      <c r="M248" s="138">
        <v>0</v>
      </c>
      <c r="N248" s="136" t="s">
        <v>4425</v>
      </c>
      <c r="O248" s="136" t="s">
        <v>4426</v>
      </c>
      <c r="P248" s="136" t="s">
        <v>4427</v>
      </c>
      <c r="Q248" s="136" t="s">
        <v>4428</v>
      </c>
      <c r="R248" s="136">
        <v>0</v>
      </c>
      <c r="S248" s="142">
        <f>(Tabla18[[#This Row],[Debe]]-Tabla18[[#This Row],[Haber]])*
SUMIF('0_Indice_CAC'!$A:$A,Tabla18[[#This Row],[Mes]],'0_Indice_CAC'!$D:$D)</f>
        <v>276801.61505461618</v>
      </c>
      <c r="T248" s="142">
        <f>Tabla18[[#This Row],[Debe]]-Tabla18[[#This Row],[Haber]]</f>
        <v>300000</v>
      </c>
      <c r="U248" s="322"/>
      <c r="V248" s="323"/>
      <c r="W248" s="142">
        <f t="shared" si="6"/>
        <v>300000</v>
      </c>
      <c r="X248" s="142" t="b">
        <f>ISNUMBER(MATCH(A248,'3_Control_Ppto'!$A$4:$A$70,0))</f>
        <v>1</v>
      </c>
      <c r="Y248" s="136"/>
    </row>
    <row r="249" spans="1:25" ht="12" customHeight="1" x14ac:dyDescent="0.3">
      <c r="A249" s="140" t="s">
        <v>25</v>
      </c>
      <c r="B249" s="140" t="s">
        <v>25</v>
      </c>
      <c r="C249" s="549">
        <f>+EOMONTH(Tabla18[[#This Row],[Fecha Asiento]],-1)+1</f>
        <v>45809</v>
      </c>
      <c r="D249" s="136">
        <v>52002</v>
      </c>
      <c r="E249" s="136" t="s">
        <v>4449</v>
      </c>
      <c r="F249" s="141">
        <v>45832</v>
      </c>
      <c r="G249" s="136">
        <v>3946</v>
      </c>
      <c r="H249" s="136" t="s">
        <v>4647</v>
      </c>
      <c r="I249" s="136" t="s">
        <v>4423</v>
      </c>
      <c r="J249" s="136" t="s">
        <v>4431</v>
      </c>
      <c r="K249" s="136">
        <v>3947</v>
      </c>
      <c r="L249" s="138">
        <v>283606.90000000002</v>
      </c>
      <c r="M249" s="138">
        <v>0</v>
      </c>
      <c r="N249" s="136" t="s">
        <v>4425</v>
      </c>
      <c r="O249" s="136" t="s">
        <v>4426</v>
      </c>
      <c r="P249" s="136" t="s">
        <v>4427</v>
      </c>
      <c r="Q249" s="136" t="s">
        <v>4428</v>
      </c>
      <c r="R249" s="136">
        <v>0</v>
      </c>
      <c r="S249" s="142">
        <f>(Tabla18[[#This Row],[Debe]]-Tabla18[[#This Row],[Haber]])*
SUMIF('0_Indice_CAC'!$A:$A,Tabla18[[#This Row],[Mes]],'0_Indice_CAC'!$D:$D)</f>
        <v>261676.1598687768</v>
      </c>
      <c r="T249" s="142">
        <f>Tabla18[[#This Row],[Debe]]-Tabla18[[#This Row],[Haber]]</f>
        <v>283606.90000000002</v>
      </c>
      <c r="U249" s="322"/>
      <c r="V249" s="323"/>
      <c r="W249" s="142">
        <f t="shared" si="6"/>
        <v>283606.90000000002</v>
      </c>
      <c r="X249" s="142" t="b">
        <f>ISNUMBER(MATCH(A249,'3_Control_Ppto'!$A$4:$A$70,0))</f>
        <v>0</v>
      </c>
      <c r="Y249" s="136"/>
    </row>
    <row r="250" spans="1:25" ht="12" customHeight="1" x14ac:dyDescent="0.3">
      <c r="A250" s="140" t="s">
        <v>1478</v>
      </c>
      <c r="B250" s="140" t="s">
        <v>4090</v>
      </c>
      <c r="C250" s="549">
        <f>+EOMONTH(Tabla18[[#This Row],[Fecha Asiento]],-1)+1</f>
        <v>45809</v>
      </c>
      <c r="D250" s="136">
        <v>53004</v>
      </c>
      <c r="E250" s="136" t="s">
        <v>4496</v>
      </c>
      <c r="F250" s="141">
        <v>45832</v>
      </c>
      <c r="G250" s="136">
        <v>3658</v>
      </c>
      <c r="H250" s="136" t="s">
        <v>4648</v>
      </c>
      <c r="I250" s="136" t="s">
        <v>4624</v>
      </c>
      <c r="J250" s="136" t="s">
        <v>4455</v>
      </c>
      <c r="K250" s="136">
        <v>5000013894</v>
      </c>
      <c r="L250" s="138">
        <v>507594.79</v>
      </c>
      <c r="M250" s="138">
        <v>0</v>
      </c>
      <c r="N250" s="136" t="s">
        <v>4425</v>
      </c>
      <c r="O250" s="136" t="s">
        <v>4426</v>
      </c>
      <c r="P250" s="136" t="s">
        <v>4427</v>
      </c>
      <c r="Q250" s="136" t="s">
        <v>4428</v>
      </c>
      <c r="R250" s="136">
        <v>0</v>
      </c>
      <c r="S250" s="142">
        <f>(Tabla18[[#This Row],[Debe]]-Tabla18[[#This Row],[Haber]])*
SUMIF('0_Indice_CAC'!$A:$A,Tabla18[[#This Row],[Mes]],'0_Indice_CAC'!$D:$D)</f>
        <v>468343.52555102913</v>
      </c>
      <c r="T250" s="142">
        <f>Tabla18[[#This Row],[Debe]]-Tabla18[[#This Row],[Haber]]</f>
        <v>507594.79</v>
      </c>
      <c r="U250" s="322"/>
      <c r="V250" s="323"/>
      <c r="W250" s="142">
        <f t="shared" si="6"/>
        <v>507594.79</v>
      </c>
      <c r="X250" s="142" t="b">
        <f>ISNUMBER(MATCH(A250,'3_Control_Ppto'!$A$4:$A$70,0))</f>
        <v>1</v>
      </c>
      <c r="Y250" s="136"/>
    </row>
    <row r="251" spans="1:25" ht="12" customHeight="1" x14ac:dyDescent="0.3">
      <c r="A251" s="140" t="s">
        <v>106</v>
      </c>
      <c r="B251" s="140" t="s">
        <v>25</v>
      </c>
      <c r="C251" s="549">
        <f>+EOMONTH(Tabla18[[#This Row],[Fecha Asiento]],-1)+1</f>
        <v>45809</v>
      </c>
      <c r="D251" s="136">
        <v>53009</v>
      </c>
      <c r="E251" s="136" t="s">
        <v>4446</v>
      </c>
      <c r="F251" s="141">
        <v>45832</v>
      </c>
      <c r="G251" s="136">
        <v>1648</v>
      </c>
      <c r="H251" s="136" t="s">
        <v>4649</v>
      </c>
      <c r="I251" s="136" t="s">
        <v>4423</v>
      </c>
      <c r="J251" s="136" t="s">
        <v>4424</v>
      </c>
      <c r="K251" s="136">
        <v>7049</v>
      </c>
      <c r="L251" s="138">
        <v>1451500</v>
      </c>
      <c r="M251" s="138">
        <v>0</v>
      </c>
      <c r="N251" s="136" t="s">
        <v>4425</v>
      </c>
      <c r="O251" s="136" t="s">
        <v>4426</v>
      </c>
      <c r="P251" s="136" t="s">
        <v>4427</v>
      </c>
      <c r="Q251" s="136" t="s">
        <v>4428</v>
      </c>
      <c r="R251" s="136">
        <v>0</v>
      </c>
      <c r="S251" s="142">
        <f>(Tabla18[[#This Row],[Debe]]-Tabla18[[#This Row],[Haber]])*
SUMIF('0_Indice_CAC'!$A:$A,Tabla18[[#This Row],[Mes]],'0_Indice_CAC'!$D:$D)</f>
        <v>1339258.4808392513</v>
      </c>
      <c r="T251" s="142">
        <f>Tabla18[[#This Row],[Debe]]-Tabla18[[#This Row],[Haber]]</f>
        <v>1451500</v>
      </c>
      <c r="U251" s="322"/>
      <c r="V251" s="323"/>
      <c r="W251" s="142">
        <f t="shared" si="6"/>
        <v>1451500</v>
      </c>
      <c r="X251" s="142" t="b">
        <f>ISNUMBER(MATCH(A251,'3_Control_Ppto'!$A$4:$A$70,0))</f>
        <v>1</v>
      </c>
      <c r="Y251" s="136"/>
    </row>
    <row r="252" spans="1:25" ht="12" customHeight="1" x14ac:dyDescent="0.3">
      <c r="A252" s="140" t="s">
        <v>106</v>
      </c>
      <c r="B252" s="140" t="s">
        <v>4090</v>
      </c>
      <c r="C252" s="549">
        <f>+EOMONTH(Tabla18[[#This Row],[Fecha Asiento]],-1)+1</f>
        <v>45809</v>
      </c>
      <c r="D252" s="136">
        <v>53023</v>
      </c>
      <c r="E252" s="136" t="s">
        <v>4467</v>
      </c>
      <c r="F252" s="141">
        <v>45832</v>
      </c>
      <c r="G252" s="136">
        <v>3491</v>
      </c>
      <c r="H252" s="136" t="s">
        <v>4650</v>
      </c>
      <c r="I252" s="136" t="s">
        <v>4651</v>
      </c>
      <c r="J252" s="136" t="s">
        <v>4455</v>
      </c>
      <c r="K252" s="136">
        <v>2100002386</v>
      </c>
      <c r="L252" s="138">
        <v>14793.39</v>
      </c>
      <c r="M252" s="138">
        <v>0</v>
      </c>
      <c r="N252" s="136" t="s">
        <v>4425</v>
      </c>
      <c r="O252" s="136" t="s">
        <v>4426</v>
      </c>
      <c r="P252" s="136" t="s">
        <v>4427</v>
      </c>
      <c r="Q252" s="136" t="s">
        <v>4428</v>
      </c>
      <c r="R252" s="136">
        <v>0</v>
      </c>
      <c r="S252" s="142">
        <f>(Tabla18[[#This Row],[Debe]]-Tabla18[[#This Row],[Haber]])*
SUMIF('0_Indice_CAC'!$A:$A,Tabla18[[#This Row],[Mes]],'0_Indice_CAC'!$D:$D)</f>
        <v>13649.447480442695</v>
      </c>
      <c r="T252" s="142">
        <f>Tabla18[[#This Row],[Debe]]-Tabla18[[#This Row],[Haber]]</f>
        <v>14793.39</v>
      </c>
      <c r="U252" s="322"/>
      <c r="V252" s="323"/>
      <c r="W252" s="142">
        <f t="shared" si="6"/>
        <v>14793.39</v>
      </c>
      <c r="X252" s="142" t="b">
        <f>ISNUMBER(MATCH(A252,'3_Control_Ppto'!$A$4:$A$70,0))</f>
        <v>1</v>
      </c>
      <c r="Y252" s="136"/>
    </row>
    <row r="253" spans="1:25" ht="12" customHeight="1" x14ac:dyDescent="0.3">
      <c r="A253" s="140" t="s">
        <v>4125</v>
      </c>
      <c r="B253" s="140" t="s">
        <v>56</v>
      </c>
      <c r="C253" s="549">
        <f>+EOMONTH(Tabla18[[#This Row],[Fecha Asiento]],-1)+1</f>
        <v>45809</v>
      </c>
      <c r="D253" s="136">
        <v>53003</v>
      </c>
      <c r="E253" s="136" t="s">
        <v>4523</v>
      </c>
      <c r="F253" s="141">
        <v>45834</v>
      </c>
      <c r="G253" s="136">
        <v>1707</v>
      </c>
      <c r="H253" s="136" t="s">
        <v>4636</v>
      </c>
      <c r="I253" s="136" t="s">
        <v>4423</v>
      </c>
      <c r="J253" s="136" t="s">
        <v>4424</v>
      </c>
      <c r="K253" s="136">
        <v>7109</v>
      </c>
      <c r="L253" s="138">
        <v>1696000</v>
      </c>
      <c r="M253" s="138">
        <v>0</v>
      </c>
      <c r="N253" s="136" t="s">
        <v>4425</v>
      </c>
      <c r="O253" s="136" t="s">
        <v>4426</v>
      </c>
      <c r="P253" s="136" t="s">
        <v>4427</v>
      </c>
      <c r="Q253" s="136" t="s">
        <v>4428</v>
      </c>
      <c r="R253" s="136">
        <v>0</v>
      </c>
      <c r="S253" s="142">
        <f>(Tabla18[[#This Row],[Debe]]-Tabla18[[#This Row],[Haber]])*
SUMIF('0_Indice_CAC'!$A:$A,Tabla18[[#This Row],[Mes]],'0_Indice_CAC'!$D:$D)</f>
        <v>1564851.7971087636</v>
      </c>
      <c r="T253" s="142">
        <f>Tabla18[[#This Row],[Debe]]-Tabla18[[#This Row],[Haber]]</f>
        <v>1696000</v>
      </c>
      <c r="U253" s="322" t="s">
        <v>4525</v>
      </c>
      <c r="V253" s="323"/>
      <c r="W253" s="142">
        <f t="shared" si="6"/>
        <v>1696000</v>
      </c>
      <c r="X253" s="142" t="b">
        <f>ISNUMBER(MATCH(A253,'3_Control_Ppto'!$A$4:$A$70,0))</f>
        <v>1</v>
      </c>
      <c r="Y253" s="136"/>
    </row>
    <row r="254" spans="1:25" ht="12" customHeight="1" x14ac:dyDescent="0.3">
      <c r="A254" s="140" t="s">
        <v>25</v>
      </c>
      <c r="B254" s="140" t="s">
        <v>25</v>
      </c>
      <c r="C254" s="549">
        <f>+EOMONTH(Tabla18[[#This Row],[Fecha Asiento]],-1)+1</f>
        <v>45809</v>
      </c>
      <c r="D254" s="136">
        <v>4201</v>
      </c>
      <c r="E254" s="136" t="s">
        <v>4566</v>
      </c>
      <c r="F254" s="141">
        <v>45835</v>
      </c>
      <c r="G254" s="136">
        <v>1970</v>
      </c>
      <c r="H254" s="136" t="s">
        <v>4652</v>
      </c>
      <c r="I254" s="136" t="s">
        <v>4423</v>
      </c>
      <c r="J254" s="136" t="s">
        <v>4568</v>
      </c>
      <c r="K254" s="136">
        <v>207</v>
      </c>
      <c r="L254" s="138">
        <v>0</v>
      </c>
      <c r="M254" s="138">
        <v>4206000</v>
      </c>
      <c r="N254" s="136" t="s">
        <v>4425</v>
      </c>
      <c r="O254" s="136" t="s">
        <v>4426</v>
      </c>
      <c r="P254" s="136" t="s">
        <v>4427</v>
      </c>
      <c r="Q254" s="136" t="s">
        <v>4428</v>
      </c>
      <c r="R254" s="136">
        <v>0</v>
      </c>
      <c r="S254" s="142">
        <f>(Tabla18[[#This Row],[Debe]]-Tabla18[[#This Row],[Haber]])*
SUMIF('0_Indice_CAC'!$A:$A,Tabla18[[#This Row],[Mes]],'0_Indice_CAC'!$D:$D)</f>
        <v>-3880758.6430657189</v>
      </c>
      <c r="T254" s="142">
        <f>Tabla18[[#This Row],[Debe]]-Tabla18[[#This Row],[Haber]]</f>
        <v>-4206000</v>
      </c>
      <c r="U254" s="322"/>
      <c r="V254" s="323"/>
      <c r="W254" s="142">
        <f t="shared" si="6"/>
        <v>-4206000</v>
      </c>
      <c r="X254" s="142" t="b">
        <f>ISNUMBER(MATCH(A254,'3_Control_Ppto'!$A$4:$A$70,0))</f>
        <v>0</v>
      </c>
      <c r="Y254" s="136"/>
    </row>
    <row r="255" spans="1:25" ht="12" customHeight="1" x14ac:dyDescent="0.3">
      <c r="A255" s="140" t="s">
        <v>1478</v>
      </c>
      <c r="B255" s="140" t="s">
        <v>4090</v>
      </c>
      <c r="C255" s="549">
        <f>+EOMONTH(Tabla18[[#This Row],[Fecha Asiento]],-1)+1</f>
        <v>45809</v>
      </c>
      <c r="D255" s="136">
        <v>53004</v>
      </c>
      <c r="E255" s="136" t="s">
        <v>4496</v>
      </c>
      <c r="F255" s="141">
        <v>45835</v>
      </c>
      <c r="G255" s="136">
        <v>3412</v>
      </c>
      <c r="H255" s="136" t="s">
        <v>4653</v>
      </c>
      <c r="I255" s="136" t="s">
        <v>4630</v>
      </c>
      <c r="J255" s="136" t="s">
        <v>4455</v>
      </c>
      <c r="K255" s="136">
        <v>1500081286</v>
      </c>
      <c r="L255" s="138">
        <v>191117.67</v>
      </c>
      <c r="M255" s="138">
        <v>0</v>
      </c>
      <c r="N255" s="136" t="s">
        <v>4425</v>
      </c>
      <c r="O255" s="136" t="s">
        <v>4426</v>
      </c>
      <c r="P255" s="136" t="s">
        <v>4427</v>
      </c>
      <c r="Q255" s="136" t="s">
        <v>4428</v>
      </c>
      <c r="R255" s="136">
        <v>0</v>
      </c>
      <c r="S255" s="142">
        <f>(Tabla18[[#This Row],[Debe]]-Tabla18[[#This Row],[Haber]])*
SUMIF('0_Indice_CAC'!$A:$A,Tabla18[[#This Row],[Mes]],'0_Indice_CAC'!$D:$D)</f>
        <v>176338.93240491726</v>
      </c>
      <c r="T255" s="142">
        <f>Tabla18[[#This Row],[Debe]]-Tabla18[[#This Row],[Haber]]</f>
        <v>191117.67</v>
      </c>
      <c r="U255" s="322"/>
      <c r="V255" s="323"/>
      <c r="W255" s="142">
        <f t="shared" si="6"/>
        <v>191117.67</v>
      </c>
      <c r="X255" s="142" t="b">
        <f>ISNUMBER(MATCH(A255,'3_Control_Ppto'!$A$4:$A$70,0))</f>
        <v>1</v>
      </c>
      <c r="Y255" s="136"/>
    </row>
    <row r="256" spans="1:25" ht="12" customHeight="1" x14ac:dyDescent="0.3">
      <c r="A256" s="140" t="s">
        <v>4317</v>
      </c>
      <c r="B256" s="140" t="s">
        <v>56</v>
      </c>
      <c r="C256" s="549">
        <f>+EOMONTH(Tabla18[[#This Row],[Fecha Asiento]],-1)+1</f>
        <v>45809</v>
      </c>
      <c r="D256" s="136">
        <v>52302</v>
      </c>
      <c r="E256" s="136" t="s">
        <v>4444</v>
      </c>
      <c r="F256" s="141">
        <v>45837</v>
      </c>
      <c r="G256" s="136">
        <v>3493</v>
      </c>
      <c r="H256" s="136" t="s">
        <v>4601</v>
      </c>
      <c r="I256" s="136" t="s">
        <v>4602</v>
      </c>
      <c r="J256" s="136" t="s">
        <v>4455</v>
      </c>
      <c r="K256" s="136">
        <v>2900015044</v>
      </c>
      <c r="L256" s="138">
        <v>1049.94</v>
      </c>
      <c r="M256" s="138">
        <v>0</v>
      </c>
      <c r="N256" s="136" t="s">
        <v>4425</v>
      </c>
      <c r="O256" s="136" t="s">
        <v>4426</v>
      </c>
      <c r="P256" s="136" t="s">
        <v>4427</v>
      </c>
      <c r="Q256" s="136" t="s">
        <v>4428</v>
      </c>
      <c r="R256" s="136">
        <v>0</v>
      </c>
      <c r="S256" s="142">
        <f>(Tabla18[[#This Row],[Debe]]-Tabla18[[#This Row],[Haber]])*
SUMIF('0_Indice_CAC'!$A:$A,Tabla18[[#This Row],[Mes]],'0_Indice_CAC'!$D:$D)</f>
        <v>968.75029236814578</v>
      </c>
      <c r="T256" s="142">
        <f>Tabla18[[#This Row],[Debe]]-Tabla18[[#This Row],[Haber]]</f>
        <v>1049.94</v>
      </c>
      <c r="U256" s="322"/>
      <c r="V256" s="323"/>
      <c r="W256" s="142">
        <f t="shared" si="6"/>
        <v>1049.94</v>
      </c>
      <c r="X256" s="142" t="b">
        <f>ISNUMBER(MATCH(A256,'3_Control_Ppto'!$A$4:$A$70,0))</f>
        <v>1</v>
      </c>
      <c r="Y256" s="136"/>
    </row>
    <row r="257" spans="1:25" ht="12" customHeight="1" x14ac:dyDescent="0.3">
      <c r="A257" s="140" t="s">
        <v>4317</v>
      </c>
      <c r="B257" s="140" t="s">
        <v>56</v>
      </c>
      <c r="C257" s="549">
        <f>+EOMONTH(Tabla18[[#This Row],[Fecha Asiento]],-1)+1</f>
        <v>45809</v>
      </c>
      <c r="D257" s="136">
        <v>52302</v>
      </c>
      <c r="E257" s="136" t="s">
        <v>4444</v>
      </c>
      <c r="F257" s="141">
        <v>45837</v>
      </c>
      <c r="G257" s="136">
        <v>3493</v>
      </c>
      <c r="H257" s="136" t="s">
        <v>4603</v>
      </c>
      <c r="I257" s="136" t="s">
        <v>4602</v>
      </c>
      <c r="J257" s="136" t="s">
        <v>4455</v>
      </c>
      <c r="K257" s="136">
        <v>2900015044</v>
      </c>
      <c r="L257" s="138">
        <v>64.319999999999993</v>
      </c>
      <c r="M257" s="138">
        <v>0</v>
      </c>
      <c r="N257" s="136" t="s">
        <v>4425</v>
      </c>
      <c r="O257" s="136" t="s">
        <v>4426</v>
      </c>
      <c r="P257" s="136" t="s">
        <v>4427</v>
      </c>
      <c r="Q257" s="136" t="s">
        <v>4428</v>
      </c>
      <c r="R257" s="136">
        <v>0</v>
      </c>
      <c r="S257" s="142">
        <f>(Tabla18[[#This Row],[Debe]]-Tabla18[[#This Row],[Haber]])*
SUMIF('0_Indice_CAC'!$A:$A,Tabla18[[#This Row],[Mes]],'0_Indice_CAC'!$D:$D)</f>
        <v>59.346266267709709</v>
      </c>
      <c r="T257" s="142">
        <f>Tabla18[[#This Row],[Debe]]-Tabla18[[#This Row],[Haber]]</f>
        <v>64.319999999999993</v>
      </c>
      <c r="U257" s="322"/>
      <c r="V257" s="323"/>
      <c r="W257" s="142">
        <f t="shared" si="6"/>
        <v>64.319999999999993</v>
      </c>
      <c r="X257" s="142" t="b">
        <f>ISNUMBER(MATCH(A257,'3_Control_Ppto'!$A$4:$A$70,0))</f>
        <v>1</v>
      </c>
      <c r="Y257" s="136"/>
    </row>
    <row r="258" spans="1:25" ht="12" customHeight="1" x14ac:dyDescent="0.3">
      <c r="A258" s="140" t="s">
        <v>4317</v>
      </c>
      <c r="B258" s="140" t="s">
        <v>56</v>
      </c>
      <c r="C258" s="549">
        <f>+EOMONTH(Tabla18[[#This Row],[Fecha Asiento]],-1)+1</f>
        <v>45809</v>
      </c>
      <c r="D258" s="136">
        <v>52302</v>
      </c>
      <c r="E258" s="136" t="s">
        <v>4444</v>
      </c>
      <c r="F258" s="141">
        <v>45837</v>
      </c>
      <c r="G258" s="136">
        <v>3493</v>
      </c>
      <c r="H258" s="136" t="s">
        <v>4604</v>
      </c>
      <c r="I258" s="136" t="s">
        <v>4602</v>
      </c>
      <c r="J258" s="136" t="s">
        <v>4455</v>
      </c>
      <c r="K258" s="136">
        <v>2900015044</v>
      </c>
      <c r="L258" s="138">
        <v>4708.08</v>
      </c>
      <c r="M258" s="138">
        <v>0</v>
      </c>
      <c r="N258" s="136" t="s">
        <v>4425</v>
      </c>
      <c r="O258" s="136" t="s">
        <v>4426</v>
      </c>
      <c r="P258" s="136" t="s">
        <v>4427</v>
      </c>
      <c r="Q258" s="136" t="s">
        <v>4428</v>
      </c>
      <c r="R258" s="136">
        <v>0</v>
      </c>
      <c r="S258" s="142">
        <f>(Tabla18[[#This Row],[Debe]]-Tabla18[[#This Row],[Haber]])*
SUMIF('0_Indice_CAC'!$A:$A,Tabla18[[#This Row],[Mes]],'0_Indice_CAC'!$D:$D)</f>
        <v>4344.0138260211252</v>
      </c>
      <c r="T258" s="142">
        <f>Tabla18[[#This Row],[Debe]]-Tabla18[[#This Row],[Haber]]</f>
        <v>4708.08</v>
      </c>
      <c r="U258" s="322"/>
      <c r="V258" s="323"/>
      <c r="W258" s="142">
        <f t="shared" si="6"/>
        <v>4708.08</v>
      </c>
      <c r="X258" s="142" t="b">
        <f>ISNUMBER(MATCH(A258,'3_Control_Ppto'!$A$4:$A$70,0))</f>
        <v>1</v>
      </c>
      <c r="Y258" s="136"/>
    </row>
    <row r="259" spans="1:25" ht="12" customHeight="1" x14ac:dyDescent="0.3">
      <c r="A259" s="140" t="s">
        <v>25</v>
      </c>
      <c r="B259" s="140" t="s">
        <v>25</v>
      </c>
      <c r="C259" s="549">
        <f>+EOMONTH(Tabla18[[#This Row],[Fecha Asiento]],-1)+1</f>
        <v>45809</v>
      </c>
      <c r="D259" s="136">
        <v>410222</v>
      </c>
      <c r="E259" s="136" t="s">
        <v>4605</v>
      </c>
      <c r="F259" s="141">
        <v>45838</v>
      </c>
      <c r="G259" s="136">
        <v>3476</v>
      </c>
      <c r="H259" s="136" t="s">
        <v>4606</v>
      </c>
      <c r="I259" s="136" t="s">
        <v>4607</v>
      </c>
      <c r="J259" s="136" t="s">
        <v>4608</v>
      </c>
      <c r="K259" s="136">
        <v>300000683</v>
      </c>
      <c r="L259" s="138">
        <v>0</v>
      </c>
      <c r="M259" s="138">
        <v>34000000</v>
      </c>
      <c r="N259" s="136" t="s">
        <v>4425</v>
      </c>
      <c r="O259" s="136" t="s">
        <v>4426</v>
      </c>
      <c r="P259" s="136" t="s">
        <v>4427</v>
      </c>
      <c r="Q259" s="136" t="s">
        <v>4428</v>
      </c>
      <c r="R259" s="136">
        <v>0</v>
      </c>
      <c r="S259" s="142">
        <f>(Tabla18[[#This Row],[Debe]]-Tabla18[[#This Row],[Haber]])*
SUMIF('0_Indice_CAC'!$A:$A,Tabla18[[#This Row],[Mes]],'0_Indice_CAC'!$D:$D)</f>
        <v>-31370849.706189837</v>
      </c>
      <c r="T259" s="142">
        <f>Tabla18[[#This Row],[Debe]]-Tabla18[[#This Row],[Haber]]</f>
        <v>-34000000</v>
      </c>
      <c r="U259" s="322"/>
      <c r="V259" s="323"/>
      <c r="W259" s="142">
        <f t="shared" si="6"/>
        <v>-34000000</v>
      </c>
      <c r="X259" s="142" t="b">
        <f>ISNUMBER(MATCH(A259,'3_Control_Ppto'!$A$4:$A$70,0))</f>
        <v>0</v>
      </c>
      <c r="Y259" s="136"/>
    </row>
    <row r="260" spans="1:25" ht="12" customHeight="1" x14ac:dyDescent="0.3">
      <c r="A260" s="140" t="s">
        <v>4310</v>
      </c>
      <c r="B260" s="140" t="s">
        <v>56</v>
      </c>
      <c r="C260" s="549">
        <f>+EOMONTH(Tabla18[[#This Row],[Fecha Asiento]],-1)+1</f>
        <v>45809</v>
      </c>
      <c r="D260" s="136">
        <v>52204</v>
      </c>
      <c r="E260" s="136" t="s">
        <v>4452</v>
      </c>
      <c r="F260" s="141">
        <v>45838</v>
      </c>
      <c r="G260" s="136">
        <v>3496</v>
      </c>
      <c r="H260" s="136" t="s">
        <v>4453</v>
      </c>
      <c r="I260" s="136" t="s">
        <v>4559</v>
      </c>
      <c r="J260" s="136" t="s">
        <v>4542</v>
      </c>
      <c r="K260" s="136">
        <v>100000030</v>
      </c>
      <c r="L260" s="138">
        <v>1250000</v>
      </c>
      <c r="M260" s="138">
        <v>0</v>
      </c>
      <c r="N260" s="136" t="s">
        <v>4425</v>
      </c>
      <c r="O260" s="136" t="s">
        <v>4426</v>
      </c>
      <c r="P260" s="136" t="s">
        <v>4427</v>
      </c>
      <c r="Q260" s="136" t="s">
        <v>4428</v>
      </c>
      <c r="R260" s="136">
        <v>0</v>
      </c>
      <c r="S260" s="142">
        <f>(Tabla18[[#This Row],[Debe]]-Tabla18[[#This Row],[Haber]])*
SUMIF('0_Indice_CAC'!$A:$A,Tabla18[[#This Row],[Mes]],'0_Indice_CAC'!$D:$D)</f>
        <v>1153340.0627275675</v>
      </c>
      <c r="T260" s="142">
        <f>Tabla18[[#This Row],[Debe]]-Tabla18[[#This Row],[Haber]]</f>
        <v>1250000</v>
      </c>
      <c r="U260" s="322"/>
      <c r="V260" s="323"/>
      <c r="W260" s="142">
        <f t="shared" si="6"/>
        <v>1250000</v>
      </c>
      <c r="X260" s="142" t="b">
        <f>ISNUMBER(MATCH(A260,'3_Control_Ppto'!$A$4:$A$70,0))</f>
        <v>1</v>
      </c>
      <c r="Y260" s="136"/>
    </row>
    <row r="261" spans="1:25" ht="12" customHeight="1" x14ac:dyDescent="0.3">
      <c r="A261" s="140" t="s">
        <v>1285</v>
      </c>
      <c r="B261" s="140" t="s">
        <v>4090</v>
      </c>
      <c r="C261" s="549">
        <f>+EOMONTH(Tabla18[[#This Row],[Fecha Asiento]],-1)+1</f>
        <v>45809</v>
      </c>
      <c r="D261" s="136">
        <v>53001</v>
      </c>
      <c r="E261" s="136" t="s">
        <v>4464</v>
      </c>
      <c r="F261" s="141">
        <v>45838</v>
      </c>
      <c r="G261" s="136">
        <v>3467</v>
      </c>
      <c r="H261" s="136" t="s">
        <v>4654</v>
      </c>
      <c r="I261" s="136" t="s">
        <v>4463</v>
      </c>
      <c r="J261" s="136" t="s">
        <v>4455</v>
      </c>
      <c r="K261" s="136">
        <v>300007032</v>
      </c>
      <c r="L261" s="138">
        <v>92816.22</v>
      </c>
      <c r="M261" s="138">
        <v>0</v>
      </c>
      <c r="N261" s="136" t="s">
        <v>4425</v>
      </c>
      <c r="O261" s="136" t="s">
        <v>4426</v>
      </c>
      <c r="P261" s="136" t="s">
        <v>4427</v>
      </c>
      <c r="Q261" s="136" t="s">
        <v>4428</v>
      </c>
      <c r="R261" s="136">
        <v>0</v>
      </c>
      <c r="S261" s="142">
        <f>(Tabla18[[#This Row],[Debe]]-Tabla18[[#This Row],[Haber]])*
SUMIF('0_Indice_CAC'!$A:$A,Tabla18[[#This Row],[Mes]],'0_Indice_CAC'!$D:$D)</f>
        <v>85638.931997548571</v>
      </c>
      <c r="T261" s="142">
        <f>Tabla18[[#This Row],[Debe]]-Tabla18[[#This Row],[Haber]]</f>
        <v>92816.22</v>
      </c>
      <c r="U261" s="322"/>
      <c r="V261" s="323"/>
      <c r="W261" s="142">
        <f t="shared" si="6"/>
        <v>92816.22</v>
      </c>
      <c r="X261" s="142" t="b">
        <f>ISNUMBER(MATCH(A261,'3_Control_Ppto'!$A$4:$A$70,0))</f>
        <v>1</v>
      </c>
      <c r="Y261" s="136"/>
    </row>
    <row r="262" spans="1:25" ht="12" customHeight="1" x14ac:dyDescent="0.3">
      <c r="A262" s="140" t="s">
        <v>1478</v>
      </c>
      <c r="B262" s="140" t="s">
        <v>4090</v>
      </c>
      <c r="C262" s="549">
        <f>+EOMONTH(Tabla18[[#This Row],[Fecha Asiento]],-1)+1</f>
        <v>45809</v>
      </c>
      <c r="D262" s="136">
        <v>53004</v>
      </c>
      <c r="E262" s="136" t="s">
        <v>4496</v>
      </c>
      <c r="F262" s="141">
        <v>45838</v>
      </c>
      <c r="G262" s="136">
        <v>1702</v>
      </c>
      <c r="H262" s="136" t="s">
        <v>4581</v>
      </c>
      <c r="I262" s="136" t="s">
        <v>4423</v>
      </c>
      <c r="J262" s="136" t="s">
        <v>4424</v>
      </c>
      <c r="K262" s="136">
        <v>7104</v>
      </c>
      <c r="L262" s="138">
        <v>568000</v>
      </c>
      <c r="M262" s="138">
        <v>0</v>
      </c>
      <c r="N262" s="136" t="s">
        <v>4425</v>
      </c>
      <c r="O262" s="136" t="s">
        <v>4426</v>
      </c>
      <c r="P262" s="136" t="s">
        <v>4427</v>
      </c>
      <c r="Q262" s="136" t="s">
        <v>4428</v>
      </c>
      <c r="R262" s="136">
        <v>0</v>
      </c>
      <c r="S262" s="142">
        <f>(Tabla18[[#This Row],[Debe]]-Tabla18[[#This Row],[Haber]])*
SUMIF('0_Indice_CAC'!$A:$A,Tabla18[[#This Row],[Mes]],'0_Indice_CAC'!$D:$D)</f>
        <v>524077.72450340667</v>
      </c>
      <c r="T262" s="142">
        <f>Tabla18[[#This Row],[Debe]]-Tabla18[[#This Row],[Haber]]</f>
        <v>568000</v>
      </c>
      <c r="U262" s="322"/>
      <c r="V262" s="323"/>
      <c r="W262" s="142">
        <f t="shared" si="6"/>
        <v>568000</v>
      </c>
      <c r="X262" s="142" t="b">
        <f>ISNUMBER(MATCH(A262,'3_Control_Ppto'!$A$4:$A$70,0))</f>
        <v>1</v>
      </c>
      <c r="Y262" s="136"/>
    </row>
    <row r="263" spans="1:25" ht="12" customHeight="1" x14ac:dyDescent="0.3">
      <c r="A263" s="140" t="s">
        <v>4317</v>
      </c>
      <c r="B263" s="140" t="s">
        <v>56</v>
      </c>
      <c r="C263" s="549">
        <f>+EOMONTH(Tabla18[[#This Row],[Fecha Asiento]],-1)+1</f>
        <v>45839</v>
      </c>
      <c r="D263" s="136">
        <v>52102</v>
      </c>
      <c r="E263" s="136" t="s">
        <v>4535</v>
      </c>
      <c r="F263" s="141">
        <v>45839</v>
      </c>
      <c r="G263" s="136">
        <v>3825</v>
      </c>
      <c r="H263" s="136" t="s">
        <v>4633</v>
      </c>
      <c r="I263" s="136" t="s">
        <v>4634</v>
      </c>
      <c r="J263" s="136" t="s">
        <v>4542</v>
      </c>
      <c r="K263" s="136">
        <v>400006525</v>
      </c>
      <c r="L263" s="138">
        <v>15000</v>
      </c>
      <c r="M263" s="138">
        <v>0</v>
      </c>
      <c r="N263" s="136" t="s">
        <v>4425</v>
      </c>
      <c r="O263" s="136" t="s">
        <v>4426</v>
      </c>
      <c r="P263" s="136" t="s">
        <v>4427</v>
      </c>
      <c r="Q263" s="136" t="s">
        <v>4428</v>
      </c>
      <c r="R263" s="136">
        <v>0</v>
      </c>
      <c r="S263" s="142">
        <f>(Tabla18[[#This Row],[Debe]]-Tabla18[[#This Row],[Haber]])*
SUMIF('0_Indice_CAC'!$A:$A,Tabla18[[#This Row],[Mes]],'0_Indice_CAC'!$D:$D)</f>
        <v>13598.158151067031</v>
      </c>
      <c r="T263" s="142">
        <f>Tabla18[[#This Row],[Debe]]-Tabla18[[#This Row],[Haber]]</f>
        <v>15000</v>
      </c>
      <c r="U263" s="322"/>
      <c r="V263" s="323"/>
      <c r="W263" s="142">
        <f t="shared" si="6"/>
        <v>15000</v>
      </c>
      <c r="X263" s="142" t="b">
        <f>ISNUMBER(MATCH(A263,'3_Control_Ppto'!$A$4:$A$70,0))</f>
        <v>1</v>
      </c>
      <c r="Y263" s="136"/>
    </row>
    <row r="264" spans="1:25" ht="12" customHeight="1" x14ac:dyDescent="0.3">
      <c r="A264" s="140" t="s">
        <v>4119</v>
      </c>
      <c r="B264" s="140" t="s">
        <v>56</v>
      </c>
      <c r="C264" s="549">
        <f>+EOMONTH(Tabla18[[#This Row],[Fecha Asiento]],-1)+1</f>
        <v>45839</v>
      </c>
      <c r="D264" s="136">
        <v>52104</v>
      </c>
      <c r="E264" s="136" t="s">
        <v>4528</v>
      </c>
      <c r="F264" s="141">
        <v>45839</v>
      </c>
      <c r="G264" s="136">
        <v>3826</v>
      </c>
      <c r="H264" s="136" t="s">
        <v>4655</v>
      </c>
      <c r="I264" s="136" t="s">
        <v>4656</v>
      </c>
      <c r="J264" s="136" t="s">
        <v>4455</v>
      </c>
      <c r="K264" s="136">
        <v>1100000579</v>
      </c>
      <c r="L264" s="138">
        <v>171600</v>
      </c>
      <c r="M264" s="138">
        <v>0</v>
      </c>
      <c r="N264" s="136" t="s">
        <v>4425</v>
      </c>
      <c r="O264" s="136" t="s">
        <v>4426</v>
      </c>
      <c r="P264" s="136" t="s">
        <v>4427</v>
      </c>
      <c r="Q264" s="136" t="s">
        <v>4428</v>
      </c>
      <c r="R264" s="136">
        <v>0</v>
      </c>
      <c r="S264" s="142">
        <f>(Tabla18[[#This Row],[Debe]]-Tabla18[[#This Row],[Haber]])*
SUMIF('0_Indice_CAC'!$A:$A,Tabla18[[#This Row],[Mes]],'0_Indice_CAC'!$D:$D)</f>
        <v>155562.92924820684</v>
      </c>
      <c r="T264" s="142">
        <f>Tabla18[[#This Row],[Debe]]-Tabla18[[#This Row],[Haber]]</f>
        <v>171600</v>
      </c>
      <c r="U264" s="322"/>
      <c r="V264" s="323"/>
      <c r="W264" s="142">
        <f t="shared" si="6"/>
        <v>171600</v>
      </c>
      <c r="X264" s="142" t="b">
        <f>ISNUMBER(MATCH(A264,'3_Control_Ppto'!$A$4:$A$70,0))</f>
        <v>1</v>
      </c>
      <c r="Y264" s="136"/>
    </row>
    <row r="265" spans="1:25" ht="12" customHeight="1" x14ac:dyDescent="0.3">
      <c r="A265" s="140" t="s">
        <v>4310</v>
      </c>
      <c r="B265" s="140" t="s">
        <v>56</v>
      </c>
      <c r="C265" s="549">
        <f>+EOMONTH(Tabla18[[#This Row],[Fecha Asiento]],-1)+1</f>
        <v>45839</v>
      </c>
      <c r="D265" s="136">
        <v>52204</v>
      </c>
      <c r="E265" s="136" t="s">
        <v>4452</v>
      </c>
      <c r="F265" s="141">
        <v>45839</v>
      </c>
      <c r="G265" s="136">
        <v>3501</v>
      </c>
      <c r="H265" s="136" t="s">
        <v>4453</v>
      </c>
      <c r="I265" s="136" t="s">
        <v>4454</v>
      </c>
      <c r="J265" s="136" t="s">
        <v>4455</v>
      </c>
      <c r="K265" s="136">
        <v>300001259</v>
      </c>
      <c r="L265" s="138">
        <v>427500</v>
      </c>
      <c r="M265" s="138">
        <v>0</v>
      </c>
      <c r="N265" s="136" t="s">
        <v>4425</v>
      </c>
      <c r="O265" s="136" t="s">
        <v>4426</v>
      </c>
      <c r="P265" s="136" t="s">
        <v>4427</v>
      </c>
      <c r="Q265" s="136" t="s">
        <v>4428</v>
      </c>
      <c r="R265" s="136">
        <v>0</v>
      </c>
      <c r="S265" s="142">
        <f>(Tabla18[[#This Row],[Debe]]-Tabla18[[#This Row],[Haber]])*
SUMIF('0_Indice_CAC'!$A:$A,Tabla18[[#This Row],[Mes]],'0_Indice_CAC'!$D:$D)</f>
        <v>387547.5073054104</v>
      </c>
      <c r="T265" s="142">
        <f>Tabla18[[#This Row],[Debe]]-Tabla18[[#This Row],[Haber]]</f>
        <v>427500</v>
      </c>
      <c r="U265" s="322"/>
      <c r="V265" s="323"/>
      <c r="W265" s="142">
        <f t="shared" si="6"/>
        <v>427500</v>
      </c>
      <c r="X265" s="142" t="b">
        <f>ISNUMBER(MATCH(A265,'3_Control_Ppto'!$A$4:$A$70,0))</f>
        <v>1</v>
      </c>
      <c r="Y265" s="136"/>
    </row>
    <row r="266" spans="1:25" ht="12" customHeight="1" x14ac:dyDescent="0.3">
      <c r="A266" s="140" t="s">
        <v>1478</v>
      </c>
      <c r="B266" s="140" t="s">
        <v>4090</v>
      </c>
      <c r="C266" s="549">
        <f>+EOMONTH(Tabla18[[#This Row],[Fecha Asiento]],-1)+1</f>
        <v>45839</v>
      </c>
      <c r="D266" s="136">
        <v>53004</v>
      </c>
      <c r="E266" s="136" t="s">
        <v>4496</v>
      </c>
      <c r="F266" s="141">
        <v>45840</v>
      </c>
      <c r="G266" s="136">
        <v>3555</v>
      </c>
      <c r="H266" s="136" t="s">
        <v>4598</v>
      </c>
      <c r="I266" s="136" t="s">
        <v>4596</v>
      </c>
      <c r="J266" s="136" t="s">
        <v>4597</v>
      </c>
      <c r="K266" s="136">
        <v>22400006136</v>
      </c>
      <c r="L266" s="138">
        <v>155200</v>
      </c>
      <c r="M266" s="138">
        <v>0</v>
      </c>
      <c r="N266" s="136" t="s">
        <v>4425</v>
      </c>
      <c r="O266" s="136" t="s">
        <v>4426</v>
      </c>
      <c r="P266" s="136" t="s">
        <v>4427</v>
      </c>
      <c r="Q266" s="136" t="s">
        <v>4428</v>
      </c>
      <c r="R266" s="136">
        <v>0</v>
      </c>
      <c r="S266" s="142">
        <f>(Tabla18[[#This Row],[Debe]]-Tabla18[[#This Row],[Haber]])*
SUMIF('0_Indice_CAC'!$A:$A,Tabla18[[#This Row],[Mes]],'0_Indice_CAC'!$D:$D)</f>
        <v>140695.6096697069</v>
      </c>
      <c r="T266" s="142">
        <f>Tabla18[[#This Row],[Debe]]-Tabla18[[#This Row],[Haber]]</f>
        <v>155200</v>
      </c>
      <c r="U266" s="322"/>
      <c r="V266" s="323"/>
      <c r="W266" s="142">
        <f t="shared" si="6"/>
        <v>155200</v>
      </c>
      <c r="X266" s="142" t="b">
        <f>ISNUMBER(MATCH(A266,'3_Control_Ppto'!$A$4:$A$70,0))</f>
        <v>1</v>
      </c>
      <c r="Y266" s="136"/>
    </row>
    <row r="267" spans="1:25" ht="12" customHeight="1" x14ac:dyDescent="0.3">
      <c r="A267" s="140" t="s">
        <v>3219</v>
      </c>
      <c r="B267" s="140" t="s">
        <v>4090</v>
      </c>
      <c r="C267" s="549">
        <f>+EOMONTH(Tabla18[[#This Row],[Fecha Asiento]],-1)+1</f>
        <v>45839</v>
      </c>
      <c r="D267" s="136">
        <v>53019</v>
      </c>
      <c r="E267" s="136" t="s">
        <v>4461</v>
      </c>
      <c r="F267" s="141">
        <v>45840</v>
      </c>
      <c r="G267" s="136">
        <v>5734</v>
      </c>
      <c r="H267" s="136" t="s">
        <v>4462</v>
      </c>
      <c r="I267" s="136" t="s">
        <v>4463</v>
      </c>
      <c r="J267" s="136" t="s">
        <v>4519</v>
      </c>
      <c r="K267" s="136">
        <v>300000795</v>
      </c>
      <c r="L267" s="138">
        <v>0</v>
      </c>
      <c r="M267" s="138">
        <v>87170</v>
      </c>
      <c r="N267" s="136" t="s">
        <v>4425</v>
      </c>
      <c r="O267" s="136" t="s">
        <v>4426</v>
      </c>
      <c r="P267" s="136" t="s">
        <v>4427</v>
      </c>
      <c r="Q267" s="136" t="s">
        <v>4428</v>
      </c>
      <c r="R267" s="136">
        <v>0</v>
      </c>
      <c r="S267" s="142">
        <f>(Tabla18[[#This Row],[Debe]]-Tabla18[[#This Row],[Haber]])*
SUMIF('0_Indice_CAC'!$A:$A,Tabla18[[#This Row],[Mes]],'0_Indice_CAC'!$D:$D)</f>
        <v>-79023.429735234211</v>
      </c>
      <c r="T267" s="142">
        <f>Tabla18[[#This Row],[Debe]]-Tabla18[[#This Row],[Haber]]</f>
        <v>-87170</v>
      </c>
      <c r="U267" s="322"/>
      <c r="V267" s="323"/>
      <c r="W267" s="142">
        <f t="shared" si="6"/>
        <v>-87170</v>
      </c>
      <c r="X267" s="142" t="b">
        <f>ISNUMBER(MATCH(A267,'3_Control_Ppto'!$A$4:$A$70,0))</f>
        <v>1</v>
      </c>
      <c r="Y267" s="136"/>
    </row>
    <row r="268" spans="1:25" ht="12" customHeight="1" x14ac:dyDescent="0.3">
      <c r="A268" s="140" t="s">
        <v>25</v>
      </c>
      <c r="B268" s="140" t="s">
        <v>25</v>
      </c>
      <c r="C268" s="549">
        <f>+EOMONTH(Tabla18[[#This Row],[Fecha Asiento]],-1)+1</f>
        <v>45839</v>
      </c>
      <c r="D268" s="136">
        <v>52001</v>
      </c>
      <c r="E268" s="136" t="s">
        <v>4657</v>
      </c>
      <c r="F268" s="141">
        <v>45841</v>
      </c>
      <c r="G268" s="136">
        <v>1716</v>
      </c>
      <c r="H268" s="136" t="s">
        <v>4658</v>
      </c>
      <c r="I268" s="136" t="s">
        <v>4423</v>
      </c>
      <c r="J268" s="136" t="s">
        <v>4424</v>
      </c>
      <c r="K268" s="136">
        <v>7116</v>
      </c>
      <c r="L268" s="138">
        <v>32438.6</v>
      </c>
      <c r="M268" s="138">
        <v>0</v>
      </c>
      <c r="N268" s="136" t="s">
        <v>4425</v>
      </c>
      <c r="O268" s="136" t="s">
        <v>4426</v>
      </c>
      <c r="P268" s="136" t="s">
        <v>4427</v>
      </c>
      <c r="Q268" s="136" t="s">
        <v>4428</v>
      </c>
      <c r="R268" s="136">
        <v>0</v>
      </c>
      <c r="S268" s="142">
        <f>(Tabla18[[#This Row],[Debe]]-Tabla18[[#This Row],[Haber]])*
SUMIF('0_Indice_CAC'!$A:$A,Tabla18[[#This Row],[Mes]],'0_Indice_CAC'!$D:$D)</f>
        <v>29407.014199946865</v>
      </c>
      <c r="T268" s="142">
        <f>Tabla18[[#This Row],[Debe]]-Tabla18[[#This Row],[Haber]]</f>
        <v>32438.6</v>
      </c>
      <c r="U268" s="322"/>
      <c r="V268" s="323"/>
      <c r="W268" s="142">
        <f t="shared" si="6"/>
        <v>32438.6</v>
      </c>
      <c r="X268" s="142" t="b">
        <f>ISNUMBER(MATCH(A268,'3_Control_Ppto'!$A$4:$A$70,0))</f>
        <v>0</v>
      </c>
      <c r="Y268" s="136"/>
    </row>
    <row r="269" spans="1:25" ht="12" customHeight="1" x14ac:dyDescent="0.3">
      <c r="A269" s="140" t="s">
        <v>25</v>
      </c>
      <c r="B269" s="140" t="s">
        <v>25</v>
      </c>
      <c r="C269" s="549">
        <f>+EOMONTH(Tabla18[[#This Row],[Fecha Asiento]],-1)+1</f>
        <v>45839</v>
      </c>
      <c r="D269" s="136">
        <v>52001</v>
      </c>
      <c r="E269" s="136" t="s">
        <v>4657</v>
      </c>
      <c r="F269" s="141">
        <v>45841</v>
      </c>
      <c r="G269" s="136">
        <v>1761</v>
      </c>
      <c r="H269" s="136" t="s">
        <v>4658</v>
      </c>
      <c r="I269" s="136" t="s">
        <v>4423</v>
      </c>
      <c r="J269" s="136" t="s">
        <v>4424</v>
      </c>
      <c r="K269" s="136">
        <v>7161</v>
      </c>
      <c r="L269" s="138">
        <v>32438.6</v>
      </c>
      <c r="M269" s="138">
        <v>0</v>
      </c>
      <c r="N269" s="136" t="s">
        <v>4425</v>
      </c>
      <c r="O269" s="136" t="s">
        <v>4426</v>
      </c>
      <c r="P269" s="136" t="s">
        <v>4427</v>
      </c>
      <c r="Q269" s="136" t="s">
        <v>4428</v>
      </c>
      <c r="R269" s="136">
        <v>0</v>
      </c>
      <c r="S269" s="142">
        <f>(Tabla18[[#This Row],[Debe]]-Tabla18[[#This Row],[Haber]])*
SUMIF('0_Indice_CAC'!$A:$A,Tabla18[[#This Row],[Mes]],'0_Indice_CAC'!$D:$D)</f>
        <v>29407.014199946865</v>
      </c>
      <c r="T269" s="142">
        <f>Tabla18[[#This Row],[Debe]]-Tabla18[[#This Row],[Haber]]</f>
        <v>32438.6</v>
      </c>
      <c r="U269" s="322"/>
      <c r="V269" s="323"/>
      <c r="W269" s="142">
        <f t="shared" si="6"/>
        <v>32438.6</v>
      </c>
      <c r="X269" s="142" t="b">
        <f>ISNUMBER(MATCH(A269,'3_Control_Ppto'!$A$4:$A$70,0))</f>
        <v>0</v>
      </c>
      <c r="Y269" s="136"/>
    </row>
    <row r="270" spans="1:25" ht="12" customHeight="1" x14ac:dyDescent="0.3">
      <c r="A270" s="140" t="s">
        <v>4119</v>
      </c>
      <c r="B270" s="140" t="s">
        <v>25</v>
      </c>
      <c r="C270" s="549">
        <f>+EOMONTH(Tabla18[[#This Row],[Fecha Asiento]],-1)+1</f>
        <v>45839</v>
      </c>
      <c r="D270" s="136">
        <v>53022</v>
      </c>
      <c r="E270" s="136" t="s">
        <v>4429</v>
      </c>
      <c r="F270" s="141">
        <v>45841</v>
      </c>
      <c r="G270" s="136">
        <v>1682</v>
      </c>
      <c r="H270" s="136" t="s">
        <v>4659</v>
      </c>
      <c r="I270" s="136" t="s">
        <v>4423</v>
      </c>
      <c r="J270" s="136" t="s">
        <v>4424</v>
      </c>
      <c r="K270" s="136">
        <v>7084</v>
      </c>
      <c r="L270" s="138">
        <v>190000</v>
      </c>
      <c r="M270" s="138">
        <v>0</v>
      </c>
      <c r="N270" s="136" t="s">
        <v>4425</v>
      </c>
      <c r="O270" s="136" t="s">
        <v>4426</v>
      </c>
      <c r="P270" s="136" t="s">
        <v>4427</v>
      </c>
      <c r="Q270" s="136" t="s">
        <v>4428</v>
      </c>
      <c r="R270" s="136">
        <v>0</v>
      </c>
      <c r="S270" s="142">
        <f>(Tabla18[[#This Row],[Debe]]-Tabla18[[#This Row],[Haber]])*
SUMIF('0_Indice_CAC'!$A:$A,Tabla18[[#This Row],[Mes]],'0_Indice_CAC'!$D:$D)</f>
        <v>172243.3365801824</v>
      </c>
      <c r="T270" s="142">
        <f>Tabla18[[#This Row],[Debe]]-Tabla18[[#This Row],[Haber]]</f>
        <v>190000</v>
      </c>
      <c r="U270" s="322"/>
      <c r="V270" s="323"/>
      <c r="W270" s="142">
        <f t="shared" si="6"/>
        <v>190000</v>
      </c>
      <c r="X270" s="142" t="b">
        <f>ISNUMBER(MATCH(A270,'3_Control_Ppto'!$A$4:$A$70,0))</f>
        <v>1</v>
      </c>
      <c r="Y270" s="136"/>
    </row>
    <row r="271" spans="1:25" ht="12" customHeight="1" x14ac:dyDescent="0.3">
      <c r="A271" s="140" t="s">
        <v>4317</v>
      </c>
      <c r="B271" s="140" t="s">
        <v>56</v>
      </c>
      <c r="C271" s="549">
        <f>+EOMONTH(Tabla18[[#This Row],[Fecha Asiento]],-1)+1</f>
        <v>45839</v>
      </c>
      <c r="D271" s="136">
        <v>52103</v>
      </c>
      <c r="E271" s="136" t="s">
        <v>4477</v>
      </c>
      <c r="F271" s="141">
        <v>45842</v>
      </c>
      <c r="G271" s="136">
        <v>3828</v>
      </c>
      <c r="H271" s="136" t="s">
        <v>4569</v>
      </c>
      <c r="I271" s="136" t="s">
        <v>4570</v>
      </c>
      <c r="J271" s="136" t="s">
        <v>4455</v>
      </c>
      <c r="K271" s="136">
        <v>418100132848</v>
      </c>
      <c r="L271" s="138">
        <v>8599.2800000000007</v>
      </c>
      <c r="M271" s="138">
        <v>0</v>
      </c>
      <c r="N271" s="136" t="s">
        <v>4425</v>
      </c>
      <c r="O271" s="136" t="s">
        <v>4426</v>
      </c>
      <c r="P271" s="136" t="s">
        <v>4427</v>
      </c>
      <c r="Q271" s="136" t="s">
        <v>4428</v>
      </c>
      <c r="R271" s="136">
        <v>0</v>
      </c>
      <c r="S271" s="142">
        <f>(Tabla18[[#This Row],[Debe]]-Tabla18[[#This Row],[Haber]])*
SUMIF('0_Indice_CAC'!$A:$A,Tabla18[[#This Row],[Mes]],'0_Indice_CAC'!$D:$D)</f>
        <v>7795.6246283538476</v>
      </c>
      <c r="T271" s="142">
        <f>Tabla18[[#This Row],[Debe]]-Tabla18[[#This Row],[Haber]]</f>
        <v>8599.2800000000007</v>
      </c>
      <c r="U271" s="322"/>
      <c r="V271" s="323"/>
      <c r="W271" s="142">
        <f t="shared" si="6"/>
        <v>8599.2800000000007</v>
      </c>
      <c r="X271" s="142" t="b">
        <f>ISNUMBER(MATCH(A271,'3_Control_Ppto'!$A$4:$A$70,0))</f>
        <v>1</v>
      </c>
      <c r="Y271" s="136"/>
    </row>
    <row r="272" spans="1:25" ht="12" customHeight="1" x14ac:dyDescent="0.3">
      <c r="A272" s="140" t="s">
        <v>4317</v>
      </c>
      <c r="B272" s="140" t="s">
        <v>56</v>
      </c>
      <c r="C272" s="549">
        <f>+EOMONTH(Tabla18[[#This Row],[Fecha Asiento]],-1)+1</f>
        <v>45839</v>
      </c>
      <c r="D272" s="136">
        <v>52103</v>
      </c>
      <c r="E272" s="136" t="s">
        <v>4477</v>
      </c>
      <c r="F272" s="141">
        <v>45842</v>
      </c>
      <c r="G272" s="136">
        <v>3828</v>
      </c>
      <c r="H272" s="136" t="s">
        <v>4569</v>
      </c>
      <c r="I272" s="136" t="s">
        <v>4570</v>
      </c>
      <c r="J272" s="136" t="s">
        <v>4455</v>
      </c>
      <c r="K272" s="136">
        <v>418100132848</v>
      </c>
      <c r="L272" s="138">
        <v>75706.039999999994</v>
      </c>
      <c r="M272" s="138">
        <v>0</v>
      </c>
      <c r="N272" s="136" t="s">
        <v>4425</v>
      </c>
      <c r="O272" s="136" t="s">
        <v>4426</v>
      </c>
      <c r="P272" s="136" t="s">
        <v>4427</v>
      </c>
      <c r="Q272" s="136" t="s">
        <v>4428</v>
      </c>
      <c r="R272" s="136">
        <v>0</v>
      </c>
      <c r="S272" s="142">
        <f>(Tabla18[[#This Row],[Debe]]-Tabla18[[#This Row],[Haber]])*
SUMIF('0_Indice_CAC'!$A:$A,Tabla18[[#This Row],[Mes]],'0_Indice_CAC'!$D:$D)</f>
        <v>68630.846994067106</v>
      </c>
      <c r="T272" s="142">
        <f>Tabla18[[#This Row],[Debe]]-Tabla18[[#This Row],[Haber]]</f>
        <v>75706.039999999994</v>
      </c>
      <c r="U272" s="322"/>
      <c r="V272" s="323"/>
      <c r="W272" s="142">
        <f t="shared" si="6"/>
        <v>75706.039999999994</v>
      </c>
      <c r="X272" s="142" t="b">
        <f>ISNUMBER(MATCH(A272,'3_Control_Ppto'!$A$4:$A$70,0))</f>
        <v>1</v>
      </c>
      <c r="Y272" s="136"/>
    </row>
    <row r="273" spans="1:25" ht="12" customHeight="1" x14ac:dyDescent="0.3">
      <c r="A273" s="140" t="s">
        <v>4310</v>
      </c>
      <c r="B273" s="140" t="s">
        <v>56</v>
      </c>
      <c r="C273" s="549">
        <f>+EOMONTH(Tabla18[[#This Row],[Fecha Asiento]],-1)+1</f>
        <v>45839</v>
      </c>
      <c r="D273" s="136">
        <v>52204</v>
      </c>
      <c r="E273" s="136" t="s">
        <v>4452</v>
      </c>
      <c r="F273" s="141">
        <v>45842</v>
      </c>
      <c r="G273" s="136">
        <v>3662</v>
      </c>
      <c r="H273" s="136" t="s">
        <v>4453</v>
      </c>
      <c r="I273" s="136" t="s">
        <v>4454</v>
      </c>
      <c r="J273" s="136" t="s">
        <v>4519</v>
      </c>
      <c r="K273" s="136">
        <v>300000046</v>
      </c>
      <c r="L273" s="138">
        <v>0</v>
      </c>
      <c r="M273" s="138">
        <v>515000</v>
      </c>
      <c r="N273" s="136" t="s">
        <v>4425</v>
      </c>
      <c r="O273" s="136" t="s">
        <v>4426</v>
      </c>
      <c r="P273" s="136" t="s">
        <v>4427</v>
      </c>
      <c r="Q273" s="136" t="s">
        <v>4428</v>
      </c>
      <c r="R273" s="136">
        <v>0</v>
      </c>
      <c r="S273" s="142">
        <f>(Tabla18[[#This Row],[Debe]]-Tabla18[[#This Row],[Haber]])*
SUMIF('0_Indice_CAC'!$A:$A,Tabla18[[#This Row],[Mes]],'0_Indice_CAC'!$D:$D)</f>
        <v>-466870.09651996806</v>
      </c>
      <c r="T273" s="142">
        <f>Tabla18[[#This Row],[Debe]]-Tabla18[[#This Row],[Haber]]</f>
        <v>-515000</v>
      </c>
      <c r="U273" s="322"/>
      <c r="V273" s="323"/>
      <c r="W273" s="142">
        <f t="shared" si="6"/>
        <v>-515000</v>
      </c>
      <c r="X273" s="142" t="b">
        <f>ISNUMBER(MATCH(A273,'3_Control_Ppto'!$A$4:$A$70,0))</f>
        <v>1</v>
      </c>
      <c r="Y273" s="136"/>
    </row>
    <row r="274" spans="1:25" ht="12" customHeight="1" x14ac:dyDescent="0.3">
      <c r="A274" s="140" t="s">
        <v>1478</v>
      </c>
      <c r="B274" s="140" t="s">
        <v>4090</v>
      </c>
      <c r="C274" s="549">
        <f>+EOMONTH(Tabla18[[#This Row],[Fecha Asiento]],-1)+1</f>
        <v>45839</v>
      </c>
      <c r="D274" s="136">
        <v>53004</v>
      </c>
      <c r="E274" s="136" t="s">
        <v>4496</v>
      </c>
      <c r="F274" s="141">
        <v>45842</v>
      </c>
      <c r="G274" s="136">
        <v>1717</v>
      </c>
      <c r="H274" s="136" t="s">
        <v>4660</v>
      </c>
      <c r="I274" s="136" t="s">
        <v>4423</v>
      </c>
      <c r="J274" s="136" t="s">
        <v>4424</v>
      </c>
      <c r="K274" s="136">
        <v>7117</v>
      </c>
      <c r="L274" s="138">
        <v>500000</v>
      </c>
      <c r="M274" s="138">
        <v>0</v>
      </c>
      <c r="N274" s="136" t="s">
        <v>4425</v>
      </c>
      <c r="O274" s="136" t="s">
        <v>4426</v>
      </c>
      <c r="P274" s="136" t="s">
        <v>4427</v>
      </c>
      <c r="Q274" s="136" t="s">
        <v>4428</v>
      </c>
      <c r="R274" s="136">
        <v>0</v>
      </c>
      <c r="S274" s="142">
        <f>(Tabla18[[#This Row],[Debe]]-Tabla18[[#This Row],[Haber]])*
SUMIF('0_Indice_CAC'!$A:$A,Tabla18[[#This Row],[Mes]],'0_Indice_CAC'!$D:$D)</f>
        <v>453271.93836890109</v>
      </c>
      <c r="T274" s="142">
        <f>Tabla18[[#This Row],[Debe]]-Tabla18[[#This Row],[Haber]]</f>
        <v>500000</v>
      </c>
      <c r="U274" s="322"/>
      <c r="V274" s="323"/>
      <c r="W274" s="142">
        <f t="shared" si="6"/>
        <v>500000</v>
      </c>
      <c r="X274" s="142" t="b">
        <f>ISNUMBER(MATCH(A274,'3_Control_Ppto'!$A$4:$A$70,0))</f>
        <v>1</v>
      </c>
      <c r="Y274" s="136"/>
    </row>
    <row r="275" spans="1:25" ht="12" customHeight="1" x14ac:dyDescent="0.3">
      <c r="A275" s="140" t="s">
        <v>25</v>
      </c>
      <c r="B275" s="140" t="s">
        <v>25</v>
      </c>
      <c r="C275" s="549">
        <f>+EOMONTH(Tabla18[[#This Row],[Fecha Asiento]],-1)+1</f>
        <v>45839</v>
      </c>
      <c r="D275" s="136">
        <v>5101</v>
      </c>
      <c r="E275" s="136" t="s">
        <v>4661</v>
      </c>
      <c r="F275" s="141">
        <v>45845</v>
      </c>
      <c r="G275" s="136">
        <v>1738</v>
      </c>
      <c r="H275" s="136" t="s">
        <v>4662</v>
      </c>
      <c r="I275" s="136" t="s">
        <v>4423</v>
      </c>
      <c r="J275" s="136" t="s">
        <v>4424</v>
      </c>
      <c r="K275" s="136">
        <v>7138</v>
      </c>
      <c r="L275" s="138">
        <v>3500000</v>
      </c>
      <c r="M275" s="138">
        <v>0</v>
      </c>
      <c r="N275" s="136" t="s">
        <v>4425</v>
      </c>
      <c r="O275" s="136" t="s">
        <v>4426</v>
      </c>
      <c r="P275" s="136" t="s">
        <v>4427</v>
      </c>
      <c r="Q275" s="136" t="s">
        <v>4428</v>
      </c>
      <c r="R275" s="136">
        <v>0</v>
      </c>
      <c r="S275" s="142">
        <f>(Tabla18[[#This Row],[Debe]]-Tabla18[[#This Row],[Haber]])*
SUMIF('0_Indice_CAC'!$A:$A,Tabla18[[#This Row],[Mes]],'0_Indice_CAC'!$D:$D)</f>
        <v>3172903.5685823075</v>
      </c>
      <c r="T275" s="142">
        <f>Tabla18[[#This Row],[Debe]]-Tabla18[[#This Row],[Haber]]</f>
        <v>3500000</v>
      </c>
      <c r="U275" s="322"/>
      <c r="V275" s="323"/>
      <c r="W275" s="142">
        <f t="shared" si="6"/>
        <v>3500000</v>
      </c>
      <c r="X275" s="142" t="b">
        <f>ISNUMBER(MATCH(A275,'3_Control_Ppto'!$A$4:$A$70,0))</f>
        <v>0</v>
      </c>
      <c r="Y275" s="136"/>
    </row>
    <row r="276" spans="1:25" ht="12" customHeight="1" x14ac:dyDescent="0.3">
      <c r="A276" s="140" t="s">
        <v>25</v>
      </c>
      <c r="B276" s="140" t="s">
        <v>25</v>
      </c>
      <c r="C276" s="549">
        <f>+EOMONTH(Tabla18[[#This Row],[Fecha Asiento]],-1)+1</f>
        <v>45839</v>
      </c>
      <c r="D276" s="136">
        <v>5101</v>
      </c>
      <c r="E276" s="136" t="s">
        <v>4661</v>
      </c>
      <c r="F276" s="141">
        <v>45845</v>
      </c>
      <c r="G276" s="136">
        <v>1739</v>
      </c>
      <c r="H276" s="136" t="s">
        <v>4663</v>
      </c>
      <c r="I276" s="136" t="s">
        <v>4423</v>
      </c>
      <c r="J276" s="136" t="s">
        <v>4424</v>
      </c>
      <c r="K276" s="136">
        <v>7139</v>
      </c>
      <c r="L276" s="138">
        <v>875000</v>
      </c>
      <c r="M276" s="138">
        <v>0</v>
      </c>
      <c r="N276" s="136" t="s">
        <v>4425</v>
      </c>
      <c r="O276" s="136" t="s">
        <v>4426</v>
      </c>
      <c r="P276" s="136" t="s">
        <v>4427</v>
      </c>
      <c r="Q276" s="136" t="s">
        <v>4428</v>
      </c>
      <c r="R276" s="136">
        <v>0</v>
      </c>
      <c r="S276" s="142">
        <f>(Tabla18[[#This Row],[Debe]]-Tabla18[[#This Row],[Haber]])*
SUMIF('0_Indice_CAC'!$A:$A,Tabla18[[#This Row],[Mes]],'0_Indice_CAC'!$D:$D)</f>
        <v>793225.89214557689</v>
      </c>
      <c r="T276" s="142">
        <f>Tabla18[[#This Row],[Debe]]-Tabla18[[#This Row],[Haber]]</f>
        <v>875000</v>
      </c>
      <c r="U276" s="322"/>
      <c r="V276" s="323"/>
      <c r="W276" s="142">
        <f t="shared" si="6"/>
        <v>875000</v>
      </c>
      <c r="X276" s="142" t="b">
        <f>ISNUMBER(MATCH(A276,'3_Control_Ppto'!$A$4:$A$70,0))</f>
        <v>0</v>
      </c>
      <c r="Y276" s="136"/>
    </row>
    <row r="277" spans="1:25" ht="12" customHeight="1" x14ac:dyDescent="0.3">
      <c r="A277" s="140" t="s">
        <v>106</v>
      </c>
      <c r="B277" s="140" t="s">
        <v>25</v>
      </c>
      <c r="C277" s="549">
        <f>+EOMONTH(Tabla18[[#This Row],[Fecha Asiento]],-1)+1</f>
        <v>45839</v>
      </c>
      <c r="D277" s="136">
        <v>53009</v>
      </c>
      <c r="E277" s="136" t="s">
        <v>4446</v>
      </c>
      <c r="F277" s="141">
        <v>45845</v>
      </c>
      <c r="G277" s="136">
        <v>1722</v>
      </c>
      <c r="H277" s="136" t="s">
        <v>4664</v>
      </c>
      <c r="I277" s="136" t="s">
        <v>4423</v>
      </c>
      <c r="J277" s="136" t="s">
        <v>4424</v>
      </c>
      <c r="K277" s="136">
        <v>7122</v>
      </c>
      <c r="L277" s="138">
        <v>1596000</v>
      </c>
      <c r="M277" s="138">
        <v>0</v>
      </c>
      <c r="N277" s="136" t="s">
        <v>4425</v>
      </c>
      <c r="O277" s="136" t="s">
        <v>4426</v>
      </c>
      <c r="P277" s="136" t="s">
        <v>4427</v>
      </c>
      <c r="Q277" s="136" t="s">
        <v>4428</v>
      </c>
      <c r="R277" s="136">
        <v>0</v>
      </c>
      <c r="S277" s="142">
        <f>(Tabla18[[#This Row],[Debe]]-Tabla18[[#This Row],[Haber]])*
SUMIF('0_Indice_CAC'!$A:$A,Tabla18[[#This Row],[Mes]],'0_Indice_CAC'!$D:$D)</f>
        <v>1446844.0272735322</v>
      </c>
      <c r="T277" s="142">
        <f>Tabla18[[#This Row],[Debe]]-Tabla18[[#This Row],[Haber]]</f>
        <v>1596000</v>
      </c>
      <c r="U277" s="322"/>
      <c r="V277" s="323"/>
      <c r="W277" s="142">
        <f t="shared" si="6"/>
        <v>1596000</v>
      </c>
      <c r="X277" s="142" t="b">
        <f>ISNUMBER(MATCH(A277,'3_Control_Ppto'!$A$4:$A$70,0))</f>
        <v>1</v>
      </c>
      <c r="Y277" s="136"/>
    </row>
    <row r="278" spans="1:25" ht="12" customHeight="1" x14ac:dyDescent="0.3">
      <c r="A278" s="140" t="s">
        <v>4317</v>
      </c>
      <c r="B278" s="140" t="s">
        <v>56</v>
      </c>
      <c r="C278" s="549">
        <f>+EOMONTH(Tabla18[[#This Row],[Fecha Asiento]],-1)+1</f>
        <v>45839</v>
      </c>
      <c r="D278" s="136">
        <v>52302</v>
      </c>
      <c r="E278" s="136" t="s">
        <v>4444</v>
      </c>
      <c r="F278" s="141">
        <v>45848</v>
      </c>
      <c r="G278" s="136">
        <v>3715</v>
      </c>
      <c r="H278" s="136" t="s">
        <v>4578</v>
      </c>
      <c r="I278" s="136" t="s">
        <v>4532</v>
      </c>
      <c r="J278" s="136" t="s">
        <v>4455</v>
      </c>
      <c r="K278" s="136">
        <v>217201719278</v>
      </c>
      <c r="L278" s="138">
        <v>755.83</v>
      </c>
      <c r="M278" s="138">
        <v>0</v>
      </c>
      <c r="N278" s="136" t="s">
        <v>4425</v>
      </c>
      <c r="O278" s="136" t="s">
        <v>4426</v>
      </c>
      <c r="P278" s="136" t="s">
        <v>4427</v>
      </c>
      <c r="Q278" s="136" t="s">
        <v>4428</v>
      </c>
      <c r="R278" s="136">
        <v>0</v>
      </c>
      <c r="S278" s="142">
        <f>(Tabla18[[#This Row],[Debe]]-Tabla18[[#This Row],[Haber]])*
SUMIF('0_Indice_CAC'!$A:$A,Tabla18[[#This Row],[Mes]],'0_Indice_CAC'!$D:$D)</f>
        <v>685.19305835473301</v>
      </c>
      <c r="T278" s="142">
        <f>Tabla18[[#This Row],[Debe]]-Tabla18[[#This Row],[Haber]]</f>
        <v>755.83</v>
      </c>
      <c r="U278" s="322"/>
      <c r="V278" s="323"/>
      <c r="W278" s="142">
        <f t="shared" si="6"/>
        <v>755.83</v>
      </c>
      <c r="X278" s="142" t="b">
        <f>ISNUMBER(MATCH(A278,'3_Control_Ppto'!$A$4:$A$70,0))</f>
        <v>1</v>
      </c>
      <c r="Y278" s="136"/>
    </row>
    <row r="279" spans="1:25" ht="12" customHeight="1" x14ac:dyDescent="0.3">
      <c r="A279" s="140" t="s">
        <v>4317</v>
      </c>
      <c r="B279" s="140" t="s">
        <v>56</v>
      </c>
      <c r="C279" s="549">
        <f>+EOMONTH(Tabla18[[#This Row],[Fecha Asiento]],-1)+1</f>
        <v>45839</v>
      </c>
      <c r="D279" s="136">
        <v>52302</v>
      </c>
      <c r="E279" s="136" t="s">
        <v>4444</v>
      </c>
      <c r="F279" s="141">
        <v>45848</v>
      </c>
      <c r="G279" s="136">
        <v>3715</v>
      </c>
      <c r="H279" s="136" t="s">
        <v>4631</v>
      </c>
      <c r="I279" s="136" t="s">
        <v>4532</v>
      </c>
      <c r="J279" s="136" t="s">
        <v>4455</v>
      </c>
      <c r="K279" s="136">
        <v>217201719278</v>
      </c>
      <c r="L279" s="138">
        <v>49886.9</v>
      </c>
      <c r="M279" s="138">
        <v>0</v>
      </c>
      <c r="N279" s="136" t="s">
        <v>4425</v>
      </c>
      <c r="O279" s="136" t="s">
        <v>4426</v>
      </c>
      <c r="P279" s="136" t="s">
        <v>4427</v>
      </c>
      <c r="Q279" s="136" t="s">
        <v>4428</v>
      </c>
      <c r="R279" s="136">
        <v>0</v>
      </c>
      <c r="S279" s="142">
        <f>(Tabla18[[#This Row],[Debe]]-Tabla18[[#This Row],[Haber]])*
SUMIF('0_Indice_CAC'!$A:$A,Tabla18[[#This Row],[Mes]],'0_Indice_CAC'!$D:$D)</f>
        <v>45224.663724431062</v>
      </c>
      <c r="T279" s="142">
        <f>Tabla18[[#This Row],[Debe]]-Tabla18[[#This Row],[Haber]]</f>
        <v>49886.9</v>
      </c>
      <c r="U279" s="322"/>
      <c r="V279" s="323"/>
      <c r="W279" s="142">
        <f t="shared" si="6"/>
        <v>49886.9</v>
      </c>
      <c r="X279" s="142" t="b">
        <f>ISNUMBER(MATCH(A279,'3_Control_Ppto'!$A$4:$A$70,0))</f>
        <v>1</v>
      </c>
      <c r="Y279" s="136"/>
    </row>
    <row r="280" spans="1:25" ht="12" customHeight="1" x14ac:dyDescent="0.3">
      <c r="A280" s="140" t="s">
        <v>4317</v>
      </c>
      <c r="B280" s="140" t="s">
        <v>56</v>
      </c>
      <c r="C280" s="549">
        <f>+EOMONTH(Tabla18[[#This Row],[Fecha Asiento]],-1)+1</f>
        <v>45839</v>
      </c>
      <c r="D280" s="136">
        <v>52302</v>
      </c>
      <c r="E280" s="136" t="s">
        <v>4444</v>
      </c>
      <c r="F280" s="141">
        <v>45848</v>
      </c>
      <c r="G280" s="136">
        <v>3715</v>
      </c>
      <c r="H280" s="136" t="s">
        <v>4534</v>
      </c>
      <c r="I280" s="136" t="s">
        <v>4532</v>
      </c>
      <c r="J280" s="136" t="s">
        <v>4455</v>
      </c>
      <c r="K280" s="136">
        <v>217201719278</v>
      </c>
      <c r="L280" s="138">
        <v>9148.81</v>
      </c>
      <c r="M280" s="138">
        <v>0</v>
      </c>
      <c r="N280" s="136" t="s">
        <v>4425</v>
      </c>
      <c r="O280" s="136" t="s">
        <v>4426</v>
      </c>
      <c r="P280" s="136" t="s">
        <v>4427</v>
      </c>
      <c r="Q280" s="136" t="s">
        <v>4428</v>
      </c>
      <c r="R280" s="136">
        <v>0</v>
      </c>
      <c r="S280" s="142">
        <f>(Tabla18[[#This Row],[Debe]]-Tabla18[[#This Row],[Haber]])*
SUMIF('0_Indice_CAC'!$A:$A,Tabla18[[#This Row],[Mes]],'0_Indice_CAC'!$D:$D)</f>
        <v>8293.7976849375718</v>
      </c>
      <c r="T280" s="142">
        <f>Tabla18[[#This Row],[Debe]]-Tabla18[[#This Row],[Haber]]</f>
        <v>9148.81</v>
      </c>
      <c r="U280" s="322"/>
      <c r="V280" s="323"/>
      <c r="W280" s="142">
        <f t="shared" si="6"/>
        <v>9148.81</v>
      </c>
      <c r="X280" s="142" t="b">
        <f>ISNUMBER(MATCH(A280,'3_Control_Ppto'!$A$4:$A$70,0))</f>
        <v>1</v>
      </c>
      <c r="Y280" s="136"/>
    </row>
    <row r="281" spans="1:25" ht="12" customHeight="1" x14ac:dyDescent="0.3">
      <c r="A281" s="140" t="s">
        <v>4317</v>
      </c>
      <c r="B281" s="140" t="s">
        <v>56</v>
      </c>
      <c r="C281" s="549">
        <f>+EOMONTH(Tabla18[[#This Row],[Fecha Asiento]],-1)+1</f>
        <v>45839</v>
      </c>
      <c r="D281" s="136">
        <v>52103</v>
      </c>
      <c r="E281" s="136" t="s">
        <v>4477</v>
      </c>
      <c r="F281" s="141">
        <v>45849</v>
      </c>
      <c r="G281" s="136">
        <v>3834</v>
      </c>
      <c r="H281" s="136" t="s">
        <v>4569</v>
      </c>
      <c r="I281" s="136" t="s">
        <v>4570</v>
      </c>
      <c r="J281" s="136" t="s">
        <v>4455</v>
      </c>
      <c r="K281" s="136">
        <v>418100133276</v>
      </c>
      <c r="L281" s="138">
        <v>12614.41</v>
      </c>
      <c r="M281" s="138">
        <v>0</v>
      </c>
      <c r="N281" s="136" t="s">
        <v>4425</v>
      </c>
      <c r="O281" s="136" t="s">
        <v>4426</v>
      </c>
      <c r="P281" s="136" t="s">
        <v>4427</v>
      </c>
      <c r="Q281" s="136" t="s">
        <v>4428</v>
      </c>
      <c r="R281" s="136">
        <v>0</v>
      </c>
      <c r="S281" s="142">
        <f>(Tabla18[[#This Row],[Debe]]-Tabla18[[#This Row],[Haber]])*
SUMIF('0_Indice_CAC'!$A:$A,Tabla18[[#This Row],[Mes]],'0_Indice_CAC'!$D:$D)</f>
        <v>11435.516144160098</v>
      </c>
      <c r="T281" s="142">
        <f>Tabla18[[#This Row],[Debe]]-Tabla18[[#This Row],[Haber]]</f>
        <v>12614.41</v>
      </c>
      <c r="U281" s="322"/>
      <c r="V281" s="323"/>
      <c r="W281" s="142">
        <f t="shared" si="6"/>
        <v>12614.41</v>
      </c>
      <c r="X281" s="142" t="b">
        <f>ISNUMBER(MATCH(A281,'3_Control_Ppto'!$A$4:$A$70,0))</f>
        <v>1</v>
      </c>
      <c r="Y281" s="136"/>
    </row>
    <row r="282" spans="1:25" ht="12" customHeight="1" x14ac:dyDescent="0.3">
      <c r="A282" s="140" t="s">
        <v>4317</v>
      </c>
      <c r="B282" s="140" t="s">
        <v>56</v>
      </c>
      <c r="C282" s="549">
        <f>+EOMONTH(Tabla18[[#This Row],[Fecha Asiento]],-1)+1</f>
        <v>45839</v>
      </c>
      <c r="D282" s="136">
        <v>52103</v>
      </c>
      <c r="E282" s="136" t="s">
        <v>4477</v>
      </c>
      <c r="F282" s="141">
        <v>45849</v>
      </c>
      <c r="G282" s="136">
        <v>3834</v>
      </c>
      <c r="H282" s="136" t="s">
        <v>4569</v>
      </c>
      <c r="I282" s="136" t="s">
        <v>4570</v>
      </c>
      <c r="J282" s="136" t="s">
        <v>4455</v>
      </c>
      <c r="K282" s="136">
        <v>418100133276</v>
      </c>
      <c r="L282" s="138">
        <v>67173.05</v>
      </c>
      <c r="M282" s="138">
        <v>0</v>
      </c>
      <c r="N282" s="136" t="s">
        <v>4425</v>
      </c>
      <c r="O282" s="136" t="s">
        <v>4426</v>
      </c>
      <c r="P282" s="136" t="s">
        <v>4427</v>
      </c>
      <c r="Q282" s="136" t="s">
        <v>4428</v>
      </c>
      <c r="R282" s="136">
        <v>0</v>
      </c>
      <c r="S282" s="142">
        <f>(Tabla18[[#This Row],[Debe]]-Tabla18[[#This Row],[Haber]])*
SUMIF('0_Indice_CAC'!$A:$A,Tabla18[[#This Row],[Mes]],'0_Indice_CAC'!$D:$D)</f>
        <v>60895.31715930222</v>
      </c>
      <c r="T282" s="142">
        <f>Tabla18[[#This Row],[Debe]]-Tabla18[[#This Row],[Haber]]</f>
        <v>67173.05</v>
      </c>
      <c r="U282" s="322"/>
      <c r="V282" s="323"/>
      <c r="W282" s="142">
        <f t="shared" si="6"/>
        <v>67173.05</v>
      </c>
      <c r="X282" s="142" t="b">
        <f>ISNUMBER(MATCH(A282,'3_Control_Ppto'!$A$4:$A$70,0))</f>
        <v>1</v>
      </c>
      <c r="Y282" s="136"/>
    </row>
    <row r="283" spans="1:25" ht="12" customHeight="1" x14ac:dyDescent="0.3">
      <c r="A283" s="140" t="s">
        <v>4317</v>
      </c>
      <c r="B283" s="140" t="s">
        <v>56</v>
      </c>
      <c r="C283" s="549">
        <f>+EOMONTH(Tabla18[[#This Row],[Fecha Asiento]],-1)+1</f>
        <v>45839</v>
      </c>
      <c r="D283" s="136">
        <v>52103</v>
      </c>
      <c r="E283" s="136" t="s">
        <v>4477</v>
      </c>
      <c r="F283" s="141">
        <v>45849</v>
      </c>
      <c r="G283" s="136">
        <v>3835</v>
      </c>
      <c r="H283" s="136" t="s">
        <v>4627</v>
      </c>
      <c r="I283" s="136" t="s">
        <v>4628</v>
      </c>
      <c r="J283" s="136" t="s">
        <v>4455</v>
      </c>
      <c r="K283" s="136">
        <v>800000327</v>
      </c>
      <c r="L283" s="138">
        <v>5289.26</v>
      </c>
      <c r="M283" s="138">
        <v>0</v>
      </c>
      <c r="N283" s="136" t="s">
        <v>4425</v>
      </c>
      <c r="O283" s="136" t="s">
        <v>4426</v>
      </c>
      <c r="P283" s="136" t="s">
        <v>4427</v>
      </c>
      <c r="Q283" s="136" t="s">
        <v>4428</v>
      </c>
      <c r="R283" s="136">
        <v>0</v>
      </c>
      <c r="S283" s="142">
        <f>(Tabla18[[#This Row],[Debe]]-Tabla18[[#This Row],[Haber]])*
SUMIF('0_Indice_CAC'!$A:$A,Tabla18[[#This Row],[Mes]],'0_Indice_CAC'!$D:$D)</f>
        <v>4794.9462654741874</v>
      </c>
      <c r="T283" s="142">
        <f>Tabla18[[#This Row],[Debe]]-Tabla18[[#This Row],[Haber]]</f>
        <v>5289.26</v>
      </c>
      <c r="U283" s="322"/>
      <c r="V283" s="323"/>
      <c r="W283" s="142">
        <f t="shared" si="6"/>
        <v>5289.26</v>
      </c>
      <c r="X283" s="142" t="b">
        <f>ISNUMBER(MATCH(A283,'3_Control_Ppto'!$A$4:$A$70,0))</f>
        <v>1</v>
      </c>
      <c r="Y283" s="136"/>
    </row>
    <row r="284" spans="1:25" ht="12" customHeight="1" x14ac:dyDescent="0.3">
      <c r="A284" s="140" t="s">
        <v>4310</v>
      </c>
      <c r="B284" s="140" t="s">
        <v>56</v>
      </c>
      <c r="C284" s="549">
        <f>+EOMONTH(Tabla18[[#This Row],[Fecha Asiento]],-1)+1</f>
        <v>45839</v>
      </c>
      <c r="D284" s="136">
        <v>52204</v>
      </c>
      <c r="E284" s="136" t="s">
        <v>4452</v>
      </c>
      <c r="F284" s="141">
        <v>45849</v>
      </c>
      <c r="G284" s="136">
        <v>1779</v>
      </c>
      <c r="H284" s="136" t="s">
        <v>4665</v>
      </c>
      <c r="I284" s="136" t="s">
        <v>4423</v>
      </c>
      <c r="J284" s="136" t="s">
        <v>4424</v>
      </c>
      <c r="K284" s="136">
        <v>7175</v>
      </c>
      <c r="L284" s="138">
        <v>623150</v>
      </c>
      <c r="M284" s="138">
        <v>0</v>
      </c>
      <c r="N284" s="136" t="s">
        <v>4425</v>
      </c>
      <c r="O284" s="136" t="s">
        <v>4426</v>
      </c>
      <c r="P284" s="136" t="s">
        <v>4427</v>
      </c>
      <c r="Q284" s="136" t="s">
        <v>4428</v>
      </c>
      <c r="R284" s="136">
        <v>0</v>
      </c>
      <c r="S284" s="142">
        <f>(Tabla18[[#This Row],[Debe]]-Tabla18[[#This Row],[Haber]])*
SUMIF('0_Indice_CAC'!$A:$A,Tabla18[[#This Row],[Mes]],'0_Indice_CAC'!$D:$D)</f>
        <v>564912.81678916141</v>
      </c>
      <c r="T284" s="142">
        <f>Tabla18[[#This Row],[Debe]]-Tabla18[[#This Row],[Haber]]</f>
        <v>623150</v>
      </c>
      <c r="U284" s="322"/>
      <c r="V284" s="323"/>
      <c r="W284" s="142">
        <f t="shared" si="6"/>
        <v>623150</v>
      </c>
      <c r="X284" s="142" t="b">
        <f>ISNUMBER(MATCH(A284,'3_Control_Ppto'!$A$4:$A$70,0))</f>
        <v>1</v>
      </c>
      <c r="Y284" s="136"/>
    </row>
    <row r="285" spans="1:25" ht="12" customHeight="1" x14ac:dyDescent="0.3">
      <c r="A285" s="140" t="s">
        <v>4125</v>
      </c>
      <c r="B285" s="140" t="s">
        <v>56</v>
      </c>
      <c r="C285" s="549">
        <f>+EOMONTH(Tabla18[[#This Row],[Fecha Asiento]],-1)+1</f>
        <v>45839</v>
      </c>
      <c r="D285" s="136">
        <v>53003</v>
      </c>
      <c r="E285" s="136" t="s">
        <v>4523</v>
      </c>
      <c r="F285" s="141">
        <v>45849</v>
      </c>
      <c r="G285" s="136">
        <v>1782</v>
      </c>
      <c r="H285" s="136" t="s">
        <v>4666</v>
      </c>
      <c r="I285" s="136" t="s">
        <v>4423</v>
      </c>
      <c r="J285" s="136" t="s">
        <v>4424</v>
      </c>
      <c r="K285" s="136">
        <v>7178</v>
      </c>
      <c r="L285" s="138">
        <v>1416000</v>
      </c>
      <c r="M285" s="138">
        <v>0</v>
      </c>
      <c r="N285" s="136" t="s">
        <v>4425</v>
      </c>
      <c r="O285" s="136" t="s">
        <v>4426</v>
      </c>
      <c r="P285" s="136" t="s">
        <v>4427</v>
      </c>
      <c r="Q285" s="136" t="s">
        <v>4428</v>
      </c>
      <c r="R285" s="136">
        <v>0</v>
      </c>
      <c r="S285" s="142">
        <f>(Tabla18[[#This Row],[Debe]]-Tabla18[[#This Row],[Haber]])*
SUMIF('0_Indice_CAC'!$A:$A,Tabla18[[#This Row],[Mes]],'0_Indice_CAC'!$D:$D)</f>
        <v>1283666.1294607278</v>
      </c>
      <c r="T285" s="142">
        <f>Tabla18[[#This Row],[Debe]]-Tabla18[[#This Row],[Haber]]</f>
        <v>1416000</v>
      </c>
      <c r="U285" s="322" t="s">
        <v>4525</v>
      </c>
      <c r="V285" s="323"/>
      <c r="W285" s="142">
        <f t="shared" si="6"/>
        <v>1416000</v>
      </c>
      <c r="X285" s="142" t="b">
        <f>ISNUMBER(MATCH(A285,'3_Control_Ppto'!$A$4:$A$70,0))</f>
        <v>1</v>
      </c>
      <c r="Y285" s="136"/>
    </row>
    <row r="286" spans="1:25" ht="12" customHeight="1" x14ac:dyDescent="0.3">
      <c r="A286" s="140" t="s">
        <v>1478</v>
      </c>
      <c r="B286" s="140" t="s">
        <v>56</v>
      </c>
      <c r="C286" s="549">
        <f>+EOMONTH(Tabla18[[#This Row],[Fecha Asiento]],-1)+1</f>
        <v>45839</v>
      </c>
      <c r="D286" s="136">
        <v>53005</v>
      </c>
      <c r="E286" s="136" t="s">
        <v>4472</v>
      </c>
      <c r="F286" s="141">
        <v>45849</v>
      </c>
      <c r="G286" s="136">
        <v>1747</v>
      </c>
      <c r="H286" s="136" t="s">
        <v>4667</v>
      </c>
      <c r="I286" s="136" t="s">
        <v>4423</v>
      </c>
      <c r="J286" s="136" t="s">
        <v>4424</v>
      </c>
      <c r="K286" s="136">
        <v>7147</v>
      </c>
      <c r="L286" s="138">
        <v>7895819</v>
      </c>
      <c r="M286" s="138">
        <v>0</v>
      </c>
      <c r="N286" s="136" t="s">
        <v>4425</v>
      </c>
      <c r="O286" s="136" t="s">
        <v>4426</v>
      </c>
      <c r="P286" s="136" t="s">
        <v>4427</v>
      </c>
      <c r="Q286" s="136" t="s">
        <v>4428</v>
      </c>
      <c r="R286" s="136">
        <v>0</v>
      </c>
      <c r="S286" s="142">
        <f>(Tabla18[[#This Row],[Debe]]-Tabla18[[#This Row],[Haber]])*
SUMIF('0_Indice_CAC'!$A:$A,Tabla18[[#This Row],[Mes]],'0_Indice_CAC'!$D:$D)</f>
        <v>7157906.366279996</v>
      </c>
      <c r="T286" s="142">
        <f>Tabla18[[#This Row],[Debe]]-Tabla18[[#This Row],[Haber]]</f>
        <v>7895819</v>
      </c>
      <c r="U286" s="322" t="s">
        <v>4668</v>
      </c>
      <c r="V286" s="323"/>
      <c r="W286" s="142">
        <f t="shared" si="6"/>
        <v>7895819</v>
      </c>
      <c r="X286" s="142" t="b">
        <f>ISNUMBER(MATCH(A286,'3_Control_Ppto'!$A$4:$A$70,0))</f>
        <v>1</v>
      </c>
      <c r="Y286" s="136"/>
    </row>
    <row r="287" spans="1:25" ht="12" customHeight="1" x14ac:dyDescent="0.3">
      <c r="A287" s="140" t="s">
        <v>1478</v>
      </c>
      <c r="B287" s="140" t="s">
        <v>56</v>
      </c>
      <c r="C287" s="549">
        <f>+EOMONTH(Tabla18[[#This Row],[Fecha Asiento]],-1)+1</f>
        <v>45839</v>
      </c>
      <c r="D287" s="136">
        <v>53005</v>
      </c>
      <c r="E287" s="136" t="s">
        <v>4472</v>
      </c>
      <c r="F287" s="141">
        <v>45849</v>
      </c>
      <c r="G287" s="136">
        <v>1748</v>
      </c>
      <c r="H287" s="136" t="s">
        <v>4667</v>
      </c>
      <c r="I287" s="136" t="s">
        <v>4423</v>
      </c>
      <c r="J287" s="136" t="s">
        <v>4424</v>
      </c>
      <c r="K287" s="136">
        <v>7148</v>
      </c>
      <c r="L287" s="138">
        <v>236874</v>
      </c>
      <c r="M287" s="138">
        <v>0</v>
      </c>
      <c r="N287" s="136" t="s">
        <v>4425</v>
      </c>
      <c r="O287" s="136" t="s">
        <v>4426</v>
      </c>
      <c r="P287" s="136" t="s">
        <v>4427</v>
      </c>
      <c r="Q287" s="136" t="s">
        <v>4428</v>
      </c>
      <c r="R287" s="136">
        <v>0</v>
      </c>
      <c r="S287" s="142">
        <f>(Tabla18[[#This Row],[Debe]]-Tabla18[[#This Row],[Haber]])*
SUMIF('0_Indice_CAC'!$A:$A,Tabla18[[#This Row],[Mes]],'0_Indice_CAC'!$D:$D)</f>
        <v>214736.67425839015</v>
      </c>
      <c r="T287" s="142">
        <f>Tabla18[[#This Row],[Debe]]-Tabla18[[#This Row],[Haber]]</f>
        <v>236874</v>
      </c>
      <c r="U287" s="322" t="s">
        <v>4668</v>
      </c>
      <c r="V287" s="323">
        <f>+Tabla18[[#This Row],[Monto Real]]</f>
        <v>236874</v>
      </c>
      <c r="W287" s="142">
        <f t="shared" si="6"/>
        <v>0</v>
      </c>
      <c r="X287" s="142" t="b">
        <f>ISNUMBER(MATCH(A287,'3_Control_Ppto'!$A$4:$A$70,0))</f>
        <v>1</v>
      </c>
      <c r="Y287" s="136"/>
    </row>
    <row r="288" spans="1:25" ht="12" customHeight="1" x14ac:dyDescent="0.3">
      <c r="A288" s="140" t="s">
        <v>25</v>
      </c>
      <c r="B288" s="140" t="s">
        <v>25</v>
      </c>
      <c r="C288" s="549">
        <f>+EOMONTH(Tabla18[[#This Row],[Fecha Asiento]],-1)+1</f>
        <v>45839</v>
      </c>
      <c r="D288" s="136">
        <v>5108</v>
      </c>
      <c r="E288" s="136" t="s">
        <v>4469</v>
      </c>
      <c r="F288" s="141">
        <v>45850</v>
      </c>
      <c r="G288" s="136">
        <v>3670</v>
      </c>
      <c r="H288" s="136" t="s">
        <v>4470</v>
      </c>
      <c r="I288" s="136" t="s">
        <v>4471</v>
      </c>
      <c r="J288" s="136" t="s">
        <v>4455</v>
      </c>
      <c r="K288" s="136">
        <v>1000203135</v>
      </c>
      <c r="L288" s="138">
        <v>440804.68</v>
      </c>
      <c r="M288" s="138">
        <v>0</v>
      </c>
      <c r="N288" s="136" t="s">
        <v>4425</v>
      </c>
      <c r="O288" s="136" t="s">
        <v>4426</v>
      </c>
      <c r="P288" s="136" t="s">
        <v>4427</v>
      </c>
      <c r="Q288" s="136" t="s">
        <v>4428</v>
      </c>
      <c r="R288" s="136">
        <v>0</v>
      </c>
      <c r="S288" s="142">
        <f>(Tabla18[[#This Row],[Debe]]-Tabla18[[#This Row],[Haber]])*
SUMIF('0_Indice_CAC'!$A:$A,Tabla18[[#This Row],[Mes]],'0_Indice_CAC'!$D:$D)</f>
        <v>399608.78349136631</v>
      </c>
      <c r="T288" s="142">
        <f>Tabla18[[#This Row],[Debe]]-Tabla18[[#This Row],[Haber]]</f>
        <v>440804.68</v>
      </c>
      <c r="U288" s="322"/>
      <c r="V288" s="323"/>
      <c r="W288" s="142">
        <f t="shared" ref="W288:W351" si="7">IFERROR(T288-IF(V288="",0,V288),0)</f>
        <v>440804.68</v>
      </c>
      <c r="X288" s="142" t="b">
        <f>ISNUMBER(MATCH(A288,'3_Control_Ppto'!$A$4:$A$70,0))</f>
        <v>0</v>
      </c>
      <c r="Y288" s="136"/>
    </row>
    <row r="289" spans="1:25" ht="12" customHeight="1" x14ac:dyDescent="0.3">
      <c r="A289" s="140" t="s">
        <v>25</v>
      </c>
      <c r="B289" s="140" t="s">
        <v>25</v>
      </c>
      <c r="C289" s="549">
        <f>+EOMONTH(Tabla18[[#This Row],[Fecha Asiento]],-1)+1</f>
        <v>45839</v>
      </c>
      <c r="D289" s="136">
        <v>5108</v>
      </c>
      <c r="E289" s="136" t="s">
        <v>4469</v>
      </c>
      <c r="F289" s="141">
        <v>45850</v>
      </c>
      <c r="G289" s="136">
        <v>3671</v>
      </c>
      <c r="H289" s="136" t="s">
        <v>4470</v>
      </c>
      <c r="I289" s="136" t="s">
        <v>4471</v>
      </c>
      <c r="J289" s="136" t="s">
        <v>4455</v>
      </c>
      <c r="K289" s="136">
        <v>1000203122</v>
      </c>
      <c r="L289" s="138">
        <v>993.6</v>
      </c>
      <c r="M289" s="138">
        <v>0</v>
      </c>
      <c r="N289" s="136" t="s">
        <v>4425</v>
      </c>
      <c r="O289" s="136" t="s">
        <v>4426</v>
      </c>
      <c r="P289" s="136" t="s">
        <v>4427</v>
      </c>
      <c r="Q289" s="136" t="s">
        <v>4428</v>
      </c>
      <c r="R289" s="136">
        <v>0</v>
      </c>
      <c r="S289" s="142">
        <f>(Tabla18[[#This Row],[Debe]]-Tabla18[[#This Row],[Haber]])*
SUMIF('0_Indice_CAC'!$A:$A,Tabla18[[#This Row],[Mes]],'0_Indice_CAC'!$D:$D)</f>
        <v>900.74199592668026</v>
      </c>
      <c r="T289" s="142">
        <f>Tabla18[[#This Row],[Debe]]-Tabla18[[#This Row],[Haber]]</f>
        <v>993.6</v>
      </c>
      <c r="U289" s="322"/>
      <c r="V289" s="323"/>
      <c r="W289" s="142">
        <f t="shared" si="7"/>
        <v>993.6</v>
      </c>
      <c r="X289" s="142" t="b">
        <f>ISNUMBER(MATCH(A289,'3_Control_Ppto'!$A$4:$A$70,0))</f>
        <v>0</v>
      </c>
      <c r="Y289" s="136"/>
    </row>
    <row r="290" spans="1:25" ht="12" customHeight="1" x14ac:dyDescent="0.3">
      <c r="A290" s="140" t="s">
        <v>106</v>
      </c>
      <c r="B290" s="140" t="s">
        <v>4090</v>
      </c>
      <c r="C290" s="549">
        <f>+EOMONTH(Tabla18[[#This Row],[Fecha Asiento]],-1)+1</f>
        <v>45839</v>
      </c>
      <c r="D290" s="136">
        <v>53023</v>
      </c>
      <c r="E290" s="136" t="s">
        <v>4467</v>
      </c>
      <c r="F290" s="141">
        <v>45850</v>
      </c>
      <c r="G290" s="136">
        <v>3670</v>
      </c>
      <c r="H290" s="136" t="s">
        <v>4475</v>
      </c>
      <c r="I290" s="136" t="s">
        <v>4471</v>
      </c>
      <c r="J290" s="136" t="s">
        <v>4455</v>
      </c>
      <c r="K290" s="136">
        <v>1000203135</v>
      </c>
      <c r="L290" s="138">
        <v>481571.1</v>
      </c>
      <c r="M290" s="138">
        <v>0</v>
      </c>
      <c r="N290" s="136" t="s">
        <v>4425</v>
      </c>
      <c r="O290" s="136" t="s">
        <v>4426</v>
      </c>
      <c r="P290" s="136" t="s">
        <v>4427</v>
      </c>
      <c r="Q290" s="136" t="s">
        <v>4428</v>
      </c>
      <c r="R290" s="136">
        <v>0</v>
      </c>
      <c r="S290" s="142">
        <f>(Tabla18[[#This Row],[Debe]]-Tabla18[[#This Row],[Haber]])*
SUMIF('0_Indice_CAC'!$A:$A,Tabla18[[#This Row],[Mes]],'0_Indice_CAC'!$D:$D)</f>
        <v>436565.33191888774</v>
      </c>
      <c r="T290" s="142">
        <f>Tabla18[[#This Row],[Debe]]-Tabla18[[#This Row],[Haber]]</f>
        <v>481571.1</v>
      </c>
      <c r="U290" s="322"/>
      <c r="V290" s="323"/>
      <c r="W290" s="142">
        <f t="shared" si="7"/>
        <v>481571.1</v>
      </c>
      <c r="X290" s="142" t="b">
        <f>ISNUMBER(MATCH(A290,'3_Control_Ppto'!$A$4:$A$70,0))</f>
        <v>1</v>
      </c>
      <c r="Y290" s="136"/>
    </row>
    <row r="291" spans="1:25" ht="12" customHeight="1" x14ac:dyDescent="0.3">
      <c r="A291" s="140" t="s">
        <v>4119</v>
      </c>
      <c r="B291" s="140" t="s">
        <v>56</v>
      </c>
      <c r="C291" s="549">
        <f>+EOMONTH(Tabla18[[#This Row],[Fecha Asiento]],-1)+1</f>
        <v>45839</v>
      </c>
      <c r="D291" s="136">
        <v>53022</v>
      </c>
      <c r="E291" s="136" t="s">
        <v>4429</v>
      </c>
      <c r="F291" s="141">
        <v>45852</v>
      </c>
      <c r="G291" s="136">
        <v>3676</v>
      </c>
      <c r="H291" s="136" t="s">
        <v>4639</v>
      </c>
      <c r="I291" s="136" t="s">
        <v>4459</v>
      </c>
      <c r="J291" s="136" t="s">
        <v>4455</v>
      </c>
      <c r="K291" s="136">
        <v>300023304</v>
      </c>
      <c r="L291" s="138">
        <v>80000</v>
      </c>
      <c r="M291" s="138">
        <v>0</v>
      </c>
      <c r="N291" s="136" t="s">
        <v>4425</v>
      </c>
      <c r="O291" s="136" t="s">
        <v>4426</v>
      </c>
      <c r="P291" s="136" t="s">
        <v>4427</v>
      </c>
      <c r="Q291" s="136" t="s">
        <v>4428</v>
      </c>
      <c r="R291" s="136">
        <v>0</v>
      </c>
      <c r="S291" s="142">
        <f>(Tabla18[[#This Row],[Debe]]-Tabla18[[#This Row],[Haber]])*
SUMIF('0_Indice_CAC'!$A:$A,Tabla18[[#This Row],[Mes]],'0_Indice_CAC'!$D:$D)</f>
        <v>72523.510139024176</v>
      </c>
      <c r="T291" s="142">
        <f>Tabla18[[#This Row],[Debe]]-Tabla18[[#This Row],[Haber]]</f>
        <v>80000</v>
      </c>
      <c r="U291" s="322"/>
      <c r="V291" s="323"/>
      <c r="W291" s="142">
        <f t="shared" si="7"/>
        <v>80000</v>
      </c>
      <c r="X291" s="142" t="b">
        <f>ISNUMBER(MATCH(A291,'3_Control_Ppto'!$A$4:$A$70,0))</f>
        <v>1</v>
      </c>
      <c r="Y291" s="136"/>
    </row>
    <row r="292" spans="1:25" ht="12" customHeight="1" x14ac:dyDescent="0.3">
      <c r="A292" s="140" t="s">
        <v>4317</v>
      </c>
      <c r="B292" s="140" t="s">
        <v>56</v>
      </c>
      <c r="C292" s="549">
        <f>+EOMONTH(Tabla18[[#This Row],[Fecha Asiento]],-1)+1</f>
        <v>45839</v>
      </c>
      <c r="D292" s="136">
        <v>52005</v>
      </c>
      <c r="E292" s="136" t="s">
        <v>4357</v>
      </c>
      <c r="F292" s="141">
        <v>45855</v>
      </c>
      <c r="G292" s="136">
        <v>3863</v>
      </c>
      <c r="H292" s="136" t="s">
        <v>4586</v>
      </c>
      <c r="I292" s="136" t="s">
        <v>4587</v>
      </c>
      <c r="J292" s="136" t="s">
        <v>4455</v>
      </c>
      <c r="K292" s="136">
        <v>426405626926</v>
      </c>
      <c r="L292" s="138">
        <v>21195</v>
      </c>
      <c r="M292" s="138">
        <v>0</v>
      </c>
      <c r="N292" s="136" t="s">
        <v>4425</v>
      </c>
      <c r="O292" s="136" t="s">
        <v>4426</v>
      </c>
      <c r="P292" s="136" t="s">
        <v>4427</v>
      </c>
      <c r="Q292" s="136" t="s">
        <v>4428</v>
      </c>
      <c r="R292" s="136">
        <v>0</v>
      </c>
      <c r="S292" s="142">
        <f>(Tabla18[[#This Row],[Debe]]-Tabla18[[#This Row],[Haber]])*
SUMIF('0_Indice_CAC'!$A:$A,Tabla18[[#This Row],[Mes]],'0_Indice_CAC'!$D:$D)</f>
        <v>19214.197467457718</v>
      </c>
      <c r="T292" s="142">
        <f>Tabla18[[#This Row],[Debe]]-Tabla18[[#This Row],[Haber]]</f>
        <v>21195</v>
      </c>
      <c r="U292" s="322"/>
      <c r="V292" s="323"/>
      <c r="W292" s="142">
        <f t="shared" si="7"/>
        <v>21195</v>
      </c>
      <c r="X292" s="142" t="b">
        <f>ISNUMBER(MATCH(A292,'3_Control_Ppto'!$A$4:$A$70,0))</f>
        <v>1</v>
      </c>
      <c r="Y292" s="136"/>
    </row>
    <row r="293" spans="1:25" ht="12" customHeight="1" x14ac:dyDescent="0.3">
      <c r="A293" s="140" t="s">
        <v>1285</v>
      </c>
      <c r="B293" s="140" t="s">
        <v>4090</v>
      </c>
      <c r="C293" s="549">
        <f>+EOMONTH(Tabla18[[#This Row],[Fecha Asiento]],-1)+1</f>
        <v>45839</v>
      </c>
      <c r="D293" s="136">
        <v>53001</v>
      </c>
      <c r="E293" s="136" t="s">
        <v>4464</v>
      </c>
      <c r="F293" s="141">
        <v>45856</v>
      </c>
      <c r="G293" s="136">
        <v>3837</v>
      </c>
      <c r="H293" s="136" t="s">
        <v>4481</v>
      </c>
      <c r="I293" s="136" t="s">
        <v>4482</v>
      </c>
      <c r="J293" s="136" t="s">
        <v>4455</v>
      </c>
      <c r="K293" s="136">
        <v>1000000100</v>
      </c>
      <c r="L293" s="138">
        <v>6364</v>
      </c>
      <c r="M293" s="138">
        <v>0</v>
      </c>
      <c r="N293" s="136" t="s">
        <v>4425</v>
      </c>
      <c r="O293" s="136" t="s">
        <v>4426</v>
      </c>
      <c r="P293" s="136" t="s">
        <v>4427</v>
      </c>
      <c r="Q293" s="136" t="s">
        <v>4428</v>
      </c>
      <c r="R293" s="136">
        <v>0</v>
      </c>
      <c r="S293" s="142">
        <f>(Tabla18[[#This Row],[Debe]]-Tabla18[[#This Row],[Haber]])*
SUMIF('0_Indice_CAC'!$A:$A,Tabla18[[#This Row],[Mes]],'0_Indice_CAC'!$D:$D)</f>
        <v>5769.2452315593728</v>
      </c>
      <c r="T293" s="142">
        <f>Tabla18[[#This Row],[Debe]]-Tabla18[[#This Row],[Haber]]</f>
        <v>6364</v>
      </c>
      <c r="U293" s="322"/>
      <c r="V293" s="323"/>
      <c r="W293" s="142">
        <f t="shared" si="7"/>
        <v>6364</v>
      </c>
      <c r="X293" s="142" t="b">
        <f>ISNUMBER(MATCH(A293,'3_Control_Ppto'!$A$4:$A$70,0))</f>
        <v>1</v>
      </c>
      <c r="Y293" s="136"/>
    </row>
    <row r="294" spans="1:25" ht="12" customHeight="1" x14ac:dyDescent="0.3">
      <c r="A294" s="140" t="s">
        <v>4317</v>
      </c>
      <c r="B294" s="140" t="s">
        <v>56</v>
      </c>
      <c r="C294" s="549">
        <f>+EOMONTH(Tabla18[[#This Row],[Fecha Asiento]],-1)+1</f>
        <v>45839</v>
      </c>
      <c r="D294" s="136">
        <v>52102</v>
      </c>
      <c r="E294" s="136" t="s">
        <v>4535</v>
      </c>
      <c r="F294" s="141">
        <v>45859</v>
      </c>
      <c r="G294" s="136">
        <v>3838</v>
      </c>
      <c r="H294" s="136" t="s">
        <v>4633</v>
      </c>
      <c r="I294" s="136" t="s">
        <v>4634</v>
      </c>
      <c r="J294" s="136" t="s">
        <v>4542</v>
      </c>
      <c r="K294" s="136">
        <v>400006643</v>
      </c>
      <c r="L294" s="138">
        <v>15200</v>
      </c>
      <c r="M294" s="138">
        <v>0</v>
      </c>
      <c r="N294" s="136" t="s">
        <v>4425</v>
      </c>
      <c r="O294" s="136" t="s">
        <v>4426</v>
      </c>
      <c r="P294" s="136" t="s">
        <v>4427</v>
      </c>
      <c r="Q294" s="136" t="s">
        <v>4428</v>
      </c>
      <c r="R294" s="136">
        <v>0</v>
      </c>
      <c r="S294" s="142">
        <f>(Tabla18[[#This Row],[Debe]]-Tabla18[[#This Row],[Haber]])*
SUMIF('0_Indice_CAC'!$A:$A,Tabla18[[#This Row],[Mes]],'0_Indice_CAC'!$D:$D)</f>
        <v>13779.466926414592</v>
      </c>
      <c r="T294" s="142">
        <f>Tabla18[[#This Row],[Debe]]-Tabla18[[#This Row],[Haber]]</f>
        <v>15200</v>
      </c>
      <c r="U294" s="322"/>
      <c r="V294" s="323"/>
      <c r="W294" s="142">
        <f t="shared" si="7"/>
        <v>15200</v>
      </c>
      <c r="X294" s="142" t="b">
        <f>ISNUMBER(MATCH(A294,'3_Control_Ppto'!$A$4:$A$70,0))</f>
        <v>1</v>
      </c>
      <c r="Y294" s="136"/>
    </row>
    <row r="295" spans="1:25" ht="12" customHeight="1" x14ac:dyDescent="0.3">
      <c r="A295" s="140" t="s">
        <v>4317</v>
      </c>
      <c r="B295" s="140" t="s">
        <v>56</v>
      </c>
      <c r="C295" s="549">
        <f>+EOMONTH(Tabla18[[#This Row],[Fecha Asiento]],-1)+1</f>
        <v>45839</v>
      </c>
      <c r="D295" s="136">
        <v>52302</v>
      </c>
      <c r="E295" s="136" t="s">
        <v>4444</v>
      </c>
      <c r="F295" s="141">
        <v>45859</v>
      </c>
      <c r="G295" s="136">
        <v>3840</v>
      </c>
      <c r="H295" s="136" t="s">
        <v>4620</v>
      </c>
      <c r="I295" s="136" t="s">
        <v>4602</v>
      </c>
      <c r="J295" s="136" t="s">
        <v>4455</v>
      </c>
      <c r="K295" s="136">
        <v>3000022907</v>
      </c>
      <c r="L295" s="138">
        <v>4837.8500000000004</v>
      </c>
      <c r="M295" s="138">
        <v>0</v>
      </c>
      <c r="N295" s="136" t="s">
        <v>4425</v>
      </c>
      <c r="O295" s="136" t="s">
        <v>4426</v>
      </c>
      <c r="P295" s="136" t="s">
        <v>4427</v>
      </c>
      <c r="Q295" s="136" t="s">
        <v>4428</v>
      </c>
      <c r="R295" s="136">
        <v>0</v>
      </c>
      <c r="S295" s="142">
        <f>(Tabla18[[#This Row],[Debe]]-Tabla18[[#This Row],[Haber]])*
SUMIF('0_Indice_CAC'!$A:$A,Tabla18[[#This Row],[Mes]],'0_Indice_CAC'!$D:$D)</f>
        <v>4385.7232940759759</v>
      </c>
      <c r="T295" s="142">
        <f>Tabla18[[#This Row],[Debe]]-Tabla18[[#This Row],[Haber]]</f>
        <v>4837.8500000000004</v>
      </c>
      <c r="U295" s="322"/>
      <c r="V295" s="323"/>
      <c r="W295" s="142">
        <f t="shared" si="7"/>
        <v>4837.8500000000004</v>
      </c>
      <c r="X295" s="142" t="b">
        <f>ISNUMBER(MATCH(A295,'3_Control_Ppto'!$A$4:$A$70,0))</f>
        <v>1</v>
      </c>
      <c r="Y295" s="136"/>
    </row>
    <row r="296" spans="1:25" ht="12" customHeight="1" x14ac:dyDescent="0.3">
      <c r="A296" s="140" t="s">
        <v>4317</v>
      </c>
      <c r="B296" s="140" t="s">
        <v>56</v>
      </c>
      <c r="C296" s="549">
        <f>+EOMONTH(Tabla18[[#This Row],[Fecha Asiento]],-1)+1</f>
        <v>45839</v>
      </c>
      <c r="D296" s="136">
        <v>52302</v>
      </c>
      <c r="E296" s="136" t="s">
        <v>4444</v>
      </c>
      <c r="F296" s="141">
        <v>45859</v>
      </c>
      <c r="G296" s="136">
        <v>3840</v>
      </c>
      <c r="H296" s="136" t="s">
        <v>4620</v>
      </c>
      <c r="I296" s="136" t="s">
        <v>4602</v>
      </c>
      <c r="J296" s="136" t="s">
        <v>4455</v>
      </c>
      <c r="K296" s="136">
        <v>3000022907</v>
      </c>
      <c r="L296" s="138">
        <v>1114.94</v>
      </c>
      <c r="M296" s="138">
        <v>0</v>
      </c>
      <c r="N296" s="136" t="s">
        <v>4425</v>
      </c>
      <c r="O296" s="136" t="s">
        <v>4426</v>
      </c>
      <c r="P296" s="136" t="s">
        <v>4427</v>
      </c>
      <c r="Q296" s="136" t="s">
        <v>4428</v>
      </c>
      <c r="R296" s="136">
        <v>0</v>
      </c>
      <c r="S296" s="142">
        <f>(Tabla18[[#This Row],[Debe]]-Tabla18[[#This Row],[Haber]])*
SUMIF('0_Indice_CAC'!$A:$A,Tabla18[[#This Row],[Mes]],'0_Indice_CAC'!$D:$D)</f>
        <v>1010.7420299300452</v>
      </c>
      <c r="T296" s="142">
        <f>Tabla18[[#This Row],[Debe]]-Tabla18[[#This Row],[Haber]]</f>
        <v>1114.94</v>
      </c>
      <c r="U296" s="322"/>
      <c r="V296" s="323"/>
      <c r="W296" s="142">
        <f t="shared" si="7"/>
        <v>1114.94</v>
      </c>
      <c r="X296" s="142" t="b">
        <f>ISNUMBER(MATCH(A296,'3_Control_Ppto'!$A$4:$A$70,0))</f>
        <v>1</v>
      </c>
      <c r="Y296" s="136"/>
    </row>
    <row r="297" spans="1:25" ht="12" customHeight="1" x14ac:dyDescent="0.3">
      <c r="A297" s="140" t="s">
        <v>4317</v>
      </c>
      <c r="B297" s="140" t="s">
        <v>56</v>
      </c>
      <c r="C297" s="549">
        <f>+EOMONTH(Tabla18[[#This Row],[Fecha Asiento]],-1)+1</f>
        <v>45839</v>
      </c>
      <c r="D297" s="136">
        <v>52302</v>
      </c>
      <c r="E297" s="136" t="s">
        <v>4444</v>
      </c>
      <c r="F297" s="141">
        <v>45859</v>
      </c>
      <c r="G297" s="136">
        <v>3840</v>
      </c>
      <c r="H297" s="136" t="s">
        <v>4620</v>
      </c>
      <c r="I297" s="136" t="s">
        <v>4602</v>
      </c>
      <c r="J297" s="136" t="s">
        <v>4455</v>
      </c>
      <c r="K297" s="136">
        <v>3000022907</v>
      </c>
      <c r="L297" s="138">
        <v>68.3</v>
      </c>
      <c r="M297" s="138">
        <v>0</v>
      </c>
      <c r="N297" s="136" t="s">
        <v>4425</v>
      </c>
      <c r="O297" s="136" t="s">
        <v>4426</v>
      </c>
      <c r="P297" s="136" t="s">
        <v>4427</v>
      </c>
      <c r="Q297" s="136" t="s">
        <v>4428</v>
      </c>
      <c r="R297" s="136">
        <v>0</v>
      </c>
      <c r="S297" s="142">
        <f>(Tabla18[[#This Row],[Debe]]-Tabla18[[#This Row],[Haber]])*
SUMIF('0_Indice_CAC'!$A:$A,Tabla18[[#This Row],[Mes]],'0_Indice_CAC'!$D:$D)</f>
        <v>61.916946781191882</v>
      </c>
      <c r="T297" s="142">
        <f>Tabla18[[#This Row],[Debe]]-Tabla18[[#This Row],[Haber]]</f>
        <v>68.3</v>
      </c>
      <c r="U297" s="322"/>
      <c r="V297" s="323"/>
      <c r="W297" s="142">
        <f t="shared" si="7"/>
        <v>68.3</v>
      </c>
      <c r="X297" s="142" t="b">
        <f>ISNUMBER(MATCH(A297,'3_Control_Ppto'!$A$4:$A$70,0))</f>
        <v>1</v>
      </c>
      <c r="Y297" s="136"/>
    </row>
    <row r="298" spans="1:25" ht="12" customHeight="1" x14ac:dyDescent="0.3">
      <c r="A298" s="140" t="s">
        <v>1478</v>
      </c>
      <c r="B298" s="140" t="s">
        <v>4090</v>
      </c>
      <c r="C298" s="549">
        <f>+EOMONTH(Tabla18[[#This Row],[Fecha Asiento]],-1)+1</f>
        <v>45839</v>
      </c>
      <c r="D298" s="136">
        <v>53004</v>
      </c>
      <c r="E298" s="136" t="s">
        <v>4496</v>
      </c>
      <c r="F298" s="141">
        <v>45859</v>
      </c>
      <c r="G298" s="136">
        <v>3841</v>
      </c>
      <c r="H298" s="136" t="s">
        <v>4669</v>
      </c>
      <c r="I298" s="136" t="s">
        <v>4624</v>
      </c>
      <c r="J298" s="136" t="s">
        <v>4455</v>
      </c>
      <c r="K298" s="136">
        <v>5000014028</v>
      </c>
      <c r="L298" s="138">
        <v>1799355.43</v>
      </c>
      <c r="M298" s="138">
        <v>0</v>
      </c>
      <c r="N298" s="136" t="s">
        <v>4425</v>
      </c>
      <c r="O298" s="136" t="s">
        <v>4426</v>
      </c>
      <c r="P298" s="136" t="s">
        <v>4427</v>
      </c>
      <c r="Q298" s="136" t="s">
        <v>4428</v>
      </c>
      <c r="R298" s="136">
        <v>0</v>
      </c>
      <c r="S298" s="142">
        <f>(Tabla18[[#This Row],[Debe]]-Tabla18[[#This Row],[Haber]])*
SUMIF('0_Indice_CAC'!$A:$A,Tabla18[[#This Row],[Mes]],'0_Indice_CAC'!$D:$D)</f>
        <v>1631194.6471414149</v>
      </c>
      <c r="T298" s="142">
        <f>Tabla18[[#This Row],[Debe]]-Tabla18[[#This Row],[Haber]]</f>
        <v>1799355.43</v>
      </c>
      <c r="U298" s="322"/>
      <c r="V298" s="323"/>
      <c r="W298" s="142">
        <f t="shared" si="7"/>
        <v>1799355.43</v>
      </c>
      <c r="X298" s="142" t="b">
        <f>ISNUMBER(MATCH(A298,'3_Control_Ppto'!$A$4:$A$70,0))</f>
        <v>1</v>
      </c>
      <c r="Y298" s="136"/>
    </row>
    <row r="299" spans="1:25" ht="12" customHeight="1" x14ac:dyDescent="0.3">
      <c r="A299" s="140" t="s">
        <v>106</v>
      </c>
      <c r="B299" s="140" t="s">
        <v>25</v>
      </c>
      <c r="C299" s="549">
        <f>+EOMONTH(Tabla18[[#This Row],[Fecha Asiento]],-1)+1</f>
        <v>45839</v>
      </c>
      <c r="D299" s="136">
        <v>53009</v>
      </c>
      <c r="E299" s="136" t="s">
        <v>4446</v>
      </c>
      <c r="F299" s="141">
        <v>45859</v>
      </c>
      <c r="G299" s="136">
        <v>1794</v>
      </c>
      <c r="H299" s="136" t="s">
        <v>4670</v>
      </c>
      <c r="I299" s="136" t="s">
        <v>4423</v>
      </c>
      <c r="J299" s="136" t="s">
        <v>4424</v>
      </c>
      <c r="K299" s="136">
        <v>7190</v>
      </c>
      <c r="L299" s="138">
        <v>2019000</v>
      </c>
      <c r="M299" s="138">
        <v>0</v>
      </c>
      <c r="N299" s="136" t="s">
        <v>4425</v>
      </c>
      <c r="O299" s="136" t="s">
        <v>4426</v>
      </c>
      <c r="P299" s="136" t="s">
        <v>4427</v>
      </c>
      <c r="Q299" s="136" t="s">
        <v>4428</v>
      </c>
      <c r="R299" s="136">
        <v>0</v>
      </c>
      <c r="S299" s="142">
        <f>(Tabla18[[#This Row],[Debe]]-Tabla18[[#This Row],[Haber]])*
SUMIF('0_Indice_CAC'!$A:$A,Tabla18[[#This Row],[Mes]],'0_Indice_CAC'!$D:$D)</f>
        <v>1830312.0871336225</v>
      </c>
      <c r="T299" s="142">
        <f>Tabla18[[#This Row],[Debe]]-Tabla18[[#This Row],[Haber]]</f>
        <v>2019000</v>
      </c>
      <c r="U299" s="322"/>
      <c r="V299" s="323"/>
      <c r="W299" s="142">
        <f t="shared" si="7"/>
        <v>2019000</v>
      </c>
      <c r="X299" s="142" t="b">
        <f>ISNUMBER(MATCH(A299,'3_Control_Ppto'!$A$4:$A$70,0))</f>
        <v>1</v>
      </c>
      <c r="Y299" s="136"/>
    </row>
    <row r="300" spans="1:25" ht="12" customHeight="1" x14ac:dyDescent="0.3">
      <c r="A300" s="140" t="s">
        <v>1285</v>
      </c>
      <c r="B300" s="140" t="s">
        <v>4090</v>
      </c>
      <c r="C300" s="549">
        <f>+EOMONTH(Tabla18[[#This Row],[Fecha Asiento]],-1)+1</f>
        <v>45839</v>
      </c>
      <c r="D300" s="136">
        <v>53001</v>
      </c>
      <c r="E300" s="136" t="s">
        <v>4464</v>
      </c>
      <c r="F300" s="141">
        <v>45860</v>
      </c>
      <c r="G300" s="136">
        <v>3846</v>
      </c>
      <c r="H300" s="136" t="s">
        <v>4671</v>
      </c>
      <c r="I300" s="136" t="s">
        <v>4521</v>
      </c>
      <c r="J300" s="136" t="s">
        <v>4455</v>
      </c>
      <c r="K300" s="136">
        <v>400000445</v>
      </c>
      <c r="L300" s="138">
        <v>8264.44</v>
      </c>
      <c r="M300" s="138">
        <v>0</v>
      </c>
      <c r="N300" s="136" t="s">
        <v>4425</v>
      </c>
      <c r="O300" s="136" t="s">
        <v>4426</v>
      </c>
      <c r="P300" s="136" t="s">
        <v>4427</v>
      </c>
      <c r="Q300" s="136" t="s">
        <v>4428</v>
      </c>
      <c r="R300" s="136">
        <v>0</v>
      </c>
      <c r="S300" s="142">
        <f>(Tabla18[[#This Row],[Debe]]-Tabla18[[#This Row],[Haber]])*
SUMIF('0_Indice_CAC'!$A:$A,Tabla18[[#This Row],[Mes]],'0_Indice_CAC'!$D:$D)</f>
        <v>7492.077476666962</v>
      </c>
      <c r="T300" s="142">
        <f>Tabla18[[#This Row],[Debe]]-Tabla18[[#This Row],[Haber]]</f>
        <v>8264.44</v>
      </c>
      <c r="U300" s="322"/>
      <c r="V300" s="323"/>
      <c r="W300" s="142">
        <f t="shared" si="7"/>
        <v>8264.44</v>
      </c>
      <c r="X300" s="142" t="b">
        <f>ISNUMBER(MATCH(A300,'3_Control_Ppto'!$A$4:$A$70,0))</f>
        <v>1</v>
      </c>
      <c r="Y300" s="136"/>
    </row>
    <row r="301" spans="1:25" ht="12" customHeight="1" x14ac:dyDescent="0.3">
      <c r="A301" s="140" t="s">
        <v>1478</v>
      </c>
      <c r="B301" s="140" t="s">
        <v>4090</v>
      </c>
      <c r="C301" s="549">
        <f>+EOMONTH(Tabla18[[#This Row],[Fecha Asiento]],-1)+1</f>
        <v>45839</v>
      </c>
      <c r="D301" s="136">
        <v>53004</v>
      </c>
      <c r="E301" s="136" t="s">
        <v>4496</v>
      </c>
      <c r="F301" s="141">
        <v>45860</v>
      </c>
      <c r="G301" s="136">
        <v>1874</v>
      </c>
      <c r="H301" s="136" t="s">
        <v>4672</v>
      </c>
      <c r="I301" s="136" t="s">
        <v>4423</v>
      </c>
      <c r="J301" s="136" t="s">
        <v>4424</v>
      </c>
      <c r="K301" s="136">
        <v>7269</v>
      </c>
      <c r="L301" s="138">
        <v>22000000</v>
      </c>
      <c r="M301" s="138">
        <v>0</v>
      </c>
      <c r="N301" s="136" t="s">
        <v>4425</v>
      </c>
      <c r="O301" s="136" t="s">
        <v>4426</v>
      </c>
      <c r="P301" s="136" t="s">
        <v>4427</v>
      </c>
      <c r="Q301" s="136" t="s">
        <v>4428</v>
      </c>
      <c r="R301" s="136">
        <v>0</v>
      </c>
      <c r="S301" s="142">
        <f>(Tabla18[[#This Row],[Debe]]-Tabla18[[#This Row],[Haber]])*
SUMIF('0_Indice_CAC'!$A:$A,Tabla18[[#This Row],[Mes]],'0_Indice_CAC'!$D:$D)</f>
        <v>19943965.288231649</v>
      </c>
      <c r="T301" s="142">
        <f>Tabla18[[#This Row],[Debe]]-Tabla18[[#This Row],[Haber]]</f>
        <v>22000000</v>
      </c>
      <c r="U301" s="322"/>
      <c r="V301" s="323"/>
      <c r="W301" s="142">
        <f t="shared" si="7"/>
        <v>22000000</v>
      </c>
      <c r="X301" s="142" t="b">
        <f>ISNUMBER(MATCH(A301,'3_Control_Ppto'!$A$4:$A$70,0))</f>
        <v>1</v>
      </c>
      <c r="Y301" s="136"/>
    </row>
    <row r="302" spans="1:25" ht="12" customHeight="1" x14ac:dyDescent="0.3">
      <c r="A302" s="140" t="s">
        <v>1478</v>
      </c>
      <c r="B302" s="140" t="s">
        <v>4090</v>
      </c>
      <c r="C302" s="549">
        <f>+EOMONTH(Tabla18[[#This Row],[Fecha Asiento]],-1)+1</f>
        <v>45839</v>
      </c>
      <c r="D302" s="136">
        <v>53004</v>
      </c>
      <c r="E302" s="136" t="s">
        <v>4496</v>
      </c>
      <c r="F302" s="141">
        <v>45860</v>
      </c>
      <c r="G302" s="136">
        <v>4181</v>
      </c>
      <c r="H302" s="136" t="s">
        <v>4673</v>
      </c>
      <c r="I302" s="136" t="s">
        <v>4423</v>
      </c>
      <c r="J302" s="136" t="s">
        <v>4431</v>
      </c>
      <c r="K302" s="136">
        <v>3966</v>
      </c>
      <c r="L302" s="138">
        <v>70730</v>
      </c>
      <c r="M302" s="138">
        <v>0</v>
      </c>
      <c r="N302" s="136" t="s">
        <v>4425</v>
      </c>
      <c r="O302" s="136" t="s">
        <v>4426</v>
      </c>
      <c r="P302" s="136" t="s">
        <v>4427</v>
      </c>
      <c r="Q302" s="136" t="s">
        <v>4428</v>
      </c>
      <c r="R302" s="136">
        <v>0</v>
      </c>
      <c r="S302" s="142">
        <f>(Tabla18[[#This Row],[Debe]]-Tabla18[[#This Row],[Haber]])*
SUMIF('0_Indice_CAC'!$A:$A,Tabla18[[#This Row],[Mes]],'0_Indice_CAC'!$D:$D)</f>
        <v>64119.848401664742</v>
      </c>
      <c r="T302" s="142">
        <f>Tabla18[[#This Row],[Debe]]-Tabla18[[#This Row],[Haber]]</f>
        <v>70730</v>
      </c>
      <c r="U302" s="322"/>
      <c r="V302" s="323"/>
      <c r="W302" s="142">
        <f t="shared" si="7"/>
        <v>70730</v>
      </c>
      <c r="X302" s="142" t="b">
        <f>ISNUMBER(MATCH(A302,'3_Control_Ppto'!$A$4:$A$70,0))</f>
        <v>1</v>
      </c>
      <c r="Y302" s="136"/>
    </row>
    <row r="303" spans="1:25" ht="12" customHeight="1" x14ac:dyDescent="0.3">
      <c r="A303" s="140" t="s">
        <v>106</v>
      </c>
      <c r="B303" s="140" t="s">
        <v>4090</v>
      </c>
      <c r="C303" s="549">
        <f>+EOMONTH(Tabla18[[#This Row],[Fecha Asiento]],-1)+1</f>
        <v>45839</v>
      </c>
      <c r="D303" s="136">
        <v>53023</v>
      </c>
      <c r="E303" s="136" t="s">
        <v>4467</v>
      </c>
      <c r="F303" s="141">
        <v>45860</v>
      </c>
      <c r="G303" s="136">
        <v>3847</v>
      </c>
      <c r="H303" s="136" t="s">
        <v>4674</v>
      </c>
      <c r="I303" s="136" t="s">
        <v>4675</v>
      </c>
      <c r="J303" s="136" t="s">
        <v>4455</v>
      </c>
      <c r="K303" s="136">
        <v>600004195</v>
      </c>
      <c r="L303" s="138">
        <v>12396.69</v>
      </c>
      <c r="M303" s="138">
        <v>0</v>
      </c>
      <c r="N303" s="136" t="s">
        <v>4425</v>
      </c>
      <c r="O303" s="136" t="s">
        <v>4426</v>
      </c>
      <c r="P303" s="136" t="s">
        <v>4427</v>
      </c>
      <c r="Q303" s="136" t="s">
        <v>4428</v>
      </c>
      <c r="R303" s="136">
        <v>0</v>
      </c>
      <c r="S303" s="142">
        <f>(Tabla18[[#This Row],[Debe]]-Tabla18[[#This Row],[Haber]])*
SUMIF('0_Indice_CAC'!$A:$A,Tabla18[[#This Row],[Mes]],'0_Indice_CAC'!$D:$D)</f>
        <v>11238.143411316745</v>
      </c>
      <c r="T303" s="142">
        <f>Tabla18[[#This Row],[Debe]]-Tabla18[[#This Row],[Haber]]</f>
        <v>12396.69</v>
      </c>
      <c r="U303" s="322"/>
      <c r="V303" s="323"/>
      <c r="W303" s="142">
        <f t="shared" si="7"/>
        <v>12396.69</v>
      </c>
      <c r="X303" s="142" t="b">
        <f>ISNUMBER(MATCH(A303,'3_Control_Ppto'!$A$4:$A$70,0))</f>
        <v>1</v>
      </c>
      <c r="Y303" s="136"/>
    </row>
    <row r="304" spans="1:25" ht="12" customHeight="1" x14ac:dyDescent="0.3">
      <c r="A304" s="140" t="s">
        <v>1478</v>
      </c>
      <c r="B304" s="140" t="s">
        <v>4090</v>
      </c>
      <c r="C304" s="549">
        <f>+EOMONTH(Tabla18[[#This Row],[Fecha Asiento]],-1)+1</f>
        <v>45839</v>
      </c>
      <c r="D304" s="136">
        <v>53004</v>
      </c>
      <c r="E304" s="136" t="s">
        <v>4496</v>
      </c>
      <c r="F304" s="141">
        <v>45861</v>
      </c>
      <c r="G304" s="136">
        <v>4187</v>
      </c>
      <c r="H304" s="136" t="s">
        <v>4676</v>
      </c>
      <c r="I304" s="136" t="s">
        <v>4630</v>
      </c>
      <c r="J304" s="136" t="s">
        <v>4455</v>
      </c>
      <c r="K304" s="136">
        <v>1500082335</v>
      </c>
      <c r="L304" s="138">
        <v>485442.16</v>
      </c>
      <c r="M304" s="138">
        <v>0</v>
      </c>
      <c r="N304" s="136" t="s">
        <v>4425</v>
      </c>
      <c r="O304" s="136" t="s">
        <v>4426</v>
      </c>
      <c r="P304" s="136" t="s">
        <v>4427</v>
      </c>
      <c r="Q304" s="136" t="s">
        <v>4428</v>
      </c>
      <c r="R304" s="136">
        <v>0</v>
      </c>
      <c r="S304" s="142">
        <f>(Tabla18[[#This Row],[Debe]]-Tabla18[[#This Row],[Haber]])*
SUMIF('0_Indice_CAC'!$A:$A,Tabla18[[#This Row],[Mes]],'0_Indice_CAC'!$D:$D)</f>
        <v>440074.61765837239</v>
      </c>
      <c r="T304" s="142">
        <f>Tabla18[[#This Row],[Debe]]-Tabla18[[#This Row],[Haber]]</f>
        <v>485442.16</v>
      </c>
      <c r="U304" s="322"/>
      <c r="V304" s="323"/>
      <c r="W304" s="142">
        <f t="shared" si="7"/>
        <v>485442.16</v>
      </c>
      <c r="X304" s="142" t="b">
        <f>ISNUMBER(MATCH(A304,'3_Control_Ppto'!$A$4:$A$70,0))</f>
        <v>1</v>
      </c>
      <c r="Y304" s="136"/>
    </row>
    <row r="305" spans="1:25" ht="12" customHeight="1" x14ac:dyDescent="0.3">
      <c r="A305" s="140" t="s">
        <v>4271</v>
      </c>
      <c r="B305" s="140" t="s">
        <v>4090</v>
      </c>
      <c r="C305" s="549">
        <f>+EOMONTH(Tabla18[[#This Row],[Fecha Asiento]],-1)+1</f>
        <v>45839</v>
      </c>
      <c r="D305" s="136">
        <v>53017</v>
      </c>
      <c r="E305" s="136" t="s">
        <v>4677</v>
      </c>
      <c r="F305" s="141">
        <v>45861</v>
      </c>
      <c r="G305" s="136">
        <v>3852</v>
      </c>
      <c r="H305" s="136" t="s">
        <v>4678</v>
      </c>
      <c r="I305" s="136" t="s">
        <v>4489</v>
      </c>
      <c r="J305" s="136" t="s">
        <v>4439</v>
      </c>
      <c r="K305" s="136">
        <v>300006234</v>
      </c>
      <c r="L305" s="138">
        <v>7851.24</v>
      </c>
      <c r="M305" s="138">
        <v>0</v>
      </c>
      <c r="N305" s="136" t="s">
        <v>4425</v>
      </c>
      <c r="O305" s="136" t="s">
        <v>4426</v>
      </c>
      <c r="P305" s="136" t="s">
        <v>4427</v>
      </c>
      <c r="Q305" s="136" t="s">
        <v>4428</v>
      </c>
      <c r="R305" s="136">
        <v>0</v>
      </c>
      <c r="S305" s="142">
        <f>(Tabla18[[#This Row],[Debe]]-Tabla18[[#This Row],[Haber]])*
SUMIF('0_Indice_CAC'!$A:$A,Tabla18[[#This Row],[Mes]],'0_Indice_CAC'!$D:$D)</f>
        <v>7117.4935467989017</v>
      </c>
      <c r="T305" s="142">
        <f>Tabla18[[#This Row],[Debe]]-Tabla18[[#This Row],[Haber]]</f>
        <v>7851.24</v>
      </c>
      <c r="U305" s="322"/>
      <c r="V305" s="323"/>
      <c r="W305" s="142">
        <f t="shared" si="7"/>
        <v>7851.24</v>
      </c>
      <c r="X305" s="142" t="b">
        <f>ISNUMBER(MATCH(A305,'3_Control_Ppto'!$A$4:$A$70,0))</f>
        <v>1</v>
      </c>
      <c r="Y305" s="136"/>
    </row>
    <row r="306" spans="1:25" ht="12" customHeight="1" x14ac:dyDescent="0.3">
      <c r="A306" s="140" t="s">
        <v>1478</v>
      </c>
      <c r="B306" s="140" t="s">
        <v>4090</v>
      </c>
      <c r="C306" s="549">
        <f>+EOMONTH(Tabla18[[#This Row],[Fecha Asiento]],-1)+1</f>
        <v>45839</v>
      </c>
      <c r="D306" s="136">
        <v>53004</v>
      </c>
      <c r="E306" s="136" t="s">
        <v>4496</v>
      </c>
      <c r="F306" s="141">
        <v>45862</v>
      </c>
      <c r="G306" s="136">
        <v>3921</v>
      </c>
      <c r="H306" s="136" t="s">
        <v>4648</v>
      </c>
      <c r="I306" s="136" t="s">
        <v>4624</v>
      </c>
      <c r="J306" s="136" t="s">
        <v>4455</v>
      </c>
      <c r="K306" s="136">
        <v>5000014056</v>
      </c>
      <c r="L306" s="138">
        <v>8761588.8000000007</v>
      </c>
      <c r="M306" s="138">
        <v>0</v>
      </c>
      <c r="N306" s="136" t="s">
        <v>4425</v>
      </c>
      <c r="O306" s="136" t="s">
        <v>4426</v>
      </c>
      <c r="P306" s="136" t="s">
        <v>4427</v>
      </c>
      <c r="Q306" s="136" t="s">
        <v>4428</v>
      </c>
      <c r="R306" s="136">
        <v>0</v>
      </c>
      <c r="S306" s="142">
        <f>(Tabla18[[#This Row],[Debe]]-Tabla18[[#This Row],[Haber]])*
SUMIF('0_Indice_CAC'!$A:$A,Tabla18[[#This Row],[Mes]],'0_Indice_CAC'!$D:$D)</f>
        <v>7942764.6771345083</v>
      </c>
      <c r="T306" s="142">
        <f>Tabla18[[#This Row],[Debe]]-Tabla18[[#This Row],[Haber]]</f>
        <v>8761588.8000000007</v>
      </c>
      <c r="U306" s="322"/>
      <c r="V306" s="323"/>
      <c r="W306" s="142">
        <f t="shared" si="7"/>
        <v>8761588.8000000007</v>
      </c>
      <c r="X306" s="142" t="b">
        <f>ISNUMBER(MATCH(A306,'3_Control_Ppto'!$A$4:$A$70,0))</f>
        <v>1</v>
      </c>
      <c r="Y306" s="136"/>
    </row>
    <row r="307" spans="1:25" ht="12" customHeight="1" x14ac:dyDescent="0.3">
      <c r="A307" s="140" t="s">
        <v>4317</v>
      </c>
      <c r="B307" s="140" t="s">
        <v>56</v>
      </c>
      <c r="C307" s="549">
        <f>+EOMONTH(Tabla18[[#This Row],[Fecha Asiento]],-1)+1</f>
        <v>45839</v>
      </c>
      <c r="D307" s="136">
        <v>52103</v>
      </c>
      <c r="E307" s="136" t="s">
        <v>4477</v>
      </c>
      <c r="F307" s="141">
        <v>45863</v>
      </c>
      <c r="G307" s="136">
        <v>4076</v>
      </c>
      <c r="H307" s="136" t="s">
        <v>4569</v>
      </c>
      <c r="I307" s="136" t="s">
        <v>4570</v>
      </c>
      <c r="J307" s="136" t="s">
        <v>4455</v>
      </c>
      <c r="K307" s="136">
        <v>418100134196</v>
      </c>
      <c r="L307" s="138">
        <v>8692.23</v>
      </c>
      <c r="M307" s="138">
        <v>0</v>
      </c>
      <c r="N307" s="136" t="s">
        <v>4425</v>
      </c>
      <c r="O307" s="136" t="s">
        <v>4426</v>
      </c>
      <c r="P307" s="136" t="s">
        <v>4427</v>
      </c>
      <c r="Q307" s="136" t="s">
        <v>4428</v>
      </c>
      <c r="R307" s="136">
        <v>0</v>
      </c>
      <c r="S307" s="142">
        <f>(Tabla18[[#This Row],[Debe]]-Tabla18[[#This Row],[Haber]])*
SUMIF('0_Indice_CAC'!$A:$A,Tabla18[[#This Row],[Mes]],'0_Indice_CAC'!$D:$D)</f>
        <v>7879.8878816966253</v>
      </c>
      <c r="T307" s="142">
        <f>Tabla18[[#This Row],[Debe]]-Tabla18[[#This Row],[Haber]]</f>
        <v>8692.23</v>
      </c>
      <c r="U307" s="322"/>
      <c r="V307" s="323"/>
      <c r="W307" s="142">
        <f t="shared" si="7"/>
        <v>8692.23</v>
      </c>
      <c r="X307" s="142" t="b">
        <f>ISNUMBER(MATCH(A307,'3_Control_Ppto'!$A$4:$A$70,0))</f>
        <v>1</v>
      </c>
      <c r="Y307" s="136"/>
    </row>
    <row r="308" spans="1:25" ht="12" customHeight="1" x14ac:dyDescent="0.3">
      <c r="A308" s="140" t="s">
        <v>4317</v>
      </c>
      <c r="B308" s="140" t="s">
        <v>56</v>
      </c>
      <c r="C308" s="549">
        <f>+EOMONTH(Tabla18[[#This Row],[Fecha Asiento]],-1)+1</f>
        <v>45839</v>
      </c>
      <c r="D308" s="136">
        <v>52103</v>
      </c>
      <c r="E308" s="136" t="s">
        <v>4477</v>
      </c>
      <c r="F308" s="141">
        <v>45863</v>
      </c>
      <c r="G308" s="136">
        <v>4076</v>
      </c>
      <c r="H308" s="136" t="s">
        <v>4569</v>
      </c>
      <c r="I308" s="136" t="s">
        <v>4570</v>
      </c>
      <c r="J308" s="136" t="s">
        <v>4455</v>
      </c>
      <c r="K308" s="136">
        <v>418100134196</v>
      </c>
      <c r="L308" s="138">
        <v>62365.04</v>
      </c>
      <c r="M308" s="138">
        <v>0</v>
      </c>
      <c r="N308" s="136" t="s">
        <v>4425</v>
      </c>
      <c r="O308" s="136" t="s">
        <v>4426</v>
      </c>
      <c r="P308" s="136" t="s">
        <v>4427</v>
      </c>
      <c r="Q308" s="136" t="s">
        <v>4428</v>
      </c>
      <c r="R308" s="136">
        <v>0</v>
      </c>
      <c r="S308" s="142">
        <f>(Tabla18[[#This Row],[Debe]]-Tabla18[[#This Row],[Haber]])*
SUMIF('0_Indice_CAC'!$A:$A,Tabla18[[#This Row],[Mes]],'0_Indice_CAC'!$D:$D)</f>
        <v>56536.6451345081</v>
      </c>
      <c r="T308" s="142">
        <f>Tabla18[[#This Row],[Debe]]-Tabla18[[#This Row],[Haber]]</f>
        <v>62365.04</v>
      </c>
      <c r="U308" s="322"/>
      <c r="V308" s="323"/>
      <c r="W308" s="142">
        <f t="shared" si="7"/>
        <v>62365.04</v>
      </c>
      <c r="X308" s="142" t="b">
        <f>ISNUMBER(MATCH(A308,'3_Control_Ppto'!$A$4:$A$70,0))</f>
        <v>1</v>
      </c>
      <c r="Y308" s="136"/>
    </row>
    <row r="309" spans="1:25" ht="12" customHeight="1" x14ac:dyDescent="0.3">
      <c r="A309" s="140" t="s">
        <v>4317</v>
      </c>
      <c r="B309" s="140" t="s">
        <v>56</v>
      </c>
      <c r="C309" s="549">
        <f>+EOMONTH(Tabla18[[#This Row],[Fecha Asiento]],-1)+1</f>
        <v>45839</v>
      </c>
      <c r="D309" s="136">
        <v>52103</v>
      </c>
      <c r="E309" s="136" t="s">
        <v>4477</v>
      </c>
      <c r="F309" s="141">
        <v>45863</v>
      </c>
      <c r="G309" s="136">
        <v>4077</v>
      </c>
      <c r="H309" s="136" t="s">
        <v>4627</v>
      </c>
      <c r="I309" s="136" t="s">
        <v>4628</v>
      </c>
      <c r="J309" s="136" t="s">
        <v>4455</v>
      </c>
      <c r="K309" s="136">
        <v>800000341</v>
      </c>
      <c r="L309" s="138">
        <v>5429.86</v>
      </c>
      <c r="M309" s="138">
        <v>0</v>
      </c>
      <c r="N309" s="136" t="s">
        <v>4425</v>
      </c>
      <c r="O309" s="136" t="s">
        <v>4426</v>
      </c>
      <c r="P309" s="136" t="s">
        <v>4427</v>
      </c>
      <c r="Q309" s="136" t="s">
        <v>4428</v>
      </c>
      <c r="R309" s="136">
        <v>0</v>
      </c>
      <c r="S309" s="142">
        <f>(Tabla18[[#This Row],[Debe]]-Tabla18[[#This Row],[Haber]])*
SUMIF('0_Indice_CAC'!$A:$A,Tabla18[[#This Row],[Mes]],'0_Indice_CAC'!$D:$D)</f>
        <v>4922.4063345435216</v>
      </c>
      <c r="T309" s="142">
        <f>Tabla18[[#This Row],[Debe]]-Tabla18[[#This Row],[Haber]]</f>
        <v>5429.86</v>
      </c>
      <c r="U309" s="322"/>
      <c r="V309" s="323"/>
      <c r="W309" s="142">
        <f t="shared" si="7"/>
        <v>5429.86</v>
      </c>
      <c r="X309" s="142" t="b">
        <f>ISNUMBER(MATCH(A309,'3_Control_Ppto'!$A$4:$A$70,0))</f>
        <v>1</v>
      </c>
      <c r="Y309" s="136"/>
    </row>
    <row r="310" spans="1:25" ht="12" customHeight="1" x14ac:dyDescent="0.3">
      <c r="A310" s="140" t="s">
        <v>4317</v>
      </c>
      <c r="B310" s="140" t="s">
        <v>56</v>
      </c>
      <c r="C310" s="549">
        <f>+EOMONTH(Tabla18[[#This Row],[Fecha Asiento]],-1)+1</f>
        <v>45839</v>
      </c>
      <c r="D310" s="136">
        <v>52302</v>
      </c>
      <c r="E310" s="136" t="s">
        <v>4444</v>
      </c>
      <c r="F310" s="141">
        <v>45863</v>
      </c>
      <c r="G310" s="136">
        <v>3857</v>
      </c>
      <c r="H310" s="136" t="s">
        <v>4679</v>
      </c>
      <c r="I310" s="136" t="s">
        <v>4532</v>
      </c>
      <c r="J310" s="136" t="s">
        <v>4455</v>
      </c>
      <c r="K310" s="136">
        <v>217201742671</v>
      </c>
      <c r="L310" s="138">
        <v>41676.910000000003</v>
      </c>
      <c r="M310" s="138">
        <v>0</v>
      </c>
      <c r="N310" s="136" t="s">
        <v>4425</v>
      </c>
      <c r="O310" s="136" t="s">
        <v>4426</v>
      </c>
      <c r="P310" s="136" t="s">
        <v>4427</v>
      </c>
      <c r="Q310" s="136" t="s">
        <v>4428</v>
      </c>
      <c r="R310" s="136">
        <v>0</v>
      </c>
      <c r="S310" s="142">
        <f>(Tabla18[[#This Row],[Debe]]-Tabla18[[#This Row],[Haber]])*
SUMIF('0_Indice_CAC'!$A:$A,Tabla18[[#This Row],[Mes]],'0_Indice_CAC'!$D:$D)</f>
        <v>37781.947561852474</v>
      </c>
      <c r="T310" s="142">
        <f>Tabla18[[#This Row],[Debe]]-Tabla18[[#This Row],[Haber]]</f>
        <v>41676.910000000003</v>
      </c>
      <c r="U310" s="322"/>
      <c r="V310" s="323"/>
      <c r="W310" s="142">
        <f t="shared" si="7"/>
        <v>41676.910000000003</v>
      </c>
      <c r="X310" s="142" t="b">
        <f>ISNUMBER(MATCH(A310,'3_Control_Ppto'!$A$4:$A$70,0))</f>
        <v>1</v>
      </c>
      <c r="Y310" s="136"/>
    </row>
    <row r="311" spans="1:25" ht="12" customHeight="1" x14ac:dyDescent="0.3">
      <c r="A311" s="140" t="s">
        <v>4317</v>
      </c>
      <c r="B311" s="140" t="s">
        <v>56</v>
      </c>
      <c r="C311" s="549">
        <f>+EOMONTH(Tabla18[[#This Row],[Fecha Asiento]],-1)+1</f>
        <v>45839</v>
      </c>
      <c r="D311" s="136">
        <v>52302</v>
      </c>
      <c r="E311" s="136" t="s">
        <v>4444</v>
      </c>
      <c r="F311" s="141">
        <v>45863</v>
      </c>
      <c r="G311" s="136">
        <v>3857</v>
      </c>
      <c r="H311" s="136" t="s">
        <v>4578</v>
      </c>
      <c r="I311" s="136" t="s">
        <v>4532</v>
      </c>
      <c r="J311" s="136" t="s">
        <v>4455</v>
      </c>
      <c r="K311" s="136">
        <v>217201742671</v>
      </c>
      <c r="L311" s="138">
        <v>626.16999999999996</v>
      </c>
      <c r="M311" s="138">
        <v>0</v>
      </c>
      <c r="N311" s="136" t="s">
        <v>4425</v>
      </c>
      <c r="O311" s="136" t="s">
        <v>4426</v>
      </c>
      <c r="P311" s="136" t="s">
        <v>4427</v>
      </c>
      <c r="Q311" s="136" t="s">
        <v>4428</v>
      </c>
      <c r="R311" s="136">
        <v>0</v>
      </c>
      <c r="S311" s="142">
        <f>(Tabla18[[#This Row],[Debe]]-Tabla18[[#This Row],[Haber]])*
SUMIF('0_Indice_CAC'!$A:$A,Tabla18[[#This Row],[Mes]],'0_Indice_CAC'!$D:$D)</f>
        <v>567.65057929690954</v>
      </c>
      <c r="T311" s="142">
        <f>Tabla18[[#This Row],[Debe]]-Tabla18[[#This Row],[Haber]]</f>
        <v>626.16999999999996</v>
      </c>
      <c r="U311" s="322"/>
      <c r="V311" s="323"/>
      <c r="W311" s="142">
        <f t="shared" si="7"/>
        <v>626.16999999999996</v>
      </c>
      <c r="X311" s="142" t="b">
        <f>ISNUMBER(MATCH(A311,'3_Control_Ppto'!$A$4:$A$70,0))</f>
        <v>1</v>
      </c>
      <c r="Y311" s="136"/>
    </row>
    <row r="312" spans="1:25" ht="12" customHeight="1" x14ac:dyDescent="0.3">
      <c r="A312" s="140" t="s">
        <v>4317</v>
      </c>
      <c r="B312" s="140" t="s">
        <v>56</v>
      </c>
      <c r="C312" s="549">
        <f>+EOMONTH(Tabla18[[#This Row],[Fecha Asiento]],-1)+1</f>
        <v>45839</v>
      </c>
      <c r="D312" s="136">
        <v>52302</v>
      </c>
      <c r="E312" s="136" t="s">
        <v>4444</v>
      </c>
      <c r="F312" s="141">
        <v>45863</v>
      </c>
      <c r="G312" s="136">
        <v>3857</v>
      </c>
      <c r="H312" s="136" t="s">
        <v>4534</v>
      </c>
      <c r="I312" s="136" t="s">
        <v>4532</v>
      </c>
      <c r="J312" s="136" t="s">
        <v>4455</v>
      </c>
      <c r="K312" s="136">
        <v>217201742671</v>
      </c>
      <c r="L312" s="138">
        <v>7860.79</v>
      </c>
      <c r="M312" s="138">
        <v>0</v>
      </c>
      <c r="N312" s="136" t="s">
        <v>4425</v>
      </c>
      <c r="O312" s="136" t="s">
        <v>4426</v>
      </c>
      <c r="P312" s="136" t="s">
        <v>4427</v>
      </c>
      <c r="Q312" s="136" t="s">
        <v>4428</v>
      </c>
      <c r="R312" s="136">
        <v>0</v>
      </c>
      <c r="S312" s="142">
        <f>(Tabla18[[#This Row],[Debe]]-Tabla18[[#This Row],[Haber]])*
SUMIF('0_Indice_CAC'!$A:$A,Tabla18[[#This Row],[Mes]],'0_Indice_CAC'!$D:$D)</f>
        <v>7126.1510408217473</v>
      </c>
      <c r="T312" s="142">
        <f>Tabla18[[#This Row],[Debe]]-Tabla18[[#This Row],[Haber]]</f>
        <v>7860.79</v>
      </c>
      <c r="U312" s="322"/>
      <c r="V312" s="323"/>
      <c r="W312" s="142">
        <f t="shared" si="7"/>
        <v>7860.79</v>
      </c>
      <c r="X312" s="142" t="b">
        <f>ISNUMBER(MATCH(A312,'3_Control_Ppto'!$A$4:$A$70,0))</f>
        <v>1</v>
      </c>
      <c r="Y312" s="136"/>
    </row>
    <row r="313" spans="1:25" ht="12" customHeight="1" x14ac:dyDescent="0.3">
      <c r="A313" s="140" t="s">
        <v>3219</v>
      </c>
      <c r="B313" s="140" t="s">
        <v>56</v>
      </c>
      <c r="C313" s="549">
        <f>+EOMONTH(Tabla18[[#This Row],[Fecha Asiento]],-1)+1</f>
        <v>45839</v>
      </c>
      <c r="D313" s="136">
        <v>53020</v>
      </c>
      <c r="E313" s="136" t="s">
        <v>4680</v>
      </c>
      <c r="F313" s="141">
        <v>45863</v>
      </c>
      <c r="G313" s="136">
        <v>1824</v>
      </c>
      <c r="H313" s="136" t="s">
        <v>4681</v>
      </c>
      <c r="I313" s="136" t="s">
        <v>4423</v>
      </c>
      <c r="J313" s="136" t="s">
        <v>4424</v>
      </c>
      <c r="K313" s="136">
        <v>7219</v>
      </c>
      <c r="L313" s="138">
        <v>500000</v>
      </c>
      <c r="M313" s="138">
        <v>0</v>
      </c>
      <c r="N313" s="136" t="s">
        <v>4425</v>
      </c>
      <c r="O313" s="136" t="s">
        <v>4426</v>
      </c>
      <c r="P313" s="136" t="s">
        <v>4427</v>
      </c>
      <c r="Q313" s="136" t="s">
        <v>4428</v>
      </c>
      <c r="R313" s="136">
        <v>0</v>
      </c>
      <c r="S313" s="142">
        <f>(Tabla18[[#This Row],[Debe]]-Tabla18[[#This Row],[Haber]])*
SUMIF('0_Indice_CAC'!$A:$A,Tabla18[[#This Row],[Mes]],'0_Indice_CAC'!$D:$D)</f>
        <v>453271.93836890109</v>
      </c>
      <c r="T313" s="142">
        <f>Tabla18[[#This Row],[Debe]]-Tabla18[[#This Row],[Haber]]</f>
        <v>500000</v>
      </c>
      <c r="U313" s="322"/>
      <c r="V313" s="323"/>
      <c r="W313" s="142">
        <f t="shared" si="7"/>
        <v>500000</v>
      </c>
      <c r="X313" s="142" t="b">
        <f>ISNUMBER(MATCH(A313,'3_Control_Ppto'!$A$4:$A$70,0))</f>
        <v>1</v>
      </c>
      <c r="Y313" s="136"/>
    </row>
    <row r="314" spans="1:25" ht="12" customHeight="1" x14ac:dyDescent="0.3">
      <c r="A314" s="140" t="s">
        <v>4119</v>
      </c>
      <c r="B314" s="140" t="s">
        <v>25</v>
      </c>
      <c r="C314" s="549">
        <f>+EOMONTH(Tabla18[[#This Row],[Fecha Asiento]],-1)+1</f>
        <v>45839</v>
      </c>
      <c r="D314" s="136">
        <v>53022</v>
      </c>
      <c r="E314" s="136" t="s">
        <v>4429</v>
      </c>
      <c r="F314" s="141">
        <v>45863</v>
      </c>
      <c r="G314" s="136">
        <v>1826</v>
      </c>
      <c r="H314" s="136" t="s">
        <v>4682</v>
      </c>
      <c r="I314" s="136" t="s">
        <v>4423</v>
      </c>
      <c r="J314" s="136" t="s">
        <v>4424</v>
      </c>
      <c r="K314" s="136">
        <v>7221</v>
      </c>
      <c r="L314" s="138">
        <v>80000</v>
      </c>
      <c r="M314" s="138">
        <v>0</v>
      </c>
      <c r="N314" s="136" t="s">
        <v>4425</v>
      </c>
      <c r="O314" s="136" t="s">
        <v>4426</v>
      </c>
      <c r="P314" s="136" t="s">
        <v>4427</v>
      </c>
      <c r="Q314" s="136" t="s">
        <v>4428</v>
      </c>
      <c r="R314" s="136">
        <v>0</v>
      </c>
      <c r="S314" s="142">
        <f>(Tabla18[[#This Row],[Debe]]-Tabla18[[#This Row],[Haber]])*
SUMIF('0_Indice_CAC'!$A:$A,Tabla18[[#This Row],[Mes]],'0_Indice_CAC'!$D:$D)</f>
        <v>72523.510139024176</v>
      </c>
      <c r="T314" s="142">
        <f>Tabla18[[#This Row],[Debe]]-Tabla18[[#This Row],[Haber]]</f>
        <v>80000</v>
      </c>
      <c r="U314" s="322"/>
      <c r="V314" s="323"/>
      <c r="W314" s="142">
        <f t="shared" si="7"/>
        <v>80000</v>
      </c>
      <c r="X314" s="142" t="b">
        <f>ISNUMBER(MATCH(A314,'3_Control_Ppto'!$A$4:$A$70,0))</f>
        <v>1</v>
      </c>
      <c r="Y314" s="136"/>
    </row>
    <row r="315" spans="1:25" ht="12" customHeight="1" x14ac:dyDescent="0.3">
      <c r="A315" s="140" t="s">
        <v>25</v>
      </c>
      <c r="B315" s="140" t="s">
        <v>25</v>
      </c>
      <c r="C315" s="549">
        <f>+EOMONTH(Tabla18[[#This Row],[Fecha Asiento]],-1)+1</f>
        <v>45839</v>
      </c>
      <c r="D315" s="136">
        <v>410222</v>
      </c>
      <c r="E315" s="136" t="s">
        <v>4605</v>
      </c>
      <c r="F315" s="141">
        <v>45866</v>
      </c>
      <c r="G315" s="136">
        <v>3872</v>
      </c>
      <c r="H315" s="136" t="s">
        <v>4606</v>
      </c>
      <c r="I315" s="136" t="s">
        <v>4607</v>
      </c>
      <c r="J315" s="136" t="s">
        <v>4608</v>
      </c>
      <c r="K315" s="136">
        <v>300000699</v>
      </c>
      <c r="L315" s="138">
        <v>0</v>
      </c>
      <c r="M315" s="138">
        <v>27500000</v>
      </c>
      <c r="N315" s="136" t="s">
        <v>4425</v>
      </c>
      <c r="O315" s="136" t="s">
        <v>4426</v>
      </c>
      <c r="P315" s="136" t="s">
        <v>4427</v>
      </c>
      <c r="Q315" s="136" t="s">
        <v>4428</v>
      </c>
      <c r="R315" s="136">
        <v>0</v>
      </c>
      <c r="S315" s="142">
        <f>(Tabla18[[#This Row],[Debe]]-Tabla18[[#This Row],[Haber]])*
SUMIF('0_Indice_CAC'!$A:$A,Tabla18[[#This Row],[Mes]],'0_Indice_CAC'!$D:$D)</f>
        <v>-24929956.610289559</v>
      </c>
      <c r="T315" s="142">
        <f>Tabla18[[#This Row],[Debe]]-Tabla18[[#This Row],[Haber]]</f>
        <v>-27500000</v>
      </c>
      <c r="U315" s="322"/>
      <c r="V315" s="323"/>
      <c r="W315" s="142">
        <f t="shared" si="7"/>
        <v>-27500000</v>
      </c>
      <c r="X315" s="142" t="b">
        <f>ISNUMBER(MATCH(A315,'3_Control_Ppto'!$A$4:$A$70,0))</f>
        <v>0</v>
      </c>
      <c r="Y315" s="136"/>
    </row>
    <row r="316" spans="1:25" ht="12" customHeight="1" x14ac:dyDescent="0.3">
      <c r="A316" s="140" t="s">
        <v>25</v>
      </c>
      <c r="B316" s="140" t="s">
        <v>25</v>
      </c>
      <c r="C316" s="549">
        <f>+EOMONTH(Tabla18[[#This Row],[Fecha Asiento]],-1)+1</f>
        <v>45839</v>
      </c>
      <c r="D316" s="136">
        <v>5108</v>
      </c>
      <c r="E316" s="136" t="s">
        <v>4469</v>
      </c>
      <c r="F316" s="141">
        <v>45867</v>
      </c>
      <c r="G316" s="136">
        <v>3899</v>
      </c>
      <c r="H316" s="136" t="s">
        <v>4470</v>
      </c>
      <c r="I316" s="136" t="s">
        <v>4471</v>
      </c>
      <c r="J316" s="136" t="s">
        <v>4519</v>
      </c>
      <c r="K316" s="136">
        <v>1000013415</v>
      </c>
      <c r="L316" s="138">
        <v>0</v>
      </c>
      <c r="M316" s="138">
        <v>993.6</v>
      </c>
      <c r="N316" s="136" t="s">
        <v>4425</v>
      </c>
      <c r="O316" s="136" t="s">
        <v>4426</v>
      </c>
      <c r="P316" s="136" t="s">
        <v>4427</v>
      </c>
      <c r="Q316" s="136" t="s">
        <v>4428</v>
      </c>
      <c r="R316" s="136">
        <v>0</v>
      </c>
      <c r="S316" s="142">
        <f>(Tabla18[[#This Row],[Debe]]-Tabla18[[#This Row],[Haber]])*
SUMIF('0_Indice_CAC'!$A:$A,Tabla18[[#This Row],[Mes]],'0_Indice_CAC'!$D:$D)</f>
        <v>-900.74199592668026</v>
      </c>
      <c r="T316" s="142">
        <f>Tabla18[[#This Row],[Debe]]-Tabla18[[#This Row],[Haber]]</f>
        <v>-993.6</v>
      </c>
      <c r="U316" s="322"/>
      <c r="V316" s="323"/>
      <c r="W316" s="142">
        <f t="shared" si="7"/>
        <v>-993.6</v>
      </c>
      <c r="X316" s="142" t="b">
        <f>ISNUMBER(MATCH(A316,'3_Control_Ppto'!$A$4:$A$70,0))</f>
        <v>0</v>
      </c>
      <c r="Y316" s="136"/>
    </row>
    <row r="317" spans="1:25" ht="12" customHeight="1" x14ac:dyDescent="0.3">
      <c r="A317" s="140" t="s">
        <v>25</v>
      </c>
      <c r="B317" s="140" t="s">
        <v>25</v>
      </c>
      <c r="C317" s="549">
        <f>+EOMONTH(Tabla18[[#This Row],[Fecha Asiento]],-1)+1</f>
        <v>45839</v>
      </c>
      <c r="D317" s="136">
        <v>410222</v>
      </c>
      <c r="E317" s="136" t="s">
        <v>4605</v>
      </c>
      <c r="F317" s="141">
        <v>45869</v>
      </c>
      <c r="G317" s="136">
        <v>3914</v>
      </c>
      <c r="H317" s="136" t="s">
        <v>4606</v>
      </c>
      <c r="I317" s="136" t="s">
        <v>4607</v>
      </c>
      <c r="J317" s="136" t="s">
        <v>4608</v>
      </c>
      <c r="K317" s="136">
        <v>300000704</v>
      </c>
      <c r="L317" s="138">
        <v>0</v>
      </c>
      <c r="M317" s="138">
        <v>20000000</v>
      </c>
      <c r="N317" s="136" t="s">
        <v>4425</v>
      </c>
      <c r="O317" s="136" t="s">
        <v>4426</v>
      </c>
      <c r="P317" s="136" t="s">
        <v>4427</v>
      </c>
      <c r="Q317" s="136" t="s">
        <v>4428</v>
      </c>
      <c r="R317" s="136">
        <v>0</v>
      </c>
      <c r="S317" s="142">
        <f>(Tabla18[[#This Row],[Debe]]-Tabla18[[#This Row],[Haber]])*
SUMIF('0_Indice_CAC'!$A:$A,Tabla18[[#This Row],[Mes]],'0_Indice_CAC'!$D:$D)</f>
        <v>-18130877.534756042</v>
      </c>
      <c r="T317" s="142">
        <f>Tabla18[[#This Row],[Debe]]-Tabla18[[#This Row],[Haber]]</f>
        <v>-20000000</v>
      </c>
      <c r="U317" s="322"/>
      <c r="V317" s="323"/>
      <c r="W317" s="142">
        <f t="shared" si="7"/>
        <v>-20000000</v>
      </c>
      <c r="X317" s="142" t="b">
        <f>ISNUMBER(MATCH(A317,'3_Control_Ppto'!$A$4:$A$70,0))</f>
        <v>0</v>
      </c>
      <c r="Y317" s="136"/>
    </row>
    <row r="318" spans="1:25" ht="12" customHeight="1" x14ac:dyDescent="0.3">
      <c r="A318" s="140" t="s">
        <v>4317</v>
      </c>
      <c r="B318" s="140" t="s">
        <v>56</v>
      </c>
      <c r="C318" s="549">
        <f>+EOMONTH(Tabla18[[#This Row],[Fecha Asiento]],-1)+1</f>
        <v>45839</v>
      </c>
      <c r="D318" s="136">
        <v>52302</v>
      </c>
      <c r="E318" s="136" t="s">
        <v>4444</v>
      </c>
      <c r="F318" s="141">
        <v>45869</v>
      </c>
      <c r="G318" s="136">
        <v>4005</v>
      </c>
      <c r="H318" s="136" t="s">
        <v>4578</v>
      </c>
      <c r="I318" s="136" t="s">
        <v>4532</v>
      </c>
      <c r="J318" s="136" t="s">
        <v>4455</v>
      </c>
      <c r="K318" s="136">
        <v>217201756805</v>
      </c>
      <c r="L318" s="138">
        <v>359.99</v>
      </c>
      <c r="M318" s="138">
        <v>0</v>
      </c>
      <c r="N318" s="136" t="s">
        <v>4425</v>
      </c>
      <c r="O318" s="136" t="s">
        <v>4426</v>
      </c>
      <c r="P318" s="136" t="s">
        <v>4427</v>
      </c>
      <c r="Q318" s="136" t="s">
        <v>4428</v>
      </c>
      <c r="R318" s="136">
        <v>0</v>
      </c>
      <c r="S318" s="142">
        <f>(Tabla18[[#This Row],[Debe]]-Tabla18[[#This Row],[Haber]])*
SUMIF('0_Indice_CAC'!$A:$A,Tabla18[[#This Row],[Mes]],'0_Indice_CAC'!$D:$D)</f>
        <v>326.3467301868414</v>
      </c>
      <c r="T318" s="142">
        <f>Tabla18[[#This Row],[Debe]]-Tabla18[[#This Row],[Haber]]</f>
        <v>359.99</v>
      </c>
      <c r="U318" s="322"/>
      <c r="V318" s="323"/>
      <c r="W318" s="142">
        <f t="shared" si="7"/>
        <v>359.99</v>
      </c>
      <c r="X318" s="142" t="b">
        <f>ISNUMBER(MATCH(A318,'3_Control_Ppto'!$A$4:$A$70,0))</f>
        <v>1</v>
      </c>
      <c r="Y318" s="136"/>
    </row>
    <row r="319" spans="1:25" ht="12" customHeight="1" x14ac:dyDescent="0.3">
      <c r="A319" s="140" t="s">
        <v>4317</v>
      </c>
      <c r="B319" s="140" t="s">
        <v>56</v>
      </c>
      <c r="C319" s="549">
        <f>+EOMONTH(Tabla18[[#This Row],[Fecha Asiento]],-1)+1</f>
        <v>45839</v>
      </c>
      <c r="D319" s="136">
        <v>52302</v>
      </c>
      <c r="E319" s="136" t="s">
        <v>4444</v>
      </c>
      <c r="F319" s="141">
        <v>45869</v>
      </c>
      <c r="G319" s="136">
        <v>4005</v>
      </c>
      <c r="H319" s="136" t="s">
        <v>4579</v>
      </c>
      <c r="I319" s="136" t="s">
        <v>4532</v>
      </c>
      <c r="J319" s="136" t="s">
        <v>4455</v>
      </c>
      <c r="K319" s="136">
        <v>217201756805</v>
      </c>
      <c r="L319" s="138">
        <v>24365.16</v>
      </c>
      <c r="M319" s="138">
        <v>0</v>
      </c>
      <c r="N319" s="136" t="s">
        <v>4425</v>
      </c>
      <c r="O319" s="136" t="s">
        <v>4426</v>
      </c>
      <c r="P319" s="136" t="s">
        <v>4427</v>
      </c>
      <c r="Q319" s="136" t="s">
        <v>4428</v>
      </c>
      <c r="R319" s="136">
        <v>0</v>
      </c>
      <c r="S319" s="142">
        <f>(Tabla18[[#This Row],[Debe]]-Tabla18[[#This Row],[Haber]])*
SUMIF('0_Indice_CAC'!$A:$A,Tabla18[[#This Row],[Mes]],'0_Indice_CAC'!$D:$D)</f>
        <v>22088.086603736825</v>
      </c>
      <c r="T319" s="142">
        <f>Tabla18[[#This Row],[Debe]]-Tabla18[[#This Row],[Haber]]</f>
        <v>24365.16</v>
      </c>
      <c r="U319" s="322"/>
      <c r="V319" s="323"/>
      <c r="W319" s="142">
        <f t="shared" si="7"/>
        <v>24365.16</v>
      </c>
      <c r="X319" s="142" t="b">
        <f>ISNUMBER(MATCH(A319,'3_Control_Ppto'!$A$4:$A$70,0))</f>
        <v>1</v>
      </c>
      <c r="Y319" s="136"/>
    </row>
    <row r="320" spans="1:25" ht="12" customHeight="1" x14ac:dyDescent="0.3">
      <c r="A320" s="140" t="s">
        <v>4317</v>
      </c>
      <c r="B320" s="140" t="s">
        <v>56</v>
      </c>
      <c r="C320" s="549">
        <f>+EOMONTH(Tabla18[[#This Row],[Fecha Asiento]],-1)+1</f>
        <v>45839</v>
      </c>
      <c r="D320" s="136">
        <v>52302</v>
      </c>
      <c r="E320" s="136" t="s">
        <v>4444</v>
      </c>
      <c r="F320" s="141">
        <v>45869</v>
      </c>
      <c r="G320" s="136">
        <v>4005</v>
      </c>
      <c r="H320" s="136" t="s">
        <v>4534</v>
      </c>
      <c r="I320" s="136" t="s">
        <v>4532</v>
      </c>
      <c r="J320" s="136" t="s">
        <v>4455</v>
      </c>
      <c r="K320" s="136">
        <v>217201756805</v>
      </c>
      <c r="L320" s="138">
        <v>4533.33</v>
      </c>
      <c r="M320" s="138">
        <v>0</v>
      </c>
      <c r="N320" s="136" t="s">
        <v>4425</v>
      </c>
      <c r="O320" s="136" t="s">
        <v>4426</v>
      </c>
      <c r="P320" s="136" t="s">
        <v>4427</v>
      </c>
      <c r="Q320" s="136" t="s">
        <v>4428</v>
      </c>
      <c r="R320" s="136">
        <v>0</v>
      </c>
      <c r="S320" s="142">
        <f>(Tabla18[[#This Row],[Debe]]-Tabla18[[#This Row],[Haber]])*
SUMIF('0_Indice_CAC'!$A:$A,Tabla18[[#This Row],[Mes]],'0_Indice_CAC'!$D:$D)</f>
        <v>4109.6625527317801</v>
      </c>
      <c r="T320" s="142">
        <f>Tabla18[[#This Row],[Debe]]-Tabla18[[#This Row],[Haber]]</f>
        <v>4533.33</v>
      </c>
      <c r="U320" s="322"/>
      <c r="V320" s="323"/>
      <c r="W320" s="142">
        <f t="shared" si="7"/>
        <v>4533.33</v>
      </c>
      <c r="X320" s="142" t="b">
        <f>ISNUMBER(MATCH(A320,'3_Control_Ppto'!$A$4:$A$70,0))</f>
        <v>1</v>
      </c>
      <c r="Y320" s="136"/>
    </row>
    <row r="321" spans="1:25" ht="12" customHeight="1" x14ac:dyDescent="0.3">
      <c r="A321" s="140" t="s">
        <v>3219</v>
      </c>
      <c r="B321" s="140" t="s">
        <v>4090</v>
      </c>
      <c r="C321" s="549">
        <f>+EOMONTH(Tabla18[[#This Row],[Fecha Asiento]],-1)+1</f>
        <v>45839</v>
      </c>
      <c r="D321" s="136">
        <v>53019</v>
      </c>
      <c r="E321" s="136" t="s">
        <v>4461</v>
      </c>
      <c r="F321" s="141">
        <v>45869</v>
      </c>
      <c r="G321" s="136">
        <v>3934</v>
      </c>
      <c r="H321" s="136" t="s">
        <v>4462</v>
      </c>
      <c r="I321" s="136" t="s">
        <v>4463</v>
      </c>
      <c r="J321" s="136" t="s">
        <v>4455</v>
      </c>
      <c r="K321" s="136">
        <v>300007641</v>
      </c>
      <c r="L321" s="138">
        <v>299136.83</v>
      </c>
      <c r="M321" s="138">
        <v>0</v>
      </c>
      <c r="N321" s="136" t="s">
        <v>4425</v>
      </c>
      <c r="O321" s="136" t="s">
        <v>4426</v>
      </c>
      <c r="P321" s="136" t="s">
        <v>4427</v>
      </c>
      <c r="Q321" s="136" t="s">
        <v>4428</v>
      </c>
      <c r="R321" s="136">
        <v>0</v>
      </c>
      <c r="S321" s="142">
        <f>(Tabla18[[#This Row],[Debe]]-Tabla18[[#This Row],[Haber]])*
SUMIF('0_Indice_CAC'!$A:$A,Tabla18[[#This Row],[Mes]],'0_Indice_CAC'!$D:$D)</f>
        <v>271180.66154325689</v>
      </c>
      <c r="T321" s="142">
        <f>Tabla18[[#This Row],[Debe]]-Tabla18[[#This Row],[Haber]]</f>
        <v>299136.83</v>
      </c>
      <c r="U321" s="322"/>
      <c r="V321" s="323"/>
      <c r="W321" s="142">
        <f t="shared" si="7"/>
        <v>299136.83</v>
      </c>
      <c r="X321" s="142" t="b">
        <f>ISNUMBER(MATCH(A321,'3_Control_Ppto'!$A$4:$A$70,0))</f>
        <v>1</v>
      </c>
      <c r="Y321" s="136"/>
    </row>
    <row r="322" spans="1:25" ht="12" customHeight="1" x14ac:dyDescent="0.3">
      <c r="A322" s="140" t="s">
        <v>4310</v>
      </c>
      <c r="B322" s="140" t="s">
        <v>56</v>
      </c>
      <c r="C322" s="549">
        <f>+EOMONTH(Tabla18[[#This Row],[Fecha Asiento]],-1)+1</f>
        <v>45870</v>
      </c>
      <c r="D322" s="136">
        <v>53026</v>
      </c>
      <c r="E322" s="136" t="s">
        <v>4310</v>
      </c>
      <c r="F322" s="141">
        <v>45870</v>
      </c>
      <c r="G322" s="136">
        <v>1841</v>
      </c>
      <c r="H322" s="136" t="s">
        <v>4683</v>
      </c>
      <c r="I322" s="136" t="s">
        <v>4423</v>
      </c>
      <c r="J322" s="136" t="s">
        <v>4424</v>
      </c>
      <c r="K322" s="136">
        <v>7236</v>
      </c>
      <c r="L322" s="138">
        <v>208000</v>
      </c>
      <c r="M322" s="138">
        <v>0</v>
      </c>
      <c r="N322" s="136" t="s">
        <v>4425</v>
      </c>
      <c r="O322" s="136" t="s">
        <v>4426</v>
      </c>
      <c r="P322" s="136" t="s">
        <v>4427</v>
      </c>
      <c r="Q322" s="136" t="s">
        <v>4428</v>
      </c>
      <c r="R322" s="136">
        <v>0</v>
      </c>
      <c r="S322" s="142">
        <f>(Tabla18[[#This Row],[Debe]]-Tabla18[[#This Row],[Haber]])*
SUMIF('0_Indice_CAC'!$A:$A,Tabla18[[#This Row],[Mes]],'0_Indice_CAC'!$D:$D)</f>
        <v>185839.27948055576</v>
      </c>
      <c r="T322" s="142">
        <f>Tabla18[[#This Row],[Debe]]-Tabla18[[#This Row],[Haber]]</f>
        <v>208000</v>
      </c>
      <c r="U322" s="322"/>
      <c r="V322" s="323"/>
      <c r="W322" s="142">
        <f t="shared" si="7"/>
        <v>208000</v>
      </c>
      <c r="X322" s="142" t="b">
        <f>ISNUMBER(MATCH(A322,'3_Control_Ppto'!$A$4:$A$70,0))</f>
        <v>1</v>
      </c>
      <c r="Y322" s="136"/>
    </row>
    <row r="323" spans="1:25" ht="12" customHeight="1" x14ac:dyDescent="0.3">
      <c r="A323" s="140" t="s">
        <v>25</v>
      </c>
      <c r="B323" s="140" t="s">
        <v>25</v>
      </c>
      <c r="C323" s="549">
        <f>+EOMONTH(Tabla18[[#This Row],[Fecha Asiento]],-1)+1</f>
        <v>45870</v>
      </c>
      <c r="D323" s="136">
        <v>5101</v>
      </c>
      <c r="E323" s="136" t="s">
        <v>4661</v>
      </c>
      <c r="F323" s="141">
        <v>45871</v>
      </c>
      <c r="G323" s="136">
        <v>1973</v>
      </c>
      <c r="H323" s="136" t="s">
        <v>4684</v>
      </c>
      <c r="I323" s="136" t="s">
        <v>4423</v>
      </c>
      <c r="J323" s="136" t="s">
        <v>4424</v>
      </c>
      <c r="K323" s="136">
        <v>7369</v>
      </c>
      <c r="L323" s="138">
        <v>3500000</v>
      </c>
      <c r="M323" s="138">
        <v>0</v>
      </c>
      <c r="N323" s="136" t="s">
        <v>4425</v>
      </c>
      <c r="O323" s="136" t="s">
        <v>4426</v>
      </c>
      <c r="P323" s="136" t="s">
        <v>4427</v>
      </c>
      <c r="Q323" s="136" t="s">
        <v>4428</v>
      </c>
      <c r="R323" s="136">
        <v>0</v>
      </c>
      <c r="S323" s="142">
        <f>(Tabla18[[#This Row],[Debe]]-Tabla18[[#This Row],[Haber]])*
SUMIF('0_Indice_CAC'!$A:$A,Tabla18[[#This Row],[Mes]],'0_Indice_CAC'!$D:$D)</f>
        <v>3127103.2604901209</v>
      </c>
      <c r="T323" s="142">
        <f>Tabla18[[#This Row],[Debe]]-Tabla18[[#This Row],[Haber]]</f>
        <v>3500000</v>
      </c>
      <c r="U323" s="322"/>
      <c r="V323" s="323"/>
      <c r="W323" s="142">
        <f t="shared" si="7"/>
        <v>3500000</v>
      </c>
      <c r="X323" s="142" t="b">
        <f>ISNUMBER(MATCH(A323,'3_Control_Ppto'!$A$4:$A$70,0))</f>
        <v>0</v>
      </c>
      <c r="Y323" s="136"/>
    </row>
    <row r="324" spans="1:25" ht="12" customHeight="1" x14ac:dyDescent="0.3">
      <c r="A324" s="140" t="s">
        <v>1285</v>
      </c>
      <c r="B324" s="140" t="s">
        <v>4090</v>
      </c>
      <c r="C324" s="549">
        <f>+EOMONTH(Tabla18[[#This Row],[Fecha Asiento]],-1)+1</f>
        <v>45870</v>
      </c>
      <c r="D324" s="136">
        <v>53001</v>
      </c>
      <c r="E324" s="136" t="s">
        <v>4464</v>
      </c>
      <c r="F324" s="141">
        <v>45871</v>
      </c>
      <c r="G324" s="136">
        <v>4086</v>
      </c>
      <c r="H324" s="136" t="s">
        <v>4685</v>
      </c>
      <c r="I324" s="136" t="s">
        <v>4675</v>
      </c>
      <c r="J324" s="136" t="s">
        <v>4455</v>
      </c>
      <c r="K324" s="136">
        <v>600004228</v>
      </c>
      <c r="L324" s="138">
        <v>14049.58</v>
      </c>
      <c r="M324" s="138">
        <v>0</v>
      </c>
      <c r="N324" s="136" t="s">
        <v>4425</v>
      </c>
      <c r="O324" s="136" t="s">
        <v>4426</v>
      </c>
      <c r="P324" s="136" t="s">
        <v>4427</v>
      </c>
      <c r="Q324" s="136" t="s">
        <v>4428</v>
      </c>
      <c r="R324" s="136">
        <v>0</v>
      </c>
      <c r="S324" s="142">
        <f>(Tabla18[[#This Row],[Debe]]-Tabla18[[#This Row],[Haber]])*
SUMIF('0_Indice_CAC'!$A:$A,Tabla18[[#This Row],[Mes]],'0_Indice_CAC'!$D:$D)</f>
        <v>12552.710693290514</v>
      </c>
      <c r="T324" s="142">
        <f>Tabla18[[#This Row],[Debe]]-Tabla18[[#This Row],[Haber]]</f>
        <v>14049.58</v>
      </c>
      <c r="U324" s="322"/>
      <c r="V324" s="323"/>
      <c r="W324" s="142">
        <f t="shared" si="7"/>
        <v>14049.58</v>
      </c>
      <c r="X324" s="142" t="b">
        <f>ISNUMBER(MATCH(A324,'3_Control_Ppto'!$A$4:$A$70,0))</f>
        <v>1</v>
      </c>
      <c r="Y324" s="136"/>
    </row>
    <row r="325" spans="1:25" ht="12" customHeight="1" x14ac:dyDescent="0.3">
      <c r="A325" s="140" t="s">
        <v>4310</v>
      </c>
      <c r="B325" s="140" t="s">
        <v>56</v>
      </c>
      <c r="C325" s="549">
        <f>+EOMONTH(Tabla18[[#This Row],[Fecha Asiento]],-1)+1</f>
        <v>45870</v>
      </c>
      <c r="D325" s="136">
        <v>52204</v>
      </c>
      <c r="E325" s="136" t="s">
        <v>4452</v>
      </c>
      <c r="F325" s="141">
        <v>45873</v>
      </c>
      <c r="G325" s="136">
        <v>4011</v>
      </c>
      <c r="H325" s="136" t="s">
        <v>4453</v>
      </c>
      <c r="I325" s="136" t="s">
        <v>4454</v>
      </c>
      <c r="J325" s="136" t="s">
        <v>4455</v>
      </c>
      <c r="K325" s="136">
        <v>300001282</v>
      </c>
      <c r="L325" s="138">
        <v>685000</v>
      </c>
      <c r="M325" s="138">
        <v>0</v>
      </c>
      <c r="N325" s="136" t="s">
        <v>4425</v>
      </c>
      <c r="O325" s="136" t="s">
        <v>4426</v>
      </c>
      <c r="P325" s="136" t="s">
        <v>4427</v>
      </c>
      <c r="Q325" s="136" t="s">
        <v>4428</v>
      </c>
      <c r="R325" s="136">
        <v>0</v>
      </c>
      <c r="S325" s="142">
        <f>(Tabla18[[#This Row],[Debe]]-Tabla18[[#This Row],[Haber]])*
SUMIF('0_Indice_CAC'!$A:$A,Tabla18[[#This Row],[Mes]],'0_Indice_CAC'!$D:$D)</f>
        <v>612018.780981638</v>
      </c>
      <c r="T325" s="142">
        <f>Tabla18[[#This Row],[Debe]]-Tabla18[[#This Row],[Haber]]</f>
        <v>685000</v>
      </c>
      <c r="U325" s="322"/>
      <c r="V325" s="323"/>
      <c r="W325" s="142">
        <f t="shared" si="7"/>
        <v>685000</v>
      </c>
      <c r="X325" s="142" t="b">
        <f>ISNUMBER(MATCH(A325,'3_Control_Ppto'!$A$4:$A$70,0))</f>
        <v>1</v>
      </c>
      <c r="Y325" s="136"/>
    </row>
    <row r="326" spans="1:25" ht="12" customHeight="1" x14ac:dyDescent="0.3">
      <c r="A326" s="140" t="s">
        <v>106</v>
      </c>
      <c r="B326" s="140" t="s">
        <v>4090</v>
      </c>
      <c r="C326" s="549">
        <f>+EOMONTH(Tabla18[[#This Row],[Fecha Asiento]],-1)+1</f>
        <v>45870</v>
      </c>
      <c r="D326" s="136">
        <v>53023</v>
      </c>
      <c r="E326" s="136" t="s">
        <v>4467</v>
      </c>
      <c r="F326" s="141">
        <v>45874</v>
      </c>
      <c r="G326" s="136">
        <v>4016</v>
      </c>
      <c r="H326" s="136" t="s">
        <v>4475</v>
      </c>
      <c r="I326" s="136" t="s">
        <v>4471</v>
      </c>
      <c r="J326" s="136" t="s">
        <v>4455</v>
      </c>
      <c r="K326" s="136">
        <v>1000205105</v>
      </c>
      <c r="L326" s="138">
        <v>182469.67</v>
      </c>
      <c r="M326" s="138">
        <v>0</v>
      </c>
      <c r="N326" s="136" t="s">
        <v>4425</v>
      </c>
      <c r="O326" s="136" t="s">
        <v>4426</v>
      </c>
      <c r="P326" s="136" t="s">
        <v>4427</v>
      </c>
      <c r="Q326" s="136" t="s">
        <v>4428</v>
      </c>
      <c r="R326" s="136">
        <v>0</v>
      </c>
      <c r="S326" s="142">
        <f>(Tabla18[[#This Row],[Debe]]-Tabla18[[#This Row],[Haber]])*
SUMIF('0_Indice_CAC'!$A:$A,Tabla18[[#This Row],[Mes]],'0_Indice_CAC'!$D:$D)</f>
        <v>163028.99999930186</v>
      </c>
      <c r="T326" s="142">
        <f>Tabla18[[#This Row],[Debe]]-Tabla18[[#This Row],[Haber]]</f>
        <v>182469.67</v>
      </c>
      <c r="U326" s="322"/>
      <c r="V326" s="323"/>
      <c r="W326" s="142">
        <f t="shared" si="7"/>
        <v>182469.67</v>
      </c>
      <c r="X326" s="142" t="b">
        <f>ISNUMBER(MATCH(A326,'3_Control_Ppto'!$A$4:$A$70,0))</f>
        <v>1</v>
      </c>
      <c r="Y326" s="136"/>
    </row>
    <row r="327" spans="1:25" ht="12" customHeight="1" x14ac:dyDescent="0.3">
      <c r="A327" s="140" t="s">
        <v>4317</v>
      </c>
      <c r="B327" s="140" t="s">
        <v>56</v>
      </c>
      <c r="C327" s="549">
        <f>+EOMONTH(Tabla18[[#This Row],[Fecha Asiento]],-1)+1</f>
        <v>45870</v>
      </c>
      <c r="D327" s="136">
        <v>52102</v>
      </c>
      <c r="E327" s="136" t="s">
        <v>4535</v>
      </c>
      <c r="F327" s="141">
        <v>45875</v>
      </c>
      <c r="G327" s="136">
        <v>1867</v>
      </c>
      <c r="H327" s="136" t="s">
        <v>4686</v>
      </c>
      <c r="I327" s="136" t="s">
        <v>4423</v>
      </c>
      <c r="J327" s="136" t="s">
        <v>4424</v>
      </c>
      <c r="K327" s="136">
        <v>7262</v>
      </c>
      <c r="L327" s="138">
        <v>8000</v>
      </c>
      <c r="M327" s="138">
        <v>0</v>
      </c>
      <c r="N327" s="136" t="s">
        <v>4425</v>
      </c>
      <c r="O327" s="136" t="s">
        <v>4426</v>
      </c>
      <c r="P327" s="136" t="s">
        <v>4427</v>
      </c>
      <c r="Q327" s="136" t="s">
        <v>4428</v>
      </c>
      <c r="R327" s="136">
        <v>0</v>
      </c>
      <c r="S327" s="142">
        <f>(Tabla18[[#This Row],[Debe]]-Tabla18[[#This Row],[Haber]])*
SUMIF('0_Indice_CAC'!$A:$A,Tabla18[[#This Row],[Mes]],'0_Indice_CAC'!$D:$D)</f>
        <v>7147.6645954059913</v>
      </c>
      <c r="T327" s="142">
        <f>Tabla18[[#This Row],[Debe]]-Tabla18[[#This Row],[Haber]]</f>
        <v>8000</v>
      </c>
      <c r="U327" s="322"/>
      <c r="V327" s="323"/>
      <c r="W327" s="142">
        <f t="shared" si="7"/>
        <v>8000</v>
      </c>
      <c r="X327" s="142" t="b">
        <f>ISNUMBER(MATCH(A327,'3_Control_Ppto'!$A$4:$A$70,0))</f>
        <v>1</v>
      </c>
      <c r="Y327" s="136"/>
    </row>
    <row r="328" spans="1:25" ht="12" customHeight="1" x14ac:dyDescent="0.3">
      <c r="A328" s="140" t="s">
        <v>4310</v>
      </c>
      <c r="B328" s="140" t="s">
        <v>56</v>
      </c>
      <c r="C328" s="549">
        <f>+EOMONTH(Tabla18[[#This Row],[Fecha Asiento]],-1)+1</f>
        <v>45870</v>
      </c>
      <c r="D328" s="136">
        <v>52204</v>
      </c>
      <c r="E328" s="136" t="s">
        <v>4452</v>
      </c>
      <c r="F328" s="141">
        <v>45875</v>
      </c>
      <c r="G328" s="136">
        <v>1990</v>
      </c>
      <c r="H328" s="136" t="s">
        <v>4687</v>
      </c>
      <c r="I328" s="136" t="s">
        <v>4423</v>
      </c>
      <c r="J328" s="136" t="s">
        <v>4424</v>
      </c>
      <c r="K328" s="136">
        <v>7386</v>
      </c>
      <c r="L328" s="138">
        <v>155000</v>
      </c>
      <c r="M328" s="138">
        <v>0</v>
      </c>
      <c r="N328" s="136" t="s">
        <v>4425</v>
      </c>
      <c r="O328" s="136" t="s">
        <v>4426</v>
      </c>
      <c r="P328" s="136" t="s">
        <v>4427</v>
      </c>
      <c r="Q328" s="136" t="s">
        <v>4428</v>
      </c>
      <c r="R328" s="136">
        <v>0</v>
      </c>
      <c r="S328" s="142">
        <f>(Tabla18[[#This Row],[Debe]]-Tabla18[[#This Row],[Haber]])*
SUMIF('0_Indice_CAC'!$A:$A,Tabla18[[#This Row],[Mes]],'0_Indice_CAC'!$D:$D)</f>
        <v>138486.00153599106</v>
      </c>
      <c r="T328" s="142">
        <f>Tabla18[[#This Row],[Debe]]-Tabla18[[#This Row],[Haber]]</f>
        <v>155000</v>
      </c>
      <c r="U328" s="322"/>
      <c r="V328" s="323"/>
      <c r="W328" s="142">
        <f t="shared" si="7"/>
        <v>155000</v>
      </c>
      <c r="X328" s="142" t="b">
        <f>ISNUMBER(MATCH(A328,'3_Control_Ppto'!$A$4:$A$70,0))</f>
        <v>1</v>
      </c>
      <c r="Y328" s="136"/>
    </row>
    <row r="329" spans="1:25" ht="12" customHeight="1" x14ac:dyDescent="0.3">
      <c r="A329" s="140" t="s">
        <v>4310</v>
      </c>
      <c r="B329" s="140" t="s">
        <v>56</v>
      </c>
      <c r="C329" s="549">
        <f>+EOMONTH(Tabla18[[#This Row],[Fecha Asiento]],-1)+1</f>
        <v>45870</v>
      </c>
      <c r="D329" s="136">
        <v>52204</v>
      </c>
      <c r="E329" s="136" t="s">
        <v>4452</v>
      </c>
      <c r="F329" s="141">
        <v>45875</v>
      </c>
      <c r="G329" s="136">
        <v>1993</v>
      </c>
      <c r="H329" s="136" t="s">
        <v>4688</v>
      </c>
      <c r="I329" s="136" t="s">
        <v>4423</v>
      </c>
      <c r="J329" s="136" t="s">
        <v>4424</v>
      </c>
      <c r="K329" s="136">
        <v>7389</v>
      </c>
      <c r="L329" s="138">
        <v>6900</v>
      </c>
      <c r="M329" s="138">
        <v>0</v>
      </c>
      <c r="N329" s="136" t="s">
        <v>4425</v>
      </c>
      <c r="O329" s="136" t="s">
        <v>4426</v>
      </c>
      <c r="P329" s="136" t="s">
        <v>4427</v>
      </c>
      <c r="Q329" s="136" t="s">
        <v>4428</v>
      </c>
      <c r="R329" s="136">
        <v>0</v>
      </c>
      <c r="S329" s="142">
        <f>(Tabla18[[#This Row],[Debe]]-Tabla18[[#This Row],[Haber]])*
SUMIF('0_Indice_CAC'!$A:$A,Tabla18[[#This Row],[Mes]],'0_Indice_CAC'!$D:$D)</f>
        <v>6164.8607135376669</v>
      </c>
      <c r="T329" s="142">
        <f>Tabla18[[#This Row],[Debe]]-Tabla18[[#This Row],[Haber]]</f>
        <v>6900</v>
      </c>
      <c r="U329" s="322"/>
      <c r="V329" s="323"/>
      <c r="W329" s="142">
        <f t="shared" si="7"/>
        <v>6900</v>
      </c>
      <c r="X329" s="142" t="b">
        <f>ISNUMBER(MATCH(A329,'3_Control_Ppto'!$A$4:$A$70,0))</f>
        <v>1</v>
      </c>
      <c r="Y329" s="136"/>
    </row>
    <row r="330" spans="1:25" ht="12" customHeight="1" x14ac:dyDescent="0.3">
      <c r="A330" s="140" t="s">
        <v>4310</v>
      </c>
      <c r="B330" s="140" t="s">
        <v>56</v>
      </c>
      <c r="C330" s="549">
        <f>+EOMONTH(Tabla18[[#This Row],[Fecha Asiento]],-1)+1</f>
        <v>45870</v>
      </c>
      <c r="D330" s="136">
        <v>52204</v>
      </c>
      <c r="E330" s="136" t="s">
        <v>4452</v>
      </c>
      <c r="F330" s="141">
        <v>45875</v>
      </c>
      <c r="G330" s="136">
        <v>4019</v>
      </c>
      <c r="H330" s="136" t="s">
        <v>4453</v>
      </c>
      <c r="I330" s="136" t="s">
        <v>4454</v>
      </c>
      <c r="J330" s="136" t="s">
        <v>4519</v>
      </c>
      <c r="K330" s="136">
        <v>300000048</v>
      </c>
      <c r="L330" s="138">
        <v>0</v>
      </c>
      <c r="M330" s="138">
        <v>187550</v>
      </c>
      <c r="N330" s="136" t="s">
        <v>4425</v>
      </c>
      <c r="O330" s="136" t="s">
        <v>4426</v>
      </c>
      <c r="P330" s="136" t="s">
        <v>4427</v>
      </c>
      <c r="Q330" s="136" t="s">
        <v>4428</v>
      </c>
      <c r="R330" s="136">
        <v>0</v>
      </c>
      <c r="S330" s="142">
        <f>(Tabla18[[#This Row],[Debe]]-Tabla18[[#This Row],[Haber]])*
SUMIF('0_Indice_CAC'!$A:$A,Tabla18[[#This Row],[Mes]],'0_Indice_CAC'!$D:$D)</f>
        <v>-167568.06185854919</v>
      </c>
      <c r="T330" s="142">
        <f>Tabla18[[#This Row],[Debe]]-Tabla18[[#This Row],[Haber]]</f>
        <v>-187550</v>
      </c>
      <c r="U330" s="322"/>
      <c r="V330" s="323"/>
      <c r="W330" s="142">
        <f t="shared" si="7"/>
        <v>-187550</v>
      </c>
      <c r="X330" s="142" t="b">
        <f>ISNUMBER(MATCH(A330,'3_Control_Ppto'!$A$4:$A$70,0))</f>
        <v>1</v>
      </c>
      <c r="Y330" s="136"/>
    </row>
    <row r="331" spans="1:25" ht="12" customHeight="1" x14ac:dyDescent="0.3">
      <c r="A331" s="140" t="s">
        <v>106</v>
      </c>
      <c r="B331" s="140" t="s">
        <v>25</v>
      </c>
      <c r="C331" s="549">
        <f>+EOMONTH(Tabla18[[#This Row],[Fecha Asiento]],-1)+1</f>
        <v>45870</v>
      </c>
      <c r="D331" s="136">
        <v>53009</v>
      </c>
      <c r="E331" s="136" t="s">
        <v>4446</v>
      </c>
      <c r="F331" s="141">
        <v>45875</v>
      </c>
      <c r="G331" s="136">
        <v>1864</v>
      </c>
      <c r="H331" s="136" t="s">
        <v>4689</v>
      </c>
      <c r="I331" s="136" t="s">
        <v>4423</v>
      </c>
      <c r="J331" s="136" t="s">
        <v>4424</v>
      </c>
      <c r="K331" s="136">
        <v>7259</v>
      </c>
      <c r="L331" s="138">
        <v>2487500</v>
      </c>
      <c r="M331" s="138">
        <v>0</v>
      </c>
      <c r="N331" s="136" t="s">
        <v>4425</v>
      </c>
      <c r="O331" s="136" t="s">
        <v>4426</v>
      </c>
      <c r="P331" s="136" t="s">
        <v>4427</v>
      </c>
      <c r="Q331" s="136" t="s">
        <v>4428</v>
      </c>
      <c r="R331" s="136">
        <v>0</v>
      </c>
      <c r="S331" s="142">
        <f>(Tabla18[[#This Row],[Debe]]-Tabla18[[#This Row],[Haber]])*
SUMIF('0_Indice_CAC'!$A:$A,Tabla18[[#This Row],[Mes]],'0_Indice_CAC'!$D:$D)</f>
        <v>2222476.9601340503</v>
      </c>
      <c r="T331" s="142">
        <f>Tabla18[[#This Row],[Debe]]-Tabla18[[#This Row],[Haber]]</f>
        <v>2487500</v>
      </c>
      <c r="U331" s="322"/>
      <c r="V331" s="323"/>
      <c r="W331" s="142">
        <f t="shared" si="7"/>
        <v>2487500</v>
      </c>
      <c r="X331" s="142" t="b">
        <f>ISNUMBER(MATCH(A331,'3_Control_Ppto'!$A$4:$A$70,0))</f>
        <v>1</v>
      </c>
      <c r="Y331" s="136"/>
    </row>
    <row r="332" spans="1:25" ht="12" customHeight="1" x14ac:dyDescent="0.3">
      <c r="A332" s="140" t="s">
        <v>1285</v>
      </c>
      <c r="B332" s="140" t="s">
        <v>4090</v>
      </c>
      <c r="C332" s="549">
        <f>+EOMONTH(Tabla18[[#This Row],[Fecha Asiento]],-1)+1</f>
        <v>45870</v>
      </c>
      <c r="D332" s="136">
        <v>53001</v>
      </c>
      <c r="E332" s="136" t="s">
        <v>4464</v>
      </c>
      <c r="F332" s="141">
        <v>45876</v>
      </c>
      <c r="G332" s="136">
        <v>4097</v>
      </c>
      <c r="H332" s="136" t="s">
        <v>4690</v>
      </c>
      <c r="I332" s="136" t="s">
        <v>4521</v>
      </c>
      <c r="J332" s="136" t="s">
        <v>4455</v>
      </c>
      <c r="K332" s="136">
        <v>400000466</v>
      </c>
      <c r="L332" s="138">
        <v>10330.6</v>
      </c>
      <c r="M332" s="138">
        <v>0</v>
      </c>
      <c r="N332" s="136" t="s">
        <v>4425</v>
      </c>
      <c r="O332" s="136" t="s">
        <v>4426</v>
      </c>
      <c r="P332" s="136" t="s">
        <v>4427</v>
      </c>
      <c r="Q332" s="136" t="s">
        <v>4428</v>
      </c>
      <c r="R332" s="136">
        <v>0</v>
      </c>
      <c r="S332" s="142">
        <f>(Tabla18[[#This Row],[Debe]]-Tabla18[[#This Row],[Haber]])*
SUMIF('0_Indice_CAC'!$A:$A,Tabla18[[#This Row],[Mes]],'0_Indice_CAC'!$D:$D)</f>
        <v>9229.9579836626417</v>
      </c>
      <c r="T332" s="142">
        <f>Tabla18[[#This Row],[Debe]]-Tabla18[[#This Row],[Haber]]</f>
        <v>10330.6</v>
      </c>
      <c r="U332" s="322"/>
      <c r="V332" s="323"/>
      <c r="W332" s="142">
        <f t="shared" si="7"/>
        <v>10330.6</v>
      </c>
      <c r="X332" s="142" t="b">
        <f>ISNUMBER(MATCH(A332,'3_Control_Ppto'!$A$4:$A$70,0))</f>
        <v>1</v>
      </c>
      <c r="Y332" s="136"/>
    </row>
    <row r="333" spans="1:25" ht="12" customHeight="1" x14ac:dyDescent="0.3">
      <c r="A333" s="140" t="s">
        <v>1285</v>
      </c>
      <c r="B333" s="140" t="s">
        <v>4090</v>
      </c>
      <c r="C333" s="549">
        <f>+EOMONTH(Tabla18[[#This Row],[Fecha Asiento]],-1)+1</f>
        <v>45870</v>
      </c>
      <c r="D333" s="136">
        <v>53001</v>
      </c>
      <c r="E333" s="136" t="s">
        <v>4464</v>
      </c>
      <c r="F333" s="141">
        <v>45876</v>
      </c>
      <c r="G333" s="136">
        <v>4098</v>
      </c>
      <c r="H333" s="136" t="s">
        <v>4691</v>
      </c>
      <c r="I333" s="136" t="s">
        <v>4521</v>
      </c>
      <c r="J333" s="136" t="s">
        <v>4455</v>
      </c>
      <c r="K333" s="136">
        <v>400000465</v>
      </c>
      <c r="L333" s="138">
        <v>24793.38</v>
      </c>
      <c r="M333" s="138">
        <v>0</v>
      </c>
      <c r="N333" s="136" t="s">
        <v>4425</v>
      </c>
      <c r="O333" s="136" t="s">
        <v>4426</v>
      </c>
      <c r="P333" s="136" t="s">
        <v>4427</v>
      </c>
      <c r="Q333" s="136" t="s">
        <v>4428</v>
      </c>
      <c r="R333" s="136">
        <v>0</v>
      </c>
      <c r="S333" s="142">
        <f>(Tabla18[[#This Row],[Debe]]-Tabla18[[#This Row],[Haber]])*
SUMIF('0_Indice_CAC'!$A:$A,Tabla18[[#This Row],[Mes]],'0_Indice_CAC'!$D:$D)</f>
        <v>22151.845553305873</v>
      </c>
      <c r="T333" s="142">
        <f>Tabla18[[#This Row],[Debe]]-Tabla18[[#This Row],[Haber]]</f>
        <v>24793.38</v>
      </c>
      <c r="U333" s="322"/>
      <c r="V333" s="323"/>
      <c r="W333" s="142">
        <f t="shared" si="7"/>
        <v>24793.38</v>
      </c>
      <c r="X333" s="142" t="b">
        <f>ISNUMBER(MATCH(A333,'3_Control_Ppto'!$A$4:$A$70,0))</f>
        <v>1</v>
      </c>
      <c r="Y333" s="136"/>
    </row>
    <row r="334" spans="1:25" ht="12" customHeight="1" x14ac:dyDescent="0.3">
      <c r="A334" s="140" t="s">
        <v>3219</v>
      </c>
      <c r="B334" s="140" t="s">
        <v>4090</v>
      </c>
      <c r="C334" s="549">
        <f>+EOMONTH(Tabla18[[#This Row],[Fecha Asiento]],-1)+1</f>
        <v>45870</v>
      </c>
      <c r="D334" s="136">
        <v>53019</v>
      </c>
      <c r="E334" s="136" t="s">
        <v>4461</v>
      </c>
      <c r="F334" s="141">
        <v>45876</v>
      </c>
      <c r="G334" s="136">
        <v>4020</v>
      </c>
      <c r="H334" s="136" t="s">
        <v>4462</v>
      </c>
      <c r="I334" s="136" t="s">
        <v>4463</v>
      </c>
      <c r="J334" s="136" t="s">
        <v>4455</v>
      </c>
      <c r="K334" s="136">
        <v>300007759</v>
      </c>
      <c r="L334" s="138">
        <v>795105.14</v>
      </c>
      <c r="M334" s="138">
        <v>0</v>
      </c>
      <c r="N334" s="136" t="s">
        <v>4425</v>
      </c>
      <c r="O334" s="136" t="s">
        <v>4426</v>
      </c>
      <c r="P334" s="136" t="s">
        <v>4427</v>
      </c>
      <c r="Q334" s="136" t="s">
        <v>4428</v>
      </c>
      <c r="R334" s="136">
        <v>0</v>
      </c>
      <c r="S334" s="142">
        <f>(Tabla18[[#This Row],[Debe]]-Tabla18[[#This Row],[Haber]])*
SUMIF('0_Indice_CAC'!$A:$A,Tabla18[[#This Row],[Mes]],'0_Indice_CAC'!$D:$D)</f>
        <v>710393.10735041543</v>
      </c>
      <c r="T334" s="142">
        <f>Tabla18[[#This Row],[Debe]]-Tabla18[[#This Row],[Haber]]</f>
        <v>795105.14</v>
      </c>
      <c r="U334" s="322"/>
      <c r="V334" s="323"/>
      <c r="W334" s="142">
        <f t="shared" si="7"/>
        <v>795105.14</v>
      </c>
      <c r="X334" s="142" t="b">
        <f>ISNUMBER(MATCH(A334,'3_Control_Ppto'!$A$4:$A$70,0))</f>
        <v>1</v>
      </c>
      <c r="Y334" s="136"/>
    </row>
    <row r="335" spans="1:25" ht="12" customHeight="1" x14ac:dyDescent="0.3">
      <c r="A335" s="140" t="s">
        <v>3219</v>
      </c>
      <c r="B335" s="140" t="s">
        <v>4090</v>
      </c>
      <c r="C335" s="549">
        <f>+EOMONTH(Tabla18[[#This Row],[Fecha Asiento]],-1)+1</f>
        <v>45870</v>
      </c>
      <c r="D335" s="136">
        <v>53019</v>
      </c>
      <c r="E335" s="136" t="s">
        <v>4461</v>
      </c>
      <c r="F335" s="141">
        <v>45876</v>
      </c>
      <c r="G335" s="136">
        <v>4020</v>
      </c>
      <c r="H335" s="136" t="s">
        <v>4462</v>
      </c>
      <c r="I335" s="136" t="s">
        <v>4463</v>
      </c>
      <c r="J335" s="136" t="s">
        <v>4455</v>
      </c>
      <c r="K335" s="136">
        <v>300007759</v>
      </c>
      <c r="L335" s="138">
        <v>257783.29</v>
      </c>
      <c r="M335" s="138">
        <v>0</v>
      </c>
      <c r="N335" s="136" t="s">
        <v>4425</v>
      </c>
      <c r="O335" s="136" t="s">
        <v>4426</v>
      </c>
      <c r="P335" s="136" t="s">
        <v>4427</v>
      </c>
      <c r="Q335" s="136" t="s">
        <v>4428</v>
      </c>
      <c r="R335" s="136">
        <v>0</v>
      </c>
      <c r="S335" s="142">
        <f>(Tabla18[[#This Row],[Debe]]-Tabla18[[#This Row],[Haber]])*
SUMIF('0_Indice_CAC'!$A:$A,Tabla18[[#This Row],[Mes]],'0_Indice_CAC'!$D:$D)</f>
        <v>230318.56190253442</v>
      </c>
      <c r="T335" s="142">
        <f>Tabla18[[#This Row],[Debe]]-Tabla18[[#This Row],[Haber]]</f>
        <v>257783.29</v>
      </c>
      <c r="U335" s="322"/>
      <c r="V335" s="323"/>
      <c r="W335" s="142">
        <f t="shared" si="7"/>
        <v>257783.29</v>
      </c>
      <c r="X335" s="142" t="b">
        <f>ISNUMBER(MATCH(A335,'3_Control_Ppto'!$A$4:$A$70,0))</f>
        <v>1</v>
      </c>
      <c r="Y335" s="136"/>
    </row>
    <row r="336" spans="1:25" ht="12" customHeight="1" x14ac:dyDescent="0.3">
      <c r="A336" s="140" t="s">
        <v>25</v>
      </c>
      <c r="B336" s="140" t="s">
        <v>25</v>
      </c>
      <c r="C336" s="549">
        <f>+EOMONTH(Tabla18[[#This Row],[Fecha Asiento]],-1)+1</f>
        <v>45870</v>
      </c>
      <c r="D336" s="136">
        <v>4201</v>
      </c>
      <c r="E336" s="136" t="s">
        <v>4566</v>
      </c>
      <c r="F336" s="141">
        <v>45877</v>
      </c>
      <c r="G336" s="136">
        <v>2072</v>
      </c>
      <c r="H336" s="136" t="s">
        <v>4692</v>
      </c>
      <c r="I336" s="136" t="s">
        <v>4423</v>
      </c>
      <c r="J336" s="136" t="s">
        <v>4568</v>
      </c>
      <c r="K336" s="136">
        <v>215</v>
      </c>
      <c r="L336" s="138">
        <v>0</v>
      </c>
      <c r="M336" s="138">
        <v>1572000</v>
      </c>
      <c r="N336" s="136" t="s">
        <v>4425</v>
      </c>
      <c r="O336" s="136" t="s">
        <v>4426</v>
      </c>
      <c r="P336" s="136" t="s">
        <v>4427</v>
      </c>
      <c r="Q336" s="136" t="s">
        <v>4428</v>
      </c>
      <c r="R336" s="136">
        <v>0</v>
      </c>
      <c r="S336" s="142">
        <f>(Tabla18[[#This Row],[Debe]]-Tabla18[[#This Row],[Haber]])*
SUMIF('0_Indice_CAC'!$A:$A,Tabla18[[#This Row],[Mes]],'0_Indice_CAC'!$D:$D)</f>
        <v>-1404516.0929972772</v>
      </c>
      <c r="T336" s="142">
        <f>Tabla18[[#This Row],[Debe]]-Tabla18[[#This Row],[Haber]]</f>
        <v>-1572000</v>
      </c>
      <c r="U336" s="322"/>
      <c r="V336" s="323"/>
      <c r="W336" s="142">
        <f t="shared" si="7"/>
        <v>-1572000</v>
      </c>
      <c r="X336" s="142" t="b">
        <f>ISNUMBER(MATCH(A336,'3_Control_Ppto'!$A$4:$A$70,0))</f>
        <v>0</v>
      </c>
      <c r="Y336" s="136"/>
    </row>
    <row r="337" spans="1:25" ht="12" customHeight="1" x14ac:dyDescent="0.3">
      <c r="A337" s="140" t="s">
        <v>4317</v>
      </c>
      <c r="B337" s="140" t="s">
        <v>56</v>
      </c>
      <c r="C337" s="549">
        <f>+EOMONTH(Tabla18[[#This Row],[Fecha Asiento]],-1)+1</f>
        <v>45870</v>
      </c>
      <c r="D337" s="136">
        <v>52103</v>
      </c>
      <c r="E337" s="136" t="s">
        <v>4477</v>
      </c>
      <c r="F337" s="141">
        <v>45877</v>
      </c>
      <c r="G337" s="136">
        <v>1866</v>
      </c>
      <c r="H337" s="136" t="s">
        <v>4478</v>
      </c>
      <c r="I337" s="136" t="s">
        <v>4423</v>
      </c>
      <c r="J337" s="136" t="s">
        <v>4424</v>
      </c>
      <c r="K337" s="136">
        <v>7261</v>
      </c>
      <c r="L337" s="138">
        <v>5300</v>
      </c>
      <c r="M337" s="138">
        <v>0</v>
      </c>
      <c r="N337" s="136" t="s">
        <v>4425</v>
      </c>
      <c r="O337" s="136" t="s">
        <v>4426</v>
      </c>
      <c r="P337" s="136" t="s">
        <v>4427</v>
      </c>
      <c r="Q337" s="136" t="s">
        <v>4428</v>
      </c>
      <c r="R337" s="136">
        <v>0</v>
      </c>
      <c r="S337" s="142">
        <f>(Tabla18[[#This Row],[Debe]]-Tabla18[[#This Row],[Haber]])*
SUMIF('0_Indice_CAC'!$A:$A,Tabla18[[#This Row],[Mes]],'0_Indice_CAC'!$D:$D)</f>
        <v>4735.3277944564688</v>
      </c>
      <c r="T337" s="142">
        <f>Tabla18[[#This Row],[Debe]]-Tabla18[[#This Row],[Haber]]</f>
        <v>5300</v>
      </c>
      <c r="U337" s="322"/>
      <c r="V337" s="323"/>
      <c r="W337" s="142">
        <f t="shared" si="7"/>
        <v>5300</v>
      </c>
      <c r="X337" s="142" t="b">
        <f>ISNUMBER(MATCH(A337,'3_Control_Ppto'!$A$4:$A$70,0))</f>
        <v>1</v>
      </c>
      <c r="Y337" s="136"/>
    </row>
    <row r="338" spans="1:25" ht="12" customHeight="1" x14ac:dyDescent="0.3">
      <c r="A338" s="140" t="s">
        <v>4317</v>
      </c>
      <c r="B338" s="140" t="s">
        <v>56</v>
      </c>
      <c r="C338" s="549">
        <f>+EOMONTH(Tabla18[[#This Row],[Fecha Asiento]],-1)+1</f>
        <v>45870</v>
      </c>
      <c r="D338" s="136">
        <v>52103</v>
      </c>
      <c r="E338" s="136" t="s">
        <v>4477</v>
      </c>
      <c r="F338" s="141">
        <v>45877</v>
      </c>
      <c r="G338" s="136">
        <v>4099</v>
      </c>
      <c r="H338" s="136" t="s">
        <v>4569</v>
      </c>
      <c r="I338" s="136" t="s">
        <v>4570</v>
      </c>
      <c r="J338" s="136" t="s">
        <v>4455</v>
      </c>
      <c r="K338" s="136">
        <v>418100135174</v>
      </c>
      <c r="L338" s="138">
        <v>10786.52</v>
      </c>
      <c r="M338" s="138">
        <v>0</v>
      </c>
      <c r="N338" s="136" t="s">
        <v>4425</v>
      </c>
      <c r="O338" s="136" t="s">
        <v>4426</v>
      </c>
      <c r="P338" s="136" t="s">
        <v>4427</v>
      </c>
      <c r="Q338" s="136" t="s">
        <v>4428</v>
      </c>
      <c r="R338" s="136">
        <v>0</v>
      </c>
      <c r="S338" s="142">
        <f>(Tabla18[[#This Row],[Debe]]-Tabla18[[#This Row],[Haber]])*
SUMIF('0_Indice_CAC'!$A:$A,Tabla18[[#This Row],[Mes]],'0_Indice_CAC'!$D:$D)</f>
        <v>9637.3033889548296</v>
      </c>
      <c r="T338" s="142">
        <f>Tabla18[[#This Row],[Debe]]-Tabla18[[#This Row],[Haber]]</f>
        <v>10786.52</v>
      </c>
      <c r="U338" s="322"/>
      <c r="V338" s="323"/>
      <c r="W338" s="142">
        <f t="shared" si="7"/>
        <v>10786.52</v>
      </c>
      <c r="X338" s="142" t="b">
        <f>ISNUMBER(MATCH(A338,'3_Control_Ppto'!$A$4:$A$70,0))</f>
        <v>1</v>
      </c>
      <c r="Y338" s="136"/>
    </row>
    <row r="339" spans="1:25" ht="12" customHeight="1" x14ac:dyDescent="0.3">
      <c r="A339" s="140" t="s">
        <v>4317</v>
      </c>
      <c r="B339" s="140" t="s">
        <v>56</v>
      </c>
      <c r="C339" s="549">
        <f>+EOMONTH(Tabla18[[#This Row],[Fecha Asiento]],-1)+1</f>
        <v>45870</v>
      </c>
      <c r="D339" s="136">
        <v>52103</v>
      </c>
      <c r="E339" s="136" t="s">
        <v>4477</v>
      </c>
      <c r="F339" s="141">
        <v>45877</v>
      </c>
      <c r="G339" s="136">
        <v>4099</v>
      </c>
      <c r="H339" s="136" t="s">
        <v>4569</v>
      </c>
      <c r="I339" s="136" t="s">
        <v>4570</v>
      </c>
      <c r="J339" s="136" t="s">
        <v>4455</v>
      </c>
      <c r="K339" s="136">
        <v>418100135174</v>
      </c>
      <c r="L339" s="138">
        <v>77453.899999999994</v>
      </c>
      <c r="M339" s="138">
        <v>0</v>
      </c>
      <c r="N339" s="136" t="s">
        <v>4425</v>
      </c>
      <c r="O339" s="136" t="s">
        <v>4426</v>
      </c>
      <c r="P339" s="136" t="s">
        <v>4427</v>
      </c>
      <c r="Q339" s="136" t="s">
        <v>4428</v>
      </c>
      <c r="R339" s="136">
        <v>0</v>
      </c>
      <c r="S339" s="142">
        <f>(Tabla18[[#This Row],[Debe]]-Tabla18[[#This Row],[Haber]])*
SUMIF('0_Indice_CAC'!$A:$A,Tabla18[[#This Row],[Mes]],'0_Indice_CAC'!$D:$D)</f>
        <v>69201.812350764507</v>
      </c>
      <c r="T339" s="142">
        <f>Tabla18[[#This Row],[Debe]]-Tabla18[[#This Row],[Haber]]</f>
        <v>77453.899999999994</v>
      </c>
      <c r="U339" s="322"/>
      <c r="V339" s="323"/>
      <c r="W339" s="142">
        <f t="shared" si="7"/>
        <v>77453.899999999994</v>
      </c>
      <c r="X339" s="142" t="b">
        <f>ISNUMBER(MATCH(A339,'3_Control_Ppto'!$A$4:$A$70,0))</f>
        <v>1</v>
      </c>
      <c r="Y339" s="136"/>
    </row>
    <row r="340" spans="1:25" ht="12" customHeight="1" x14ac:dyDescent="0.3">
      <c r="A340" s="140" t="s">
        <v>1478</v>
      </c>
      <c r="B340" s="140" t="s">
        <v>56</v>
      </c>
      <c r="C340" s="549">
        <f>+EOMONTH(Tabla18[[#This Row],[Fecha Asiento]],-1)+1</f>
        <v>45870</v>
      </c>
      <c r="D340" s="136">
        <v>53005</v>
      </c>
      <c r="E340" s="136" t="s">
        <v>4472</v>
      </c>
      <c r="F340" s="141">
        <v>45877</v>
      </c>
      <c r="G340" s="136">
        <v>1895</v>
      </c>
      <c r="H340" s="136" t="s">
        <v>4693</v>
      </c>
      <c r="I340" s="136" t="s">
        <v>4423</v>
      </c>
      <c r="J340" s="136" t="s">
        <v>4424</v>
      </c>
      <c r="K340" s="136">
        <v>7290</v>
      </c>
      <c r="L340" s="138">
        <v>500000</v>
      </c>
      <c r="M340" s="138">
        <v>0</v>
      </c>
      <c r="N340" s="136" t="s">
        <v>4425</v>
      </c>
      <c r="O340" s="136" t="s">
        <v>4426</v>
      </c>
      <c r="P340" s="136" t="s">
        <v>4427</v>
      </c>
      <c r="Q340" s="136" t="s">
        <v>4428</v>
      </c>
      <c r="R340" s="136">
        <v>0</v>
      </c>
      <c r="S340" s="142">
        <f>(Tabla18[[#This Row],[Debe]]-Tabla18[[#This Row],[Haber]])*
SUMIF('0_Indice_CAC'!$A:$A,Tabla18[[#This Row],[Mes]],'0_Indice_CAC'!$D:$D)</f>
        <v>446729.03721287445</v>
      </c>
      <c r="T340" s="142">
        <f>Tabla18[[#This Row],[Debe]]-Tabla18[[#This Row],[Haber]]</f>
        <v>500000</v>
      </c>
      <c r="U340" s="322" t="s">
        <v>4668</v>
      </c>
      <c r="V340" s="323"/>
      <c r="W340" s="142">
        <f t="shared" si="7"/>
        <v>500000</v>
      </c>
      <c r="X340" s="142" t="b">
        <f>ISNUMBER(MATCH(A340,'3_Control_Ppto'!$A$4:$A$70,0))</f>
        <v>1</v>
      </c>
      <c r="Y340" s="136"/>
    </row>
    <row r="341" spans="1:25" ht="12" customHeight="1" x14ac:dyDescent="0.3">
      <c r="A341" s="140" t="s">
        <v>1478</v>
      </c>
      <c r="B341" s="140" t="s">
        <v>4090</v>
      </c>
      <c r="C341" s="549">
        <f>+EOMONTH(Tabla18[[#This Row],[Fecha Asiento]],-1)+1</f>
        <v>45870</v>
      </c>
      <c r="D341" s="136">
        <v>53004</v>
      </c>
      <c r="E341" s="136" t="s">
        <v>4496</v>
      </c>
      <c r="F341" s="141">
        <v>45878</v>
      </c>
      <c r="G341" s="136">
        <v>4108</v>
      </c>
      <c r="H341" s="136" t="s">
        <v>4694</v>
      </c>
      <c r="I341" s="136" t="s">
        <v>4471</v>
      </c>
      <c r="J341" s="136" t="s">
        <v>4455</v>
      </c>
      <c r="K341" s="136">
        <v>1000205475</v>
      </c>
      <c r="L341" s="138">
        <v>212249.02</v>
      </c>
      <c r="M341" s="138">
        <v>0</v>
      </c>
      <c r="N341" s="136" t="s">
        <v>4425</v>
      </c>
      <c r="O341" s="136" t="s">
        <v>4426</v>
      </c>
      <c r="P341" s="136" t="s">
        <v>4427</v>
      </c>
      <c r="Q341" s="136" t="s">
        <v>4428</v>
      </c>
      <c r="R341" s="136">
        <v>0</v>
      </c>
      <c r="S341" s="142">
        <f>(Tabla18[[#This Row],[Debe]]-Tabla18[[#This Row],[Haber]])*
SUMIF('0_Indice_CAC'!$A:$A,Tabla18[[#This Row],[Mes]],'0_Indice_CAC'!$D:$D)</f>
        <v>189635.60070795225</v>
      </c>
      <c r="T341" s="142">
        <f>Tabla18[[#This Row],[Debe]]-Tabla18[[#This Row],[Haber]]</f>
        <v>212249.02</v>
      </c>
      <c r="U341" s="322"/>
      <c r="V341" s="323"/>
      <c r="W341" s="142">
        <f t="shared" si="7"/>
        <v>212249.02</v>
      </c>
      <c r="X341" s="142" t="b">
        <f>ISNUMBER(MATCH(A341,'3_Control_Ppto'!$A$4:$A$70,0))</f>
        <v>1</v>
      </c>
      <c r="Y341" s="136"/>
    </row>
    <row r="342" spans="1:25" ht="12" customHeight="1" x14ac:dyDescent="0.3">
      <c r="A342" s="140" t="s">
        <v>106</v>
      </c>
      <c r="B342" s="140" t="s">
        <v>4090</v>
      </c>
      <c r="C342" s="549">
        <f>+EOMONTH(Tabla18[[#This Row],[Fecha Asiento]],-1)+1</f>
        <v>45870</v>
      </c>
      <c r="D342" s="136">
        <v>53008</v>
      </c>
      <c r="E342" s="136" t="s">
        <v>4490</v>
      </c>
      <c r="F342" s="141">
        <v>45878</v>
      </c>
      <c r="G342" s="136">
        <v>4105</v>
      </c>
      <c r="H342" s="136" t="s">
        <v>4695</v>
      </c>
      <c r="I342" s="136" t="s">
        <v>4471</v>
      </c>
      <c r="J342" s="136" t="s">
        <v>4455</v>
      </c>
      <c r="K342" s="136">
        <v>1000205454</v>
      </c>
      <c r="L342" s="138">
        <v>73627.81</v>
      </c>
      <c r="M342" s="138">
        <v>0</v>
      </c>
      <c r="N342" s="136" t="s">
        <v>4425</v>
      </c>
      <c r="O342" s="136" t="s">
        <v>4426</v>
      </c>
      <c r="P342" s="136" t="s">
        <v>4427</v>
      </c>
      <c r="Q342" s="136" t="s">
        <v>4428</v>
      </c>
      <c r="R342" s="136">
        <v>0</v>
      </c>
      <c r="S342" s="142">
        <f>(Tabla18[[#This Row],[Debe]]-Tabla18[[#This Row],[Haber]])*
SUMIF('0_Indice_CAC'!$A:$A,Tabla18[[#This Row],[Mes]],'0_Indice_CAC'!$D:$D)</f>
        <v>65783.361346784892</v>
      </c>
      <c r="T342" s="142">
        <f>Tabla18[[#This Row],[Debe]]-Tabla18[[#This Row],[Haber]]</f>
        <v>73627.81</v>
      </c>
      <c r="U342" s="322"/>
      <c r="V342" s="323"/>
      <c r="W342" s="142">
        <f t="shared" si="7"/>
        <v>73627.81</v>
      </c>
      <c r="X342" s="142" t="b">
        <f>ISNUMBER(MATCH(A342,'3_Control_Ppto'!$A$4:$A$70,0))</f>
        <v>1</v>
      </c>
      <c r="Y342" s="136"/>
    </row>
    <row r="343" spans="1:25" ht="12" customHeight="1" x14ac:dyDescent="0.3">
      <c r="A343" s="140" t="s">
        <v>106</v>
      </c>
      <c r="B343" s="140" t="s">
        <v>4090</v>
      </c>
      <c r="C343" s="549">
        <f>+EOMONTH(Tabla18[[#This Row],[Fecha Asiento]],-1)+1</f>
        <v>45870</v>
      </c>
      <c r="D343" s="136">
        <v>53008</v>
      </c>
      <c r="E343" s="136" t="s">
        <v>4490</v>
      </c>
      <c r="F343" s="141">
        <v>45878</v>
      </c>
      <c r="G343" s="136">
        <v>4109</v>
      </c>
      <c r="H343" s="136" t="s">
        <v>4522</v>
      </c>
      <c r="I343" s="136" t="s">
        <v>4471</v>
      </c>
      <c r="J343" s="136" t="s">
        <v>4455</v>
      </c>
      <c r="K343" s="136">
        <v>1000205482</v>
      </c>
      <c r="L343" s="138">
        <v>98236.800000000003</v>
      </c>
      <c r="M343" s="138">
        <v>0</v>
      </c>
      <c r="N343" s="136" t="s">
        <v>4425</v>
      </c>
      <c r="O343" s="136" t="s">
        <v>4426</v>
      </c>
      <c r="P343" s="136" t="s">
        <v>4427</v>
      </c>
      <c r="Q343" s="136" t="s">
        <v>4428</v>
      </c>
      <c r="R343" s="136">
        <v>0</v>
      </c>
      <c r="S343" s="142">
        <f>(Tabla18[[#This Row],[Debe]]-Tabla18[[#This Row],[Haber]])*
SUMIF('0_Indice_CAC'!$A:$A,Tabla18[[#This Row],[Mes]],'0_Indice_CAC'!$D:$D)</f>
        <v>87770.462165747405</v>
      </c>
      <c r="T343" s="142">
        <f>Tabla18[[#This Row],[Debe]]-Tabla18[[#This Row],[Haber]]</f>
        <v>98236.800000000003</v>
      </c>
      <c r="U343" s="322"/>
      <c r="V343" s="323"/>
      <c r="W343" s="142">
        <f t="shared" si="7"/>
        <v>98236.800000000003</v>
      </c>
      <c r="X343" s="142" t="b">
        <f>ISNUMBER(MATCH(A343,'3_Control_Ppto'!$A$4:$A$70,0))</f>
        <v>1</v>
      </c>
      <c r="Y343" s="136"/>
    </row>
    <row r="344" spans="1:25" ht="12" customHeight="1" x14ac:dyDescent="0.3">
      <c r="A344" s="140" t="s">
        <v>4310</v>
      </c>
      <c r="B344" s="140" t="s">
        <v>56</v>
      </c>
      <c r="C344" s="549">
        <f>+EOMONTH(Tabla18[[#This Row],[Fecha Asiento]],-1)+1</f>
        <v>45870</v>
      </c>
      <c r="D344" s="136">
        <v>53026</v>
      </c>
      <c r="E344" s="136" t="s">
        <v>4310</v>
      </c>
      <c r="F344" s="141">
        <v>45878</v>
      </c>
      <c r="G344" s="136">
        <v>4105</v>
      </c>
      <c r="H344" s="136" t="s">
        <v>4476</v>
      </c>
      <c r="I344" s="136" t="s">
        <v>4471</v>
      </c>
      <c r="J344" s="136" t="s">
        <v>4455</v>
      </c>
      <c r="K344" s="136">
        <v>1000205454</v>
      </c>
      <c r="L344" s="138">
        <v>2677.5</v>
      </c>
      <c r="M344" s="138">
        <v>0</v>
      </c>
      <c r="N344" s="136" t="s">
        <v>4425</v>
      </c>
      <c r="O344" s="136" t="s">
        <v>4426</v>
      </c>
      <c r="P344" s="136" t="s">
        <v>4427</v>
      </c>
      <c r="Q344" s="136" t="s">
        <v>4428</v>
      </c>
      <c r="R344" s="136">
        <v>0</v>
      </c>
      <c r="S344" s="142">
        <f>(Tabla18[[#This Row],[Debe]]-Tabla18[[#This Row],[Haber]])*
SUMIF('0_Indice_CAC'!$A:$A,Tabla18[[#This Row],[Mes]],'0_Indice_CAC'!$D:$D)</f>
        <v>2392.2339942749427</v>
      </c>
      <c r="T344" s="142">
        <f>Tabla18[[#This Row],[Debe]]-Tabla18[[#This Row],[Haber]]</f>
        <v>2677.5</v>
      </c>
      <c r="U344" s="322"/>
      <c r="V344" s="323"/>
      <c r="W344" s="142">
        <f t="shared" si="7"/>
        <v>2677.5</v>
      </c>
      <c r="X344" s="142" t="b">
        <f>ISNUMBER(MATCH(A344,'3_Control_Ppto'!$A$4:$A$70,0))</f>
        <v>1</v>
      </c>
      <c r="Y344" s="136"/>
    </row>
    <row r="345" spans="1:25" ht="12" customHeight="1" x14ac:dyDescent="0.3">
      <c r="A345" s="140" t="s">
        <v>25</v>
      </c>
      <c r="B345" s="140" t="s">
        <v>25</v>
      </c>
      <c r="C345" s="549">
        <f>+EOMONTH(Tabla18[[#This Row],[Fecha Asiento]],-1)+1</f>
        <v>45870</v>
      </c>
      <c r="D345" s="136">
        <v>52405</v>
      </c>
      <c r="E345" s="136" t="s">
        <v>4493</v>
      </c>
      <c r="F345" s="141">
        <v>45880</v>
      </c>
      <c r="G345" s="136">
        <v>5735</v>
      </c>
      <c r="H345" s="136" t="s">
        <v>4696</v>
      </c>
      <c r="I345" s="136" t="s">
        <v>4463</v>
      </c>
      <c r="J345" s="136" t="s">
        <v>4455</v>
      </c>
      <c r="K345" s="136">
        <v>300007829</v>
      </c>
      <c r="L345" s="138">
        <v>0.01</v>
      </c>
      <c r="M345" s="138">
        <v>0</v>
      </c>
      <c r="N345" s="136" t="s">
        <v>4425</v>
      </c>
      <c r="O345" s="136" t="s">
        <v>4426</v>
      </c>
      <c r="P345" s="136" t="s">
        <v>4427</v>
      </c>
      <c r="Q345" s="136" t="s">
        <v>4428</v>
      </c>
      <c r="R345" s="136">
        <v>0</v>
      </c>
      <c r="S345" s="142">
        <f>(Tabla18[[#This Row],[Debe]]-Tabla18[[#This Row],[Haber]])*
SUMIF('0_Indice_CAC'!$A:$A,Tabla18[[#This Row],[Mes]],'0_Indice_CAC'!$D:$D)</f>
        <v>8.9345807442574882E-3</v>
      </c>
      <c r="T345" s="142">
        <f>Tabla18[[#This Row],[Debe]]-Tabla18[[#This Row],[Haber]]</f>
        <v>0.01</v>
      </c>
      <c r="U345" s="322"/>
      <c r="V345" s="323"/>
      <c r="W345" s="142">
        <f t="shared" si="7"/>
        <v>0.01</v>
      </c>
      <c r="X345" s="142" t="b">
        <f>ISNUMBER(MATCH(A345,'3_Control_Ppto'!$A$4:$A$70,0))</f>
        <v>0</v>
      </c>
      <c r="Y345" s="136"/>
    </row>
    <row r="346" spans="1:25" ht="12" customHeight="1" x14ac:dyDescent="0.3">
      <c r="A346" s="140" t="s">
        <v>3219</v>
      </c>
      <c r="B346" s="140" t="s">
        <v>4090</v>
      </c>
      <c r="C346" s="549">
        <f>+EOMONTH(Tabla18[[#This Row],[Fecha Asiento]],-1)+1</f>
        <v>45870</v>
      </c>
      <c r="D346" s="136">
        <v>53019</v>
      </c>
      <c r="E346" s="136" t="s">
        <v>4461</v>
      </c>
      <c r="F346" s="141">
        <v>45880</v>
      </c>
      <c r="G346" s="136">
        <v>5735</v>
      </c>
      <c r="H346" s="136" t="s">
        <v>4462</v>
      </c>
      <c r="I346" s="136" t="s">
        <v>4463</v>
      </c>
      <c r="J346" s="136" t="s">
        <v>4455</v>
      </c>
      <c r="K346" s="136">
        <v>300007829</v>
      </c>
      <c r="L346" s="138">
        <v>412443.16</v>
      </c>
      <c r="M346" s="138">
        <v>0</v>
      </c>
      <c r="N346" s="136" t="s">
        <v>4425</v>
      </c>
      <c r="O346" s="136" t="s">
        <v>4426</v>
      </c>
      <c r="P346" s="136" t="s">
        <v>4427</v>
      </c>
      <c r="Q346" s="136" t="s">
        <v>4428</v>
      </c>
      <c r="R346" s="136">
        <v>0</v>
      </c>
      <c r="S346" s="142">
        <f>(Tabla18[[#This Row],[Debe]]-Tabla18[[#This Row],[Haber]])*
SUMIF('0_Indice_CAC'!$A:$A,Tabla18[[#This Row],[Mes]],'0_Indice_CAC'!$D:$D)</f>
        <v>368500.67154367105</v>
      </c>
      <c r="T346" s="142">
        <f>Tabla18[[#This Row],[Debe]]-Tabla18[[#This Row],[Haber]]</f>
        <v>412443.16</v>
      </c>
      <c r="U346" s="322"/>
      <c r="V346" s="323"/>
      <c r="W346" s="142">
        <f t="shared" si="7"/>
        <v>412443.16</v>
      </c>
      <c r="X346" s="142" t="b">
        <f>ISNUMBER(MATCH(A346,'3_Control_Ppto'!$A$4:$A$70,0))</f>
        <v>1</v>
      </c>
      <c r="Y346" s="136"/>
    </row>
    <row r="347" spans="1:25" ht="12" customHeight="1" x14ac:dyDescent="0.3">
      <c r="A347" s="140" t="s">
        <v>3219</v>
      </c>
      <c r="B347" s="140" t="s">
        <v>4090</v>
      </c>
      <c r="C347" s="549">
        <f>+EOMONTH(Tabla18[[#This Row],[Fecha Asiento]],-1)+1</f>
        <v>45870</v>
      </c>
      <c r="D347" s="136">
        <v>53019</v>
      </c>
      <c r="E347" s="136" t="s">
        <v>4461</v>
      </c>
      <c r="F347" s="141">
        <v>45880</v>
      </c>
      <c r="G347" s="136">
        <v>5735</v>
      </c>
      <c r="H347" s="136" t="s">
        <v>4462</v>
      </c>
      <c r="I347" s="136" t="s">
        <v>4463</v>
      </c>
      <c r="J347" s="136" t="s">
        <v>4455</v>
      </c>
      <c r="K347" s="136">
        <v>300007829</v>
      </c>
      <c r="L347" s="138">
        <v>7367.78</v>
      </c>
      <c r="M347" s="138">
        <v>0</v>
      </c>
      <c r="N347" s="136" t="s">
        <v>4425</v>
      </c>
      <c r="O347" s="136" t="s">
        <v>4426</v>
      </c>
      <c r="P347" s="136" t="s">
        <v>4427</v>
      </c>
      <c r="Q347" s="136" t="s">
        <v>4428</v>
      </c>
      <c r="R347" s="136">
        <v>0</v>
      </c>
      <c r="S347" s="142">
        <f>(Tabla18[[#This Row],[Debe]]-Tabla18[[#This Row],[Haber]])*
SUMIF('0_Indice_CAC'!$A:$A,Tabla18[[#This Row],[Mes]],'0_Indice_CAC'!$D:$D)</f>
        <v>6582.8025315925433</v>
      </c>
      <c r="T347" s="142">
        <f>Tabla18[[#This Row],[Debe]]-Tabla18[[#This Row],[Haber]]</f>
        <v>7367.78</v>
      </c>
      <c r="U347" s="322"/>
      <c r="V347" s="323"/>
      <c r="W347" s="142">
        <f t="shared" si="7"/>
        <v>7367.78</v>
      </c>
      <c r="X347" s="142" t="b">
        <f>ISNUMBER(MATCH(A347,'3_Control_Ppto'!$A$4:$A$70,0))</f>
        <v>1</v>
      </c>
      <c r="Y347" s="136"/>
    </row>
    <row r="348" spans="1:25" ht="12" customHeight="1" x14ac:dyDescent="0.3">
      <c r="A348" s="140" t="s">
        <v>4119</v>
      </c>
      <c r="B348" s="140" t="s">
        <v>4090</v>
      </c>
      <c r="C348" s="549">
        <f>+EOMONTH(Tabla18[[#This Row],[Fecha Asiento]],-1)+1</f>
        <v>45870</v>
      </c>
      <c r="D348" s="136">
        <v>53022</v>
      </c>
      <c r="E348" s="136" t="s">
        <v>4429</v>
      </c>
      <c r="F348" s="141">
        <v>45881</v>
      </c>
      <c r="G348" s="136">
        <v>2064</v>
      </c>
      <c r="H348" s="136" t="s">
        <v>4697</v>
      </c>
      <c r="I348" s="136" t="s">
        <v>4698</v>
      </c>
      <c r="J348" s="136" t="s">
        <v>4699</v>
      </c>
      <c r="K348" s="136">
        <v>7384</v>
      </c>
      <c r="L348" s="138">
        <v>90909.09</v>
      </c>
      <c r="M348" s="138">
        <v>0</v>
      </c>
      <c r="N348" s="136" t="s">
        <v>4425</v>
      </c>
      <c r="O348" s="136" t="s">
        <v>4426</v>
      </c>
      <c r="P348" s="136" t="s">
        <v>4427</v>
      </c>
      <c r="Q348" s="136" t="s">
        <v>4428</v>
      </c>
      <c r="R348" s="136">
        <v>0</v>
      </c>
      <c r="S348" s="142">
        <f>(Tabla18[[#This Row],[Debe]]-Tabla18[[#This Row],[Haber]])*
SUMIF('0_Indice_CAC'!$A:$A,Tabla18[[#This Row],[Mes]],'0_Indice_CAC'!$D:$D)</f>
        <v>81223.460499197099</v>
      </c>
      <c r="T348" s="142">
        <f>Tabla18[[#This Row],[Debe]]-Tabla18[[#This Row],[Haber]]</f>
        <v>90909.09</v>
      </c>
      <c r="U348" s="322"/>
      <c r="V348" s="323"/>
      <c r="W348" s="142">
        <f t="shared" si="7"/>
        <v>90909.09</v>
      </c>
      <c r="X348" s="142" t="b">
        <f>ISNUMBER(MATCH(A348,'3_Control_Ppto'!$A$4:$A$70,0))</f>
        <v>1</v>
      </c>
      <c r="Y348" s="136"/>
    </row>
    <row r="349" spans="1:25" ht="12" customHeight="1" x14ac:dyDescent="0.3">
      <c r="A349" s="140" t="s">
        <v>4119</v>
      </c>
      <c r="B349" s="140" t="s">
        <v>4090</v>
      </c>
      <c r="C349" s="549">
        <f>+EOMONTH(Tabla18[[#This Row],[Fecha Asiento]],-1)+1</f>
        <v>45870</v>
      </c>
      <c r="D349" s="136">
        <v>53022</v>
      </c>
      <c r="E349" s="136" t="s">
        <v>4429</v>
      </c>
      <c r="F349" s="141">
        <v>45882</v>
      </c>
      <c r="G349" s="136">
        <v>2066</v>
      </c>
      <c r="H349" s="136" t="s">
        <v>4700</v>
      </c>
      <c r="I349" s="136" t="s">
        <v>4698</v>
      </c>
      <c r="J349" s="136" t="s">
        <v>4699</v>
      </c>
      <c r="K349" s="136">
        <v>7384</v>
      </c>
      <c r="L349" s="138">
        <v>90909.09</v>
      </c>
      <c r="M349" s="138">
        <v>0</v>
      </c>
      <c r="N349" s="136" t="s">
        <v>4425</v>
      </c>
      <c r="O349" s="136" t="s">
        <v>4426</v>
      </c>
      <c r="P349" s="136" t="s">
        <v>4427</v>
      </c>
      <c r="Q349" s="136" t="s">
        <v>4428</v>
      </c>
      <c r="R349" s="136">
        <v>0</v>
      </c>
      <c r="S349" s="142">
        <f>(Tabla18[[#This Row],[Debe]]-Tabla18[[#This Row],[Haber]])*
SUMIF('0_Indice_CAC'!$A:$A,Tabla18[[#This Row],[Mes]],'0_Indice_CAC'!$D:$D)</f>
        <v>81223.460499197099</v>
      </c>
      <c r="T349" s="142">
        <f>Tabla18[[#This Row],[Debe]]-Tabla18[[#This Row],[Haber]]</f>
        <v>90909.09</v>
      </c>
      <c r="U349" s="322"/>
      <c r="V349" s="323"/>
      <c r="W349" s="142">
        <f t="shared" si="7"/>
        <v>90909.09</v>
      </c>
      <c r="X349" s="142" t="b">
        <f>ISNUMBER(MATCH(A349,'3_Control_Ppto'!$A$4:$A$70,0))</f>
        <v>1</v>
      </c>
      <c r="Y349" s="136"/>
    </row>
    <row r="350" spans="1:25" ht="12" customHeight="1" x14ac:dyDescent="0.3">
      <c r="A350" s="140" t="s">
        <v>4119</v>
      </c>
      <c r="B350" s="140" t="s">
        <v>56</v>
      </c>
      <c r="C350" s="549">
        <f>+EOMONTH(Tabla18[[#This Row],[Fecha Asiento]],-1)+1</f>
        <v>45870</v>
      </c>
      <c r="D350" s="136">
        <v>53022</v>
      </c>
      <c r="E350" s="136" t="s">
        <v>4429</v>
      </c>
      <c r="F350" s="141">
        <v>45882</v>
      </c>
      <c r="G350" s="136">
        <v>4557</v>
      </c>
      <c r="H350" s="136" t="s">
        <v>4701</v>
      </c>
      <c r="I350" s="136" t="s">
        <v>4459</v>
      </c>
      <c r="J350" s="136" t="s">
        <v>4455</v>
      </c>
      <c r="K350" s="136">
        <v>300023591</v>
      </c>
      <c r="L350" s="138">
        <v>85000</v>
      </c>
      <c r="M350" s="138">
        <v>0</v>
      </c>
      <c r="N350" s="136" t="s">
        <v>4425</v>
      </c>
      <c r="O350" s="136" t="s">
        <v>4426</v>
      </c>
      <c r="P350" s="136" t="s">
        <v>4427</v>
      </c>
      <c r="Q350" s="136" t="s">
        <v>4428</v>
      </c>
      <c r="R350" s="136">
        <v>0</v>
      </c>
      <c r="S350" s="142">
        <f>(Tabla18[[#This Row],[Debe]]-Tabla18[[#This Row],[Haber]])*
SUMIF('0_Indice_CAC'!$A:$A,Tabla18[[#This Row],[Mes]],'0_Indice_CAC'!$D:$D)</f>
        <v>75943.936326188661</v>
      </c>
      <c r="T350" s="142">
        <f>Tabla18[[#This Row],[Debe]]-Tabla18[[#This Row],[Haber]]</f>
        <v>85000</v>
      </c>
      <c r="U350" s="322"/>
      <c r="V350" s="323"/>
      <c r="W350" s="142">
        <f t="shared" si="7"/>
        <v>85000</v>
      </c>
      <c r="X350" s="142" t="b">
        <f>ISNUMBER(MATCH(A350,'3_Control_Ppto'!$A$4:$A$70,0))</f>
        <v>1</v>
      </c>
      <c r="Y350" s="136"/>
    </row>
    <row r="351" spans="1:25" ht="12" customHeight="1" x14ac:dyDescent="0.3">
      <c r="A351" s="140" t="s">
        <v>1478</v>
      </c>
      <c r="B351" s="140" t="s">
        <v>4090</v>
      </c>
      <c r="C351" s="549">
        <f>+EOMONTH(Tabla18[[#This Row],[Fecha Asiento]],-1)+1</f>
        <v>45870</v>
      </c>
      <c r="D351" s="136">
        <v>53004</v>
      </c>
      <c r="E351" s="136" t="s">
        <v>4496</v>
      </c>
      <c r="F351" s="141">
        <v>45883</v>
      </c>
      <c r="G351" s="136">
        <v>4185</v>
      </c>
      <c r="H351" s="136" t="s">
        <v>4702</v>
      </c>
      <c r="I351" s="136" t="s">
        <v>4596</v>
      </c>
      <c r="J351" s="136" t="s">
        <v>4597</v>
      </c>
      <c r="K351" s="136">
        <v>22400006247</v>
      </c>
      <c r="L351" s="138">
        <v>310400</v>
      </c>
      <c r="M351" s="138">
        <v>0</v>
      </c>
      <c r="N351" s="136" t="s">
        <v>4425</v>
      </c>
      <c r="O351" s="136" t="s">
        <v>4426</v>
      </c>
      <c r="P351" s="136" t="s">
        <v>4427</v>
      </c>
      <c r="Q351" s="136" t="s">
        <v>4428</v>
      </c>
      <c r="R351" s="136">
        <v>0</v>
      </c>
      <c r="S351" s="142">
        <f>(Tabla18[[#This Row],[Debe]]-Tabla18[[#This Row],[Haber]])*
SUMIF('0_Indice_CAC'!$A:$A,Tabla18[[#This Row],[Mes]],'0_Indice_CAC'!$D:$D)</f>
        <v>277329.38630175247</v>
      </c>
      <c r="T351" s="142">
        <f>Tabla18[[#This Row],[Debe]]-Tabla18[[#This Row],[Haber]]</f>
        <v>310400</v>
      </c>
      <c r="U351" s="322"/>
      <c r="V351" s="323"/>
      <c r="W351" s="142">
        <f t="shared" si="7"/>
        <v>310400</v>
      </c>
      <c r="X351" s="142" t="b">
        <f>ISNUMBER(MATCH(A351,'3_Control_Ppto'!$A$4:$A$70,0))</f>
        <v>1</v>
      </c>
      <c r="Y351" s="136"/>
    </row>
    <row r="352" spans="1:25" ht="12" customHeight="1" x14ac:dyDescent="0.3">
      <c r="A352" s="140" t="s">
        <v>4317</v>
      </c>
      <c r="B352" s="140" t="s">
        <v>56</v>
      </c>
      <c r="C352" s="549">
        <f>+EOMONTH(Tabla18[[#This Row],[Fecha Asiento]],-1)+1</f>
        <v>45870</v>
      </c>
      <c r="D352" s="136">
        <v>52103</v>
      </c>
      <c r="E352" s="136" t="s">
        <v>4477</v>
      </c>
      <c r="F352" s="141">
        <v>45884</v>
      </c>
      <c r="G352" s="136">
        <v>4345</v>
      </c>
      <c r="H352" s="136" t="s">
        <v>4627</v>
      </c>
      <c r="I352" s="136" t="s">
        <v>4628</v>
      </c>
      <c r="J352" s="136" t="s">
        <v>4455</v>
      </c>
      <c r="K352" s="136">
        <v>800000363</v>
      </c>
      <c r="L352" s="138">
        <v>7239.82</v>
      </c>
      <c r="M352" s="138">
        <v>0</v>
      </c>
      <c r="N352" s="136" t="s">
        <v>4425</v>
      </c>
      <c r="O352" s="136" t="s">
        <v>4426</v>
      </c>
      <c r="P352" s="136" t="s">
        <v>4427</v>
      </c>
      <c r="Q352" s="136" t="s">
        <v>4428</v>
      </c>
      <c r="R352" s="136">
        <v>0</v>
      </c>
      <c r="S352" s="142">
        <f>(Tabla18[[#This Row],[Debe]]-Tabla18[[#This Row],[Haber]])*
SUMIF('0_Indice_CAC'!$A:$A,Tabla18[[#This Row],[Mes]],'0_Indice_CAC'!$D:$D)</f>
        <v>6468.4756363890247</v>
      </c>
      <c r="T352" s="142">
        <f>Tabla18[[#This Row],[Debe]]-Tabla18[[#This Row],[Haber]]</f>
        <v>7239.82</v>
      </c>
      <c r="U352" s="322"/>
      <c r="V352" s="323"/>
      <c r="W352" s="142">
        <f t="shared" ref="W352:W415" si="8">IFERROR(T352-IF(V352="",0,V352),0)</f>
        <v>7239.82</v>
      </c>
      <c r="X352" s="142" t="b">
        <f>ISNUMBER(MATCH(A352,'3_Control_Ppto'!$A$4:$A$70,0))</f>
        <v>1</v>
      </c>
      <c r="Y352" s="136"/>
    </row>
    <row r="353" spans="1:25" ht="12" customHeight="1" x14ac:dyDescent="0.3">
      <c r="A353" s="140" t="s">
        <v>4317</v>
      </c>
      <c r="B353" s="140" t="s">
        <v>56</v>
      </c>
      <c r="C353" s="549">
        <f>+EOMONTH(Tabla18[[#This Row],[Fecha Asiento]],-1)+1</f>
        <v>45870</v>
      </c>
      <c r="D353" s="136">
        <v>52103</v>
      </c>
      <c r="E353" s="136" t="s">
        <v>4477</v>
      </c>
      <c r="F353" s="141">
        <v>45884</v>
      </c>
      <c r="G353" s="136">
        <v>4346</v>
      </c>
      <c r="H353" s="136" t="s">
        <v>4569</v>
      </c>
      <c r="I353" s="136" t="s">
        <v>4570</v>
      </c>
      <c r="J353" s="136" t="s">
        <v>4455</v>
      </c>
      <c r="K353" s="136">
        <v>418100135625</v>
      </c>
      <c r="L353" s="138">
        <v>13837.26</v>
      </c>
      <c r="M353" s="138">
        <v>0</v>
      </c>
      <c r="N353" s="136" t="s">
        <v>4425</v>
      </c>
      <c r="O353" s="136" t="s">
        <v>4426</v>
      </c>
      <c r="P353" s="136" t="s">
        <v>4427</v>
      </c>
      <c r="Q353" s="136" t="s">
        <v>4428</v>
      </c>
      <c r="R353" s="136">
        <v>0</v>
      </c>
      <c r="S353" s="142">
        <f>(Tabla18[[#This Row],[Debe]]-Tabla18[[#This Row],[Haber]])*
SUMIF('0_Indice_CAC'!$A:$A,Tabla18[[#This Row],[Mes]],'0_Indice_CAC'!$D:$D)</f>
        <v>12363.011674928439</v>
      </c>
      <c r="T353" s="142">
        <f>Tabla18[[#This Row],[Debe]]-Tabla18[[#This Row],[Haber]]</f>
        <v>13837.26</v>
      </c>
      <c r="U353" s="322"/>
      <c r="V353" s="323"/>
      <c r="W353" s="142">
        <f t="shared" si="8"/>
        <v>13837.26</v>
      </c>
      <c r="X353" s="142" t="b">
        <f>ISNUMBER(MATCH(A353,'3_Control_Ppto'!$A$4:$A$70,0))</f>
        <v>1</v>
      </c>
      <c r="Y353" s="136"/>
    </row>
    <row r="354" spans="1:25" ht="12" customHeight="1" x14ac:dyDescent="0.3">
      <c r="A354" s="140" t="s">
        <v>4317</v>
      </c>
      <c r="B354" s="140" t="s">
        <v>56</v>
      </c>
      <c r="C354" s="549">
        <f>+EOMONTH(Tabla18[[#This Row],[Fecha Asiento]],-1)+1</f>
        <v>45870</v>
      </c>
      <c r="D354" s="136">
        <v>52103</v>
      </c>
      <c r="E354" s="136" t="s">
        <v>4477</v>
      </c>
      <c r="F354" s="141">
        <v>45884</v>
      </c>
      <c r="G354" s="136">
        <v>4346</v>
      </c>
      <c r="H354" s="136" t="s">
        <v>4569</v>
      </c>
      <c r="I354" s="136" t="s">
        <v>4570</v>
      </c>
      <c r="J354" s="136" t="s">
        <v>4455</v>
      </c>
      <c r="K354" s="136">
        <v>418100135625</v>
      </c>
      <c r="L354" s="138">
        <v>56495.33</v>
      </c>
      <c r="M354" s="138">
        <v>0</v>
      </c>
      <c r="N354" s="136" t="s">
        <v>4425</v>
      </c>
      <c r="O354" s="136" t="s">
        <v>4426</v>
      </c>
      <c r="P354" s="136" t="s">
        <v>4427</v>
      </c>
      <c r="Q354" s="136" t="s">
        <v>4428</v>
      </c>
      <c r="R354" s="136">
        <v>0</v>
      </c>
      <c r="S354" s="142">
        <f>(Tabla18[[#This Row],[Debe]]-Tabla18[[#This Row],[Haber]])*
SUMIF('0_Indice_CAC'!$A:$A,Tabla18[[#This Row],[Mes]],'0_Indice_CAC'!$D:$D)</f>
        <v>50476.208755847241</v>
      </c>
      <c r="T354" s="142">
        <f>Tabla18[[#This Row],[Debe]]-Tabla18[[#This Row],[Haber]]</f>
        <v>56495.33</v>
      </c>
      <c r="U354" s="322"/>
      <c r="V354" s="323"/>
      <c r="W354" s="142">
        <f t="shared" si="8"/>
        <v>56495.33</v>
      </c>
      <c r="X354" s="142" t="b">
        <f>ISNUMBER(MATCH(A354,'3_Control_Ppto'!$A$4:$A$70,0))</f>
        <v>1</v>
      </c>
      <c r="Y354" s="136"/>
    </row>
    <row r="355" spans="1:25" ht="12" customHeight="1" x14ac:dyDescent="0.3">
      <c r="A355" s="140" t="s">
        <v>4317</v>
      </c>
      <c r="B355" s="140" t="s">
        <v>56</v>
      </c>
      <c r="C355" s="549">
        <f>+EOMONTH(Tabla18[[#This Row],[Fecha Asiento]],-1)+1</f>
        <v>45870</v>
      </c>
      <c r="D355" s="136">
        <v>52302</v>
      </c>
      <c r="E355" s="136" t="s">
        <v>4444</v>
      </c>
      <c r="F355" s="141">
        <v>45884</v>
      </c>
      <c r="G355" s="136">
        <v>4191</v>
      </c>
      <c r="H355" s="136" t="s">
        <v>4578</v>
      </c>
      <c r="I355" s="136" t="s">
        <v>4532</v>
      </c>
      <c r="J355" s="136" t="s">
        <v>4455</v>
      </c>
      <c r="K355" s="136">
        <v>217201779235</v>
      </c>
      <c r="L355" s="138">
        <v>1009.2</v>
      </c>
      <c r="M355" s="138">
        <v>0</v>
      </c>
      <c r="N355" s="136" t="s">
        <v>4425</v>
      </c>
      <c r="O355" s="136" t="s">
        <v>4426</v>
      </c>
      <c r="P355" s="136" t="s">
        <v>4427</v>
      </c>
      <c r="Q355" s="136" t="s">
        <v>4428</v>
      </c>
      <c r="R355" s="136">
        <v>0</v>
      </c>
      <c r="S355" s="142">
        <f>(Tabla18[[#This Row],[Debe]]-Tabla18[[#This Row],[Haber]])*
SUMIF('0_Indice_CAC'!$A:$A,Tabla18[[#This Row],[Mes]],'0_Indice_CAC'!$D:$D)</f>
        <v>901.67788871046582</v>
      </c>
      <c r="T355" s="142">
        <f>Tabla18[[#This Row],[Debe]]-Tabla18[[#This Row],[Haber]]</f>
        <v>1009.2</v>
      </c>
      <c r="U355" s="322"/>
      <c r="V355" s="323"/>
      <c r="W355" s="142">
        <f t="shared" si="8"/>
        <v>1009.2</v>
      </c>
      <c r="X355" s="142" t="b">
        <f>ISNUMBER(MATCH(A355,'3_Control_Ppto'!$A$4:$A$70,0))</f>
        <v>1</v>
      </c>
      <c r="Y355" s="136"/>
    </row>
    <row r="356" spans="1:25" ht="12" customHeight="1" x14ac:dyDescent="0.3">
      <c r="A356" s="140" t="s">
        <v>4317</v>
      </c>
      <c r="B356" s="140" t="s">
        <v>56</v>
      </c>
      <c r="C356" s="549">
        <f>+EOMONTH(Tabla18[[#This Row],[Fecha Asiento]],-1)+1</f>
        <v>45870</v>
      </c>
      <c r="D356" s="136">
        <v>52302</v>
      </c>
      <c r="E356" s="136" t="s">
        <v>4444</v>
      </c>
      <c r="F356" s="141">
        <v>45884</v>
      </c>
      <c r="G356" s="136">
        <v>4191</v>
      </c>
      <c r="H356" s="136" t="s">
        <v>4631</v>
      </c>
      <c r="I356" s="136" t="s">
        <v>4532</v>
      </c>
      <c r="J356" s="136" t="s">
        <v>4455</v>
      </c>
      <c r="K356" s="136">
        <v>217201779235</v>
      </c>
      <c r="L356" s="138">
        <v>42584.73</v>
      </c>
      <c r="M356" s="138">
        <v>0</v>
      </c>
      <c r="N356" s="136" t="s">
        <v>4425</v>
      </c>
      <c r="O356" s="136" t="s">
        <v>4426</v>
      </c>
      <c r="P356" s="136" t="s">
        <v>4427</v>
      </c>
      <c r="Q356" s="136" t="s">
        <v>4428</v>
      </c>
      <c r="R356" s="136">
        <v>0</v>
      </c>
      <c r="S356" s="142">
        <f>(Tabla18[[#This Row],[Debe]]-Tabla18[[#This Row],[Haber]])*
SUMIF('0_Indice_CAC'!$A:$A,Tabla18[[#This Row],[Mes]],'0_Indice_CAC'!$D:$D)</f>
        <v>38047.670865740423</v>
      </c>
      <c r="T356" s="142">
        <f>Tabla18[[#This Row],[Debe]]-Tabla18[[#This Row],[Haber]]</f>
        <v>42584.73</v>
      </c>
      <c r="U356" s="322"/>
      <c r="V356" s="323"/>
      <c r="W356" s="142">
        <f t="shared" si="8"/>
        <v>42584.73</v>
      </c>
      <c r="X356" s="142" t="b">
        <f>ISNUMBER(MATCH(A356,'3_Control_Ppto'!$A$4:$A$70,0))</f>
        <v>1</v>
      </c>
      <c r="Y356" s="136"/>
    </row>
    <row r="357" spans="1:25" ht="12" customHeight="1" x14ac:dyDescent="0.3">
      <c r="A357" s="140" t="s">
        <v>4317</v>
      </c>
      <c r="B357" s="140" t="s">
        <v>56</v>
      </c>
      <c r="C357" s="549">
        <f>+EOMONTH(Tabla18[[#This Row],[Fecha Asiento]],-1)+1</f>
        <v>45870</v>
      </c>
      <c r="D357" s="136">
        <v>52302</v>
      </c>
      <c r="E357" s="136" t="s">
        <v>4444</v>
      </c>
      <c r="F357" s="141">
        <v>45884</v>
      </c>
      <c r="G357" s="136">
        <v>4191</v>
      </c>
      <c r="H357" s="136" t="s">
        <v>4703</v>
      </c>
      <c r="I357" s="136" t="s">
        <v>4532</v>
      </c>
      <c r="J357" s="136" t="s">
        <v>4455</v>
      </c>
      <c r="K357" s="136">
        <v>217201779235</v>
      </c>
      <c r="L357" s="138">
        <v>26066.6</v>
      </c>
      <c r="M357" s="138">
        <v>0</v>
      </c>
      <c r="N357" s="136" t="s">
        <v>4425</v>
      </c>
      <c r="O357" s="136" t="s">
        <v>4426</v>
      </c>
      <c r="P357" s="136" t="s">
        <v>4427</v>
      </c>
      <c r="Q357" s="136" t="s">
        <v>4428</v>
      </c>
      <c r="R357" s="136">
        <v>0</v>
      </c>
      <c r="S357" s="142">
        <f>(Tabla18[[#This Row],[Debe]]-Tabla18[[#This Row],[Haber]])*
SUMIF('0_Indice_CAC'!$A:$A,Tabla18[[#This Row],[Mes]],'0_Indice_CAC'!$D:$D)</f>
        <v>23289.414242826224</v>
      </c>
      <c r="T357" s="142">
        <f>Tabla18[[#This Row],[Debe]]-Tabla18[[#This Row],[Haber]]</f>
        <v>26066.6</v>
      </c>
      <c r="U357" s="322"/>
      <c r="V357" s="323"/>
      <c r="W357" s="142">
        <f t="shared" si="8"/>
        <v>26066.6</v>
      </c>
      <c r="X357" s="142" t="b">
        <f>ISNUMBER(MATCH(A357,'3_Control_Ppto'!$A$4:$A$70,0))</f>
        <v>1</v>
      </c>
      <c r="Y357" s="136"/>
    </row>
    <row r="358" spans="1:25" ht="12" customHeight="1" x14ac:dyDescent="0.3">
      <c r="A358" s="140" t="s">
        <v>4317</v>
      </c>
      <c r="B358" s="140" t="s">
        <v>56</v>
      </c>
      <c r="C358" s="549">
        <f>+EOMONTH(Tabla18[[#This Row],[Fecha Asiento]],-1)+1</f>
        <v>45870</v>
      </c>
      <c r="D358" s="136">
        <v>52302</v>
      </c>
      <c r="E358" s="136" t="s">
        <v>4444</v>
      </c>
      <c r="F358" s="141">
        <v>45884</v>
      </c>
      <c r="G358" s="136">
        <v>4191</v>
      </c>
      <c r="H358" s="136" t="s">
        <v>4534</v>
      </c>
      <c r="I358" s="136" t="s">
        <v>4532</v>
      </c>
      <c r="J358" s="136" t="s">
        <v>4455</v>
      </c>
      <c r="K358" s="136">
        <v>217201779235</v>
      </c>
      <c r="L358" s="138">
        <v>12739.96</v>
      </c>
      <c r="M358" s="138">
        <v>0</v>
      </c>
      <c r="N358" s="136" t="s">
        <v>4425</v>
      </c>
      <c r="O358" s="136" t="s">
        <v>4426</v>
      </c>
      <c r="P358" s="136" t="s">
        <v>4427</v>
      </c>
      <c r="Q358" s="136" t="s">
        <v>4428</v>
      </c>
      <c r="R358" s="136">
        <v>0</v>
      </c>
      <c r="S358" s="142">
        <f>(Tabla18[[#This Row],[Debe]]-Tabla18[[#This Row],[Haber]])*
SUMIF('0_Indice_CAC'!$A:$A,Tabla18[[#This Row],[Mes]],'0_Indice_CAC'!$D:$D)</f>
        <v>11382.620129861063</v>
      </c>
      <c r="T358" s="142">
        <f>Tabla18[[#This Row],[Debe]]-Tabla18[[#This Row],[Haber]]</f>
        <v>12739.96</v>
      </c>
      <c r="U358" s="322"/>
      <c r="V358" s="323"/>
      <c r="W358" s="142">
        <f t="shared" si="8"/>
        <v>12739.96</v>
      </c>
      <c r="X358" s="142" t="b">
        <f>ISNUMBER(MATCH(A358,'3_Control_Ppto'!$A$4:$A$70,0))</f>
        <v>1</v>
      </c>
      <c r="Y358" s="136"/>
    </row>
    <row r="359" spans="1:25" ht="12" customHeight="1" x14ac:dyDescent="0.3">
      <c r="A359" s="140" t="s">
        <v>1478</v>
      </c>
      <c r="B359" s="140" t="s">
        <v>4090</v>
      </c>
      <c r="C359" s="549">
        <f>+EOMONTH(Tabla18[[#This Row],[Fecha Asiento]],-1)+1</f>
        <v>45870</v>
      </c>
      <c r="D359" s="136">
        <v>53004</v>
      </c>
      <c r="E359" s="136" t="s">
        <v>4496</v>
      </c>
      <c r="F359" s="141">
        <v>45884</v>
      </c>
      <c r="G359" s="136">
        <v>4192</v>
      </c>
      <c r="H359" s="136" t="s">
        <v>4676</v>
      </c>
      <c r="I359" s="136" t="s">
        <v>4630</v>
      </c>
      <c r="J359" s="136" t="s">
        <v>4455</v>
      </c>
      <c r="K359" s="136">
        <v>1500083497</v>
      </c>
      <c r="L359" s="138">
        <v>185498.87</v>
      </c>
      <c r="M359" s="138">
        <v>0</v>
      </c>
      <c r="N359" s="136" t="s">
        <v>4425</v>
      </c>
      <c r="O359" s="136" t="s">
        <v>4426</v>
      </c>
      <c r="P359" s="136" t="s">
        <v>4427</v>
      </c>
      <c r="Q359" s="136" t="s">
        <v>4428</v>
      </c>
      <c r="R359" s="136">
        <v>0</v>
      </c>
      <c r="S359" s="142">
        <f>(Tabla18[[#This Row],[Debe]]-Tabla18[[#This Row],[Haber]])*
SUMIF('0_Indice_CAC'!$A:$A,Tabla18[[#This Row],[Mes]],'0_Indice_CAC'!$D:$D)</f>
        <v>165735.46319835231</v>
      </c>
      <c r="T359" s="142">
        <f>Tabla18[[#This Row],[Debe]]-Tabla18[[#This Row],[Haber]]</f>
        <v>185498.87</v>
      </c>
      <c r="U359" s="322"/>
      <c r="V359" s="323"/>
      <c r="W359" s="142">
        <f t="shared" si="8"/>
        <v>185498.87</v>
      </c>
      <c r="X359" s="142" t="b">
        <f>ISNUMBER(MATCH(A359,'3_Control_Ppto'!$A$4:$A$70,0))</f>
        <v>1</v>
      </c>
      <c r="Y359" s="136"/>
    </row>
    <row r="360" spans="1:25" ht="12" customHeight="1" x14ac:dyDescent="0.3">
      <c r="A360" s="140" t="s">
        <v>3219</v>
      </c>
      <c r="B360" s="140" t="s">
        <v>56</v>
      </c>
      <c r="C360" s="549">
        <f>+EOMONTH(Tabla18[[#This Row],[Fecha Asiento]],-1)+1</f>
        <v>45870</v>
      </c>
      <c r="D360" s="136">
        <v>53020</v>
      </c>
      <c r="E360" s="136" t="s">
        <v>4680</v>
      </c>
      <c r="F360" s="141">
        <v>45884</v>
      </c>
      <c r="G360" s="136">
        <v>1994</v>
      </c>
      <c r="H360" s="136" t="s">
        <v>4704</v>
      </c>
      <c r="I360" s="136" t="s">
        <v>4423</v>
      </c>
      <c r="J360" s="136" t="s">
        <v>4424</v>
      </c>
      <c r="K360" s="136">
        <v>7390</v>
      </c>
      <c r="L360" s="138">
        <v>450000</v>
      </c>
      <c r="M360" s="138">
        <v>0</v>
      </c>
      <c r="N360" s="136" t="s">
        <v>4425</v>
      </c>
      <c r="O360" s="136" t="s">
        <v>4426</v>
      </c>
      <c r="P360" s="136" t="s">
        <v>4427</v>
      </c>
      <c r="Q360" s="136" t="s">
        <v>4428</v>
      </c>
      <c r="R360" s="136">
        <v>0</v>
      </c>
      <c r="S360" s="142">
        <f>(Tabla18[[#This Row],[Debe]]-Tabla18[[#This Row],[Haber]])*
SUMIF('0_Indice_CAC'!$A:$A,Tabla18[[#This Row],[Mes]],'0_Indice_CAC'!$D:$D)</f>
        <v>402056.13349158701</v>
      </c>
      <c r="T360" s="142">
        <f>Tabla18[[#This Row],[Debe]]-Tabla18[[#This Row],[Haber]]</f>
        <v>450000</v>
      </c>
      <c r="U360" s="322"/>
      <c r="V360" s="323"/>
      <c r="W360" s="142">
        <f t="shared" si="8"/>
        <v>450000</v>
      </c>
      <c r="X360" s="142" t="b">
        <f>ISNUMBER(MATCH(A360,'3_Control_Ppto'!$A$4:$A$70,0))</f>
        <v>1</v>
      </c>
      <c r="Y360" s="136"/>
    </row>
    <row r="361" spans="1:25" ht="12" customHeight="1" x14ac:dyDescent="0.3">
      <c r="A361" s="140" t="s">
        <v>4317</v>
      </c>
      <c r="B361" s="140" t="s">
        <v>56</v>
      </c>
      <c r="C361" s="549">
        <f>+EOMONTH(Tabla18[[#This Row],[Fecha Asiento]],-1)+1</f>
        <v>45870</v>
      </c>
      <c r="D361" s="136">
        <v>52102</v>
      </c>
      <c r="E361" s="136" t="s">
        <v>4535</v>
      </c>
      <c r="F361" s="141">
        <v>45885</v>
      </c>
      <c r="G361" s="136">
        <v>4347</v>
      </c>
      <c r="H361" s="136" t="s">
        <v>4536</v>
      </c>
      <c r="I361" s="136" t="s">
        <v>4480</v>
      </c>
      <c r="J361" s="136" t="s">
        <v>4439</v>
      </c>
      <c r="K361" s="136">
        <v>1165100000133</v>
      </c>
      <c r="L361" s="138">
        <v>3359.49</v>
      </c>
      <c r="M361" s="138">
        <v>0</v>
      </c>
      <c r="N361" s="136" t="s">
        <v>4425</v>
      </c>
      <c r="O361" s="136" t="s">
        <v>4426</v>
      </c>
      <c r="P361" s="136" t="s">
        <v>4427</v>
      </c>
      <c r="Q361" s="136" t="s">
        <v>4428</v>
      </c>
      <c r="R361" s="136">
        <v>0</v>
      </c>
      <c r="S361" s="142">
        <f>(Tabla18[[#This Row],[Debe]]-Tabla18[[#This Row],[Haber]])*
SUMIF('0_Indice_CAC'!$A:$A,Tabla18[[#This Row],[Mes]],'0_Indice_CAC'!$D:$D)</f>
        <v>3001.5634664525587</v>
      </c>
      <c r="T361" s="142">
        <f>Tabla18[[#This Row],[Debe]]-Tabla18[[#This Row],[Haber]]</f>
        <v>3359.49</v>
      </c>
      <c r="U361" s="322"/>
      <c r="V361" s="323"/>
      <c r="W361" s="142">
        <f t="shared" si="8"/>
        <v>3359.49</v>
      </c>
      <c r="X361" s="142" t="b">
        <f>ISNUMBER(MATCH(A361,'3_Control_Ppto'!$A$4:$A$70,0))</f>
        <v>1</v>
      </c>
      <c r="Y361" s="136"/>
    </row>
    <row r="362" spans="1:25" ht="12" customHeight="1" x14ac:dyDescent="0.3">
      <c r="A362" s="140" t="s">
        <v>106</v>
      </c>
      <c r="B362" s="140" t="s">
        <v>4090</v>
      </c>
      <c r="C362" s="549">
        <f>+EOMONTH(Tabla18[[#This Row],[Fecha Asiento]],-1)+1</f>
        <v>45870</v>
      </c>
      <c r="D362" s="136">
        <v>53023</v>
      </c>
      <c r="E362" s="136" t="s">
        <v>4467</v>
      </c>
      <c r="F362" s="141">
        <v>45887</v>
      </c>
      <c r="G362" s="136">
        <v>4348</v>
      </c>
      <c r="H362" s="136" t="s">
        <v>4705</v>
      </c>
      <c r="I362" s="136" t="s">
        <v>4482</v>
      </c>
      <c r="J362" s="136" t="s">
        <v>4455</v>
      </c>
      <c r="K362" s="136">
        <v>1000000113</v>
      </c>
      <c r="L362" s="138">
        <v>6612</v>
      </c>
      <c r="M362" s="138">
        <v>0</v>
      </c>
      <c r="N362" s="136" t="s">
        <v>4425</v>
      </c>
      <c r="O362" s="136" t="s">
        <v>4426</v>
      </c>
      <c r="P362" s="136" t="s">
        <v>4427</v>
      </c>
      <c r="Q362" s="136" t="s">
        <v>4428</v>
      </c>
      <c r="R362" s="136">
        <v>0</v>
      </c>
      <c r="S362" s="142">
        <f>(Tabla18[[#This Row],[Debe]]-Tabla18[[#This Row],[Haber]])*
SUMIF('0_Indice_CAC'!$A:$A,Tabla18[[#This Row],[Mes]],'0_Indice_CAC'!$D:$D)</f>
        <v>5907.5447881030514</v>
      </c>
      <c r="T362" s="142">
        <f>Tabla18[[#This Row],[Debe]]-Tabla18[[#This Row],[Haber]]</f>
        <v>6612</v>
      </c>
      <c r="U362" s="322"/>
      <c r="V362" s="323"/>
      <c r="W362" s="142">
        <f t="shared" si="8"/>
        <v>6612</v>
      </c>
      <c r="X362" s="142" t="b">
        <f>ISNUMBER(MATCH(A362,'3_Control_Ppto'!$A$4:$A$70,0))</f>
        <v>1</v>
      </c>
      <c r="Y362" s="136"/>
    </row>
    <row r="363" spans="1:25" ht="12" customHeight="1" x14ac:dyDescent="0.3">
      <c r="A363" s="140" t="s">
        <v>106</v>
      </c>
      <c r="B363" s="140" t="s">
        <v>4090</v>
      </c>
      <c r="C363" s="549">
        <f>+EOMONTH(Tabla18[[#This Row],[Fecha Asiento]],-1)+1</f>
        <v>45870</v>
      </c>
      <c r="D363" s="136">
        <v>53023</v>
      </c>
      <c r="E363" s="136" t="s">
        <v>4467</v>
      </c>
      <c r="F363" s="141">
        <v>45887</v>
      </c>
      <c r="G363" s="136">
        <v>4349</v>
      </c>
      <c r="H363" s="136" t="s">
        <v>4705</v>
      </c>
      <c r="I363" s="136" t="s">
        <v>4482</v>
      </c>
      <c r="J363" s="136" t="s">
        <v>4455</v>
      </c>
      <c r="K363" s="136">
        <v>1000000115</v>
      </c>
      <c r="L363" s="138">
        <v>3306</v>
      </c>
      <c r="M363" s="138">
        <v>0</v>
      </c>
      <c r="N363" s="136" t="s">
        <v>4425</v>
      </c>
      <c r="O363" s="136" t="s">
        <v>4426</v>
      </c>
      <c r="P363" s="136" t="s">
        <v>4427</v>
      </c>
      <c r="Q363" s="136" t="s">
        <v>4428</v>
      </c>
      <c r="R363" s="136">
        <v>0</v>
      </c>
      <c r="S363" s="142">
        <f>(Tabla18[[#This Row],[Debe]]-Tabla18[[#This Row],[Haber]])*
SUMIF('0_Indice_CAC'!$A:$A,Tabla18[[#This Row],[Mes]],'0_Indice_CAC'!$D:$D)</f>
        <v>2953.7723940515257</v>
      </c>
      <c r="T363" s="142">
        <f>Tabla18[[#This Row],[Debe]]-Tabla18[[#This Row],[Haber]]</f>
        <v>3306</v>
      </c>
      <c r="U363" s="322"/>
      <c r="V363" s="323"/>
      <c r="W363" s="142">
        <f t="shared" si="8"/>
        <v>3306</v>
      </c>
      <c r="X363" s="142" t="b">
        <f>ISNUMBER(MATCH(A363,'3_Control_Ppto'!$A$4:$A$70,0))</f>
        <v>1</v>
      </c>
      <c r="Y363" s="136"/>
    </row>
    <row r="364" spans="1:25" ht="12" customHeight="1" x14ac:dyDescent="0.3">
      <c r="A364" s="140" t="s">
        <v>4317</v>
      </c>
      <c r="B364" s="140" t="s">
        <v>56</v>
      </c>
      <c r="C364" s="549">
        <f>+EOMONTH(Tabla18[[#This Row],[Fecha Asiento]],-1)+1</f>
        <v>45870</v>
      </c>
      <c r="D364" s="136">
        <v>52005</v>
      </c>
      <c r="E364" s="136" t="s">
        <v>4357</v>
      </c>
      <c r="F364" s="141">
        <v>45888</v>
      </c>
      <c r="G364" s="136">
        <v>4351</v>
      </c>
      <c r="H364" s="136" t="s">
        <v>4586</v>
      </c>
      <c r="I364" s="136" t="s">
        <v>4587</v>
      </c>
      <c r="J364" s="136" t="s">
        <v>4455</v>
      </c>
      <c r="K364" s="136">
        <v>426405763893</v>
      </c>
      <c r="L364" s="138">
        <v>21825</v>
      </c>
      <c r="M364" s="138">
        <v>0</v>
      </c>
      <c r="N364" s="136" t="s">
        <v>4425</v>
      </c>
      <c r="O364" s="136" t="s">
        <v>4426</v>
      </c>
      <c r="P364" s="136" t="s">
        <v>4427</v>
      </c>
      <c r="Q364" s="136" t="s">
        <v>4428</v>
      </c>
      <c r="R364" s="136">
        <v>0</v>
      </c>
      <c r="S364" s="142">
        <f>(Tabla18[[#This Row],[Debe]]-Tabla18[[#This Row],[Haber]])*
SUMIF('0_Indice_CAC'!$A:$A,Tabla18[[#This Row],[Mes]],'0_Indice_CAC'!$D:$D)</f>
        <v>19499.722474341968</v>
      </c>
      <c r="T364" s="142">
        <f>Tabla18[[#This Row],[Debe]]-Tabla18[[#This Row],[Haber]]</f>
        <v>21825</v>
      </c>
      <c r="U364" s="322"/>
      <c r="V364" s="323"/>
      <c r="W364" s="142">
        <f t="shared" si="8"/>
        <v>21825</v>
      </c>
      <c r="X364" s="142" t="b">
        <f>ISNUMBER(MATCH(A364,'3_Control_Ppto'!$A$4:$A$70,0))</f>
        <v>1</v>
      </c>
      <c r="Y364" s="136"/>
    </row>
    <row r="365" spans="1:25" ht="12" customHeight="1" x14ac:dyDescent="0.3">
      <c r="A365" s="140" t="s">
        <v>106</v>
      </c>
      <c r="B365" s="140" t="s">
        <v>25</v>
      </c>
      <c r="C365" s="549">
        <f>+EOMONTH(Tabla18[[#This Row],[Fecha Asiento]],-1)+1</f>
        <v>45870</v>
      </c>
      <c r="D365" s="136">
        <v>53009</v>
      </c>
      <c r="E365" s="136" t="s">
        <v>4446</v>
      </c>
      <c r="F365" s="141">
        <v>45889</v>
      </c>
      <c r="G365" s="136">
        <v>2013</v>
      </c>
      <c r="H365" s="136" t="s">
        <v>4706</v>
      </c>
      <c r="I365" s="136" t="s">
        <v>4423</v>
      </c>
      <c r="J365" s="136" t="s">
        <v>4424</v>
      </c>
      <c r="K365" s="136">
        <v>7405</v>
      </c>
      <c r="L365" s="138">
        <v>2053000</v>
      </c>
      <c r="M365" s="138">
        <v>0</v>
      </c>
      <c r="N365" s="136" t="s">
        <v>4425</v>
      </c>
      <c r="O365" s="136" t="s">
        <v>4426</v>
      </c>
      <c r="P365" s="136" t="s">
        <v>4427</v>
      </c>
      <c r="Q365" s="136" t="s">
        <v>4428</v>
      </c>
      <c r="R365" s="136">
        <v>0</v>
      </c>
      <c r="S365" s="142">
        <f>(Tabla18[[#This Row],[Debe]]-Tabla18[[#This Row],[Haber]])*
SUMIF('0_Indice_CAC'!$A:$A,Tabla18[[#This Row],[Mes]],'0_Indice_CAC'!$D:$D)</f>
        <v>1834269.4267960624</v>
      </c>
      <c r="T365" s="142">
        <f>Tabla18[[#This Row],[Debe]]-Tabla18[[#This Row],[Haber]]</f>
        <v>2053000</v>
      </c>
      <c r="U365" s="322"/>
      <c r="V365" s="323"/>
      <c r="W365" s="142">
        <f t="shared" si="8"/>
        <v>2053000</v>
      </c>
      <c r="X365" s="142" t="b">
        <f>ISNUMBER(MATCH(A365,'3_Control_Ppto'!$A$4:$A$70,0))</f>
        <v>1</v>
      </c>
      <c r="Y365" s="136"/>
    </row>
    <row r="366" spans="1:25" ht="12" customHeight="1" x14ac:dyDescent="0.3">
      <c r="A366" s="140" t="s">
        <v>1478</v>
      </c>
      <c r="B366" s="140" t="s">
        <v>4090</v>
      </c>
      <c r="C366" s="549">
        <f>+EOMONTH(Tabla18[[#This Row],[Fecha Asiento]],-1)+1</f>
        <v>45870</v>
      </c>
      <c r="D366" s="136">
        <v>53004</v>
      </c>
      <c r="E366" s="136" t="s">
        <v>4496</v>
      </c>
      <c r="F366" s="141">
        <v>45890</v>
      </c>
      <c r="G366" s="136">
        <v>4252</v>
      </c>
      <c r="H366" s="136" t="s">
        <v>4707</v>
      </c>
      <c r="I366" s="136" t="s">
        <v>4624</v>
      </c>
      <c r="J366" s="136" t="s">
        <v>4455</v>
      </c>
      <c r="K366" s="136">
        <v>5000014202</v>
      </c>
      <c r="L366" s="138">
        <v>2692435.13</v>
      </c>
      <c r="M366" s="138">
        <v>0</v>
      </c>
      <c r="N366" s="136" t="s">
        <v>4425</v>
      </c>
      <c r="O366" s="136" t="s">
        <v>4426</v>
      </c>
      <c r="P366" s="136" t="s">
        <v>4427</v>
      </c>
      <c r="Q366" s="136" t="s">
        <v>4428</v>
      </c>
      <c r="R366" s="136">
        <v>0</v>
      </c>
      <c r="S366" s="142">
        <f>(Tabla18[[#This Row],[Debe]]-Tabla18[[#This Row],[Haber]])*
SUMIF('0_Indice_CAC'!$A:$A,Tabla18[[#This Row],[Mes]],'0_Indice_CAC'!$D:$D)</f>
        <v>2405577.9067660407</v>
      </c>
      <c r="T366" s="142">
        <f>Tabla18[[#This Row],[Debe]]-Tabla18[[#This Row],[Haber]]</f>
        <v>2692435.13</v>
      </c>
      <c r="U366" s="322"/>
      <c r="V366" s="323"/>
      <c r="W366" s="142">
        <f t="shared" si="8"/>
        <v>2692435.13</v>
      </c>
      <c r="X366" s="142" t="b">
        <f>ISNUMBER(MATCH(A366,'3_Control_Ppto'!$A$4:$A$70,0))</f>
        <v>1</v>
      </c>
      <c r="Y366" s="136"/>
    </row>
    <row r="367" spans="1:25" ht="12" customHeight="1" x14ac:dyDescent="0.3">
      <c r="A367" s="140" t="s">
        <v>106</v>
      </c>
      <c r="B367" s="140" t="s">
        <v>4090</v>
      </c>
      <c r="C367" s="549">
        <f>+EOMONTH(Tabla18[[#This Row],[Fecha Asiento]],-1)+1</f>
        <v>45870</v>
      </c>
      <c r="D367" s="136">
        <v>53023</v>
      </c>
      <c r="E367" s="136" t="s">
        <v>4467</v>
      </c>
      <c r="F367" s="141">
        <v>45890</v>
      </c>
      <c r="G367" s="136">
        <v>4355</v>
      </c>
      <c r="H367" s="136" t="s">
        <v>4498</v>
      </c>
      <c r="I367" s="136" t="s">
        <v>4466</v>
      </c>
      <c r="J367" s="136" t="s">
        <v>4455</v>
      </c>
      <c r="K367" s="136">
        <v>600012044</v>
      </c>
      <c r="L367" s="138">
        <v>11157.03</v>
      </c>
      <c r="M367" s="138">
        <v>0</v>
      </c>
      <c r="N367" s="136" t="s">
        <v>4425</v>
      </c>
      <c r="O367" s="136" t="s">
        <v>4426</v>
      </c>
      <c r="P367" s="136" t="s">
        <v>4427</v>
      </c>
      <c r="Q367" s="136" t="s">
        <v>4428</v>
      </c>
      <c r="R367" s="136">
        <v>0</v>
      </c>
      <c r="S367" s="142">
        <f>(Tabla18[[#This Row],[Debe]]-Tabla18[[#This Row],[Haber]])*
SUMIF('0_Indice_CAC'!$A:$A,Tabla18[[#This Row],[Mes]],'0_Indice_CAC'!$D:$D)</f>
        <v>9968.3385401103133</v>
      </c>
      <c r="T367" s="142">
        <f>Tabla18[[#This Row],[Debe]]-Tabla18[[#This Row],[Haber]]</f>
        <v>11157.03</v>
      </c>
      <c r="U367" s="322"/>
      <c r="V367" s="323"/>
      <c r="W367" s="142">
        <f t="shared" si="8"/>
        <v>11157.03</v>
      </c>
      <c r="X367" s="142" t="b">
        <f>ISNUMBER(MATCH(A367,'3_Control_Ppto'!$A$4:$A$70,0))</f>
        <v>1</v>
      </c>
      <c r="Y367" s="136"/>
    </row>
    <row r="368" spans="1:25" ht="12" customHeight="1" x14ac:dyDescent="0.3">
      <c r="A368" s="140" t="s">
        <v>25</v>
      </c>
      <c r="B368" s="140" t="s">
        <v>25</v>
      </c>
      <c r="C368" s="549">
        <f>+EOMONTH(Tabla18[[#This Row],[Fecha Asiento]],-1)+1</f>
        <v>45870</v>
      </c>
      <c r="D368" s="136">
        <v>410222</v>
      </c>
      <c r="E368" s="136" t="s">
        <v>4605</v>
      </c>
      <c r="F368" s="141">
        <v>45891</v>
      </c>
      <c r="G368" s="136">
        <v>4284</v>
      </c>
      <c r="H368" s="136" t="s">
        <v>4606</v>
      </c>
      <c r="I368" s="136" t="s">
        <v>4607</v>
      </c>
      <c r="J368" s="136" t="s">
        <v>4608</v>
      </c>
      <c r="K368" s="136">
        <v>300000719</v>
      </c>
      <c r="L368" s="138">
        <v>0</v>
      </c>
      <c r="M368" s="138">
        <v>17731795</v>
      </c>
      <c r="N368" s="136" t="s">
        <v>4425</v>
      </c>
      <c r="O368" s="136" t="s">
        <v>4426</v>
      </c>
      <c r="P368" s="136" t="s">
        <v>4427</v>
      </c>
      <c r="Q368" s="136" t="s">
        <v>4428</v>
      </c>
      <c r="R368" s="136">
        <v>0</v>
      </c>
      <c r="S368" s="142">
        <f>(Tabla18[[#This Row],[Debe]]-Tabla18[[#This Row],[Haber]])*
SUMIF('0_Indice_CAC'!$A:$A,Tabla18[[#This Row],[Mes]],'0_Indice_CAC'!$D:$D)</f>
        <v>-15842615.416812122</v>
      </c>
      <c r="T368" s="142">
        <f>Tabla18[[#This Row],[Debe]]-Tabla18[[#This Row],[Haber]]</f>
        <v>-17731795</v>
      </c>
      <c r="U368" s="322"/>
      <c r="V368" s="323"/>
      <c r="W368" s="142">
        <f t="shared" si="8"/>
        <v>-17731795</v>
      </c>
      <c r="X368" s="142" t="b">
        <f>ISNUMBER(MATCH(A368,'3_Control_Ppto'!$A$4:$A$70,0))</f>
        <v>0</v>
      </c>
      <c r="Y368" s="136"/>
    </row>
    <row r="369" spans="1:25" ht="12" customHeight="1" x14ac:dyDescent="0.3">
      <c r="A369" s="140" t="s">
        <v>25</v>
      </c>
      <c r="B369" s="140" t="s">
        <v>25</v>
      </c>
      <c r="C369" s="549">
        <f>+EOMONTH(Tabla18[[#This Row],[Fecha Asiento]],-1)+1</f>
        <v>45870</v>
      </c>
      <c r="D369" s="136">
        <v>4201</v>
      </c>
      <c r="E369" s="136" t="s">
        <v>4566</v>
      </c>
      <c r="F369" s="141">
        <v>45891</v>
      </c>
      <c r="G369" s="136">
        <v>2073</v>
      </c>
      <c r="H369" s="136" t="s">
        <v>4708</v>
      </c>
      <c r="I369" s="136" t="s">
        <v>4423</v>
      </c>
      <c r="J369" s="136" t="s">
        <v>4568</v>
      </c>
      <c r="K369" s="136">
        <v>216</v>
      </c>
      <c r="L369" s="138">
        <v>0</v>
      </c>
      <c r="M369" s="138">
        <v>3484750</v>
      </c>
      <c r="N369" s="136" t="s">
        <v>4425</v>
      </c>
      <c r="O369" s="136" t="s">
        <v>4426</v>
      </c>
      <c r="P369" s="136" t="s">
        <v>4427</v>
      </c>
      <c r="Q369" s="136" t="s">
        <v>4428</v>
      </c>
      <c r="R369" s="136">
        <v>0</v>
      </c>
      <c r="S369" s="142">
        <f>(Tabla18[[#This Row],[Debe]]-Tabla18[[#This Row],[Haber]])*
SUMIF('0_Indice_CAC'!$A:$A,Tabla18[[#This Row],[Mes]],'0_Indice_CAC'!$D:$D)</f>
        <v>-3113478.0248551285</v>
      </c>
      <c r="T369" s="142">
        <f>Tabla18[[#This Row],[Debe]]-Tabla18[[#This Row],[Haber]]</f>
        <v>-3484750</v>
      </c>
      <c r="U369" s="322"/>
      <c r="V369" s="323"/>
      <c r="W369" s="142">
        <f t="shared" si="8"/>
        <v>-3484750</v>
      </c>
      <c r="X369" s="142" t="b">
        <f>ISNUMBER(MATCH(A369,'3_Control_Ppto'!$A$4:$A$70,0))</f>
        <v>0</v>
      </c>
      <c r="Y369" s="136"/>
    </row>
    <row r="370" spans="1:25" ht="12" customHeight="1" x14ac:dyDescent="0.3">
      <c r="A370" s="140" t="s">
        <v>4317</v>
      </c>
      <c r="B370" s="140" t="s">
        <v>56</v>
      </c>
      <c r="C370" s="549">
        <f>+EOMONTH(Tabla18[[#This Row],[Fecha Asiento]],-1)+1</f>
        <v>45870</v>
      </c>
      <c r="D370" s="136">
        <v>52102</v>
      </c>
      <c r="E370" s="136" t="s">
        <v>4535</v>
      </c>
      <c r="F370" s="141">
        <v>45894</v>
      </c>
      <c r="G370" s="136">
        <v>4357</v>
      </c>
      <c r="H370" s="136" t="s">
        <v>4633</v>
      </c>
      <c r="I370" s="136" t="s">
        <v>4634</v>
      </c>
      <c r="J370" s="136" t="s">
        <v>4542</v>
      </c>
      <c r="K370" s="136">
        <v>400006851</v>
      </c>
      <c r="L370" s="138">
        <v>25800</v>
      </c>
      <c r="M370" s="138">
        <v>0</v>
      </c>
      <c r="N370" s="136" t="s">
        <v>4425</v>
      </c>
      <c r="O370" s="136" t="s">
        <v>4426</v>
      </c>
      <c r="P370" s="136" t="s">
        <v>4427</v>
      </c>
      <c r="Q370" s="136" t="s">
        <v>4428</v>
      </c>
      <c r="R370" s="136">
        <v>0</v>
      </c>
      <c r="S370" s="142">
        <f>(Tabla18[[#This Row],[Debe]]-Tabla18[[#This Row],[Haber]])*
SUMIF('0_Indice_CAC'!$A:$A,Tabla18[[#This Row],[Mes]],'0_Indice_CAC'!$D:$D)</f>
        <v>23051.218320184322</v>
      </c>
      <c r="T370" s="142">
        <f>Tabla18[[#This Row],[Debe]]-Tabla18[[#This Row],[Haber]]</f>
        <v>25800</v>
      </c>
      <c r="U370" s="322"/>
      <c r="V370" s="323"/>
      <c r="W370" s="142">
        <f t="shared" si="8"/>
        <v>25800</v>
      </c>
      <c r="X370" s="142" t="b">
        <f>ISNUMBER(MATCH(A370,'3_Control_Ppto'!$A$4:$A$70,0))</f>
        <v>1</v>
      </c>
      <c r="Y370" s="136"/>
    </row>
    <row r="371" spans="1:25" ht="12" customHeight="1" x14ac:dyDescent="0.3">
      <c r="A371" s="140" t="s">
        <v>25</v>
      </c>
      <c r="B371" s="140" t="s">
        <v>25</v>
      </c>
      <c r="C371" s="549">
        <f>+EOMONTH(Tabla18[[#This Row],[Fecha Asiento]],-1)+1</f>
        <v>45870</v>
      </c>
      <c r="D371" s="136">
        <v>5108</v>
      </c>
      <c r="E371" s="136" t="s">
        <v>4469</v>
      </c>
      <c r="F371" s="141">
        <v>45895</v>
      </c>
      <c r="G371" s="136">
        <v>4361</v>
      </c>
      <c r="H371" s="136" t="s">
        <v>4470</v>
      </c>
      <c r="I371" s="136" t="s">
        <v>4471</v>
      </c>
      <c r="J371" s="136" t="s">
        <v>4455</v>
      </c>
      <c r="K371" s="136">
        <v>1000206822</v>
      </c>
      <c r="L371" s="138">
        <v>27040.04</v>
      </c>
      <c r="M371" s="138">
        <v>0</v>
      </c>
      <c r="N371" s="136" t="s">
        <v>4425</v>
      </c>
      <c r="O371" s="136" t="s">
        <v>4426</v>
      </c>
      <c r="P371" s="136" t="s">
        <v>4427</v>
      </c>
      <c r="Q371" s="136" t="s">
        <v>4428</v>
      </c>
      <c r="R371" s="136">
        <v>0</v>
      </c>
      <c r="S371" s="142">
        <f>(Tabla18[[#This Row],[Debe]]-Tabla18[[#This Row],[Haber]])*
SUMIF('0_Indice_CAC'!$A:$A,Tabla18[[#This Row],[Mes]],'0_Indice_CAC'!$D:$D)</f>
        <v>24159.142070795227</v>
      </c>
      <c r="T371" s="142">
        <f>Tabla18[[#This Row],[Debe]]-Tabla18[[#This Row],[Haber]]</f>
        <v>27040.04</v>
      </c>
      <c r="U371" s="322"/>
      <c r="V371" s="323"/>
      <c r="W371" s="142">
        <f t="shared" si="8"/>
        <v>27040.04</v>
      </c>
      <c r="X371" s="142" t="b">
        <f>ISNUMBER(MATCH(A371,'3_Control_Ppto'!$A$4:$A$70,0))</f>
        <v>0</v>
      </c>
      <c r="Y371" s="136"/>
    </row>
    <row r="372" spans="1:25" ht="12" customHeight="1" x14ac:dyDescent="0.3">
      <c r="A372" s="140" t="s">
        <v>106</v>
      </c>
      <c r="B372" s="140" t="s">
        <v>4090</v>
      </c>
      <c r="C372" s="549">
        <f>+EOMONTH(Tabla18[[#This Row],[Fecha Asiento]],-1)+1</f>
        <v>45870</v>
      </c>
      <c r="D372" s="136">
        <v>53023</v>
      </c>
      <c r="E372" s="136" t="s">
        <v>4467</v>
      </c>
      <c r="F372" s="141">
        <v>45895</v>
      </c>
      <c r="G372" s="136">
        <v>4361</v>
      </c>
      <c r="H372" s="136" t="s">
        <v>4475</v>
      </c>
      <c r="I372" s="136" t="s">
        <v>4471</v>
      </c>
      <c r="J372" s="136" t="s">
        <v>4455</v>
      </c>
      <c r="K372" s="136">
        <v>1000206822</v>
      </c>
      <c r="L372" s="138">
        <v>121621.5</v>
      </c>
      <c r="M372" s="138">
        <v>0</v>
      </c>
      <c r="N372" s="136" t="s">
        <v>4425</v>
      </c>
      <c r="O372" s="136" t="s">
        <v>4426</v>
      </c>
      <c r="P372" s="136" t="s">
        <v>4427</v>
      </c>
      <c r="Q372" s="136" t="s">
        <v>4428</v>
      </c>
      <c r="R372" s="136">
        <v>0</v>
      </c>
      <c r="S372" s="142">
        <f>(Tabla18[[#This Row],[Debe]]-Tabla18[[#This Row],[Haber]])*
SUMIF('0_Indice_CAC'!$A:$A,Tabla18[[#This Row],[Mes]],'0_Indice_CAC'!$D:$D)</f>
        <v>108663.71119877121</v>
      </c>
      <c r="T372" s="142">
        <f>Tabla18[[#This Row],[Debe]]-Tabla18[[#This Row],[Haber]]</f>
        <v>121621.5</v>
      </c>
      <c r="U372" s="322"/>
      <c r="V372" s="323"/>
      <c r="W372" s="142">
        <f t="shared" si="8"/>
        <v>121621.5</v>
      </c>
      <c r="X372" s="142" t="b">
        <f>ISNUMBER(MATCH(A372,'3_Control_Ppto'!$A$4:$A$70,0))</f>
        <v>1</v>
      </c>
      <c r="Y372" s="136"/>
    </row>
    <row r="373" spans="1:25" ht="12" customHeight="1" x14ac:dyDescent="0.3">
      <c r="A373" s="140" t="s">
        <v>4317</v>
      </c>
      <c r="B373" s="140" t="s">
        <v>56</v>
      </c>
      <c r="C373" s="549">
        <f>+EOMONTH(Tabla18[[#This Row],[Fecha Asiento]],-1)+1</f>
        <v>45870</v>
      </c>
      <c r="D373" s="136">
        <v>52101</v>
      </c>
      <c r="E373" s="136" t="s">
        <v>4709</v>
      </c>
      <c r="F373" s="141">
        <v>45896</v>
      </c>
      <c r="G373" s="136">
        <v>2006</v>
      </c>
      <c r="H373" s="136" t="s">
        <v>4710</v>
      </c>
      <c r="I373" s="136" t="s">
        <v>4423</v>
      </c>
      <c r="J373" s="136" t="s">
        <v>4424</v>
      </c>
      <c r="K373" s="136">
        <v>7403</v>
      </c>
      <c r="L373" s="138">
        <v>9800</v>
      </c>
      <c r="M373" s="138">
        <v>0</v>
      </c>
      <c r="N373" s="136" t="s">
        <v>4425</v>
      </c>
      <c r="O373" s="136" t="s">
        <v>4426</v>
      </c>
      <c r="P373" s="136" t="s">
        <v>4427</v>
      </c>
      <c r="Q373" s="136" t="s">
        <v>4428</v>
      </c>
      <c r="R373" s="136">
        <v>0</v>
      </c>
      <c r="S373" s="142">
        <f>(Tabla18[[#This Row],[Debe]]-Tabla18[[#This Row],[Haber]])*
SUMIF('0_Indice_CAC'!$A:$A,Tabla18[[#This Row],[Mes]],'0_Indice_CAC'!$D:$D)</f>
        <v>8755.8891293723391</v>
      </c>
      <c r="T373" s="142">
        <f>Tabla18[[#This Row],[Debe]]-Tabla18[[#This Row],[Haber]]</f>
        <v>9800</v>
      </c>
      <c r="U373" s="322"/>
      <c r="V373" s="323"/>
      <c r="W373" s="142">
        <f t="shared" si="8"/>
        <v>9800</v>
      </c>
      <c r="X373" s="142" t="b">
        <f>ISNUMBER(MATCH(A373,'3_Control_Ppto'!$A$4:$A$70,0))</f>
        <v>1</v>
      </c>
      <c r="Y373" s="136"/>
    </row>
    <row r="374" spans="1:25" ht="12" customHeight="1" x14ac:dyDescent="0.3">
      <c r="A374" s="140" t="s">
        <v>106</v>
      </c>
      <c r="B374" s="140" t="s">
        <v>4090</v>
      </c>
      <c r="C374" s="549">
        <f>+EOMONTH(Tabla18[[#This Row],[Fecha Asiento]],-1)+1</f>
        <v>45870</v>
      </c>
      <c r="D374" s="136">
        <v>53023</v>
      </c>
      <c r="E374" s="136" t="s">
        <v>4467</v>
      </c>
      <c r="F374" s="141">
        <v>45896</v>
      </c>
      <c r="G374" s="136">
        <v>4371</v>
      </c>
      <c r="H374" s="136" t="s">
        <v>4705</v>
      </c>
      <c r="I374" s="136" t="s">
        <v>4482</v>
      </c>
      <c r="J374" s="136" t="s">
        <v>4455</v>
      </c>
      <c r="K374" s="136">
        <v>500000543</v>
      </c>
      <c r="L374" s="138">
        <v>6612</v>
      </c>
      <c r="M374" s="138">
        <v>0</v>
      </c>
      <c r="N374" s="136" t="s">
        <v>4425</v>
      </c>
      <c r="O374" s="136" t="s">
        <v>4426</v>
      </c>
      <c r="P374" s="136" t="s">
        <v>4427</v>
      </c>
      <c r="Q374" s="136" t="s">
        <v>4428</v>
      </c>
      <c r="R374" s="136">
        <v>0</v>
      </c>
      <c r="S374" s="142">
        <f>(Tabla18[[#This Row],[Debe]]-Tabla18[[#This Row],[Haber]])*
SUMIF('0_Indice_CAC'!$A:$A,Tabla18[[#This Row],[Mes]],'0_Indice_CAC'!$D:$D)</f>
        <v>5907.5447881030514</v>
      </c>
      <c r="T374" s="142">
        <f>Tabla18[[#This Row],[Debe]]-Tabla18[[#This Row],[Haber]]</f>
        <v>6612</v>
      </c>
      <c r="U374" s="322"/>
      <c r="V374" s="323"/>
      <c r="W374" s="142">
        <f t="shared" si="8"/>
        <v>6612</v>
      </c>
      <c r="X374" s="142" t="b">
        <f>ISNUMBER(MATCH(A374,'3_Control_Ppto'!$A$4:$A$70,0))</f>
        <v>1</v>
      </c>
      <c r="Y374" s="136"/>
    </row>
    <row r="375" spans="1:25" ht="12" customHeight="1" x14ac:dyDescent="0.3">
      <c r="A375" s="140" t="s">
        <v>25</v>
      </c>
      <c r="B375" s="140" t="s">
        <v>25</v>
      </c>
      <c r="C375" s="549">
        <f>+EOMONTH(Tabla18[[#This Row],[Fecha Asiento]],-1)+1</f>
        <v>45870</v>
      </c>
      <c r="D375" s="136">
        <v>410222</v>
      </c>
      <c r="E375" s="136" t="s">
        <v>4605</v>
      </c>
      <c r="F375" s="141">
        <v>45898</v>
      </c>
      <c r="G375" s="136">
        <v>4424</v>
      </c>
      <c r="H375" s="136" t="s">
        <v>4606</v>
      </c>
      <c r="I375" s="136" t="s">
        <v>4607</v>
      </c>
      <c r="J375" s="136" t="s">
        <v>4608</v>
      </c>
      <c r="K375" s="136">
        <v>300000721</v>
      </c>
      <c r="L375" s="138">
        <v>0</v>
      </c>
      <c r="M375" s="138">
        <v>9049773.7599999998</v>
      </c>
      <c r="N375" s="136" t="s">
        <v>4425</v>
      </c>
      <c r="O375" s="136" t="s">
        <v>4426</v>
      </c>
      <c r="P375" s="136" t="s">
        <v>4427</v>
      </c>
      <c r="Q375" s="136" t="s">
        <v>4428</v>
      </c>
      <c r="R375" s="136">
        <v>0</v>
      </c>
      <c r="S375" s="142">
        <f>(Tabla18[[#This Row],[Debe]]-Tabla18[[#This Row],[Haber]])*
SUMIF('0_Indice_CAC'!$A:$A,Tabla18[[#This Row],[Mes]],'0_Indice_CAC'!$D:$D)</f>
        <v>-8085593.4375982694</v>
      </c>
      <c r="T375" s="142">
        <f>Tabla18[[#This Row],[Debe]]-Tabla18[[#This Row],[Haber]]</f>
        <v>-9049773.7599999998</v>
      </c>
      <c r="U375" s="322"/>
      <c r="V375" s="323"/>
      <c r="W375" s="142">
        <f t="shared" si="8"/>
        <v>-9049773.7599999998</v>
      </c>
      <c r="X375" s="142" t="b">
        <f>ISNUMBER(MATCH(A375,'3_Control_Ppto'!$A$4:$A$70,0))</f>
        <v>0</v>
      </c>
      <c r="Y375" s="136"/>
    </row>
    <row r="376" spans="1:25" ht="12" customHeight="1" x14ac:dyDescent="0.3">
      <c r="A376" s="140" t="s">
        <v>4317</v>
      </c>
      <c r="B376" s="140" t="s">
        <v>56</v>
      </c>
      <c r="C376" s="549">
        <f>+EOMONTH(Tabla18[[#This Row],[Fecha Asiento]],-1)+1</f>
        <v>45870</v>
      </c>
      <c r="D376" s="136">
        <v>52102</v>
      </c>
      <c r="E376" s="136" t="s">
        <v>4535</v>
      </c>
      <c r="F376" s="141">
        <v>45898</v>
      </c>
      <c r="G376" s="136">
        <v>4560</v>
      </c>
      <c r="H376" s="136" t="s">
        <v>4633</v>
      </c>
      <c r="I376" s="136" t="s">
        <v>4634</v>
      </c>
      <c r="J376" s="136" t="s">
        <v>4542</v>
      </c>
      <c r="K376" s="136">
        <v>400006892</v>
      </c>
      <c r="L376" s="138">
        <v>3400</v>
      </c>
      <c r="M376" s="138">
        <v>0</v>
      </c>
      <c r="N376" s="136" t="s">
        <v>4425</v>
      </c>
      <c r="O376" s="136" t="s">
        <v>4426</v>
      </c>
      <c r="P376" s="136" t="s">
        <v>4427</v>
      </c>
      <c r="Q376" s="136" t="s">
        <v>4428</v>
      </c>
      <c r="R376" s="136">
        <v>0</v>
      </c>
      <c r="S376" s="142">
        <f>(Tabla18[[#This Row],[Debe]]-Tabla18[[#This Row],[Haber]])*
SUMIF('0_Indice_CAC'!$A:$A,Tabla18[[#This Row],[Mes]],'0_Indice_CAC'!$D:$D)</f>
        <v>3037.7574530475463</v>
      </c>
      <c r="T376" s="142">
        <f>Tabla18[[#This Row],[Debe]]-Tabla18[[#This Row],[Haber]]</f>
        <v>3400</v>
      </c>
      <c r="U376" s="322"/>
      <c r="V376" s="323"/>
      <c r="W376" s="142">
        <f t="shared" si="8"/>
        <v>3400</v>
      </c>
      <c r="X376" s="142" t="b">
        <f>ISNUMBER(MATCH(A376,'3_Control_Ppto'!$A$4:$A$70,0))</f>
        <v>1</v>
      </c>
      <c r="Y376" s="136"/>
    </row>
    <row r="377" spans="1:25" ht="12" customHeight="1" x14ac:dyDescent="0.3">
      <c r="A377" s="140" t="s">
        <v>4317</v>
      </c>
      <c r="B377" s="140" t="s">
        <v>56</v>
      </c>
      <c r="C377" s="549">
        <f>+EOMONTH(Tabla18[[#This Row],[Fecha Asiento]],-1)+1</f>
        <v>45870</v>
      </c>
      <c r="D377" s="136">
        <v>52103</v>
      </c>
      <c r="E377" s="136" t="s">
        <v>4477</v>
      </c>
      <c r="F377" s="141">
        <v>45898</v>
      </c>
      <c r="G377" s="136">
        <v>4558</v>
      </c>
      <c r="H377" s="136" t="s">
        <v>4569</v>
      </c>
      <c r="I377" s="136" t="s">
        <v>4570</v>
      </c>
      <c r="J377" s="136" t="s">
        <v>4455</v>
      </c>
      <c r="K377" s="136">
        <v>418100136537</v>
      </c>
      <c r="L377" s="138">
        <v>65219.05</v>
      </c>
      <c r="M377" s="138">
        <v>0</v>
      </c>
      <c r="N377" s="136" t="s">
        <v>4425</v>
      </c>
      <c r="O377" s="136" t="s">
        <v>4426</v>
      </c>
      <c r="P377" s="136" t="s">
        <v>4427</v>
      </c>
      <c r="Q377" s="136" t="s">
        <v>4428</v>
      </c>
      <c r="R377" s="136">
        <v>0</v>
      </c>
      <c r="S377" s="142">
        <f>(Tabla18[[#This Row],[Debe]]-Tabla18[[#This Row],[Haber]])*
SUMIF('0_Indice_CAC'!$A:$A,Tabla18[[#This Row],[Mes]],'0_Indice_CAC'!$D:$D)</f>
        <v>58270.486828876637</v>
      </c>
      <c r="T377" s="142">
        <f>Tabla18[[#This Row],[Debe]]-Tabla18[[#This Row],[Haber]]</f>
        <v>65219.05</v>
      </c>
      <c r="U377" s="322"/>
      <c r="V377" s="323"/>
      <c r="W377" s="142">
        <f t="shared" si="8"/>
        <v>65219.05</v>
      </c>
      <c r="X377" s="142" t="b">
        <f>ISNUMBER(MATCH(A377,'3_Control_Ppto'!$A$4:$A$70,0))</f>
        <v>1</v>
      </c>
      <c r="Y377" s="136"/>
    </row>
    <row r="378" spans="1:25" ht="12" customHeight="1" x14ac:dyDescent="0.3">
      <c r="A378" s="140" t="s">
        <v>4317</v>
      </c>
      <c r="B378" s="140" t="s">
        <v>56</v>
      </c>
      <c r="C378" s="549">
        <f>+EOMONTH(Tabla18[[#This Row],[Fecha Asiento]],-1)+1</f>
        <v>45870</v>
      </c>
      <c r="D378" s="136">
        <v>52103</v>
      </c>
      <c r="E378" s="136" t="s">
        <v>4477</v>
      </c>
      <c r="F378" s="141">
        <v>45898</v>
      </c>
      <c r="G378" s="136">
        <v>4558</v>
      </c>
      <c r="H378" s="136" t="s">
        <v>4569</v>
      </c>
      <c r="I378" s="136" t="s">
        <v>4570</v>
      </c>
      <c r="J378" s="136" t="s">
        <v>4455</v>
      </c>
      <c r="K378" s="136">
        <v>418100136537</v>
      </c>
      <c r="L378" s="138">
        <v>11631.79</v>
      </c>
      <c r="M378" s="138">
        <v>0</v>
      </c>
      <c r="N378" s="136" t="s">
        <v>4425</v>
      </c>
      <c r="O378" s="136" t="s">
        <v>4426</v>
      </c>
      <c r="P378" s="136" t="s">
        <v>4427</v>
      </c>
      <c r="Q378" s="136" t="s">
        <v>4428</v>
      </c>
      <c r="R378" s="136">
        <v>0</v>
      </c>
      <c r="S378" s="142">
        <f>(Tabla18[[#This Row],[Debe]]-Tabla18[[#This Row],[Haber]])*
SUMIF('0_Indice_CAC'!$A:$A,Tabla18[[#This Row],[Mes]],'0_Indice_CAC'!$D:$D)</f>
        <v>10392.516695524682</v>
      </c>
      <c r="T378" s="142">
        <f>Tabla18[[#This Row],[Debe]]-Tabla18[[#This Row],[Haber]]</f>
        <v>11631.79</v>
      </c>
      <c r="U378" s="322"/>
      <c r="V378" s="323"/>
      <c r="W378" s="142">
        <f t="shared" si="8"/>
        <v>11631.79</v>
      </c>
      <c r="X378" s="142" t="b">
        <f>ISNUMBER(MATCH(A378,'3_Control_Ppto'!$A$4:$A$70,0))</f>
        <v>1</v>
      </c>
      <c r="Y378" s="136"/>
    </row>
    <row r="379" spans="1:25" ht="12" customHeight="1" x14ac:dyDescent="0.3">
      <c r="A379" s="140" t="s">
        <v>4317</v>
      </c>
      <c r="B379" s="140" t="s">
        <v>56</v>
      </c>
      <c r="C379" s="549">
        <f>+EOMONTH(Tabla18[[#This Row],[Fecha Asiento]],-1)+1</f>
        <v>45870</v>
      </c>
      <c r="D379" s="136">
        <v>52103</v>
      </c>
      <c r="E379" s="136" t="s">
        <v>4477</v>
      </c>
      <c r="F379" s="141">
        <v>45898</v>
      </c>
      <c r="G379" s="136">
        <v>4559</v>
      </c>
      <c r="H379" s="136" t="s">
        <v>4627</v>
      </c>
      <c r="I379" s="136" t="s">
        <v>4628</v>
      </c>
      <c r="J379" s="136" t="s">
        <v>4455</v>
      </c>
      <c r="K379" s="136">
        <v>800000386</v>
      </c>
      <c r="L379" s="138">
        <v>6611.57</v>
      </c>
      <c r="M379" s="138">
        <v>0</v>
      </c>
      <c r="N379" s="136" t="s">
        <v>4425</v>
      </c>
      <c r="O379" s="136" t="s">
        <v>4426</v>
      </c>
      <c r="P379" s="136" t="s">
        <v>4427</v>
      </c>
      <c r="Q379" s="136" t="s">
        <v>4428</v>
      </c>
      <c r="R379" s="136">
        <v>0</v>
      </c>
      <c r="S379" s="142">
        <f>(Tabla18[[#This Row],[Debe]]-Tabla18[[#This Row],[Haber]])*
SUMIF('0_Indice_CAC'!$A:$A,Tabla18[[#This Row],[Mes]],'0_Indice_CAC'!$D:$D)</f>
        <v>5907.1606011310478</v>
      </c>
      <c r="T379" s="142">
        <f>Tabla18[[#This Row],[Debe]]-Tabla18[[#This Row],[Haber]]</f>
        <v>6611.57</v>
      </c>
      <c r="U379" s="322"/>
      <c r="V379" s="323"/>
      <c r="W379" s="142">
        <f t="shared" si="8"/>
        <v>6611.57</v>
      </c>
      <c r="X379" s="142" t="b">
        <f>ISNUMBER(MATCH(A379,'3_Control_Ppto'!$A$4:$A$70,0))</f>
        <v>1</v>
      </c>
      <c r="Y379" s="136"/>
    </row>
    <row r="380" spans="1:25" ht="12" customHeight="1" x14ac:dyDescent="0.3">
      <c r="A380" s="140" t="s">
        <v>4317</v>
      </c>
      <c r="B380" s="140" t="s">
        <v>56</v>
      </c>
      <c r="C380" s="549">
        <f>+EOMONTH(Tabla18[[#This Row],[Fecha Asiento]],-1)+1</f>
        <v>45870</v>
      </c>
      <c r="D380" s="136">
        <v>52103</v>
      </c>
      <c r="E380" s="136" t="s">
        <v>4477</v>
      </c>
      <c r="F380" s="141">
        <v>45898</v>
      </c>
      <c r="G380" s="136">
        <v>5423</v>
      </c>
      <c r="H380" s="136" t="s">
        <v>4478</v>
      </c>
      <c r="I380" s="136" t="s">
        <v>4423</v>
      </c>
      <c r="J380" s="136" t="s">
        <v>4431</v>
      </c>
      <c r="K380" s="136">
        <v>4156</v>
      </c>
      <c r="L380" s="138">
        <v>4100</v>
      </c>
      <c r="M380" s="138">
        <v>0</v>
      </c>
      <c r="N380" s="136" t="s">
        <v>4425</v>
      </c>
      <c r="O380" s="136" t="s">
        <v>4426</v>
      </c>
      <c r="P380" s="136" t="s">
        <v>4427</v>
      </c>
      <c r="Q380" s="136" t="s">
        <v>4428</v>
      </c>
      <c r="R380" s="136">
        <v>0</v>
      </c>
      <c r="S380" s="142">
        <f>(Tabla18[[#This Row],[Debe]]-Tabla18[[#This Row],[Haber]])*
SUMIF('0_Indice_CAC'!$A:$A,Tabla18[[#This Row],[Mes]],'0_Indice_CAC'!$D:$D)</f>
        <v>3663.1781051455705</v>
      </c>
      <c r="T380" s="142">
        <f>Tabla18[[#This Row],[Debe]]-Tabla18[[#This Row],[Haber]]</f>
        <v>4100</v>
      </c>
      <c r="U380" s="322"/>
      <c r="V380" s="323"/>
      <c r="W380" s="142">
        <f t="shared" si="8"/>
        <v>4100</v>
      </c>
      <c r="X380" s="142" t="b">
        <f>ISNUMBER(MATCH(A380,'3_Control_Ppto'!$A$4:$A$70,0))</f>
        <v>1</v>
      </c>
      <c r="Y380" s="136"/>
    </row>
    <row r="381" spans="1:25" ht="12" customHeight="1" x14ac:dyDescent="0.3">
      <c r="A381" s="140" t="s">
        <v>1478</v>
      </c>
      <c r="B381" s="140" t="s">
        <v>4090</v>
      </c>
      <c r="C381" s="549">
        <f>+EOMONTH(Tabla18[[#This Row],[Fecha Asiento]],-1)+1</f>
        <v>45870</v>
      </c>
      <c r="D381" s="136">
        <v>53004</v>
      </c>
      <c r="E381" s="136" t="s">
        <v>4496</v>
      </c>
      <c r="F381" s="141">
        <v>45898</v>
      </c>
      <c r="G381" s="136">
        <v>4420</v>
      </c>
      <c r="H381" s="136" t="s">
        <v>4711</v>
      </c>
      <c r="I381" s="136" t="s">
        <v>4630</v>
      </c>
      <c r="J381" s="136" t="s">
        <v>4455</v>
      </c>
      <c r="K381" s="136">
        <v>1500084095</v>
      </c>
      <c r="L381" s="138">
        <v>539814.63</v>
      </c>
      <c r="M381" s="138">
        <v>0</v>
      </c>
      <c r="N381" s="136" t="s">
        <v>4425</v>
      </c>
      <c r="O381" s="136" t="s">
        <v>4426</v>
      </c>
      <c r="P381" s="136" t="s">
        <v>4427</v>
      </c>
      <c r="Q381" s="136" t="s">
        <v>4428</v>
      </c>
      <c r="R381" s="136">
        <v>0</v>
      </c>
      <c r="S381" s="142">
        <f>(Tabla18[[#This Row],[Debe]]-Tabla18[[#This Row],[Haber]])*
SUMIF('0_Indice_CAC'!$A:$A,Tabla18[[#This Row],[Mes]],'0_Indice_CAC'!$D:$D)</f>
        <v>482301.7398666481</v>
      </c>
      <c r="T381" s="142">
        <f>Tabla18[[#This Row],[Debe]]-Tabla18[[#This Row],[Haber]]</f>
        <v>539814.63</v>
      </c>
      <c r="U381" s="322"/>
      <c r="V381" s="323"/>
      <c r="W381" s="142">
        <f t="shared" si="8"/>
        <v>539814.63</v>
      </c>
      <c r="X381" s="142" t="b">
        <f>ISNUMBER(MATCH(A381,'3_Control_Ppto'!$A$4:$A$70,0))</f>
        <v>1</v>
      </c>
      <c r="Y381" s="136"/>
    </row>
    <row r="382" spans="1:25" ht="12" customHeight="1" x14ac:dyDescent="0.3">
      <c r="A382" s="140" t="s">
        <v>3219</v>
      </c>
      <c r="B382" s="140" t="s">
        <v>4090</v>
      </c>
      <c r="C382" s="549">
        <f>+EOMONTH(Tabla18[[#This Row],[Fecha Asiento]],-1)+1</f>
        <v>45870</v>
      </c>
      <c r="D382" s="136">
        <v>53019</v>
      </c>
      <c r="E382" s="136" t="s">
        <v>4461</v>
      </c>
      <c r="F382" s="141">
        <v>45898</v>
      </c>
      <c r="G382" s="136">
        <v>4462</v>
      </c>
      <c r="H382" s="136" t="s">
        <v>4462</v>
      </c>
      <c r="I382" s="136" t="s">
        <v>4463</v>
      </c>
      <c r="J382" s="136" t="s">
        <v>4455</v>
      </c>
      <c r="K382" s="136">
        <v>300008193</v>
      </c>
      <c r="L382" s="138">
        <v>59073.72</v>
      </c>
      <c r="M382" s="138">
        <v>0</v>
      </c>
      <c r="N382" s="136" t="s">
        <v>4425</v>
      </c>
      <c r="O382" s="136" t="s">
        <v>4426</v>
      </c>
      <c r="P382" s="136" t="s">
        <v>4427</v>
      </c>
      <c r="Q382" s="136" t="s">
        <v>4428</v>
      </c>
      <c r="R382" s="136">
        <v>0</v>
      </c>
      <c r="S382" s="142">
        <f>(Tabla18[[#This Row],[Debe]]-Tabla18[[#This Row],[Haber]])*
SUMIF('0_Indice_CAC'!$A:$A,Tabla18[[#This Row],[Mes]],'0_Indice_CAC'!$D:$D)</f>
        <v>52779.892120365854</v>
      </c>
      <c r="T382" s="142">
        <f>Tabla18[[#This Row],[Debe]]-Tabla18[[#This Row],[Haber]]</f>
        <v>59073.72</v>
      </c>
      <c r="U382" s="322"/>
      <c r="V382" s="323"/>
      <c r="W382" s="142">
        <f t="shared" si="8"/>
        <v>59073.72</v>
      </c>
      <c r="X382" s="142" t="b">
        <f>ISNUMBER(MATCH(A382,'3_Control_Ppto'!$A$4:$A$70,0))</f>
        <v>1</v>
      </c>
      <c r="Y382" s="136"/>
    </row>
    <row r="383" spans="1:25" ht="12" customHeight="1" x14ac:dyDescent="0.3">
      <c r="A383" s="140" t="s">
        <v>25</v>
      </c>
      <c r="B383" s="140" t="s">
        <v>25</v>
      </c>
      <c r="C383" s="549">
        <f>+EOMONTH(Tabla18[[#This Row],[Fecha Asiento]],-1)+1</f>
        <v>45870</v>
      </c>
      <c r="D383" s="136">
        <v>410222</v>
      </c>
      <c r="E383" s="136" t="s">
        <v>4605</v>
      </c>
      <c r="F383" s="141">
        <v>45900</v>
      </c>
      <c r="G383" s="136">
        <v>4425</v>
      </c>
      <c r="H383" s="136" t="s">
        <v>4606</v>
      </c>
      <c r="I383" s="136" t="s">
        <v>4607</v>
      </c>
      <c r="J383" s="136" t="s">
        <v>4608</v>
      </c>
      <c r="K383" s="136">
        <v>300000722</v>
      </c>
      <c r="L383" s="138">
        <v>0</v>
      </c>
      <c r="M383" s="138">
        <v>30190423.670000002</v>
      </c>
      <c r="N383" s="136" t="s">
        <v>4425</v>
      </c>
      <c r="O383" s="136" t="s">
        <v>4426</v>
      </c>
      <c r="P383" s="136" t="s">
        <v>4427</v>
      </c>
      <c r="Q383" s="136" t="s">
        <v>4428</v>
      </c>
      <c r="R383" s="136">
        <v>0</v>
      </c>
      <c r="S383" s="142">
        <f>(Tabla18[[#This Row],[Debe]]-Tabla18[[#This Row],[Haber]])*
SUMIF('0_Indice_CAC'!$A:$A,Tabla18[[#This Row],[Mes]],'0_Indice_CAC'!$D:$D)</f>
        <v>-26973877.798295751</v>
      </c>
      <c r="T383" s="142">
        <f>Tabla18[[#This Row],[Debe]]-Tabla18[[#This Row],[Haber]]</f>
        <v>-30190423.670000002</v>
      </c>
      <c r="U383" s="322"/>
      <c r="V383" s="323"/>
      <c r="W383" s="142">
        <f t="shared" si="8"/>
        <v>-30190423.670000002</v>
      </c>
      <c r="X383" s="142" t="b">
        <f>ISNUMBER(MATCH(A383,'3_Control_Ppto'!$A$4:$A$70,0))</f>
        <v>0</v>
      </c>
      <c r="Y383" s="136"/>
    </row>
    <row r="384" spans="1:25" ht="12" customHeight="1" x14ac:dyDescent="0.3">
      <c r="A384" s="140" t="s">
        <v>25</v>
      </c>
      <c r="B384" s="140" t="s">
        <v>25</v>
      </c>
      <c r="C384" s="549">
        <f>+EOMONTH(Tabla18[[#This Row],[Fecha Asiento]],-1)+1</f>
        <v>45870</v>
      </c>
      <c r="D384" s="136">
        <v>410222</v>
      </c>
      <c r="E384" s="136" t="s">
        <v>4605</v>
      </c>
      <c r="F384" s="141">
        <v>45900</v>
      </c>
      <c r="G384" s="136">
        <v>4426</v>
      </c>
      <c r="H384" s="136" t="s">
        <v>4606</v>
      </c>
      <c r="I384" s="136" t="s">
        <v>4607</v>
      </c>
      <c r="J384" s="136" t="s">
        <v>4608</v>
      </c>
      <c r="K384" s="136">
        <v>300000723</v>
      </c>
      <c r="L384" s="138">
        <v>0</v>
      </c>
      <c r="M384" s="138">
        <v>35460488.240000002</v>
      </c>
      <c r="N384" s="136" t="s">
        <v>4425</v>
      </c>
      <c r="O384" s="136" t="s">
        <v>4426</v>
      </c>
      <c r="P384" s="136" t="s">
        <v>4427</v>
      </c>
      <c r="Q384" s="136" t="s">
        <v>4428</v>
      </c>
      <c r="R384" s="136">
        <v>0</v>
      </c>
      <c r="S384" s="142">
        <f>(Tabla18[[#This Row],[Debe]]-Tabla18[[#This Row],[Haber]])*
SUMIF('0_Indice_CAC'!$A:$A,Tabla18[[#This Row],[Mes]],'0_Indice_CAC'!$D:$D)</f>
        <v>-31682459.541107316</v>
      </c>
      <c r="T384" s="142">
        <f>Tabla18[[#This Row],[Debe]]-Tabla18[[#This Row],[Haber]]</f>
        <v>-35460488.240000002</v>
      </c>
      <c r="U384" s="322"/>
      <c r="V384" s="323"/>
      <c r="W384" s="142">
        <f t="shared" si="8"/>
        <v>-35460488.240000002</v>
      </c>
      <c r="X384" s="142" t="b">
        <f>ISNUMBER(MATCH(A384,'3_Control_Ppto'!$A$4:$A$70,0))</f>
        <v>0</v>
      </c>
      <c r="Y384" s="136"/>
    </row>
    <row r="385" spans="1:25" ht="12" customHeight="1" x14ac:dyDescent="0.3">
      <c r="A385" s="140" t="s">
        <v>4310</v>
      </c>
      <c r="B385" s="140" t="s">
        <v>56</v>
      </c>
      <c r="C385" s="549">
        <f>+EOMONTH(Tabla18[[#This Row],[Fecha Asiento]],-1)+1</f>
        <v>45901</v>
      </c>
      <c r="D385" s="136">
        <v>52204</v>
      </c>
      <c r="E385" s="136" t="s">
        <v>4452</v>
      </c>
      <c r="F385" s="141">
        <v>45901</v>
      </c>
      <c r="G385" s="136">
        <v>4465</v>
      </c>
      <c r="H385" s="136" t="s">
        <v>4453</v>
      </c>
      <c r="I385" s="136" t="s">
        <v>4454</v>
      </c>
      <c r="J385" s="136" t="s">
        <v>4455</v>
      </c>
      <c r="K385" s="136">
        <v>300001306</v>
      </c>
      <c r="L385" s="138">
        <v>563844</v>
      </c>
      <c r="M385" s="138">
        <v>0</v>
      </c>
      <c r="N385" s="136" t="s">
        <v>4425</v>
      </c>
      <c r="O385" s="136" t="s">
        <v>4426</v>
      </c>
      <c r="P385" s="136" t="s">
        <v>4427</v>
      </c>
      <c r="Q385" s="136" t="s">
        <v>4428</v>
      </c>
      <c r="R385" s="136">
        <v>0</v>
      </c>
      <c r="S385" s="142">
        <f>(Tabla18[[#This Row],[Debe]]-Tabla18[[#This Row],[Haber]])*
SUMIF('0_Indice_CAC'!$A:$A,Tabla18[[#This Row],[Mes]],'0_Indice_CAC'!$D:$D)</f>
        <v>487471.44241455221</v>
      </c>
      <c r="T385" s="142">
        <f>Tabla18[[#This Row],[Debe]]-Tabla18[[#This Row],[Haber]]</f>
        <v>563844</v>
      </c>
      <c r="U385" s="322"/>
      <c r="V385" s="323"/>
      <c r="W385" s="142">
        <f t="shared" si="8"/>
        <v>563844</v>
      </c>
      <c r="X385" s="142" t="b">
        <f>ISNUMBER(MATCH(A385,'3_Control_Ppto'!$A$4:$A$70,0))</f>
        <v>1</v>
      </c>
      <c r="Y385" s="136"/>
    </row>
    <row r="386" spans="1:25" ht="12" customHeight="1" x14ac:dyDescent="0.3">
      <c r="A386" s="140" t="s">
        <v>25</v>
      </c>
      <c r="B386" s="140" t="s">
        <v>25</v>
      </c>
      <c r="C386" s="549">
        <f>+EOMONTH(Tabla18[[#This Row],[Fecha Asiento]],-1)+1</f>
        <v>45901</v>
      </c>
      <c r="D386" s="136">
        <v>5101</v>
      </c>
      <c r="E386" s="136" t="s">
        <v>4661</v>
      </c>
      <c r="F386" s="141">
        <v>45904</v>
      </c>
      <c r="G386" s="136">
        <v>2220</v>
      </c>
      <c r="H386" s="136" t="s">
        <v>4712</v>
      </c>
      <c r="I386" s="136" t="s">
        <v>4423</v>
      </c>
      <c r="J386" s="136" t="s">
        <v>4424</v>
      </c>
      <c r="K386" s="136">
        <v>7591</v>
      </c>
      <c r="L386" s="138">
        <v>3500000</v>
      </c>
      <c r="M386" s="138">
        <v>0</v>
      </c>
      <c r="N386" s="136" t="s">
        <v>4425</v>
      </c>
      <c r="O386" s="136" t="s">
        <v>4426</v>
      </c>
      <c r="P386" s="136" t="s">
        <v>4427</v>
      </c>
      <c r="Q386" s="136" t="s">
        <v>4428</v>
      </c>
      <c r="R386" s="136">
        <v>0</v>
      </c>
      <c r="S386" s="142">
        <f>(Tabla18[[#This Row],[Debe]]-Tabla18[[#This Row],[Haber]])*
SUMIF('0_Indice_CAC'!$A:$A,Tabla18[[#This Row],[Mes]],'0_Indice_CAC'!$D:$D)</f>
        <v>3025925.6965595675</v>
      </c>
      <c r="T386" s="142">
        <f>Tabla18[[#This Row],[Debe]]-Tabla18[[#This Row],[Haber]]</f>
        <v>3500000</v>
      </c>
      <c r="U386" s="322"/>
      <c r="V386" s="323"/>
      <c r="W386" s="142">
        <f t="shared" si="8"/>
        <v>3500000</v>
      </c>
      <c r="X386" s="142" t="b">
        <f>ISNUMBER(MATCH(A386,'3_Control_Ppto'!$A$4:$A$70,0))</f>
        <v>0</v>
      </c>
      <c r="Y386" s="136"/>
    </row>
    <row r="387" spans="1:25" ht="12" customHeight="1" x14ac:dyDescent="0.3">
      <c r="A387" s="140" t="s">
        <v>106</v>
      </c>
      <c r="B387" s="140" t="s">
        <v>25</v>
      </c>
      <c r="C387" s="549">
        <f>+EOMONTH(Tabla18[[#This Row],[Fecha Asiento]],-1)+1</f>
        <v>45901</v>
      </c>
      <c r="D387" s="136">
        <v>53009</v>
      </c>
      <c r="E387" s="136" t="s">
        <v>4446</v>
      </c>
      <c r="F387" s="141">
        <v>45904</v>
      </c>
      <c r="G387" s="136">
        <v>2078</v>
      </c>
      <c r="H387" s="136" t="s">
        <v>4713</v>
      </c>
      <c r="I387" s="136" t="s">
        <v>4423</v>
      </c>
      <c r="J387" s="136" t="s">
        <v>4424</v>
      </c>
      <c r="K387" s="136">
        <v>7455</v>
      </c>
      <c r="L387" s="138">
        <v>2337000</v>
      </c>
      <c r="M387" s="138">
        <v>0</v>
      </c>
      <c r="N387" s="136" t="s">
        <v>4425</v>
      </c>
      <c r="O387" s="136" t="s">
        <v>4426</v>
      </c>
      <c r="P387" s="136" t="s">
        <v>4427</v>
      </c>
      <c r="Q387" s="136" t="s">
        <v>4428</v>
      </c>
      <c r="R387" s="136">
        <v>0</v>
      </c>
      <c r="S387" s="142">
        <f>(Tabla18[[#This Row],[Debe]]-Tabla18[[#This Row],[Haber]])*
SUMIF('0_Indice_CAC'!$A:$A,Tabla18[[#This Row],[Mes]],'0_Indice_CAC'!$D:$D)</f>
        <v>2020453.815102774</v>
      </c>
      <c r="T387" s="142">
        <f>Tabla18[[#This Row],[Debe]]-Tabla18[[#This Row],[Haber]]</f>
        <v>2337000</v>
      </c>
      <c r="U387" s="322"/>
      <c r="V387" s="323"/>
      <c r="W387" s="142">
        <f t="shared" si="8"/>
        <v>2337000</v>
      </c>
      <c r="X387" s="142" t="b">
        <f>ISNUMBER(MATCH(A387,'3_Control_Ppto'!$A$4:$A$70,0))</f>
        <v>1</v>
      </c>
      <c r="Y387" s="136"/>
    </row>
    <row r="388" spans="1:25" ht="12" customHeight="1" x14ac:dyDescent="0.3">
      <c r="A388" s="140" t="s">
        <v>106</v>
      </c>
      <c r="B388" s="140" t="s">
        <v>4090</v>
      </c>
      <c r="C388" s="549">
        <f>+EOMONTH(Tabla18[[#This Row],[Fecha Asiento]],-1)+1</f>
        <v>45901</v>
      </c>
      <c r="D388" s="136">
        <v>53023</v>
      </c>
      <c r="E388" s="136" t="s">
        <v>4467</v>
      </c>
      <c r="F388" s="141">
        <v>45904</v>
      </c>
      <c r="G388" s="136">
        <v>4567</v>
      </c>
      <c r="H388" s="136" t="s">
        <v>4705</v>
      </c>
      <c r="I388" s="136" t="s">
        <v>4482</v>
      </c>
      <c r="J388" s="136" t="s">
        <v>4455</v>
      </c>
      <c r="K388" s="136">
        <v>500000551</v>
      </c>
      <c r="L388" s="138">
        <v>4960</v>
      </c>
      <c r="M388" s="138">
        <v>0</v>
      </c>
      <c r="N388" s="136" t="s">
        <v>4425</v>
      </c>
      <c r="O388" s="136" t="s">
        <v>4426</v>
      </c>
      <c r="P388" s="136" t="s">
        <v>4427</v>
      </c>
      <c r="Q388" s="136" t="s">
        <v>4428</v>
      </c>
      <c r="R388" s="136">
        <v>0</v>
      </c>
      <c r="S388" s="142">
        <f>(Tabla18[[#This Row],[Debe]]-Tabla18[[#This Row],[Haber]])*
SUMIF('0_Indice_CAC'!$A:$A,Tabla18[[#This Row],[Mes]],'0_Indice_CAC'!$D:$D)</f>
        <v>4288.1689871244153</v>
      </c>
      <c r="T388" s="142">
        <f>Tabla18[[#This Row],[Debe]]-Tabla18[[#This Row],[Haber]]</f>
        <v>4960</v>
      </c>
      <c r="U388" s="322"/>
      <c r="V388" s="323"/>
      <c r="W388" s="142">
        <f t="shared" si="8"/>
        <v>4960</v>
      </c>
      <c r="X388" s="142" t="b">
        <f>ISNUMBER(MATCH(A388,'3_Control_Ppto'!$A$4:$A$70,0))</f>
        <v>1</v>
      </c>
      <c r="Y388" s="136"/>
    </row>
    <row r="389" spans="1:25" ht="12" customHeight="1" x14ac:dyDescent="0.3">
      <c r="A389" s="140" t="s">
        <v>106</v>
      </c>
      <c r="B389" s="140" t="s">
        <v>4090</v>
      </c>
      <c r="C389" s="549">
        <f>+EOMONTH(Tabla18[[#This Row],[Fecha Asiento]],-1)+1</f>
        <v>45901</v>
      </c>
      <c r="D389" s="136">
        <v>53023</v>
      </c>
      <c r="E389" s="136" t="s">
        <v>4467</v>
      </c>
      <c r="F389" s="141">
        <v>45904</v>
      </c>
      <c r="G389" s="136">
        <v>4568</v>
      </c>
      <c r="H389" s="136" t="s">
        <v>4714</v>
      </c>
      <c r="I389" s="136" t="s">
        <v>4521</v>
      </c>
      <c r="J389" s="136" t="s">
        <v>4455</v>
      </c>
      <c r="K389" s="136">
        <v>400000494</v>
      </c>
      <c r="L389" s="138">
        <v>13223.2</v>
      </c>
      <c r="M389" s="138">
        <v>0</v>
      </c>
      <c r="N389" s="136" t="s">
        <v>4425</v>
      </c>
      <c r="O389" s="136" t="s">
        <v>4426</v>
      </c>
      <c r="P389" s="136" t="s">
        <v>4427</v>
      </c>
      <c r="Q389" s="136" t="s">
        <v>4428</v>
      </c>
      <c r="R389" s="136">
        <v>0</v>
      </c>
      <c r="S389" s="142">
        <f>(Tabla18[[#This Row],[Debe]]-Tabla18[[#This Row],[Haber]])*
SUMIF('0_Indice_CAC'!$A:$A,Tabla18[[#This Row],[Mes]],'0_Indice_CAC'!$D:$D)</f>
        <v>11432.120191641849</v>
      </c>
      <c r="T389" s="142">
        <f>Tabla18[[#This Row],[Debe]]-Tabla18[[#This Row],[Haber]]</f>
        <v>13223.2</v>
      </c>
      <c r="U389" s="322"/>
      <c r="V389" s="323"/>
      <c r="W389" s="142">
        <f t="shared" si="8"/>
        <v>13223.2</v>
      </c>
      <c r="X389" s="142" t="b">
        <f>ISNUMBER(MATCH(A389,'3_Control_Ppto'!$A$4:$A$70,0))</f>
        <v>1</v>
      </c>
      <c r="Y389" s="136"/>
    </row>
    <row r="390" spans="1:25" ht="12" customHeight="1" x14ac:dyDescent="0.3">
      <c r="A390" s="140" t="s">
        <v>4317</v>
      </c>
      <c r="B390" s="140" t="s">
        <v>56</v>
      </c>
      <c r="C390" s="549">
        <f>+EOMONTH(Tabla18[[#This Row],[Fecha Asiento]],-1)+1</f>
        <v>45901</v>
      </c>
      <c r="D390" s="136">
        <v>52101</v>
      </c>
      <c r="E390" s="136" t="s">
        <v>4709</v>
      </c>
      <c r="F390" s="141">
        <v>45905</v>
      </c>
      <c r="G390" s="136">
        <v>2100</v>
      </c>
      <c r="H390" s="136" t="s">
        <v>4710</v>
      </c>
      <c r="I390" s="136" t="s">
        <v>4423</v>
      </c>
      <c r="J390" s="136" t="s">
        <v>4424</v>
      </c>
      <c r="K390" s="136">
        <v>7479</v>
      </c>
      <c r="L390" s="138">
        <v>9800</v>
      </c>
      <c r="M390" s="138">
        <v>0</v>
      </c>
      <c r="N390" s="136" t="s">
        <v>4425</v>
      </c>
      <c r="O390" s="136" t="s">
        <v>4426</v>
      </c>
      <c r="P390" s="136" t="s">
        <v>4427</v>
      </c>
      <c r="Q390" s="136" t="s">
        <v>4428</v>
      </c>
      <c r="R390" s="136">
        <v>0</v>
      </c>
      <c r="S390" s="142">
        <f>(Tabla18[[#This Row],[Debe]]-Tabla18[[#This Row],[Haber]])*
SUMIF('0_Indice_CAC'!$A:$A,Tabla18[[#This Row],[Mes]],'0_Indice_CAC'!$D:$D)</f>
        <v>8472.5919503667883</v>
      </c>
      <c r="T390" s="142">
        <f>Tabla18[[#This Row],[Debe]]-Tabla18[[#This Row],[Haber]]</f>
        <v>9800</v>
      </c>
      <c r="U390" s="322"/>
      <c r="V390" s="323"/>
      <c r="W390" s="142">
        <f t="shared" si="8"/>
        <v>9800</v>
      </c>
      <c r="X390" s="142" t="b">
        <f>ISNUMBER(MATCH(A390,'3_Control_Ppto'!$A$4:$A$70,0))</f>
        <v>1</v>
      </c>
      <c r="Y390" s="136"/>
    </row>
    <row r="391" spans="1:25" ht="12" customHeight="1" x14ac:dyDescent="0.3">
      <c r="A391" s="140" t="s">
        <v>4317</v>
      </c>
      <c r="B391" s="140" t="s">
        <v>56</v>
      </c>
      <c r="C391" s="549">
        <f>+EOMONTH(Tabla18[[#This Row],[Fecha Asiento]],-1)+1</f>
        <v>45901</v>
      </c>
      <c r="D391" s="136">
        <v>52103</v>
      </c>
      <c r="E391" s="136" t="s">
        <v>4477</v>
      </c>
      <c r="F391" s="141">
        <v>45905</v>
      </c>
      <c r="G391" s="136">
        <v>4569</v>
      </c>
      <c r="H391" s="136" t="s">
        <v>4569</v>
      </c>
      <c r="I391" s="136" t="s">
        <v>4570</v>
      </c>
      <c r="J391" s="136" t="s">
        <v>4455</v>
      </c>
      <c r="K391" s="136">
        <v>418100137031</v>
      </c>
      <c r="L391" s="138">
        <v>11903.25</v>
      </c>
      <c r="M391" s="138">
        <v>0</v>
      </c>
      <c r="N391" s="136" t="s">
        <v>4425</v>
      </c>
      <c r="O391" s="136" t="s">
        <v>4426</v>
      </c>
      <c r="P391" s="136" t="s">
        <v>4427</v>
      </c>
      <c r="Q391" s="136" t="s">
        <v>4428</v>
      </c>
      <c r="R391" s="136">
        <v>0</v>
      </c>
      <c r="S391" s="142">
        <f>(Tabla18[[#This Row],[Debe]]-Tabla18[[#This Row],[Haber]])*
SUMIF('0_Indice_CAC'!$A:$A,Tabla18[[#This Row],[Mes]],'0_Indice_CAC'!$D:$D)</f>
        <v>10290.957156449334</v>
      </c>
      <c r="T391" s="142">
        <f>Tabla18[[#This Row],[Debe]]-Tabla18[[#This Row],[Haber]]</f>
        <v>11903.25</v>
      </c>
      <c r="U391" s="322"/>
      <c r="V391" s="323"/>
      <c r="W391" s="142">
        <f t="shared" si="8"/>
        <v>11903.25</v>
      </c>
      <c r="X391" s="142" t="b">
        <f>ISNUMBER(MATCH(A391,'3_Control_Ppto'!$A$4:$A$70,0))</f>
        <v>1</v>
      </c>
      <c r="Y391" s="136"/>
    </row>
    <row r="392" spans="1:25" ht="12" customHeight="1" x14ac:dyDescent="0.3">
      <c r="A392" s="140" t="s">
        <v>4317</v>
      </c>
      <c r="B392" s="140" t="s">
        <v>56</v>
      </c>
      <c r="C392" s="549">
        <f>+EOMONTH(Tabla18[[#This Row],[Fecha Asiento]],-1)+1</f>
        <v>45901</v>
      </c>
      <c r="D392" s="136">
        <v>52103</v>
      </c>
      <c r="E392" s="136" t="s">
        <v>4477</v>
      </c>
      <c r="F392" s="141">
        <v>45905</v>
      </c>
      <c r="G392" s="136">
        <v>4569</v>
      </c>
      <c r="H392" s="136" t="s">
        <v>4569</v>
      </c>
      <c r="I392" s="136" t="s">
        <v>4570</v>
      </c>
      <c r="J392" s="136" t="s">
        <v>4455</v>
      </c>
      <c r="K392" s="136">
        <v>418100137031</v>
      </c>
      <c r="L392" s="138">
        <v>65127.91</v>
      </c>
      <c r="M392" s="138">
        <v>0</v>
      </c>
      <c r="N392" s="136" t="s">
        <v>4425</v>
      </c>
      <c r="O392" s="136" t="s">
        <v>4426</v>
      </c>
      <c r="P392" s="136" t="s">
        <v>4427</v>
      </c>
      <c r="Q392" s="136" t="s">
        <v>4428</v>
      </c>
      <c r="R392" s="136">
        <v>0</v>
      </c>
      <c r="S392" s="142">
        <f>(Tabla18[[#This Row],[Debe]]-Tabla18[[#This Row],[Haber]])*
SUMIF('0_Indice_CAC'!$A:$A,Tabla18[[#This Row],[Mes]],'0_Indice_CAC'!$D:$D)</f>
        <v>56306.347552062522</v>
      </c>
      <c r="T392" s="142">
        <f>Tabla18[[#This Row],[Debe]]-Tabla18[[#This Row],[Haber]]</f>
        <v>65127.91</v>
      </c>
      <c r="U392" s="322"/>
      <c r="V392" s="323"/>
      <c r="W392" s="142">
        <f t="shared" si="8"/>
        <v>65127.91</v>
      </c>
      <c r="X392" s="142" t="b">
        <f>ISNUMBER(MATCH(A392,'3_Control_Ppto'!$A$4:$A$70,0))</f>
        <v>1</v>
      </c>
      <c r="Y392" s="136"/>
    </row>
    <row r="393" spans="1:25" ht="12" customHeight="1" x14ac:dyDescent="0.3">
      <c r="A393" s="140" t="s">
        <v>4317</v>
      </c>
      <c r="B393" s="140" t="s">
        <v>56</v>
      </c>
      <c r="C393" s="549">
        <f>+EOMONTH(Tabla18[[#This Row],[Fecha Asiento]],-1)+1</f>
        <v>45901</v>
      </c>
      <c r="D393" s="136">
        <v>52103</v>
      </c>
      <c r="E393" s="136" t="s">
        <v>4477</v>
      </c>
      <c r="F393" s="141">
        <v>45905</v>
      </c>
      <c r="G393" s="136">
        <v>4572</v>
      </c>
      <c r="H393" s="136" t="s">
        <v>4627</v>
      </c>
      <c r="I393" s="136" t="s">
        <v>4628</v>
      </c>
      <c r="J393" s="136" t="s">
        <v>4455</v>
      </c>
      <c r="K393" s="136">
        <v>800000394</v>
      </c>
      <c r="L393" s="138">
        <v>6611.57</v>
      </c>
      <c r="M393" s="138">
        <v>0</v>
      </c>
      <c r="N393" s="136" t="s">
        <v>4425</v>
      </c>
      <c r="O393" s="136" t="s">
        <v>4426</v>
      </c>
      <c r="P393" s="136" t="s">
        <v>4427</v>
      </c>
      <c r="Q393" s="136" t="s">
        <v>4428</v>
      </c>
      <c r="R393" s="136">
        <v>0</v>
      </c>
      <c r="S393" s="142">
        <f>(Tabla18[[#This Row],[Debe]]-Tabla18[[#This Row],[Haber]])*
SUMIF('0_Indice_CAC'!$A:$A,Tabla18[[#This Row],[Mes]],'0_Indice_CAC'!$D:$D)</f>
        <v>5716.0341593149533</v>
      </c>
      <c r="T393" s="142">
        <f>Tabla18[[#This Row],[Debe]]-Tabla18[[#This Row],[Haber]]</f>
        <v>6611.57</v>
      </c>
      <c r="U393" s="322"/>
      <c r="V393" s="323"/>
      <c r="W393" s="142">
        <f t="shared" si="8"/>
        <v>6611.57</v>
      </c>
      <c r="X393" s="142" t="b">
        <f>ISNUMBER(MATCH(A393,'3_Control_Ppto'!$A$4:$A$70,0))</f>
        <v>1</v>
      </c>
      <c r="Y393" s="136"/>
    </row>
    <row r="394" spans="1:25" ht="12" customHeight="1" x14ac:dyDescent="0.3">
      <c r="A394" s="140" t="s">
        <v>106</v>
      </c>
      <c r="B394" s="140" t="s">
        <v>4090</v>
      </c>
      <c r="C394" s="549">
        <f>+EOMONTH(Tabla18[[#This Row],[Fecha Asiento]],-1)+1</f>
        <v>45901</v>
      </c>
      <c r="D394" s="136">
        <v>53023</v>
      </c>
      <c r="E394" s="136" t="s">
        <v>4467</v>
      </c>
      <c r="F394" s="141">
        <v>45905</v>
      </c>
      <c r="G394" s="136">
        <v>4570</v>
      </c>
      <c r="H394" s="136" t="s">
        <v>4714</v>
      </c>
      <c r="I394" s="136" t="s">
        <v>4521</v>
      </c>
      <c r="J394" s="136" t="s">
        <v>4455</v>
      </c>
      <c r="K394" s="136">
        <v>400000495</v>
      </c>
      <c r="L394" s="138">
        <v>16529</v>
      </c>
      <c r="M394" s="138">
        <v>0</v>
      </c>
      <c r="N394" s="136" t="s">
        <v>4425</v>
      </c>
      <c r="O394" s="136" t="s">
        <v>4426</v>
      </c>
      <c r="P394" s="136" t="s">
        <v>4427</v>
      </c>
      <c r="Q394" s="136" t="s">
        <v>4428</v>
      </c>
      <c r="R394" s="136">
        <v>0</v>
      </c>
      <c r="S394" s="142">
        <f>(Tabla18[[#This Row],[Debe]]-Tabla18[[#This Row],[Haber]])*
SUMIF('0_Indice_CAC'!$A:$A,Tabla18[[#This Row],[Mes]],'0_Indice_CAC'!$D:$D)</f>
        <v>14290.150239552311</v>
      </c>
      <c r="T394" s="142">
        <f>Tabla18[[#This Row],[Debe]]-Tabla18[[#This Row],[Haber]]</f>
        <v>16529</v>
      </c>
      <c r="U394" s="322"/>
      <c r="V394" s="323"/>
      <c r="W394" s="142">
        <f t="shared" si="8"/>
        <v>16529</v>
      </c>
      <c r="X394" s="142" t="b">
        <f>ISNUMBER(MATCH(A394,'3_Control_Ppto'!$A$4:$A$70,0))</f>
        <v>1</v>
      </c>
      <c r="Y394" s="136"/>
    </row>
    <row r="395" spans="1:25" ht="12" customHeight="1" x14ac:dyDescent="0.3">
      <c r="A395" s="140" t="s">
        <v>106</v>
      </c>
      <c r="B395" s="140" t="s">
        <v>4090</v>
      </c>
      <c r="C395" s="549">
        <f>+EOMONTH(Tabla18[[#This Row],[Fecha Asiento]],-1)+1</f>
        <v>45901</v>
      </c>
      <c r="D395" s="136">
        <v>53023</v>
      </c>
      <c r="E395" s="136" t="s">
        <v>4467</v>
      </c>
      <c r="F395" s="141">
        <v>45905</v>
      </c>
      <c r="G395" s="136">
        <v>4570</v>
      </c>
      <c r="H395" s="136" t="s">
        <v>4714</v>
      </c>
      <c r="I395" s="136" t="s">
        <v>4521</v>
      </c>
      <c r="J395" s="136" t="s">
        <v>4455</v>
      </c>
      <c r="K395" s="136">
        <v>400000495</v>
      </c>
      <c r="L395" s="138">
        <v>18595.05</v>
      </c>
      <c r="M395" s="138">
        <v>0</v>
      </c>
      <c r="N395" s="136" t="s">
        <v>4425</v>
      </c>
      <c r="O395" s="136" t="s">
        <v>4426</v>
      </c>
      <c r="P395" s="136" t="s">
        <v>4427</v>
      </c>
      <c r="Q395" s="136" t="s">
        <v>4428</v>
      </c>
      <c r="R395" s="136">
        <v>0</v>
      </c>
      <c r="S395" s="142">
        <f>(Tabla18[[#This Row],[Debe]]-Tabla18[[#This Row],[Haber]])*
SUMIF('0_Indice_CAC'!$A:$A,Tabla18[[#This Row],[Mes]],'0_Indice_CAC'!$D:$D)</f>
        <v>16076.354178231422</v>
      </c>
      <c r="T395" s="142">
        <f>Tabla18[[#This Row],[Debe]]-Tabla18[[#This Row],[Haber]]</f>
        <v>18595.05</v>
      </c>
      <c r="U395" s="322"/>
      <c r="V395" s="323"/>
      <c r="W395" s="142">
        <f t="shared" si="8"/>
        <v>18595.05</v>
      </c>
      <c r="X395" s="142" t="b">
        <f>ISNUMBER(MATCH(A395,'3_Control_Ppto'!$A$4:$A$70,0))</f>
        <v>1</v>
      </c>
      <c r="Y395" s="136"/>
    </row>
    <row r="396" spans="1:25" ht="12" customHeight="1" x14ac:dyDescent="0.3">
      <c r="A396" s="140" t="s">
        <v>106</v>
      </c>
      <c r="B396" s="140" t="s">
        <v>4090</v>
      </c>
      <c r="C396" s="549">
        <f>+EOMONTH(Tabla18[[#This Row],[Fecha Asiento]],-1)+1</f>
        <v>45901</v>
      </c>
      <c r="D396" s="136">
        <v>53023</v>
      </c>
      <c r="E396" s="136" t="s">
        <v>4467</v>
      </c>
      <c r="F396" s="141">
        <v>45905</v>
      </c>
      <c r="G396" s="136">
        <v>4571</v>
      </c>
      <c r="H396" s="136" t="s">
        <v>4705</v>
      </c>
      <c r="I396" s="136" t="s">
        <v>4482</v>
      </c>
      <c r="J396" s="136" t="s">
        <v>4455</v>
      </c>
      <c r="K396" s="136">
        <v>1000000128</v>
      </c>
      <c r="L396" s="138">
        <v>10172</v>
      </c>
      <c r="M396" s="138">
        <v>0</v>
      </c>
      <c r="N396" s="136" t="s">
        <v>4425</v>
      </c>
      <c r="O396" s="136" t="s">
        <v>4426</v>
      </c>
      <c r="P396" s="136" t="s">
        <v>4427</v>
      </c>
      <c r="Q396" s="136" t="s">
        <v>4428</v>
      </c>
      <c r="R396" s="136">
        <v>0</v>
      </c>
      <c r="S396" s="142">
        <f>(Tabla18[[#This Row],[Debe]]-Tabla18[[#This Row],[Haber]])*
SUMIF('0_Indice_CAC'!$A:$A,Tabla18[[#This Row],[Mes]],'0_Indice_CAC'!$D:$D)</f>
        <v>8794.2046244011199</v>
      </c>
      <c r="T396" s="142">
        <f>Tabla18[[#This Row],[Debe]]-Tabla18[[#This Row],[Haber]]</f>
        <v>10172</v>
      </c>
      <c r="U396" s="322"/>
      <c r="V396" s="323"/>
      <c r="W396" s="142">
        <f t="shared" si="8"/>
        <v>10172</v>
      </c>
      <c r="X396" s="142" t="b">
        <f>ISNUMBER(MATCH(A396,'3_Control_Ppto'!$A$4:$A$70,0))</f>
        <v>1</v>
      </c>
      <c r="Y396" s="136"/>
    </row>
    <row r="397" spans="1:25" ht="12" customHeight="1" x14ac:dyDescent="0.3">
      <c r="A397" s="140" t="s">
        <v>106</v>
      </c>
      <c r="B397" s="140" t="s">
        <v>4090</v>
      </c>
      <c r="C397" s="549">
        <f>+EOMONTH(Tabla18[[#This Row],[Fecha Asiento]],-1)+1</f>
        <v>45901</v>
      </c>
      <c r="D397" s="136">
        <v>53023</v>
      </c>
      <c r="E397" s="136" t="s">
        <v>4467</v>
      </c>
      <c r="F397" s="141">
        <v>45906</v>
      </c>
      <c r="G397" s="136">
        <v>4630</v>
      </c>
      <c r="H397" s="136" t="s">
        <v>4475</v>
      </c>
      <c r="I397" s="136" t="s">
        <v>4471</v>
      </c>
      <c r="J397" s="136" t="s">
        <v>4455</v>
      </c>
      <c r="K397" s="136">
        <v>1000207884</v>
      </c>
      <c r="L397" s="138">
        <v>180123.74</v>
      </c>
      <c r="M397" s="138">
        <v>0</v>
      </c>
      <c r="N397" s="136" t="s">
        <v>4425</v>
      </c>
      <c r="O397" s="136" t="s">
        <v>4426</v>
      </c>
      <c r="P397" s="136" t="s">
        <v>4427</v>
      </c>
      <c r="Q397" s="136" t="s">
        <v>4428</v>
      </c>
      <c r="R397" s="136">
        <v>0</v>
      </c>
      <c r="S397" s="142">
        <f>(Tabla18[[#This Row],[Debe]]-Tabla18[[#This Row],[Haber]])*
SUMIF('0_Indice_CAC'!$A:$A,Tabla18[[#This Row],[Mes]],'0_Indice_CAC'!$D:$D)</f>
        <v>155726.01526468984</v>
      </c>
      <c r="T397" s="142">
        <f>Tabla18[[#This Row],[Debe]]-Tabla18[[#This Row],[Haber]]</f>
        <v>180123.74</v>
      </c>
      <c r="U397" s="322"/>
      <c r="V397" s="323"/>
      <c r="W397" s="142">
        <f t="shared" si="8"/>
        <v>180123.74</v>
      </c>
      <c r="X397" s="142" t="b">
        <f>ISNUMBER(MATCH(A397,'3_Control_Ppto'!$A$4:$A$70,0))</f>
        <v>1</v>
      </c>
      <c r="Y397" s="136"/>
    </row>
    <row r="398" spans="1:25" ht="12" customHeight="1" x14ac:dyDescent="0.3">
      <c r="A398" s="140" t="s">
        <v>106</v>
      </c>
      <c r="B398" s="140" t="s">
        <v>4090</v>
      </c>
      <c r="C398" s="549">
        <f>+EOMONTH(Tabla18[[#This Row],[Fecha Asiento]],-1)+1</f>
        <v>45901</v>
      </c>
      <c r="D398" s="136">
        <v>53023</v>
      </c>
      <c r="E398" s="136" t="s">
        <v>4467</v>
      </c>
      <c r="F398" s="141">
        <v>45906</v>
      </c>
      <c r="G398" s="136">
        <v>4803</v>
      </c>
      <c r="H398" s="136" t="s">
        <v>4715</v>
      </c>
      <c r="I398" s="136" t="s">
        <v>4562</v>
      </c>
      <c r="J398" s="136" t="s">
        <v>4455</v>
      </c>
      <c r="K398" s="136">
        <v>1178700000282</v>
      </c>
      <c r="L398" s="138">
        <v>7209.92</v>
      </c>
      <c r="M398" s="138">
        <v>0</v>
      </c>
      <c r="N398" s="136" t="s">
        <v>4425</v>
      </c>
      <c r="O398" s="136" t="s">
        <v>4426</v>
      </c>
      <c r="P398" s="136" t="s">
        <v>4427</v>
      </c>
      <c r="Q398" s="136" t="s">
        <v>4428</v>
      </c>
      <c r="R398" s="136">
        <v>0</v>
      </c>
      <c r="S398" s="142">
        <f>(Tabla18[[#This Row],[Debe]]-Tabla18[[#This Row],[Haber]])*
SUMIF('0_Indice_CAC'!$A:$A,Tabla18[[#This Row],[Mes]],'0_Indice_CAC'!$D:$D)</f>
        <v>6233.3377708967873</v>
      </c>
      <c r="T398" s="142">
        <f>Tabla18[[#This Row],[Debe]]-Tabla18[[#This Row],[Haber]]</f>
        <v>7209.92</v>
      </c>
      <c r="U398" s="322"/>
      <c r="V398" s="323"/>
      <c r="W398" s="142">
        <f t="shared" si="8"/>
        <v>7209.92</v>
      </c>
      <c r="X398" s="142" t="b">
        <f>ISNUMBER(MATCH(A398,'3_Control_Ppto'!$A$4:$A$70,0))</f>
        <v>1</v>
      </c>
      <c r="Y398" s="136"/>
    </row>
    <row r="399" spans="1:25" ht="12" customHeight="1" x14ac:dyDescent="0.3">
      <c r="A399" s="140" t="s">
        <v>1478</v>
      </c>
      <c r="B399" s="140" t="s">
        <v>4090</v>
      </c>
      <c r="C399" s="549">
        <f>+EOMONTH(Tabla18[[#This Row],[Fecha Asiento]],-1)+1</f>
        <v>45901</v>
      </c>
      <c r="D399" s="136">
        <v>53004</v>
      </c>
      <c r="E399" s="136" t="s">
        <v>4496</v>
      </c>
      <c r="F399" s="141">
        <v>45909</v>
      </c>
      <c r="G399" s="136">
        <v>4576</v>
      </c>
      <c r="H399" s="136" t="s">
        <v>4648</v>
      </c>
      <c r="I399" s="136" t="s">
        <v>4624</v>
      </c>
      <c r="J399" s="136" t="s">
        <v>4455</v>
      </c>
      <c r="K399" s="136">
        <v>5000014310</v>
      </c>
      <c r="L399" s="138">
        <v>5017074.53</v>
      </c>
      <c r="M399" s="138">
        <v>0</v>
      </c>
      <c r="N399" s="136" t="s">
        <v>4425</v>
      </c>
      <c r="O399" s="136" t="s">
        <v>4426</v>
      </c>
      <c r="P399" s="136" t="s">
        <v>4427</v>
      </c>
      <c r="Q399" s="136" t="s">
        <v>4428</v>
      </c>
      <c r="R399" s="136">
        <v>0</v>
      </c>
      <c r="S399" s="142">
        <f>(Tabla18[[#This Row],[Debe]]-Tabla18[[#This Row],[Haber]])*
SUMIF('0_Indice_CAC'!$A:$A,Tabla18[[#This Row],[Mes]],'0_Indice_CAC'!$D:$D)</f>
        <v>4337512.7833947185</v>
      </c>
      <c r="T399" s="142">
        <f>Tabla18[[#This Row],[Debe]]-Tabla18[[#This Row],[Haber]]</f>
        <v>5017074.53</v>
      </c>
      <c r="U399" s="322"/>
      <c r="V399" s="323"/>
      <c r="W399" s="142">
        <f t="shared" si="8"/>
        <v>5017074.53</v>
      </c>
      <c r="X399" s="142" t="b">
        <f>ISNUMBER(MATCH(A399,'3_Control_Ppto'!$A$4:$A$70,0))</f>
        <v>1</v>
      </c>
      <c r="Y399" s="136"/>
    </row>
    <row r="400" spans="1:25" ht="12" customHeight="1" x14ac:dyDescent="0.3">
      <c r="A400" s="140" t="s">
        <v>4310</v>
      </c>
      <c r="B400" s="140" t="s">
        <v>56</v>
      </c>
      <c r="C400" s="549">
        <f>+EOMONTH(Tabla18[[#This Row],[Fecha Asiento]],-1)+1</f>
        <v>45901</v>
      </c>
      <c r="D400" s="136">
        <v>52204</v>
      </c>
      <c r="E400" s="136" t="s">
        <v>4452</v>
      </c>
      <c r="F400" s="141">
        <v>45910</v>
      </c>
      <c r="G400" s="136">
        <v>4581</v>
      </c>
      <c r="H400" s="136" t="s">
        <v>4453</v>
      </c>
      <c r="I400" s="136" t="s">
        <v>4454</v>
      </c>
      <c r="J400" s="136" t="s">
        <v>4519</v>
      </c>
      <c r="K400" s="136">
        <v>300000051</v>
      </c>
      <c r="L400" s="138">
        <v>0</v>
      </c>
      <c r="M400" s="138">
        <v>157948</v>
      </c>
      <c r="N400" s="136" t="s">
        <v>4425</v>
      </c>
      <c r="O400" s="136" t="s">
        <v>4426</v>
      </c>
      <c r="P400" s="136" t="s">
        <v>4427</v>
      </c>
      <c r="Q400" s="136" t="s">
        <v>4428</v>
      </c>
      <c r="R400" s="136">
        <v>0</v>
      </c>
      <c r="S400" s="142">
        <f>(Tabla18[[#This Row],[Debe]]-Tabla18[[#This Row],[Haber]])*
SUMIF('0_Indice_CAC'!$A:$A,Tabla18[[#This Row],[Mes]],'0_Indice_CAC'!$D:$D)</f>
        <v>-136553.97483434016</v>
      </c>
      <c r="T400" s="142">
        <f>Tabla18[[#This Row],[Debe]]-Tabla18[[#This Row],[Haber]]</f>
        <v>-157948</v>
      </c>
      <c r="U400" s="322"/>
      <c r="V400" s="323"/>
      <c r="W400" s="142">
        <f t="shared" si="8"/>
        <v>-157948</v>
      </c>
      <c r="X400" s="142" t="b">
        <f>ISNUMBER(MATCH(A400,'3_Control_Ppto'!$A$4:$A$70,0))</f>
        <v>1</v>
      </c>
      <c r="Y400" s="136"/>
    </row>
    <row r="401" spans="1:25" ht="12" customHeight="1" x14ac:dyDescent="0.3">
      <c r="A401" s="140" t="s">
        <v>1478</v>
      </c>
      <c r="B401" s="140" t="s">
        <v>56</v>
      </c>
      <c r="C401" s="549">
        <f>+EOMONTH(Tabla18[[#This Row],[Fecha Asiento]],-1)+1</f>
        <v>45901</v>
      </c>
      <c r="D401" s="136">
        <v>53005</v>
      </c>
      <c r="E401" s="136" t="s">
        <v>4472</v>
      </c>
      <c r="F401" s="141">
        <v>45911</v>
      </c>
      <c r="G401" s="136">
        <v>2265</v>
      </c>
      <c r="H401" s="136" t="s">
        <v>4716</v>
      </c>
      <c r="I401" s="136" t="s">
        <v>4423</v>
      </c>
      <c r="J401" s="136" t="s">
        <v>4424</v>
      </c>
      <c r="K401" s="136">
        <v>7546</v>
      </c>
      <c r="L401" s="138">
        <v>274662</v>
      </c>
      <c r="M401" s="138">
        <v>0</v>
      </c>
      <c r="N401" s="136" t="s">
        <v>4425</v>
      </c>
      <c r="O401" s="136" t="s">
        <v>4426</v>
      </c>
      <c r="P401" s="136" t="s">
        <v>4427</v>
      </c>
      <c r="Q401" s="136" t="s">
        <v>4428</v>
      </c>
      <c r="R401" s="136">
        <v>0</v>
      </c>
      <c r="S401" s="142">
        <f>(Tabla18[[#This Row],[Debe]]-Tabla18[[#This Row],[Haber]])*
SUMIF('0_Indice_CAC'!$A:$A,Tabla18[[#This Row],[Mes]],'0_Indice_CAC'!$D:$D)</f>
        <v>237459.08676241254</v>
      </c>
      <c r="T401" s="142">
        <f>Tabla18[[#This Row],[Debe]]-Tabla18[[#This Row],[Haber]]</f>
        <v>274662</v>
      </c>
      <c r="U401" s="322" t="s">
        <v>4668</v>
      </c>
      <c r="V401" s="323"/>
      <c r="W401" s="142">
        <f t="shared" si="8"/>
        <v>274662</v>
      </c>
      <c r="X401" s="142" t="b">
        <f>ISNUMBER(MATCH(A401,'3_Control_Ppto'!$A$4:$A$70,0))</f>
        <v>1</v>
      </c>
      <c r="Y401" s="136"/>
    </row>
    <row r="402" spans="1:25" ht="12" customHeight="1" x14ac:dyDescent="0.3">
      <c r="A402" s="140" t="s">
        <v>4119</v>
      </c>
      <c r="B402" s="140" t="s">
        <v>4090</v>
      </c>
      <c r="C402" s="549">
        <f>+EOMONTH(Tabla18[[#This Row],[Fecha Asiento]],-1)+1</f>
        <v>45901</v>
      </c>
      <c r="D402" s="136">
        <v>53022</v>
      </c>
      <c r="E402" s="136" t="s">
        <v>4429</v>
      </c>
      <c r="F402" s="141">
        <v>45911</v>
      </c>
      <c r="G402" s="136">
        <v>2404</v>
      </c>
      <c r="H402" s="136" t="s">
        <v>4697</v>
      </c>
      <c r="I402" s="136" t="s">
        <v>4698</v>
      </c>
      <c r="J402" s="136" t="s">
        <v>4699</v>
      </c>
      <c r="K402" s="136">
        <v>7384</v>
      </c>
      <c r="L402" s="138">
        <v>91000</v>
      </c>
      <c r="M402" s="138">
        <v>0</v>
      </c>
      <c r="N402" s="136" t="s">
        <v>4425</v>
      </c>
      <c r="O402" s="136" t="s">
        <v>4426</v>
      </c>
      <c r="P402" s="136" t="s">
        <v>4427</v>
      </c>
      <c r="Q402" s="136" t="s">
        <v>4428</v>
      </c>
      <c r="R402" s="136">
        <v>0</v>
      </c>
      <c r="S402" s="142">
        <f>(Tabla18[[#This Row],[Debe]]-Tabla18[[#This Row],[Haber]])*
SUMIF('0_Indice_CAC'!$A:$A,Tabla18[[#This Row],[Mes]],'0_Indice_CAC'!$D:$D)</f>
        <v>78674.068110548746</v>
      </c>
      <c r="T402" s="142">
        <f>Tabla18[[#This Row],[Debe]]-Tabla18[[#This Row],[Haber]]</f>
        <v>91000</v>
      </c>
      <c r="U402" s="322"/>
      <c r="V402" s="323"/>
      <c r="W402" s="142">
        <f t="shared" si="8"/>
        <v>91000</v>
      </c>
      <c r="X402" s="142" t="b">
        <f>ISNUMBER(MATCH(A402,'3_Control_Ppto'!$A$4:$A$70,0))</f>
        <v>1</v>
      </c>
      <c r="Y402" s="136"/>
    </row>
    <row r="403" spans="1:25" ht="12" customHeight="1" x14ac:dyDescent="0.3">
      <c r="A403" s="140" t="s">
        <v>4310</v>
      </c>
      <c r="B403" s="140" t="s">
        <v>56</v>
      </c>
      <c r="C403" s="549">
        <f>+EOMONTH(Tabla18[[#This Row],[Fecha Asiento]],-1)+1</f>
        <v>45901</v>
      </c>
      <c r="D403" s="136">
        <v>53026</v>
      </c>
      <c r="E403" s="136" t="s">
        <v>4310</v>
      </c>
      <c r="F403" s="141">
        <v>45911</v>
      </c>
      <c r="G403" s="136">
        <v>2161</v>
      </c>
      <c r="H403" s="136" t="s">
        <v>4717</v>
      </c>
      <c r="I403" s="136" t="s">
        <v>4423</v>
      </c>
      <c r="J403" s="136" t="s">
        <v>4424</v>
      </c>
      <c r="K403" s="136">
        <v>7540</v>
      </c>
      <c r="L403" s="138">
        <v>157950</v>
      </c>
      <c r="M403" s="138">
        <v>0</v>
      </c>
      <c r="N403" s="136" t="s">
        <v>4425</v>
      </c>
      <c r="O403" s="136" t="s">
        <v>4426</v>
      </c>
      <c r="P403" s="136" t="s">
        <v>4427</v>
      </c>
      <c r="Q403" s="136" t="s">
        <v>4428</v>
      </c>
      <c r="R403" s="136">
        <v>0</v>
      </c>
      <c r="S403" s="142">
        <f>(Tabla18[[#This Row],[Debe]]-Tabla18[[#This Row],[Haber]])*
SUMIF('0_Indice_CAC'!$A:$A,Tabla18[[#This Row],[Mes]],'0_Indice_CAC'!$D:$D)</f>
        <v>136555.70393473818</v>
      </c>
      <c r="T403" s="142">
        <f>Tabla18[[#This Row],[Debe]]-Tabla18[[#This Row],[Haber]]</f>
        <v>157950</v>
      </c>
      <c r="U403" s="322"/>
      <c r="V403" s="323"/>
      <c r="W403" s="142">
        <f t="shared" si="8"/>
        <v>157950</v>
      </c>
      <c r="X403" s="142" t="b">
        <f>ISNUMBER(MATCH(A403,'3_Control_Ppto'!$A$4:$A$70,0))</f>
        <v>1</v>
      </c>
      <c r="Y403" s="136"/>
    </row>
    <row r="404" spans="1:25" ht="12" customHeight="1" x14ac:dyDescent="0.3">
      <c r="A404" s="140" t="s">
        <v>4317</v>
      </c>
      <c r="B404" s="140" t="s">
        <v>56</v>
      </c>
      <c r="C404" s="549">
        <f>+EOMONTH(Tabla18[[#This Row],[Fecha Asiento]],-1)+1</f>
        <v>45901</v>
      </c>
      <c r="D404" s="136">
        <v>52103</v>
      </c>
      <c r="E404" s="136" t="s">
        <v>4477</v>
      </c>
      <c r="F404" s="141">
        <v>45912</v>
      </c>
      <c r="G404" s="136">
        <v>4809</v>
      </c>
      <c r="H404" s="136" t="s">
        <v>4569</v>
      </c>
      <c r="I404" s="136" t="s">
        <v>4570</v>
      </c>
      <c r="J404" s="136" t="s">
        <v>4455</v>
      </c>
      <c r="K404" s="136">
        <v>418100137506</v>
      </c>
      <c r="L404" s="138">
        <v>11068.01</v>
      </c>
      <c r="M404" s="138">
        <v>0</v>
      </c>
      <c r="N404" s="136" t="s">
        <v>4425</v>
      </c>
      <c r="O404" s="136" t="s">
        <v>4426</v>
      </c>
      <c r="P404" s="136" t="s">
        <v>4427</v>
      </c>
      <c r="Q404" s="136" t="s">
        <v>4428</v>
      </c>
      <c r="R404" s="136">
        <v>0</v>
      </c>
      <c r="S404" s="142">
        <f>(Tabla18[[#This Row],[Debe]]-Tabla18[[#This Row],[Haber]])*
SUMIF('0_Indice_CAC'!$A:$A,Tabla18[[#This Row],[Mes]],'0_Indice_CAC'!$D:$D)</f>
        <v>9568.8502482223594</v>
      </c>
      <c r="T404" s="142">
        <f>Tabla18[[#This Row],[Debe]]-Tabla18[[#This Row],[Haber]]</f>
        <v>11068.01</v>
      </c>
      <c r="U404" s="322"/>
      <c r="V404" s="323"/>
      <c r="W404" s="142">
        <f t="shared" si="8"/>
        <v>11068.01</v>
      </c>
      <c r="X404" s="142" t="b">
        <f>ISNUMBER(MATCH(A404,'3_Control_Ppto'!$A$4:$A$70,0))</f>
        <v>1</v>
      </c>
      <c r="Y404" s="136"/>
    </row>
    <row r="405" spans="1:25" ht="12" customHeight="1" x14ac:dyDescent="0.3">
      <c r="A405" s="140" t="s">
        <v>4317</v>
      </c>
      <c r="B405" s="140" t="s">
        <v>56</v>
      </c>
      <c r="C405" s="549">
        <f>+EOMONTH(Tabla18[[#This Row],[Fecha Asiento]],-1)+1</f>
        <v>45901</v>
      </c>
      <c r="D405" s="136">
        <v>52103</v>
      </c>
      <c r="E405" s="136" t="s">
        <v>4477</v>
      </c>
      <c r="F405" s="141">
        <v>45912</v>
      </c>
      <c r="G405" s="136">
        <v>4809</v>
      </c>
      <c r="H405" s="136" t="s">
        <v>4569</v>
      </c>
      <c r="I405" s="136" t="s">
        <v>4570</v>
      </c>
      <c r="J405" s="136" t="s">
        <v>4455</v>
      </c>
      <c r="K405" s="136">
        <v>418100137506</v>
      </c>
      <c r="L405" s="138">
        <v>64098.17</v>
      </c>
      <c r="M405" s="138">
        <v>0</v>
      </c>
      <c r="N405" s="136" t="s">
        <v>4425</v>
      </c>
      <c r="O405" s="136" t="s">
        <v>4426</v>
      </c>
      <c r="P405" s="136" t="s">
        <v>4427</v>
      </c>
      <c r="Q405" s="136" t="s">
        <v>4428</v>
      </c>
      <c r="R405" s="136">
        <v>0</v>
      </c>
      <c r="S405" s="142">
        <f>(Tabla18[[#This Row],[Debe]]-Tabla18[[#This Row],[Haber]])*
SUMIF('0_Indice_CAC'!$A:$A,Tabla18[[#This Row],[Mes]],'0_Indice_CAC'!$D:$D)</f>
        <v>55416.085630126734</v>
      </c>
      <c r="T405" s="142">
        <f>Tabla18[[#This Row],[Debe]]-Tabla18[[#This Row],[Haber]]</f>
        <v>64098.17</v>
      </c>
      <c r="U405" s="322"/>
      <c r="V405" s="323"/>
      <c r="W405" s="142">
        <f t="shared" si="8"/>
        <v>64098.17</v>
      </c>
      <c r="X405" s="142" t="b">
        <f>ISNUMBER(MATCH(A405,'3_Control_Ppto'!$A$4:$A$70,0))</f>
        <v>1</v>
      </c>
      <c r="Y405" s="136"/>
    </row>
    <row r="406" spans="1:25" ht="12" customHeight="1" x14ac:dyDescent="0.3">
      <c r="A406" s="140" t="s">
        <v>4317</v>
      </c>
      <c r="B406" s="140" t="s">
        <v>56</v>
      </c>
      <c r="C406" s="549">
        <f>+EOMONTH(Tabla18[[#This Row],[Fecha Asiento]],-1)+1</f>
        <v>45901</v>
      </c>
      <c r="D406" s="136">
        <v>52103</v>
      </c>
      <c r="E406" s="136" t="s">
        <v>4477</v>
      </c>
      <c r="F406" s="141">
        <v>45912</v>
      </c>
      <c r="G406" s="136">
        <v>4810</v>
      </c>
      <c r="H406" s="136" t="s">
        <v>4627</v>
      </c>
      <c r="I406" s="136" t="s">
        <v>4628</v>
      </c>
      <c r="J406" s="136" t="s">
        <v>4455</v>
      </c>
      <c r="K406" s="136">
        <v>800000406</v>
      </c>
      <c r="L406" s="138">
        <v>6611.57</v>
      </c>
      <c r="M406" s="138">
        <v>0</v>
      </c>
      <c r="N406" s="136" t="s">
        <v>4425</v>
      </c>
      <c r="O406" s="136" t="s">
        <v>4426</v>
      </c>
      <c r="P406" s="136" t="s">
        <v>4427</v>
      </c>
      <c r="Q406" s="136" t="s">
        <v>4428</v>
      </c>
      <c r="R406" s="136">
        <v>0</v>
      </c>
      <c r="S406" s="142">
        <f>(Tabla18[[#This Row],[Debe]]-Tabla18[[#This Row],[Haber]])*
SUMIF('0_Indice_CAC'!$A:$A,Tabla18[[#This Row],[Mes]],'0_Indice_CAC'!$D:$D)</f>
        <v>5716.0341593149533</v>
      </c>
      <c r="T406" s="142">
        <f>Tabla18[[#This Row],[Debe]]-Tabla18[[#This Row],[Haber]]</f>
        <v>6611.57</v>
      </c>
      <c r="U406" s="322"/>
      <c r="V406" s="323"/>
      <c r="W406" s="142">
        <f t="shared" si="8"/>
        <v>6611.57</v>
      </c>
      <c r="X406" s="142" t="b">
        <f>ISNUMBER(MATCH(A406,'3_Control_Ppto'!$A$4:$A$70,0))</f>
        <v>1</v>
      </c>
      <c r="Y406" s="136"/>
    </row>
    <row r="407" spans="1:25" ht="12" customHeight="1" x14ac:dyDescent="0.3">
      <c r="A407" s="140" t="s">
        <v>106</v>
      </c>
      <c r="B407" s="140" t="s">
        <v>4090</v>
      </c>
      <c r="C407" s="549">
        <f>+EOMONTH(Tabla18[[#This Row],[Fecha Asiento]],-1)+1</f>
        <v>45901</v>
      </c>
      <c r="D407" s="136">
        <v>53023</v>
      </c>
      <c r="E407" s="136" t="s">
        <v>4467</v>
      </c>
      <c r="F407" s="141">
        <v>45913</v>
      </c>
      <c r="G407" s="136">
        <v>4654</v>
      </c>
      <c r="H407" s="136" t="s">
        <v>4475</v>
      </c>
      <c r="I407" s="136" t="s">
        <v>4471</v>
      </c>
      <c r="J407" s="136" t="s">
        <v>4455</v>
      </c>
      <c r="K407" s="136">
        <v>1000208385</v>
      </c>
      <c r="L407" s="138">
        <v>99796.46</v>
      </c>
      <c r="M407" s="138">
        <v>0</v>
      </c>
      <c r="N407" s="136" t="s">
        <v>4425</v>
      </c>
      <c r="O407" s="136" t="s">
        <v>4426</v>
      </c>
      <c r="P407" s="136" t="s">
        <v>4427</v>
      </c>
      <c r="Q407" s="136" t="s">
        <v>4428</v>
      </c>
      <c r="R407" s="136">
        <v>0</v>
      </c>
      <c r="S407" s="142">
        <f>(Tabla18[[#This Row],[Debe]]-Tabla18[[#This Row],[Haber]])*
SUMIF('0_Indice_CAC'!$A:$A,Tabla18[[#This Row],[Mes]],'0_Indice_CAC'!$D:$D)</f>
        <v>86279.049354194009</v>
      </c>
      <c r="T407" s="142">
        <f>Tabla18[[#This Row],[Debe]]-Tabla18[[#This Row],[Haber]]</f>
        <v>99796.46</v>
      </c>
      <c r="U407" s="322"/>
      <c r="V407" s="323"/>
      <c r="W407" s="142">
        <f t="shared" si="8"/>
        <v>99796.46</v>
      </c>
      <c r="X407" s="142" t="b">
        <f>ISNUMBER(MATCH(A407,'3_Control_Ppto'!$A$4:$A$70,0))</f>
        <v>1</v>
      </c>
      <c r="Y407" s="136"/>
    </row>
    <row r="408" spans="1:25" ht="12" customHeight="1" x14ac:dyDescent="0.3">
      <c r="A408" s="140" t="s">
        <v>4317</v>
      </c>
      <c r="B408" s="140" t="s">
        <v>56</v>
      </c>
      <c r="C408" s="549">
        <f>+EOMONTH(Tabla18[[#This Row],[Fecha Asiento]],-1)+1</f>
        <v>45901</v>
      </c>
      <c r="D408" s="136">
        <v>52302</v>
      </c>
      <c r="E408" s="136" t="s">
        <v>4444</v>
      </c>
      <c r="F408" s="141">
        <v>45915</v>
      </c>
      <c r="G408" s="136">
        <v>4659</v>
      </c>
      <c r="H408" s="136" t="s">
        <v>4578</v>
      </c>
      <c r="I408" s="136" t="s">
        <v>4532</v>
      </c>
      <c r="J408" s="136" t="s">
        <v>4455</v>
      </c>
      <c r="K408" s="136">
        <v>217201816579</v>
      </c>
      <c r="L408" s="138">
        <v>443.98</v>
      </c>
      <c r="M408" s="138">
        <v>0</v>
      </c>
      <c r="N408" s="136" t="s">
        <v>4425</v>
      </c>
      <c r="O408" s="136" t="s">
        <v>4426</v>
      </c>
      <c r="P408" s="136" t="s">
        <v>4427</v>
      </c>
      <c r="Q408" s="136" t="s">
        <v>4428</v>
      </c>
      <c r="R408" s="136">
        <v>0</v>
      </c>
      <c r="S408" s="142">
        <f>(Tabla18[[#This Row],[Debe]]-Tabla18[[#This Row],[Haber]])*
SUMIF('0_Indice_CAC'!$A:$A,Tabla18[[#This Row],[Mes]],'0_Indice_CAC'!$D:$D)</f>
        <v>383.8429973595762</v>
      </c>
      <c r="T408" s="142">
        <f>Tabla18[[#This Row],[Debe]]-Tabla18[[#This Row],[Haber]]</f>
        <v>443.98</v>
      </c>
      <c r="U408" s="322"/>
      <c r="V408" s="323"/>
      <c r="W408" s="142">
        <f t="shared" si="8"/>
        <v>443.98</v>
      </c>
      <c r="X408" s="142" t="b">
        <f>ISNUMBER(MATCH(A408,'3_Control_Ppto'!$A$4:$A$70,0))</f>
        <v>1</v>
      </c>
      <c r="Y408" s="136"/>
    </row>
    <row r="409" spans="1:25" ht="12" customHeight="1" x14ac:dyDescent="0.3">
      <c r="A409" s="140" t="s">
        <v>4317</v>
      </c>
      <c r="B409" s="140" t="s">
        <v>56</v>
      </c>
      <c r="C409" s="549">
        <f>+EOMONTH(Tabla18[[#This Row],[Fecha Asiento]],-1)+1</f>
        <v>45901</v>
      </c>
      <c r="D409" s="136">
        <v>52302</v>
      </c>
      <c r="E409" s="136" t="s">
        <v>4444</v>
      </c>
      <c r="F409" s="141">
        <v>45915</v>
      </c>
      <c r="G409" s="136">
        <v>4659</v>
      </c>
      <c r="H409" s="136" t="s">
        <v>4703</v>
      </c>
      <c r="I409" s="136" t="s">
        <v>4532</v>
      </c>
      <c r="J409" s="136" t="s">
        <v>4455</v>
      </c>
      <c r="K409" s="136">
        <v>217201816579</v>
      </c>
      <c r="L409" s="138">
        <v>30544.1</v>
      </c>
      <c r="M409" s="138">
        <v>0</v>
      </c>
      <c r="N409" s="136" t="s">
        <v>4425</v>
      </c>
      <c r="O409" s="136" t="s">
        <v>4426</v>
      </c>
      <c r="P409" s="136" t="s">
        <v>4427</v>
      </c>
      <c r="Q409" s="136" t="s">
        <v>4428</v>
      </c>
      <c r="R409" s="136">
        <v>0</v>
      </c>
      <c r="S409" s="142">
        <f>(Tabla18[[#This Row],[Debe]]-Tabla18[[#This Row],[Haber]])*
SUMIF('0_Indice_CAC'!$A:$A,Tabla18[[#This Row],[Mes]],'0_Indice_CAC'!$D:$D)</f>
        <v>26406.907733795735</v>
      </c>
      <c r="T409" s="142">
        <f>Tabla18[[#This Row],[Debe]]-Tabla18[[#This Row],[Haber]]</f>
        <v>30544.1</v>
      </c>
      <c r="U409" s="322"/>
      <c r="V409" s="323"/>
      <c r="W409" s="142">
        <f t="shared" si="8"/>
        <v>30544.1</v>
      </c>
      <c r="X409" s="142" t="b">
        <f>ISNUMBER(MATCH(A409,'3_Control_Ppto'!$A$4:$A$70,0))</f>
        <v>1</v>
      </c>
      <c r="Y409" s="136"/>
    </row>
    <row r="410" spans="1:25" ht="12" customHeight="1" x14ac:dyDescent="0.3">
      <c r="A410" s="140" t="s">
        <v>4317</v>
      </c>
      <c r="B410" s="140" t="s">
        <v>56</v>
      </c>
      <c r="C410" s="549">
        <f>+EOMONTH(Tabla18[[#This Row],[Fecha Asiento]],-1)+1</f>
        <v>45901</v>
      </c>
      <c r="D410" s="136">
        <v>52302</v>
      </c>
      <c r="E410" s="136" t="s">
        <v>4444</v>
      </c>
      <c r="F410" s="141">
        <v>45915</v>
      </c>
      <c r="G410" s="136">
        <v>4659</v>
      </c>
      <c r="H410" s="136" t="s">
        <v>4534</v>
      </c>
      <c r="I410" s="136" t="s">
        <v>4532</v>
      </c>
      <c r="J410" s="136" t="s">
        <v>4455</v>
      </c>
      <c r="K410" s="136">
        <v>217201816579</v>
      </c>
      <c r="L410" s="138">
        <v>5468.11</v>
      </c>
      <c r="M410" s="138">
        <v>0</v>
      </c>
      <c r="N410" s="136" t="s">
        <v>4425</v>
      </c>
      <c r="O410" s="136" t="s">
        <v>4426</v>
      </c>
      <c r="P410" s="136" t="s">
        <v>4427</v>
      </c>
      <c r="Q410" s="136" t="s">
        <v>4428</v>
      </c>
      <c r="R410" s="136">
        <v>0</v>
      </c>
      <c r="S410" s="142">
        <f>(Tabla18[[#This Row],[Debe]]-Tabla18[[#This Row],[Haber]])*
SUMIF('0_Indice_CAC'!$A:$A,Tabla18[[#This Row],[Mes]],'0_Indice_CAC'!$D:$D)</f>
        <v>4727.4555887469523</v>
      </c>
      <c r="T410" s="142">
        <f>Tabla18[[#This Row],[Debe]]-Tabla18[[#This Row],[Haber]]</f>
        <v>5468.11</v>
      </c>
      <c r="U410" s="322"/>
      <c r="V410" s="323"/>
      <c r="W410" s="142">
        <f t="shared" si="8"/>
        <v>5468.11</v>
      </c>
      <c r="X410" s="142" t="b">
        <f>ISNUMBER(MATCH(A410,'3_Control_Ppto'!$A$4:$A$70,0))</f>
        <v>1</v>
      </c>
      <c r="Y410" s="136"/>
    </row>
    <row r="411" spans="1:25" ht="12" customHeight="1" x14ac:dyDescent="0.3">
      <c r="A411" s="140" t="s">
        <v>1478</v>
      </c>
      <c r="B411" s="140" t="s">
        <v>4090</v>
      </c>
      <c r="C411" s="549">
        <f>+EOMONTH(Tabla18[[#This Row],[Fecha Asiento]],-1)+1</f>
        <v>45901</v>
      </c>
      <c r="D411" s="136">
        <v>53004</v>
      </c>
      <c r="E411" s="136" t="s">
        <v>4496</v>
      </c>
      <c r="F411" s="141">
        <v>45915</v>
      </c>
      <c r="G411" s="136">
        <v>4813</v>
      </c>
      <c r="H411" s="136" t="s">
        <v>4595</v>
      </c>
      <c r="I411" s="136" t="s">
        <v>4596</v>
      </c>
      <c r="J411" s="136" t="s">
        <v>4597</v>
      </c>
      <c r="K411" s="136">
        <v>22400006332</v>
      </c>
      <c r="L411" s="138">
        <v>320800</v>
      </c>
      <c r="M411" s="138">
        <v>0</v>
      </c>
      <c r="N411" s="136" t="s">
        <v>4425</v>
      </c>
      <c r="O411" s="136" t="s">
        <v>4426</v>
      </c>
      <c r="P411" s="136" t="s">
        <v>4427</v>
      </c>
      <c r="Q411" s="136" t="s">
        <v>4428</v>
      </c>
      <c r="R411" s="136">
        <v>0</v>
      </c>
      <c r="S411" s="142">
        <f>(Tabla18[[#This Row],[Debe]]-Tabla18[[#This Row],[Haber]])*
SUMIF('0_Indice_CAC'!$A:$A,Tabla18[[#This Row],[Mes]],'0_Indice_CAC'!$D:$D)</f>
        <v>277347.70384465979</v>
      </c>
      <c r="T411" s="142">
        <f>Tabla18[[#This Row],[Debe]]-Tabla18[[#This Row],[Haber]]</f>
        <v>320800</v>
      </c>
      <c r="U411" s="322"/>
      <c r="V411" s="323"/>
      <c r="W411" s="142">
        <f t="shared" si="8"/>
        <v>320800</v>
      </c>
      <c r="X411" s="142" t="b">
        <f>ISNUMBER(MATCH(A411,'3_Control_Ppto'!$A$4:$A$70,0))</f>
        <v>1</v>
      </c>
      <c r="Y411" s="136"/>
    </row>
    <row r="412" spans="1:25" ht="12" customHeight="1" x14ac:dyDescent="0.3">
      <c r="A412" s="140" t="s">
        <v>4119</v>
      </c>
      <c r="B412" s="140" t="s">
        <v>56</v>
      </c>
      <c r="C412" s="549">
        <f>+EOMONTH(Tabla18[[#This Row],[Fecha Asiento]],-1)+1</f>
        <v>45901</v>
      </c>
      <c r="D412" s="136">
        <v>53022</v>
      </c>
      <c r="E412" s="136" t="s">
        <v>4429</v>
      </c>
      <c r="F412" s="141">
        <v>45915</v>
      </c>
      <c r="G412" s="136">
        <v>4657</v>
      </c>
      <c r="H412" s="136" t="s">
        <v>4718</v>
      </c>
      <c r="I412" s="136" t="s">
        <v>4459</v>
      </c>
      <c r="J412" s="136" t="s">
        <v>4455</v>
      </c>
      <c r="K412" s="136">
        <v>300023873</v>
      </c>
      <c r="L412" s="138">
        <v>85000</v>
      </c>
      <c r="M412" s="138">
        <v>0</v>
      </c>
      <c r="N412" s="136" t="s">
        <v>4425</v>
      </c>
      <c r="O412" s="136" t="s">
        <v>4426</v>
      </c>
      <c r="P412" s="136" t="s">
        <v>4427</v>
      </c>
      <c r="Q412" s="136" t="s">
        <v>4428</v>
      </c>
      <c r="R412" s="136">
        <v>0</v>
      </c>
      <c r="S412" s="142">
        <f>(Tabla18[[#This Row],[Debe]]-Tabla18[[#This Row],[Haber]])*
SUMIF('0_Indice_CAC'!$A:$A,Tabla18[[#This Row],[Mes]],'0_Indice_CAC'!$D:$D)</f>
        <v>73486.766916446635</v>
      </c>
      <c r="T412" s="142">
        <f>Tabla18[[#This Row],[Debe]]-Tabla18[[#This Row],[Haber]]</f>
        <v>85000</v>
      </c>
      <c r="U412" s="322"/>
      <c r="V412" s="323"/>
      <c r="W412" s="142">
        <f t="shared" si="8"/>
        <v>85000</v>
      </c>
      <c r="X412" s="142" t="b">
        <f>ISNUMBER(MATCH(A412,'3_Control_Ppto'!$A$4:$A$70,0))</f>
        <v>1</v>
      </c>
      <c r="Y412" s="136"/>
    </row>
    <row r="413" spans="1:25" ht="12" customHeight="1" x14ac:dyDescent="0.3">
      <c r="A413" s="140" t="s">
        <v>1478</v>
      </c>
      <c r="B413" s="140" t="s">
        <v>4090</v>
      </c>
      <c r="C413" s="549">
        <f>+EOMONTH(Tabla18[[#This Row],[Fecha Asiento]],-1)+1</f>
        <v>45901</v>
      </c>
      <c r="D413" s="136">
        <v>53004</v>
      </c>
      <c r="E413" s="136" t="s">
        <v>4496</v>
      </c>
      <c r="F413" s="141">
        <v>45916</v>
      </c>
      <c r="G413" s="136">
        <v>4814</v>
      </c>
      <c r="H413" s="136" t="s">
        <v>4719</v>
      </c>
      <c r="I413" s="136" t="s">
        <v>4574</v>
      </c>
      <c r="J413" s="136" t="s">
        <v>4455</v>
      </c>
      <c r="K413" s="136">
        <v>900005790</v>
      </c>
      <c r="L413" s="138">
        <v>327272.73</v>
      </c>
      <c r="M413" s="138">
        <v>0</v>
      </c>
      <c r="N413" s="136" t="s">
        <v>4425</v>
      </c>
      <c r="O413" s="136" t="s">
        <v>4426</v>
      </c>
      <c r="P413" s="136" t="s">
        <v>4427</v>
      </c>
      <c r="Q413" s="136" t="s">
        <v>4428</v>
      </c>
      <c r="R413" s="136">
        <v>0</v>
      </c>
      <c r="S413" s="142">
        <f>(Tabla18[[#This Row],[Debe]]-Tabla18[[#This Row],[Haber]])*
SUMIF('0_Indice_CAC'!$A:$A,Tabla18[[#This Row],[Mes]],'0_Indice_CAC'!$D:$D)</f>
        <v>282943.70385434321</v>
      </c>
      <c r="T413" s="142">
        <f>Tabla18[[#This Row],[Debe]]-Tabla18[[#This Row],[Haber]]</f>
        <v>327272.73</v>
      </c>
      <c r="U413" s="322"/>
      <c r="V413" s="323"/>
      <c r="W413" s="142">
        <f t="shared" si="8"/>
        <v>327272.73</v>
      </c>
      <c r="X413" s="142" t="b">
        <f>ISNUMBER(MATCH(A413,'3_Control_Ppto'!$A$4:$A$70,0))</f>
        <v>1</v>
      </c>
      <c r="Y413" s="136"/>
    </row>
    <row r="414" spans="1:25" ht="12" customHeight="1" x14ac:dyDescent="0.3">
      <c r="A414" s="140" t="s">
        <v>4119</v>
      </c>
      <c r="B414" s="140" t="s">
        <v>56</v>
      </c>
      <c r="C414" s="549">
        <f>+EOMONTH(Tabla18[[#This Row],[Fecha Asiento]],-1)+1</f>
        <v>45901</v>
      </c>
      <c r="D414" s="136">
        <v>52104</v>
      </c>
      <c r="E414" s="136" t="s">
        <v>4528</v>
      </c>
      <c r="F414" s="141">
        <v>45917</v>
      </c>
      <c r="G414" s="136">
        <v>4666</v>
      </c>
      <c r="H414" s="136" t="s">
        <v>4655</v>
      </c>
      <c r="I414" s="136" t="s">
        <v>4656</v>
      </c>
      <c r="J414" s="136" t="s">
        <v>4455</v>
      </c>
      <c r="K414" s="136">
        <v>1100001206</v>
      </c>
      <c r="L414" s="138">
        <v>26400</v>
      </c>
      <c r="M414" s="138">
        <v>0</v>
      </c>
      <c r="N414" s="136" t="s">
        <v>4425</v>
      </c>
      <c r="O414" s="136" t="s">
        <v>4426</v>
      </c>
      <c r="P414" s="136" t="s">
        <v>4427</v>
      </c>
      <c r="Q414" s="136" t="s">
        <v>4428</v>
      </c>
      <c r="R414" s="136">
        <v>0</v>
      </c>
      <c r="S414" s="142">
        <f>(Tabla18[[#This Row],[Debe]]-Tabla18[[#This Row],[Haber]])*
SUMIF('0_Indice_CAC'!$A:$A,Tabla18[[#This Row],[Mes]],'0_Indice_CAC'!$D:$D)</f>
        <v>22824.125254049308</v>
      </c>
      <c r="T414" s="142">
        <f>Tabla18[[#This Row],[Debe]]-Tabla18[[#This Row],[Haber]]</f>
        <v>26400</v>
      </c>
      <c r="U414" s="322"/>
      <c r="V414" s="323"/>
      <c r="W414" s="142">
        <f t="shared" si="8"/>
        <v>26400</v>
      </c>
      <c r="X414" s="142" t="b">
        <f>ISNUMBER(MATCH(A414,'3_Control_Ppto'!$A$4:$A$70,0))</f>
        <v>1</v>
      </c>
      <c r="Y414" s="136"/>
    </row>
    <row r="415" spans="1:25" ht="12" customHeight="1" x14ac:dyDescent="0.3">
      <c r="A415" s="140" t="s">
        <v>3219</v>
      </c>
      <c r="B415" s="140" t="s">
        <v>4090</v>
      </c>
      <c r="C415" s="549">
        <f>+EOMONTH(Tabla18[[#This Row],[Fecha Asiento]],-1)+1</f>
        <v>45901</v>
      </c>
      <c r="D415" s="136">
        <v>53019</v>
      </c>
      <c r="E415" s="136" t="s">
        <v>4461</v>
      </c>
      <c r="F415" s="141">
        <v>45917</v>
      </c>
      <c r="G415" s="136">
        <v>4669</v>
      </c>
      <c r="H415" s="136" t="s">
        <v>4720</v>
      </c>
      <c r="I415" s="136" t="s">
        <v>4463</v>
      </c>
      <c r="J415" s="136" t="s">
        <v>4455</v>
      </c>
      <c r="K415" s="136">
        <v>300008536</v>
      </c>
      <c r="L415" s="138">
        <v>61796.99</v>
      </c>
      <c r="M415" s="138">
        <v>0</v>
      </c>
      <c r="N415" s="136" t="s">
        <v>4425</v>
      </c>
      <c r="O415" s="136" t="s">
        <v>4426</v>
      </c>
      <c r="P415" s="136" t="s">
        <v>4427</v>
      </c>
      <c r="Q415" s="136" t="s">
        <v>4428</v>
      </c>
      <c r="R415" s="136">
        <v>0</v>
      </c>
      <c r="S415" s="142">
        <f>(Tabla18[[#This Row],[Debe]]-Tabla18[[#This Row],[Haber]])*
SUMIF('0_Indice_CAC'!$A:$A,Tabla18[[#This Row],[Mes]],'0_Indice_CAC'!$D:$D)</f>
        <v>53426.600003152744</v>
      </c>
      <c r="T415" s="142">
        <f>Tabla18[[#This Row],[Debe]]-Tabla18[[#This Row],[Haber]]</f>
        <v>61796.99</v>
      </c>
      <c r="U415" s="322"/>
      <c r="V415" s="323"/>
      <c r="W415" s="142">
        <f t="shared" si="8"/>
        <v>61796.99</v>
      </c>
      <c r="X415" s="142" t="b">
        <f>ISNUMBER(MATCH(A415,'3_Control_Ppto'!$A$4:$A$70,0))</f>
        <v>1</v>
      </c>
      <c r="Y415" s="136"/>
    </row>
    <row r="416" spans="1:25" ht="12" customHeight="1" x14ac:dyDescent="0.3">
      <c r="A416" s="140" t="s">
        <v>4317</v>
      </c>
      <c r="B416" s="140" t="s">
        <v>56</v>
      </c>
      <c r="C416" s="549">
        <f>+EOMONTH(Tabla18[[#This Row],[Fecha Asiento]],-1)+1</f>
        <v>45901</v>
      </c>
      <c r="D416" s="136">
        <v>52005</v>
      </c>
      <c r="E416" s="136" t="s">
        <v>4357</v>
      </c>
      <c r="F416" s="141">
        <v>45918</v>
      </c>
      <c r="G416" s="136">
        <v>4822</v>
      </c>
      <c r="H416" s="136" t="s">
        <v>4586</v>
      </c>
      <c r="I416" s="136" t="s">
        <v>4587</v>
      </c>
      <c r="J416" s="136" t="s">
        <v>4455</v>
      </c>
      <c r="K416" s="136">
        <v>426405904143</v>
      </c>
      <c r="L416" s="138">
        <v>22365</v>
      </c>
      <c r="M416" s="138">
        <v>0</v>
      </c>
      <c r="N416" s="136" t="s">
        <v>4425</v>
      </c>
      <c r="O416" s="136" t="s">
        <v>4426</v>
      </c>
      <c r="P416" s="136" t="s">
        <v>4427</v>
      </c>
      <c r="Q416" s="136" t="s">
        <v>4428</v>
      </c>
      <c r="R416" s="136">
        <v>0</v>
      </c>
      <c r="S416" s="142">
        <f>(Tabla18[[#This Row],[Debe]]-Tabla18[[#This Row],[Haber]])*
SUMIF('0_Indice_CAC'!$A:$A,Tabla18[[#This Row],[Mes]],'0_Indice_CAC'!$D:$D)</f>
        <v>19335.665201015636</v>
      </c>
      <c r="T416" s="142">
        <f>Tabla18[[#This Row],[Debe]]-Tabla18[[#This Row],[Haber]]</f>
        <v>22365</v>
      </c>
      <c r="U416" s="322"/>
      <c r="V416" s="323"/>
      <c r="W416" s="142">
        <f t="shared" ref="W416:W479" si="9">IFERROR(T416-IF(V416="",0,V416),0)</f>
        <v>22365</v>
      </c>
      <c r="X416" s="142" t="b">
        <f>ISNUMBER(MATCH(A416,'3_Control_Ppto'!$A$4:$A$70,0))</f>
        <v>1</v>
      </c>
      <c r="Y416" s="136"/>
    </row>
    <row r="417" spans="1:25" ht="12" customHeight="1" x14ac:dyDescent="0.3">
      <c r="A417" s="140" t="s">
        <v>4317</v>
      </c>
      <c r="B417" s="140" t="s">
        <v>56</v>
      </c>
      <c r="C417" s="549">
        <f>+EOMONTH(Tabla18[[#This Row],[Fecha Asiento]],-1)+1</f>
        <v>45901</v>
      </c>
      <c r="D417" s="136">
        <v>52102</v>
      </c>
      <c r="E417" s="136" t="s">
        <v>4535</v>
      </c>
      <c r="F417" s="141">
        <v>45918</v>
      </c>
      <c r="G417" s="136">
        <v>4818</v>
      </c>
      <c r="H417" s="136" t="s">
        <v>4633</v>
      </c>
      <c r="I417" s="136" t="s">
        <v>4634</v>
      </c>
      <c r="J417" s="136" t="s">
        <v>4542</v>
      </c>
      <c r="K417" s="136">
        <v>400007042</v>
      </c>
      <c r="L417" s="138">
        <v>12000</v>
      </c>
      <c r="M417" s="138">
        <v>0</v>
      </c>
      <c r="N417" s="136" t="s">
        <v>4425</v>
      </c>
      <c r="O417" s="136" t="s">
        <v>4426</v>
      </c>
      <c r="P417" s="136" t="s">
        <v>4427</v>
      </c>
      <c r="Q417" s="136" t="s">
        <v>4428</v>
      </c>
      <c r="R417" s="136">
        <v>0</v>
      </c>
      <c r="S417" s="142">
        <f>(Tabla18[[#This Row],[Debe]]-Tabla18[[#This Row],[Haber]])*
SUMIF('0_Indice_CAC'!$A:$A,Tabla18[[#This Row],[Mes]],'0_Indice_CAC'!$D:$D)</f>
        <v>10374.60238820423</v>
      </c>
      <c r="T417" s="142">
        <f>Tabla18[[#This Row],[Debe]]-Tabla18[[#This Row],[Haber]]</f>
        <v>12000</v>
      </c>
      <c r="U417" s="322"/>
      <c r="V417" s="323"/>
      <c r="W417" s="142">
        <f t="shared" si="9"/>
        <v>12000</v>
      </c>
      <c r="X417" s="142" t="b">
        <f>ISNUMBER(MATCH(A417,'3_Control_Ppto'!$A$4:$A$70,0))</f>
        <v>1</v>
      </c>
      <c r="Y417" s="136"/>
    </row>
    <row r="418" spans="1:25" ht="12" customHeight="1" x14ac:dyDescent="0.3">
      <c r="A418" s="140" t="s">
        <v>1478</v>
      </c>
      <c r="B418" s="140" t="s">
        <v>4090</v>
      </c>
      <c r="C418" s="549">
        <f>+EOMONTH(Tabla18[[#This Row],[Fecha Asiento]],-1)+1</f>
        <v>45901</v>
      </c>
      <c r="D418" s="136">
        <v>53004</v>
      </c>
      <c r="E418" s="136" t="s">
        <v>4496</v>
      </c>
      <c r="F418" s="141">
        <v>45919</v>
      </c>
      <c r="G418" s="136">
        <v>4745</v>
      </c>
      <c r="H418" s="136" t="s">
        <v>4721</v>
      </c>
      <c r="I418" s="136" t="s">
        <v>4722</v>
      </c>
      <c r="J418" s="136" t="s">
        <v>4455</v>
      </c>
      <c r="K418" s="136">
        <v>200000248</v>
      </c>
      <c r="L418" s="138">
        <v>328900</v>
      </c>
      <c r="M418" s="138">
        <v>0</v>
      </c>
      <c r="N418" s="136" t="s">
        <v>4425</v>
      </c>
      <c r="O418" s="136" t="s">
        <v>4426</v>
      </c>
      <c r="P418" s="136" t="s">
        <v>4427</v>
      </c>
      <c r="Q418" s="136" t="s">
        <v>4428</v>
      </c>
      <c r="R418" s="136">
        <v>0</v>
      </c>
      <c r="S418" s="142">
        <f>(Tabla18[[#This Row],[Debe]]-Tabla18[[#This Row],[Haber]])*
SUMIF('0_Indice_CAC'!$A:$A,Tabla18[[#This Row],[Mes]],'0_Indice_CAC'!$D:$D)</f>
        <v>284350.56045669765</v>
      </c>
      <c r="T418" s="142">
        <f>Tabla18[[#This Row],[Debe]]-Tabla18[[#This Row],[Haber]]</f>
        <v>328900</v>
      </c>
      <c r="U418" s="322"/>
      <c r="V418" s="323"/>
      <c r="W418" s="142">
        <f t="shared" si="9"/>
        <v>328900</v>
      </c>
      <c r="X418" s="142" t="b">
        <f>ISNUMBER(MATCH(A418,'3_Control_Ppto'!$A$4:$A$70,0))</f>
        <v>1</v>
      </c>
      <c r="Y418" s="136"/>
    </row>
    <row r="419" spans="1:25" ht="12" customHeight="1" x14ac:dyDescent="0.3">
      <c r="A419" s="140" t="s">
        <v>1478</v>
      </c>
      <c r="B419" s="140" t="s">
        <v>4090</v>
      </c>
      <c r="C419" s="549">
        <f>+EOMONTH(Tabla18[[#This Row],[Fecha Asiento]],-1)+1</f>
        <v>45901</v>
      </c>
      <c r="D419" s="136">
        <v>53004</v>
      </c>
      <c r="E419" s="136" t="s">
        <v>4496</v>
      </c>
      <c r="F419" s="141">
        <v>45919</v>
      </c>
      <c r="G419" s="136">
        <v>4826</v>
      </c>
      <c r="H419" s="136" t="s">
        <v>4676</v>
      </c>
      <c r="I419" s="136" t="s">
        <v>4630</v>
      </c>
      <c r="J419" s="136" t="s">
        <v>4455</v>
      </c>
      <c r="K419" s="136">
        <v>1500085139</v>
      </c>
      <c r="L419" s="138">
        <v>945843.99</v>
      </c>
      <c r="M419" s="138">
        <v>0</v>
      </c>
      <c r="N419" s="136" t="s">
        <v>4425</v>
      </c>
      <c r="O419" s="136" t="s">
        <v>4426</v>
      </c>
      <c r="P419" s="136" t="s">
        <v>4427</v>
      </c>
      <c r="Q419" s="136" t="s">
        <v>4428</v>
      </c>
      <c r="R419" s="136">
        <v>0</v>
      </c>
      <c r="S419" s="142">
        <f>(Tabla18[[#This Row],[Debe]]-Tabla18[[#This Row],[Haber]])*
SUMIF('0_Indice_CAC'!$A:$A,Tabla18[[#This Row],[Mes]],'0_Indice_CAC'!$D:$D)</f>
        <v>817729.6097935515</v>
      </c>
      <c r="T419" s="142">
        <f>Tabla18[[#This Row],[Debe]]-Tabla18[[#This Row],[Haber]]</f>
        <v>945843.99</v>
      </c>
      <c r="U419" s="322"/>
      <c r="V419" s="323"/>
      <c r="W419" s="142">
        <f t="shared" si="9"/>
        <v>945843.99</v>
      </c>
      <c r="X419" s="142" t="b">
        <f>ISNUMBER(MATCH(A419,'3_Control_Ppto'!$A$4:$A$70,0))</f>
        <v>1</v>
      </c>
      <c r="Y419" s="136"/>
    </row>
    <row r="420" spans="1:25" ht="12" customHeight="1" x14ac:dyDescent="0.3">
      <c r="A420" s="140" t="s">
        <v>106</v>
      </c>
      <c r="B420" s="140" t="s">
        <v>25</v>
      </c>
      <c r="C420" s="549">
        <f>+EOMONTH(Tabla18[[#This Row],[Fecha Asiento]],-1)+1</f>
        <v>45901</v>
      </c>
      <c r="D420" s="136">
        <v>53009</v>
      </c>
      <c r="E420" s="136" t="s">
        <v>4446</v>
      </c>
      <c r="F420" s="141">
        <v>45919</v>
      </c>
      <c r="G420" s="136">
        <v>2180</v>
      </c>
      <c r="H420" s="136" t="s">
        <v>4723</v>
      </c>
      <c r="I420" s="136" t="s">
        <v>4423</v>
      </c>
      <c r="J420" s="136" t="s">
        <v>4424</v>
      </c>
      <c r="K420" s="136">
        <v>7559</v>
      </c>
      <c r="L420" s="138">
        <v>2398500</v>
      </c>
      <c r="M420" s="138">
        <v>0</v>
      </c>
      <c r="N420" s="136" t="s">
        <v>4425</v>
      </c>
      <c r="O420" s="136" t="s">
        <v>4426</v>
      </c>
      <c r="P420" s="136" t="s">
        <v>4427</v>
      </c>
      <c r="Q420" s="136" t="s">
        <v>4428</v>
      </c>
      <c r="R420" s="136">
        <v>0</v>
      </c>
      <c r="S420" s="142">
        <f>(Tabla18[[#This Row],[Debe]]-Tabla18[[#This Row],[Haber]])*
SUMIF('0_Indice_CAC'!$A:$A,Tabla18[[#This Row],[Mes]],'0_Indice_CAC'!$D:$D)</f>
        <v>2073623.6523423207</v>
      </c>
      <c r="T420" s="142">
        <f>Tabla18[[#This Row],[Debe]]-Tabla18[[#This Row],[Haber]]</f>
        <v>2398500</v>
      </c>
      <c r="U420" s="322"/>
      <c r="V420" s="323"/>
      <c r="W420" s="142">
        <f t="shared" si="9"/>
        <v>2398500</v>
      </c>
      <c r="X420" s="142" t="b">
        <f>ISNUMBER(MATCH(A420,'3_Control_Ppto'!$A$4:$A$70,0))</f>
        <v>1</v>
      </c>
      <c r="Y420" s="136"/>
    </row>
    <row r="421" spans="1:25" ht="12" customHeight="1" x14ac:dyDescent="0.3">
      <c r="A421" s="140" t="s">
        <v>4317</v>
      </c>
      <c r="B421" s="140" t="s">
        <v>56</v>
      </c>
      <c r="C421" s="549">
        <f>+EOMONTH(Tabla18[[#This Row],[Fecha Asiento]],-1)+1</f>
        <v>45901</v>
      </c>
      <c r="D421" s="136">
        <v>52102</v>
      </c>
      <c r="E421" s="136" t="s">
        <v>4535</v>
      </c>
      <c r="F421" s="141">
        <v>45920</v>
      </c>
      <c r="G421" s="136">
        <v>4828</v>
      </c>
      <c r="H421" s="136" t="s">
        <v>4633</v>
      </c>
      <c r="I421" s="136" t="s">
        <v>4634</v>
      </c>
      <c r="J421" s="136" t="s">
        <v>4542</v>
      </c>
      <c r="K421" s="136">
        <v>400007053</v>
      </c>
      <c r="L421" s="138">
        <v>3200</v>
      </c>
      <c r="M421" s="138">
        <v>0</v>
      </c>
      <c r="N421" s="136" t="s">
        <v>4425</v>
      </c>
      <c r="O421" s="136" t="s">
        <v>4426</v>
      </c>
      <c r="P421" s="136" t="s">
        <v>4427</v>
      </c>
      <c r="Q421" s="136" t="s">
        <v>4428</v>
      </c>
      <c r="R421" s="136">
        <v>0</v>
      </c>
      <c r="S421" s="142">
        <f>(Tabla18[[#This Row],[Debe]]-Tabla18[[#This Row],[Haber]])*
SUMIF('0_Indice_CAC'!$A:$A,Tabla18[[#This Row],[Mes]],'0_Indice_CAC'!$D:$D)</f>
        <v>2766.5606368544613</v>
      </c>
      <c r="T421" s="142">
        <f>Tabla18[[#This Row],[Debe]]-Tabla18[[#This Row],[Haber]]</f>
        <v>3200</v>
      </c>
      <c r="U421" s="322"/>
      <c r="V421" s="323"/>
      <c r="W421" s="142">
        <f t="shared" si="9"/>
        <v>3200</v>
      </c>
      <c r="X421" s="142" t="b">
        <f>ISNUMBER(MATCH(A421,'3_Control_Ppto'!$A$4:$A$70,0))</f>
        <v>1</v>
      </c>
      <c r="Y421" s="136"/>
    </row>
    <row r="422" spans="1:25" ht="12" customHeight="1" x14ac:dyDescent="0.3">
      <c r="A422" s="140" t="s">
        <v>4317</v>
      </c>
      <c r="B422" s="140" t="s">
        <v>56</v>
      </c>
      <c r="C422" s="549">
        <f>+EOMONTH(Tabla18[[#This Row],[Fecha Asiento]],-1)+1</f>
        <v>45901</v>
      </c>
      <c r="D422" s="136">
        <v>52101</v>
      </c>
      <c r="E422" s="136" t="s">
        <v>4709</v>
      </c>
      <c r="F422" s="141">
        <v>45923</v>
      </c>
      <c r="G422" s="136">
        <v>2166</v>
      </c>
      <c r="H422" s="136" t="s">
        <v>4710</v>
      </c>
      <c r="I422" s="136" t="s">
        <v>4423</v>
      </c>
      <c r="J422" s="136" t="s">
        <v>4424</v>
      </c>
      <c r="K422" s="136">
        <v>7545</v>
      </c>
      <c r="L422" s="138">
        <v>19600</v>
      </c>
      <c r="M422" s="138">
        <v>0</v>
      </c>
      <c r="N422" s="136" t="s">
        <v>4425</v>
      </c>
      <c r="O422" s="136" t="s">
        <v>4426</v>
      </c>
      <c r="P422" s="136" t="s">
        <v>4427</v>
      </c>
      <c r="Q422" s="136" t="s">
        <v>4428</v>
      </c>
      <c r="R422" s="136">
        <v>0</v>
      </c>
      <c r="S422" s="142">
        <f>(Tabla18[[#This Row],[Debe]]-Tabla18[[#This Row],[Haber]])*
SUMIF('0_Indice_CAC'!$A:$A,Tabla18[[#This Row],[Mes]],'0_Indice_CAC'!$D:$D)</f>
        <v>16945.183900733577</v>
      </c>
      <c r="T422" s="142">
        <f>Tabla18[[#This Row],[Debe]]-Tabla18[[#This Row],[Haber]]</f>
        <v>19600</v>
      </c>
      <c r="U422" s="322"/>
      <c r="V422" s="323"/>
      <c r="W422" s="142">
        <f t="shared" si="9"/>
        <v>19600</v>
      </c>
      <c r="X422" s="142" t="b">
        <f>ISNUMBER(MATCH(A422,'3_Control_Ppto'!$A$4:$A$70,0))</f>
        <v>1</v>
      </c>
      <c r="Y422" s="136"/>
    </row>
    <row r="423" spans="1:25" ht="12" customHeight="1" x14ac:dyDescent="0.3">
      <c r="A423" s="140" t="s">
        <v>3219</v>
      </c>
      <c r="B423" s="140" t="s">
        <v>4090</v>
      </c>
      <c r="C423" s="549">
        <f>+EOMONTH(Tabla18[[#This Row],[Fecha Asiento]],-1)+1</f>
        <v>45901</v>
      </c>
      <c r="D423" s="136">
        <v>53019</v>
      </c>
      <c r="E423" s="136" t="s">
        <v>4461</v>
      </c>
      <c r="F423" s="141">
        <v>45924</v>
      </c>
      <c r="G423" s="136">
        <v>4844</v>
      </c>
      <c r="H423" s="136" t="s">
        <v>4462</v>
      </c>
      <c r="I423" s="136" t="s">
        <v>4463</v>
      </c>
      <c r="J423" s="136" t="s">
        <v>4455</v>
      </c>
      <c r="K423" s="136">
        <v>300008663</v>
      </c>
      <c r="L423" s="138">
        <v>97777.2</v>
      </c>
      <c r="M423" s="138">
        <v>0</v>
      </c>
      <c r="N423" s="136" t="s">
        <v>4425</v>
      </c>
      <c r="O423" s="136" t="s">
        <v>4426</v>
      </c>
      <c r="P423" s="136" t="s">
        <v>4427</v>
      </c>
      <c r="Q423" s="136" t="s">
        <v>4428</v>
      </c>
      <c r="R423" s="136">
        <v>0</v>
      </c>
      <c r="S423" s="142">
        <f>(Tabla18[[#This Row],[Debe]]-Tabla18[[#This Row],[Haber]])*
SUMIF('0_Indice_CAC'!$A:$A,Tabla18[[#This Row],[Mes]],'0_Indice_CAC'!$D:$D)</f>
        <v>84533.297719326889</v>
      </c>
      <c r="T423" s="142">
        <f>Tabla18[[#This Row],[Debe]]-Tabla18[[#This Row],[Haber]]</f>
        <v>97777.2</v>
      </c>
      <c r="U423" s="322"/>
      <c r="V423" s="323"/>
      <c r="W423" s="142">
        <f t="shared" si="9"/>
        <v>97777.2</v>
      </c>
      <c r="X423" s="142" t="b">
        <f>ISNUMBER(MATCH(A423,'3_Control_Ppto'!$A$4:$A$70,0))</f>
        <v>1</v>
      </c>
      <c r="Y423" s="136"/>
    </row>
    <row r="424" spans="1:25" ht="12" customHeight="1" x14ac:dyDescent="0.3">
      <c r="A424" s="140" t="s">
        <v>4119</v>
      </c>
      <c r="B424" s="140" t="s">
        <v>4090</v>
      </c>
      <c r="C424" s="549">
        <f>+EOMONTH(Tabla18[[#This Row],[Fecha Asiento]],-1)+1</f>
        <v>45901</v>
      </c>
      <c r="D424" s="136">
        <v>53022</v>
      </c>
      <c r="E424" s="136" t="s">
        <v>4429</v>
      </c>
      <c r="F424" s="141">
        <v>45925</v>
      </c>
      <c r="G424" s="136">
        <v>2410</v>
      </c>
      <c r="H424" s="136" t="s">
        <v>4700</v>
      </c>
      <c r="I424" s="136" t="s">
        <v>4698</v>
      </c>
      <c r="J424" s="136" t="s">
        <v>4699</v>
      </c>
      <c r="K424" s="136">
        <v>7384</v>
      </c>
      <c r="L424" s="138">
        <v>91000</v>
      </c>
      <c r="M424" s="138">
        <v>0</v>
      </c>
      <c r="N424" s="136" t="s">
        <v>4425</v>
      </c>
      <c r="O424" s="136" t="s">
        <v>4426</v>
      </c>
      <c r="P424" s="136" t="s">
        <v>4427</v>
      </c>
      <c r="Q424" s="136" t="s">
        <v>4428</v>
      </c>
      <c r="R424" s="136">
        <v>0</v>
      </c>
      <c r="S424" s="142">
        <f>(Tabla18[[#This Row],[Debe]]-Tabla18[[#This Row],[Haber]])*
SUMIF('0_Indice_CAC'!$A:$A,Tabla18[[#This Row],[Mes]],'0_Indice_CAC'!$D:$D)</f>
        <v>78674.068110548746</v>
      </c>
      <c r="T424" s="142">
        <f>Tabla18[[#This Row],[Debe]]-Tabla18[[#This Row],[Haber]]</f>
        <v>91000</v>
      </c>
      <c r="U424" s="322"/>
      <c r="V424" s="323"/>
      <c r="W424" s="142">
        <f t="shared" si="9"/>
        <v>91000</v>
      </c>
      <c r="X424" s="142" t="b">
        <f>ISNUMBER(MATCH(A424,'3_Control_Ppto'!$A$4:$A$70,0))</f>
        <v>1</v>
      </c>
      <c r="Y424" s="136"/>
    </row>
    <row r="425" spans="1:25" ht="12" customHeight="1" x14ac:dyDescent="0.3">
      <c r="A425" s="140" t="s">
        <v>4317</v>
      </c>
      <c r="B425" s="140" t="s">
        <v>56</v>
      </c>
      <c r="C425" s="549">
        <f>+EOMONTH(Tabla18[[#This Row],[Fecha Asiento]],-1)+1</f>
        <v>45901</v>
      </c>
      <c r="D425" s="136">
        <v>52103</v>
      </c>
      <c r="E425" s="136" t="s">
        <v>4477</v>
      </c>
      <c r="F425" s="141">
        <v>45926</v>
      </c>
      <c r="G425" s="136">
        <v>4853</v>
      </c>
      <c r="H425" s="136" t="s">
        <v>4627</v>
      </c>
      <c r="I425" s="136" t="s">
        <v>4628</v>
      </c>
      <c r="J425" s="136" t="s">
        <v>4455</v>
      </c>
      <c r="K425" s="136">
        <v>800000419</v>
      </c>
      <c r="L425" s="138">
        <v>4958.68</v>
      </c>
      <c r="M425" s="138">
        <v>0</v>
      </c>
      <c r="N425" s="136" t="s">
        <v>4425</v>
      </c>
      <c r="O425" s="136" t="s">
        <v>4426</v>
      </c>
      <c r="P425" s="136" t="s">
        <v>4427</v>
      </c>
      <c r="Q425" s="136" t="s">
        <v>4428</v>
      </c>
      <c r="R425" s="136">
        <v>0</v>
      </c>
      <c r="S425" s="142">
        <f>(Tabla18[[#This Row],[Debe]]-Tabla18[[#This Row],[Haber]])*
SUMIF('0_Indice_CAC'!$A:$A,Tabla18[[#This Row],[Mes]],'0_Indice_CAC'!$D:$D)</f>
        <v>4287.0277808617129</v>
      </c>
      <c r="T425" s="142">
        <f>Tabla18[[#This Row],[Debe]]-Tabla18[[#This Row],[Haber]]</f>
        <v>4958.68</v>
      </c>
      <c r="U425" s="322"/>
      <c r="V425" s="323"/>
      <c r="W425" s="142">
        <f t="shared" si="9"/>
        <v>4958.68</v>
      </c>
      <c r="X425" s="142" t="b">
        <f>ISNUMBER(MATCH(A425,'3_Control_Ppto'!$A$4:$A$70,0))</f>
        <v>1</v>
      </c>
      <c r="Y425" s="136"/>
    </row>
    <row r="426" spans="1:25" ht="12" customHeight="1" x14ac:dyDescent="0.3">
      <c r="A426" s="140" t="s">
        <v>4317</v>
      </c>
      <c r="B426" s="140" t="s">
        <v>56</v>
      </c>
      <c r="C426" s="549">
        <f>+EOMONTH(Tabla18[[#This Row],[Fecha Asiento]],-1)+1</f>
        <v>45901</v>
      </c>
      <c r="D426" s="136">
        <v>52103</v>
      </c>
      <c r="E426" s="136" t="s">
        <v>4477</v>
      </c>
      <c r="F426" s="141">
        <v>45926</v>
      </c>
      <c r="G426" s="136">
        <v>4854</v>
      </c>
      <c r="H426" s="136" t="s">
        <v>4569</v>
      </c>
      <c r="I426" s="136" t="s">
        <v>4570</v>
      </c>
      <c r="J426" s="136" t="s">
        <v>4455</v>
      </c>
      <c r="K426" s="136">
        <v>418100138463</v>
      </c>
      <c r="L426" s="138">
        <v>10799.59</v>
      </c>
      <c r="M426" s="138">
        <v>0</v>
      </c>
      <c r="N426" s="136" t="s">
        <v>4425</v>
      </c>
      <c r="O426" s="136" t="s">
        <v>4426</v>
      </c>
      <c r="P426" s="136" t="s">
        <v>4427</v>
      </c>
      <c r="Q426" s="136" t="s">
        <v>4428</v>
      </c>
      <c r="R426" s="136">
        <v>0</v>
      </c>
      <c r="S426" s="142">
        <f>(Tabla18[[#This Row],[Debe]]-Tabla18[[#This Row],[Haber]])*
SUMIF('0_Indice_CAC'!$A:$A,Tabla18[[#This Row],[Mes]],'0_Indice_CAC'!$D:$D)</f>
        <v>9336.7876838022112</v>
      </c>
      <c r="T426" s="142">
        <f>Tabla18[[#This Row],[Debe]]-Tabla18[[#This Row],[Haber]]</f>
        <v>10799.59</v>
      </c>
      <c r="U426" s="322"/>
      <c r="V426" s="323"/>
      <c r="W426" s="142">
        <f t="shared" si="9"/>
        <v>10799.59</v>
      </c>
      <c r="X426" s="142" t="b">
        <f>ISNUMBER(MATCH(A426,'3_Control_Ppto'!$A$4:$A$70,0))</f>
        <v>1</v>
      </c>
      <c r="Y426" s="136"/>
    </row>
    <row r="427" spans="1:25" ht="12" customHeight="1" x14ac:dyDescent="0.3">
      <c r="A427" s="140" t="s">
        <v>4317</v>
      </c>
      <c r="B427" s="140" t="s">
        <v>56</v>
      </c>
      <c r="C427" s="549">
        <f>+EOMONTH(Tabla18[[#This Row],[Fecha Asiento]],-1)+1</f>
        <v>45901</v>
      </c>
      <c r="D427" s="136">
        <v>52103</v>
      </c>
      <c r="E427" s="136" t="s">
        <v>4477</v>
      </c>
      <c r="F427" s="141">
        <v>45926</v>
      </c>
      <c r="G427" s="136">
        <v>4854</v>
      </c>
      <c r="H427" s="136" t="s">
        <v>4569</v>
      </c>
      <c r="I427" s="136" t="s">
        <v>4570</v>
      </c>
      <c r="J427" s="136" t="s">
        <v>4455</v>
      </c>
      <c r="K427" s="136">
        <v>418100138463</v>
      </c>
      <c r="L427" s="138">
        <v>71103.22</v>
      </c>
      <c r="M427" s="138">
        <v>0</v>
      </c>
      <c r="N427" s="136" t="s">
        <v>4425</v>
      </c>
      <c r="O427" s="136" t="s">
        <v>4426</v>
      </c>
      <c r="P427" s="136" t="s">
        <v>4427</v>
      </c>
      <c r="Q427" s="136" t="s">
        <v>4428</v>
      </c>
      <c r="R427" s="136">
        <v>0</v>
      </c>
      <c r="S427" s="142">
        <f>(Tabla18[[#This Row],[Debe]]-Tabla18[[#This Row],[Haber]])*
SUMIF('0_Indice_CAC'!$A:$A,Tabla18[[#This Row],[Mes]],'0_Indice_CAC'!$D:$D)</f>
        <v>61472.303001750901</v>
      </c>
      <c r="T427" s="142">
        <f>Tabla18[[#This Row],[Debe]]-Tabla18[[#This Row],[Haber]]</f>
        <v>71103.22</v>
      </c>
      <c r="U427" s="322"/>
      <c r="V427" s="323"/>
      <c r="W427" s="142">
        <f t="shared" si="9"/>
        <v>71103.22</v>
      </c>
      <c r="X427" s="142" t="b">
        <f>ISNUMBER(MATCH(A427,'3_Control_Ppto'!$A$4:$A$70,0))</f>
        <v>1</v>
      </c>
      <c r="Y427" s="136"/>
    </row>
    <row r="428" spans="1:25" ht="12" customHeight="1" x14ac:dyDescent="0.3">
      <c r="A428" s="140" t="s">
        <v>4119</v>
      </c>
      <c r="B428" s="140" t="s">
        <v>56</v>
      </c>
      <c r="C428" s="549">
        <f>+EOMONTH(Tabla18[[#This Row],[Fecha Asiento]],-1)+1</f>
        <v>45901</v>
      </c>
      <c r="D428" s="136">
        <v>52104</v>
      </c>
      <c r="E428" s="136" t="s">
        <v>4528</v>
      </c>
      <c r="F428" s="141">
        <v>45927</v>
      </c>
      <c r="G428" s="136">
        <v>4856</v>
      </c>
      <c r="H428" s="136" t="s">
        <v>4655</v>
      </c>
      <c r="I428" s="136" t="s">
        <v>4656</v>
      </c>
      <c r="J428" s="136" t="s">
        <v>4455</v>
      </c>
      <c r="K428" s="136">
        <v>1100001207</v>
      </c>
      <c r="L428" s="138">
        <v>237600</v>
      </c>
      <c r="M428" s="138">
        <v>0</v>
      </c>
      <c r="N428" s="136" t="s">
        <v>4425</v>
      </c>
      <c r="O428" s="136" t="s">
        <v>4426</v>
      </c>
      <c r="P428" s="136" t="s">
        <v>4427</v>
      </c>
      <c r="Q428" s="136" t="s">
        <v>4428</v>
      </c>
      <c r="R428" s="136">
        <v>0</v>
      </c>
      <c r="S428" s="142">
        <f>(Tabla18[[#This Row],[Debe]]-Tabla18[[#This Row],[Haber]])*
SUMIF('0_Indice_CAC'!$A:$A,Tabla18[[#This Row],[Mes]],'0_Indice_CAC'!$D:$D)</f>
        <v>205417.12728644378</v>
      </c>
      <c r="T428" s="142">
        <f>Tabla18[[#This Row],[Debe]]-Tabla18[[#This Row],[Haber]]</f>
        <v>237600</v>
      </c>
      <c r="U428" s="322"/>
      <c r="V428" s="323"/>
      <c r="W428" s="142">
        <f t="shared" si="9"/>
        <v>237600</v>
      </c>
      <c r="X428" s="142" t="b">
        <f>ISNUMBER(MATCH(A428,'3_Control_Ppto'!$A$4:$A$70,0))</f>
        <v>1</v>
      </c>
      <c r="Y428" s="136"/>
    </row>
    <row r="429" spans="1:25" ht="12" customHeight="1" x14ac:dyDescent="0.3">
      <c r="A429" s="140" t="s">
        <v>25</v>
      </c>
      <c r="B429" s="140" t="s">
        <v>25</v>
      </c>
      <c r="C429" s="549">
        <f>+EOMONTH(Tabla18[[#This Row],[Fecha Asiento]],-1)+1</f>
        <v>45901</v>
      </c>
      <c r="D429" s="136">
        <v>410222</v>
      </c>
      <c r="E429" s="136" t="s">
        <v>4605</v>
      </c>
      <c r="F429" s="141">
        <v>45930</v>
      </c>
      <c r="G429" s="136">
        <v>5100</v>
      </c>
      <c r="H429" s="136" t="s">
        <v>4606</v>
      </c>
      <c r="I429" s="136" t="s">
        <v>4607</v>
      </c>
      <c r="J429" s="136" t="s">
        <v>4608</v>
      </c>
      <c r="K429" s="136">
        <v>300000736</v>
      </c>
      <c r="L429" s="138">
        <v>0</v>
      </c>
      <c r="M429" s="138">
        <v>22499463.739999998</v>
      </c>
      <c r="N429" s="136" t="s">
        <v>4425</v>
      </c>
      <c r="O429" s="136" t="s">
        <v>4426</v>
      </c>
      <c r="P429" s="136" t="s">
        <v>4427</v>
      </c>
      <c r="Q429" s="136" t="s">
        <v>4428</v>
      </c>
      <c r="R429" s="136">
        <v>0</v>
      </c>
      <c r="S429" s="142">
        <f>(Tabla18[[#This Row],[Debe]]-Tabla18[[#This Row],[Haber]])*
SUMIF('0_Indice_CAC'!$A:$A,Tabla18[[#This Row],[Mes]],'0_Indice_CAC'!$D:$D)</f>
        <v>-19451915.854193207</v>
      </c>
      <c r="T429" s="142">
        <f>Tabla18[[#This Row],[Debe]]-Tabla18[[#This Row],[Haber]]</f>
        <v>-22499463.739999998</v>
      </c>
      <c r="U429" s="322"/>
      <c r="V429" s="323"/>
      <c r="W429" s="142">
        <f t="shared" si="9"/>
        <v>-22499463.739999998</v>
      </c>
      <c r="X429" s="142" t="b">
        <f>ISNUMBER(MATCH(A429,'3_Control_Ppto'!$A$4:$A$70,0))</f>
        <v>0</v>
      </c>
      <c r="Y429" s="136"/>
    </row>
    <row r="430" spans="1:25" ht="12" customHeight="1" x14ac:dyDescent="0.3">
      <c r="A430" s="140" t="s">
        <v>4317</v>
      </c>
      <c r="B430" s="140" t="s">
        <v>56</v>
      </c>
      <c r="C430" s="549">
        <f>+EOMONTH(Tabla18[[#This Row],[Fecha Asiento]],-1)+1</f>
        <v>45901</v>
      </c>
      <c r="D430" s="136">
        <v>52302</v>
      </c>
      <c r="E430" s="136" t="s">
        <v>4444</v>
      </c>
      <c r="F430" s="141">
        <v>45930</v>
      </c>
      <c r="G430" s="136">
        <v>5142</v>
      </c>
      <c r="H430" s="136" t="s">
        <v>4724</v>
      </c>
      <c r="I430" s="136" t="s">
        <v>4532</v>
      </c>
      <c r="J430" s="136" t="s">
        <v>4455</v>
      </c>
      <c r="K430" s="136">
        <v>217201831393</v>
      </c>
      <c r="L430" s="138">
        <v>16165.25</v>
      </c>
      <c r="M430" s="138">
        <v>0</v>
      </c>
      <c r="N430" s="136" t="s">
        <v>4425</v>
      </c>
      <c r="O430" s="136" t="s">
        <v>4426</v>
      </c>
      <c r="P430" s="136" t="s">
        <v>4427</v>
      </c>
      <c r="Q430" s="136" t="s">
        <v>4428</v>
      </c>
      <c r="R430" s="136">
        <v>0</v>
      </c>
      <c r="S430" s="142">
        <f>(Tabla18[[#This Row],[Debe]]-Tabla18[[#This Row],[Haber]])*
SUMIF('0_Indice_CAC'!$A:$A,Tabla18[[#This Row],[Mes]],'0_Indice_CAC'!$D:$D)</f>
        <v>13975.67010465987</v>
      </c>
      <c r="T430" s="142">
        <f>Tabla18[[#This Row],[Debe]]-Tabla18[[#This Row],[Haber]]</f>
        <v>16165.25</v>
      </c>
      <c r="U430" s="322"/>
      <c r="V430" s="323"/>
      <c r="W430" s="142">
        <f t="shared" si="9"/>
        <v>16165.25</v>
      </c>
      <c r="X430" s="142" t="b">
        <f>ISNUMBER(MATCH(A430,'3_Control_Ppto'!$A$4:$A$70,0))</f>
        <v>1</v>
      </c>
      <c r="Y430" s="136"/>
    </row>
    <row r="431" spans="1:25" ht="12" customHeight="1" x14ac:dyDescent="0.3">
      <c r="A431" s="140" t="s">
        <v>4317</v>
      </c>
      <c r="B431" s="140" t="s">
        <v>56</v>
      </c>
      <c r="C431" s="549">
        <f>+EOMONTH(Tabla18[[#This Row],[Fecha Asiento]],-1)+1</f>
        <v>45901</v>
      </c>
      <c r="D431" s="136">
        <v>52302</v>
      </c>
      <c r="E431" s="136" t="s">
        <v>4444</v>
      </c>
      <c r="F431" s="141">
        <v>45930</v>
      </c>
      <c r="G431" s="136">
        <v>5142</v>
      </c>
      <c r="H431" s="136" t="s">
        <v>4578</v>
      </c>
      <c r="I431" s="136" t="s">
        <v>4532</v>
      </c>
      <c r="J431" s="136" t="s">
        <v>4455</v>
      </c>
      <c r="K431" s="136">
        <v>217201831393</v>
      </c>
      <c r="L431" s="138">
        <v>306.56</v>
      </c>
      <c r="M431" s="138">
        <v>0</v>
      </c>
      <c r="N431" s="136" t="s">
        <v>4425</v>
      </c>
      <c r="O431" s="136" t="s">
        <v>4426</v>
      </c>
      <c r="P431" s="136" t="s">
        <v>4427</v>
      </c>
      <c r="Q431" s="136" t="s">
        <v>4428</v>
      </c>
      <c r="R431" s="136">
        <v>0</v>
      </c>
      <c r="S431" s="142">
        <f>(Tabla18[[#This Row],[Debe]]-Tabla18[[#This Row],[Haber]])*
SUMIF('0_Indice_CAC'!$A:$A,Tabla18[[#This Row],[Mes]],'0_Indice_CAC'!$D:$D)</f>
        <v>265.03650901065743</v>
      </c>
      <c r="T431" s="142">
        <f>Tabla18[[#This Row],[Debe]]-Tabla18[[#This Row],[Haber]]</f>
        <v>306.56</v>
      </c>
      <c r="U431" s="322"/>
      <c r="V431" s="323"/>
      <c r="W431" s="142">
        <f t="shared" si="9"/>
        <v>306.56</v>
      </c>
      <c r="X431" s="142" t="b">
        <f>ISNUMBER(MATCH(A431,'3_Control_Ppto'!$A$4:$A$70,0))</f>
        <v>1</v>
      </c>
      <c r="Y431" s="136"/>
    </row>
    <row r="432" spans="1:25" ht="12" customHeight="1" x14ac:dyDescent="0.3">
      <c r="A432" s="140" t="s">
        <v>4317</v>
      </c>
      <c r="B432" s="140" t="s">
        <v>56</v>
      </c>
      <c r="C432" s="549">
        <f>+EOMONTH(Tabla18[[#This Row],[Fecha Asiento]],-1)+1</f>
        <v>45901</v>
      </c>
      <c r="D432" s="136">
        <v>52302</v>
      </c>
      <c r="E432" s="136" t="s">
        <v>4444</v>
      </c>
      <c r="F432" s="141">
        <v>45930</v>
      </c>
      <c r="G432" s="136">
        <v>5142</v>
      </c>
      <c r="H432" s="136" t="s">
        <v>4534</v>
      </c>
      <c r="I432" s="136" t="s">
        <v>4532</v>
      </c>
      <c r="J432" s="136" t="s">
        <v>4455</v>
      </c>
      <c r="K432" s="136">
        <v>217201831393</v>
      </c>
      <c r="L432" s="138">
        <v>2976.36</v>
      </c>
      <c r="M432" s="138">
        <v>0</v>
      </c>
      <c r="N432" s="136" t="s">
        <v>4425</v>
      </c>
      <c r="O432" s="136" t="s">
        <v>4426</v>
      </c>
      <c r="P432" s="136" t="s">
        <v>4427</v>
      </c>
      <c r="Q432" s="136" t="s">
        <v>4428</v>
      </c>
      <c r="R432" s="136">
        <v>0</v>
      </c>
      <c r="S432" s="142">
        <f>(Tabla18[[#This Row],[Debe]]-Tabla18[[#This Row],[Haber]])*
SUMIF('0_Indice_CAC'!$A:$A,Tabla18[[#This Row],[Mes]],'0_Indice_CAC'!$D:$D)</f>
        <v>2573.2126303462956</v>
      </c>
      <c r="T432" s="142">
        <f>Tabla18[[#This Row],[Debe]]-Tabla18[[#This Row],[Haber]]</f>
        <v>2976.36</v>
      </c>
      <c r="U432" s="322"/>
      <c r="V432" s="323"/>
      <c r="W432" s="142">
        <f t="shared" si="9"/>
        <v>2976.36</v>
      </c>
      <c r="X432" s="142" t="b">
        <f>ISNUMBER(MATCH(A432,'3_Control_Ppto'!$A$4:$A$70,0))</f>
        <v>1</v>
      </c>
      <c r="Y432" s="136"/>
    </row>
    <row r="433" spans="1:25" ht="12" customHeight="1" x14ac:dyDescent="0.3">
      <c r="A433" s="140" t="s">
        <v>4119</v>
      </c>
      <c r="B433" s="140" t="s">
        <v>56</v>
      </c>
      <c r="C433" s="549">
        <f>+EOMONTH(Tabla18[[#This Row],[Fecha Asiento]],-1)+1</f>
        <v>45931</v>
      </c>
      <c r="D433" s="136">
        <v>52104</v>
      </c>
      <c r="E433" s="136" t="s">
        <v>4528</v>
      </c>
      <c r="F433" s="141">
        <v>45931</v>
      </c>
      <c r="G433" s="136">
        <v>5111</v>
      </c>
      <c r="H433" s="136" t="s">
        <v>4655</v>
      </c>
      <c r="I433" s="136" t="s">
        <v>4656</v>
      </c>
      <c r="J433" s="136" t="s">
        <v>4455</v>
      </c>
      <c r="K433" s="136">
        <v>1100001445</v>
      </c>
      <c r="L433" s="138">
        <v>176000</v>
      </c>
      <c r="M433" s="138">
        <v>0</v>
      </c>
      <c r="N433" s="136" t="s">
        <v>4425</v>
      </c>
      <c r="O433" s="136" t="s">
        <v>4426</v>
      </c>
      <c r="P433" s="136" t="s">
        <v>4427</v>
      </c>
      <c r="Q433" s="136" t="s">
        <v>4428</v>
      </c>
      <c r="R433" s="136">
        <v>0</v>
      </c>
      <c r="S433" s="142">
        <f>(Tabla18[[#This Row],[Debe]]-Tabla18[[#This Row],[Haber]])*
SUMIF('0_Indice_CAC'!$A:$A,Tabla18[[#This Row],[Mes]],'0_Indice_CAC'!$D:$D)</f>
        <v>148723.71896460647</v>
      </c>
      <c r="T433" s="142">
        <f>Tabla18[[#This Row],[Debe]]-Tabla18[[#This Row],[Haber]]</f>
        <v>176000</v>
      </c>
      <c r="U433" s="322"/>
      <c r="V433" s="323"/>
      <c r="W433" s="142">
        <f t="shared" si="9"/>
        <v>176000</v>
      </c>
      <c r="X433" s="142" t="b">
        <f>ISNUMBER(MATCH(A433,'3_Control_Ppto'!$A$4:$A$70,0))</f>
        <v>1</v>
      </c>
      <c r="Y433" s="136"/>
    </row>
    <row r="434" spans="1:25" ht="12" customHeight="1" x14ac:dyDescent="0.3">
      <c r="A434" s="140" t="s">
        <v>4310</v>
      </c>
      <c r="B434" s="140" t="s">
        <v>56</v>
      </c>
      <c r="C434" s="549">
        <f>+EOMONTH(Tabla18[[#This Row],[Fecha Asiento]],-1)+1</f>
        <v>45931</v>
      </c>
      <c r="D434" s="136">
        <v>52204</v>
      </c>
      <c r="E434" s="136" t="s">
        <v>4452</v>
      </c>
      <c r="F434" s="141">
        <v>45932</v>
      </c>
      <c r="G434" s="136">
        <v>5121</v>
      </c>
      <c r="H434" s="136" t="s">
        <v>4453</v>
      </c>
      <c r="I434" s="136" t="s">
        <v>4454</v>
      </c>
      <c r="J434" s="136" t="s">
        <v>4455</v>
      </c>
      <c r="K434" s="136">
        <v>300001332</v>
      </c>
      <c r="L434" s="138">
        <v>325000</v>
      </c>
      <c r="M434" s="138">
        <v>0</v>
      </c>
      <c r="N434" s="136" t="s">
        <v>4425</v>
      </c>
      <c r="O434" s="136" t="s">
        <v>4426</v>
      </c>
      <c r="P434" s="136" t="s">
        <v>4427</v>
      </c>
      <c r="Q434" s="136" t="s">
        <v>4428</v>
      </c>
      <c r="R434" s="136">
        <v>0</v>
      </c>
      <c r="S434" s="142">
        <f>(Tabla18[[#This Row],[Debe]]-Tabla18[[#This Row],[Haber]])*
SUMIF('0_Indice_CAC'!$A:$A,Tabla18[[#This Row],[Mes]],'0_Indice_CAC'!$D:$D)</f>
        <v>274631.8674062335</v>
      </c>
      <c r="T434" s="142">
        <f>Tabla18[[#This Row],[Debe]]-Tabla18[[#This Row],[Haber]]</f>
        <v>325000</v>
      </c>
      <c r="U434" s="322"/>
      <c r="V434" s="323"/>
      <c r="W434" s="142">
        <f t="shared" si="9"/>
        <v>325000</v>
      </c>
      <c r="X434" s="142" t="b">
        <f>ISNUMBER(MATCH(A434,'3_Control_Ppto'!$A$4:$A$70,0))</f>
        <v>1</v>
      </c>
      <c r="Y434" s="136"/>
    </row>
    <row r="435" spans="1:25" ht="12" customHeight="1" x14ac:dyDescent="0.3">
      <c r="A435" s="140" t="s">
        <v>4310</v>
      </c>
      <c r="B435" s="140" t="s">
        <v>56</v>
      </c>
      <c r="C435" s="549">
        <f>+EOMONTH(Tabla18[[#This Row],[Fecha Asiento]],-1)+1</f>
        <v>45931</v>
      </c>
      <c r="D435" s="136">
        <v>52204</v>
      </c>
      <c r="E435" s="136" t="s">
        <v>4452</v>
      </c>
      <c r="F435" s="141">
        <v>45932</v>
      </c>
      <c r="G435" s="136">
        <v>5121</v>
      </c>
      <c r="H435" s="136" t="s">
        <v>4725</v>
      </c>
      <c r="I435" s="136" t="s">
        <v>4454</v>
      </c>
      <c r="J435" s="136" t="s">
        <v>4455</v>
      </c>
      <c r="K435" s="136">
        <v>300001332</v>
      </c>
      <c r="L435" s="138">
        <v>110000</v>
      </c>
      <c r="M435" s="138">
        <v>0</v>
      </c>
      <c r="N435" s="136" t="s">
        <v>4425</v>
      </c>
      <c r="O435" s="136" t="s">
        <v>4426</v>
      </c>
      <c r="P435" s="136" t="s">
        <v>4427</v>
      </c>
      <c r="Q435" s="136" t="s">
        <v>4428</v>
      </c>
      <c r="R435" s="136">
        <v>0</v>
      </c>
      <c r="S435" s="142">
        <f>(Tabla18[[#This Row],[Debe]]-Tabla18[[#This Row],[Haber]])*
SUMIF('0_Indice_CAC'!$A:$A,Tabla18[[#This Row],[Mes]],'0_Indice_CAC'!$D:$D)</f>
        <v>92952.324352879034</v>
      </c>
      <c r="T435" s="142">
        <f>Tabla18[[#This Row],[Debe]]-Tabla18[[#This Row],[Haber]]</f>
        <v>110000</v>
      </c>
      <c r="U435" s="322"/>
      <c r="V435" s="323"/>
      <c r="W435" s="142">
        <f t="shared" si="9"/>
        <v>110000</v>
      </c>
      <c r="X435" s="142" t="b">
        <f>ISNUMBER(MATCH(A435,'3_Control_Ppto'!$A$4:$A$70,0))</f>
        <v>1</v>
      </c>
      <c r="Y435" s="136"/>
    </row>
    <row r="436" spans="1:25" ht="12" customHeight="1" x14ac:dyDescent="0.3">
      <c r="A436" s="140" t="s">
        <v>4317</v>
      </c>
      <c r="B436" s="140" t="s">
        <v>56</v>
      </c>
      <c r="C436" s="549">
        <f>+EOMONTH(Tabla18[[#This Row],[Fecha Asiento]],-1)+1</f>
        <v>45931</v>
      </c>
      <c r="D436" s="136">
        <v>52302</v>
      </c>
      <c r="E436" s="136" t="s">
        <v>4444</v>
      </c>
      <c r="F436" s="141">
        <v>45932</v>
      </c>
      <c r="G436" s="136">
        <v>5123</v>
      </c>
      <c r="H436" s="136" t="s">
        <v>4726</v>
      </c>
      <c r="I436" s="136" t="s">
        <v>4727</v>
      </c>
      <c r="J436" s="136" t="s">
        <v>4455</v>
      </c>
      <c r="K436" s="136">
        <v>400002164</v>
      </c>
      <c r="L436" s="138">
        <v>8000</v>
      </c>
      <c r="M436" s="138">
        <v>0</v>
      </c>
      <c r="N436" s="136" t="s">
        <v>4425</v>
      </c>
      <c r="O436" s="136" t="s">
        <v>4426</v>
      </c>
      <c r="P436" s="136" t="s">
        <v>4427</v>
      </c>
      <c r="Q436" s="136" t="s">
        <v>4428</v>
      </c>
      <c r="R436" s="136">
        <v>0</v>
      </c>
      <c r="S436" s="142">
        <f>(Tabla18[[#This Row],[Debe]]-Tabla18[[#This Row],[Haber]])*
SUMIF('0_Indice_CAC'!$A:$A,Tabla18[[#This Row],[Mes]],'0_Indice_CAC'!$D:$D)</f>
        <v>6760.1690438457481</v>
      </c>
      <c r="T436" s="142">
        <f>Tabla18[[#This Row],[Debe]]-Tabla18[[#This Row],[Haber]]</f>
        <v>8000</v>
      </c>
      <c r="U436" s="322"/>
      <c r="V436" s="323"/>
      <c r="W436" s="142">
        <f t="shared" si="9"/>
        <v>8000</v>
      </c>
      <c r="X436" s="142" t="b">
        <f>ISNUMBER(MATCH(A436,'3_Control_Ppto'!$A$4:$A$70,0))</f>
        <v>1</v>
      </c>
      <c r="Y436" s="136"/>
    </row>
    <row r="437" spans="1:25" ht="12" customHeight="1" x14ac:dyDescent="0.3">
      <c r="A437" s="140" t="s">
        <v>1285</v>
      </c>
      <c r="B437" s="140" t="s">
        <v>4090</v>
      </c>
      <c r="C437" s="549">
        <f>+EOMONTH(Tabla18[[#This Row],[Fecha Asiento]],-1)+1</f>
        <v>45931</v>
      </c>
      <c r="D437" s="136">
        <v>53001</v>
      </c>
      <c r="E437" s="136" t="s">
        <v>4464</v>
      </c>
      <c r="F437" s="141">
        <v>45932</v>
      </c>
      <c r="G437" s="136">
        <v>5246</v>
      </c>
      <c r="H437" s="136" t="s">
        <v>4728</v>
      </c>
      <c r="I437" s="136" t="s">
        <v>4521</v>
      </c>
      <c r="J437" s="136" t="s">
        <v>4455</v>
      </c>
      <c r="K437" s="136">
        <v>400000515</v>
      </c>
      <c r="L437" s="138">
        <v>29752.080000000002</v>
      </c>
      <c r="M437" s="138">
        <v>0</v>
      </c>
      <c r="N437" s="136" t="s">
        <v>4425</v>
      </c>
      <c r="O437" s="136" t="s">
        <v>4426</v>
      </c>
      <c r="P437" s="136" t="s">
        <v>4427</v>
      </c>
      <c r="Q437" s="136" t="s">
        <v>4428</v>
      </c>
      <c r="R437" s="136">
        <v>0</v>
      </c>
      <c r="S437" s="142">
        <f>(Tabla18[[#This Row],[Debe]]-Tabla18[[#This Row],[Haber]])*
SUMIF('0_Indice_CAC'!$A:$A,Tabla18[[#This Row],[Mes]],'0_Indice_CAC'!$D:$D)</f>
        <v>25141.136275752775</v>
      </c>
      <c r="T437" s="142">
        <f>Tabla18[[#This Row],[Debe]]-Tabla18[[#This Row],[Haber]]</f>
        <v>29752.080000000002</v>
      </c>
      <c r="U437" s="322"/>
      <c r="V437" s="323"/>
      <c r="W437" s="142">
        <f t="shared" si="9"/>
        <v>29752.080000000002</v>
      </c>
      <c r="X437" s="142" t="b">
        <f>ISNUMBER(MATCH(A437,'3_Control_Ppto'!$A$4:$A$70,0))</f>
        <v>1</v>
      </c>
      <c r="Y437" s="136"/>
    </row>
    <row r="438" spans="1:25" ht="12" customHeight="1" x14ac:dyDescent="0.3">
      <c r="A438" s="140" t="s">
        <v>1478</v>
      </c>
      <c r="B438" s="140" t="s">
        <v>25</v>
      </c>
      <c r="C438" s="549">
        <f>+EOMONTH(Tabla18[[#This Row],[Fecha Asiento]],-1)+1</f>
        <v>45931</v>
      </c>
      <c r="D438" s="136">
        <v>53005</v>
      </c>
      <c r="E438" s="136" t="s">
        <v>4472</v>
      </c>
      <c r="F438" s="141">
        <v>45932</v>
      </c>
      <c r="G438" s="136">
        <v>2252</v>
      </c>
      <c r="H438" s="136" t="s">
        <v>4729</v>
      </c>
      <c r="I438" s="136" t="s">
        <v>4423</v>
      </c>
      <c r="J438" s="136" t="s">
        <v>4424</v>
      </c>
      <c r="K438" s="136">
        <v>7623</v>
      </c>
      <c r="L438" s="138">
        <v>56200</v>
      </c>
      <c r="M438" s="138">
        <v>0</v>
      </c>
      <c r="N438" s="136" t="s">
        <v>4425</v>
      </c>
      <c r="O438" s="136" t="s">
        <v>4426</v>
      </c>
      <c r="P438" s="136" t="s">
        <v>4427</v>
      </c>
      <c r="Q438" s="136" t="s">
        <v>4428</v>
      </c>
      <c r="R438" s="136">
        <v>0</v>
      </c>
      <c r="S438" s="142">
        <f>(Tabla18[[#This Row],[Debe]]-Tabla18[[#This Row],[Haber]])*
SUMIF('0_Indice_CAC'!$A:$A,Tabla18[[#This Row],[Mes]],'0_Indice_CAC'!$D:$D)</f>
        <v>47490.187533016375</v>
      </c>
      <c r="T438" s="142">
        <f>Tabla18[[#This Row],[Debe]]-Tabla18[[#This Row],[Haber]]</f>
        <v>56200</v>
      </c>
      <c r="U438" s="322"/>
      <c r="V438" s="323"/>
      <c r="W438" s="142">
        <f t="shared" si="9"/>
        <v>56200</v>
      </c>
      <c r="X438" s="142" t="b">
        <f>ISNUMBER(MATCH(A438,'3_Control_Ppto'!$A$4:$A$70,0))</f>
        <v>1</v>
      </c>
      <c r="Y438" s="136"/>
    </row>
    <row r="439" spans="1:25" ht="12" customHeight="1" x14ac:dyDescent="0.3">
      <c r="A439" s="140" t="s">
        <v>106</v>
      </c>
      <c r="B439" s="140" t="s">
        <v>4090</v>
      </c>
      <c r="C439" s="549">
        <f>+EOMONTH(Tabla18[[#This Row],[Fecha Asiento]],-1)+1</f>
        <v>45931</v>
      </c>
      <c r="D439" s="136">
        <v>53008</v>
      </c>
      <c r="E439" s="136" t="s">
        <v>4490</v>
      </c>
      <c r="F439" s="141">
        <v>45932</v>
      </c>
      <c r="G439" s="136">
        <v>5123</v>
      </c>
      <c r="H439" s="136" t="s">
        <v>4730</v>
      </c>
      <c r="I439" s="136" t="s">
        <v>4727</v>
      </c>
      <c r="J439" s="136" t="s">
        <v>4455</v>
      </c>
      <c r="K439" s="136">
        <v>400002164</v>
      </c>
      <c r="L439" s="138">
        <v>226115.7</v>
      </c>
      <c r="M439" s="138">
        <v>0</v>
      </c>
      <c r="N439" s="136" t="s">
        <v>4425</v>
      </c>
      <c r="O439" s="136" t="s">
        <v>4426</v>
      </c>
      <c r="P439" s="136" t="s">
        <v>4427</v>
      </c>
      <c r="Q439" s="136" t="s">
        <v>4428</v>
      </c>
      <c r="R439" s="136">
        <v>0</v>
      </c>
      <c r="S439" s="142">
        <f>(Tabla18[[#This Row],[Debe]]-Tabla18[[#This Row],[Haber]])*
SUMIF('0_Indice_CAC'!$A:$A,Tabla18[[#This Row],[Mes]],'0_Indice_CAC'!$D:$D)</f>
        <v>191072.544433439</v>
      </c>
      <c r="T439" s="142">
        <f>Tabla18[[#This Row],[Debe]]-Tabla18[[#This Row],[Haber]]</f>
        <v>226115.7</v>
      </c>
      <c r="U439" s="322"/>
      <c r="V439" s="323"/>
      <c r="W439" s="142">
        <f t="shared" si="9"/>
        <v>226115.7</v>
      </c>
      <c r="X439" s="142" t="b">
        <f>ISNUMBER(MATCH(A439,'3_Control_Ppto'!$A$4:$A$70,0))</f>
        <v>1</v>
      </c>
      <c r="Y439" s="136"/>
    </row>
    <row r="440" spans="1:25" ht="12" customHeight="1" x14ac:dyDescent="0.3">
      <c r="A440" s="140" t="s">
        <v>4317</v>
      </c>
      <c r="B440" s="140" t="s">
        <v>56</v>
      </c>
      <c r="C440" s="549">
        <f>+EOMONTH(Tabla18[[#This Row],[Fecha Asiento]],-1)+1</f>
        <v>45931</v>
      </c>
      <c r="D440" s="136">
        <v>52103</v>
      </c>
      <c r="E440" s="136" t="s">
        <v>4477</v>
      </c>
      <c r="F440" s="141">
        <v>45933</v>
      </c>
      <c r="G440" s="136">
        <v>5254</v>
      </c>
      <c r="H440" s="136" t="s">
        <v>4627</v>
      </c>
      <c r="I440" s="136" t="s">
        <v>4628</v>
      </c>
      <c r="J440" s="136" t="s">
        <v>4455</v>
      </c>
      <c r="K440" s="136">
        <v>800000432</v>
      </c>
      <c r="L440" s="138">
        <v>6611.57</v>
      </c>
      <c r="M440" s="138">
        <v>0</v>
      </c>
      <c r="N440" s="136" t="s">
        <v>4425</v>
      </c>
      <c r="O440" s="136" t="s">
        <v>4426</v>
      </c>
      <c r="P440" s="136" t="s">
        <v>4427</v>
      </c>
      <c r="Q440" s="136" t="s">
        <v>4428</v>
      </c>
      <c r="R440" s="136">
        <v>0</v>
      </c>
      <c r="S440" s="142">
        <f>(Tabla18[[#This Row],[Debe]]-Tabla18[[#This Row],[Haber]])*
SUMIF('0_Indice_CAC'!$A:$A,Tabla18[[#This Row],[Mes]],'0_Indice_CAC'!$D:$D)</f>
        <v>5586.9163556524036</v>
      </c>
      <c r="T440" s="142">
        <f>Tabla18[[#This Row],[Debe]]-Tabla18[[#This Row],[Haber]]</f>
        <v>6611.57</v>
      </c>
      <c r="U440" s="322"/>
      <c r="V440" s="323"/>
      <c r="W440" s="142">
        <f t="shared" si="9"/>
        <v>6611.57</v>
      </c>
      <c r="X440" s="142" t="b">
        <f>ISNUMBER(MATCH(A440,'3_Control_Ppto'!$A$4:$A$70,0))</f>
        <v>1</v>
      </c>
      <c r="Y440" s="136"/>
    </row>
    <row r="441" spans="1:25" ht="12" customHeight="1" x14ac:dyDescent="0.3">
      <c r="A441" s="140" t="s">
        <v>4317</v>
      </c>
      <c r="B441" s="140" t="s">
        <v>56</v>
      </c>
      <c r="C441" s="549">
        <f>+EOMONTH(Tabla18[[#This Row],[Fecha Asiento]],-1)+1</f>
        <v>45931</v>
      </c>
      <c r="D441" s="136">
        <v>52103</v>
      </c>
      <c r="E441" s="136" t="s">
        <v>4477</v>
      </c>
      <c r="F441" s="141">
        <v>45933</v>
      </c>
      <c r="G441" s="136">
        <v>5255</v>
      </c>
      <c r="H441" s="136" t="s">
        <v>4569</v>
      </c>
      <c r="I441" s="136" t="s">
        <v>4570</v>
      </c>
      <c r="J441" s="136" t="s">
        <v>4455</v>
      </c>
      <c r="K441" s="136">
        <v>418100138944</v>
      </c>
      <c r="L441" s="138">
        <v>11243.93</v>
      </c>
      <c r="M441" s="138">
        <v>0</v>
      </c>
      <c r="N441" s="136" t="s">
        <v>4425</v>
      </c>
      <c r="O441" s="136" t="s">
        <v>4426</v>
      </c>
      <c r="P441" s="136" t="s">
        <v>4427</v>
      </c>
      <c r="Q441" s="136" t="s">
        <v>4428</v>
      </c>
      <c r="R441" s="136">
        <v>0</v>
      </c>
      <c r="S441" s="142">
        <f>(Tabla18[[#This Row],[Debe]]-Tabla18[[#This Row],[Haber]])*
SUMIF('0_Indice_CAC'!$A:$A,Tabla18[[#This Row],[Mes]],'0_Indice_CAC'!$D:$D)</f>
        <v>9501.3584396460647</v>
      </c>
      <c r="T441" s="142">
        <f>Tabla18[[#This Row],[Debe]]-Tabla18[[#This Row],[Haber]]</f>
        <v>11243.93</v>
      </c>
      <c r="U441" s="322"/>
      <c r="V441" s="323"/>
      <c r="W441" s="142">
        <f t="shared" si="9"/>
        <v>11243.93</v>
      </c>
      <c r="X441" s="142" t="b">
        <f>ISNUMBER(MATCH(A441,'3_Control_Ppto'!$A$4:$A$70,0))</f>
        <v>1</v>
      </c>
      <c r="Y441" s="136"/>
    </row>
    <row r="442" spans="1:25" ht="12" customHeight="1" x14ac:dyDescent="0.3">
      <c r="A442" s="140" t="s">
        <v>4317</v>
      </c>
      <c r="B442" s="140" t="s">
        <v>56</v>
      </c>
      <c r="C442" s="549">
        <f>+EOMONTH(Tabla18[[#This Row],[Fecha Asiento]],-1)+1</f>
        <v>45931</v>
      </c>
      <c r="D442" s="136">
        <v>52103</v>
      </c>
      <c r="E442" s="136" t="s">
        <v>4477</v>
      </c>
      <c r="F442" s="141">
        <v>45933</v>
      </c>
      <c r="G442" s="136">
        <v>5255</v>
      </c>
      <c r="H442" s="136" t="s">
        <v>4569</v>
      </c>
      <c r="I442" s="136" t="s">
        <v>4570</v>
      </c>
      <c r="J442" s="136" t="s">
        <v>4455</v>
      </c>
      <c r="K442" s="136">
        <v>418100138944</v>
      </c>
      <c r="L442" s="138">
        <v>59192.23</v>
      </c>
      <c r="M442" s="138">
        <v>0</v>
      </c>
      <c r="N442" s="136" t="s">
        <v>4425</v>
      </c>
      <c r="O442" s="136" t="s">
        <v>4426</v>
      </c>
      <c r="P442" s="136" t="s">
        <v>4427</v>
      </c>
      <c r="Q442" s="136" t="s">
        <v>4428</v>
      </c>
      <c r="R442" s="136">
        <v>0</v>
      </c>
      <c r="S442" s="142">
        <f>(Tabla18[[#This Row],[Debe]]-Tabla18[[#This Row],[Haber]])*
SUMIF('0_Indice_CAC'!$A:$A,Tabla18[[#This Row],[Mes]],'0_Indice_CAC'!$D:$D)</f>
        <v>50018.685110274702</v>
      </c>
      <c r="T442" s="142">
        <f>Tabla18[[#This Row],[Debe]]-Tabla18[[#This Row],[Haber]]</f>
        <v>59192.23</v>
      </c>
      <c r="U442" s="322"/>
      <c r="V442" s="323"/>
      <c r="W442" s="142">
        <f t="shared" si="9"/>
        <v>59192.23</v>
      </c>
      <c r="X442" s="142" t="b">
        <f>ISNUMBER(MATCH(A442,'3_Control_Ppto'!$A$4:$A$70,0))</f>
        <v>1</v>
      </c>
      <c r="Y442" s="136"/>
    </row>
    <row r="443" spans="1:25" ht="12" customHeight="1" x14ac:dyDescent="0.3">
      <c r="A443" s="140" t="s">
        <v>25</v>
      </c>
      <c r="B443" s="140" t="s">
        <v>25</v>
      </c>
      <c r="C443" s="549">
        <f>+EOMONTH(Tabla18[[#This Row],[Fecha Asiento]],-1)+1</f>
        <v>45931</v>
      </c>
      <c r="D443" s="136">
        <v>52206</v>
      </c>
      <c r="E443" s="136" t="s">
        <v>4441</v>
      </c>
      <c r="F443" s="141">
        <v>45933</v>
      </c>
      <c r="G443" s="136">
        <v>2483</v>
      </c>
      <c r="H443" s="136" t="s">
        <v>4731</v>
      </c>
      <c r="I443" s="136" t="s">
        <v>4423</v>
      </c>
      <c r="J443" s="136" t="s">
        <v>4424</v>
      </c>
      <c r="K443" s="136">
        <v>7820</v>
      </c>
      <c r="L443" s="138">
        <v>3500000</v>
      </c>
      <c r="M443" s="138">
        <v>0</v>
      </c>
      <c r="N443" s="136" t="s">
        <v>4425</v>
      </c>
      <c r="O443" s="136" t="s">
        <v>4426</v>
      </c>
      <c r="P443" s="136" t="s">
        <v>4427</v>
      </c>
      <c r="Q443" s="136" t="s">
        <v>4428</v>
      </c>
      <c r="R443" s="136">
        <v>0</v>
      </c>
      <c r="S443" s="142">
        <f>(Tabla18[[#This Row],[Debe]]-Tabla18[[#This Row],[Haber]])*
SUMIF('0_Indice_CAC'!$A:$A,Tabla18[[#This Row],[Mes]],'0_Indice_CAC'!$D:$D)</f>
        <v>2957573.9566825149</v>
      </c>
      <c r="T443" s="142">
        <f>Tabla18[[#This Row],[Debe]]-Tabla18[[#This Row],[Haber]]</f>
        <v>3500000</v>
      </c>
      <c r="U443" s="322"/>
      <c r="V443" s="323"/>
      <c r="W443" s="142">
        <f t="shared" si="9"/>
        <v>3500000</v>
      </c>
      <c r="X443" s="142" t="b">
        <f>ISNUMBER(MATCH(A443,'3_Control_Ppto'!$A$4:$A$70,0))</f>
        <v>0</v>
      </c>
      <c r="Y443" s="136"/>
    </row>
    <row r="444" spans="1:25" ht="12" customHeight="1" x14ac:dyDescent="0.3">
      <c r="A444" s="140" t="s">
        <v>4271</v>
      </c>
      <c r="B444" s="140" t="s">
        <v>4090</v>
      </c>
      <c r="C444" s="549">
        <f>+EOMONTH(Tabla18[[#This Row],[Fecha Asiento]],-1)+1</f>
        <v>45931</v>
      </c>
      <c r="D444" s="136">
        <v>53017</v>
      </c>
      <c r="E444" s="136" t="s">
        <v>4677</v>
      </c>
      <c r="F444" s="141">
        <v>45933</v>
      </c>
      <c r="G444" s="136">
        <v>5258</v>
      </c>
      <c r="H444" s="136" t="s">
        <v>4732</v>
      </c>
      <c r="I444" s="136" t="s">
        <v>4733</v>
      </c>
      <c r="J444" s="136" t="s">
        <v>4455</v>
      </c>
      <c r="K444" s="136">
        <v>700026485</v>
      </c>
      <c r="L444" s="138">
        <v>8731.2099999999991</v>
      </c>
      <c r="M444" s="138">
        <v>0</v>
      </c>
      <c r="N444" s="136" t="s">
        <v>4425</v>
      </c>
      <c r="O444" s="136" t="s">
        <v>4426</v>
      </c>
      <c r="P444" s="136" t="s">
        <v>4427</v>
      </c>
      <c r="Q444" s="136" t="s">
        <v>4428</v>
      </c>
      <c r="R444" s="136">
        <v>0</v>
      </c>
      <c r="S444" s="142">
        <f>(Tabla18[[#This Row],[Debe]]-Tabla18[[#This Row],[Haber]])*
SUMIF('0_Indice_CAC'!$A:$A,Tabla18[[#This Row],[Mes]],'0_Indice_CAC'!$D:$D)</f>
        <v>7378.0569446645532</v>
      </c>
      <c r="T444" s="142">
        <f>Tabla18[[#This Row],[Debe]]-Tabla18[[#This Row],[Haber]]</f>
        <v>8731.2099999999991</v>
      </c>
      <c r="U444" s="322"/>
      <c r="V444" s="323"/>
      <c r="W444" s="142">
        <f t="shared" si="9"/>
        <v>8731.2099999999991</v>
      </c>
      <c r="X444" s="142" t="b">
        <f>ISNUMBER(MATCH(A444,'3_Control_Ppto'!$A$4:$A$70,0))</f>
        <v>1</v>
      </c>
      <c r="Y444" s="136"/>
    </row>
    <row r="445" spans="1:25" ht="12" customHeight="1" x14ac:dyDescent="0.3">
      <c r="A445" s="140" t="s">
        <v>4271</v>
      </c>
      <c r="B445" s="140" t="s">
        <v>4090</v>
      </c>
      <c r="C445" s="549">
        <f>+EOMONTH(Tabla18[[#This Row],[Fecha Asiento]],-1)+1</f>
        <v>45931</v>
      </c>
      <c r="D445" s="136">
        <v>53017</v>
      </c>
      <c r="E445" s="136" t="s">
        <v>4677</v>
      </c>
      <c r="F445" s="141">
        <v>45933</v>
      </c>
      <c r="G445" s="136">
        <v>5259</v>
      </c>
      <c r="H445" s="136" t="s">
        <v>4734</v>
      </c>
      <c r="I445" s="136" t="s">
        <v>4489</v>
      </c>
      <c r="J445" s="136" t="s">
        <v>4439</v>
      </c>
      <c r="K445" s="136">
        <v>300006429</v>
      </c>
      <c r="L445" s="138">
        <v>3264.46</v>
      </c>
      <c r="M445" s="138">
        <v>0</v>
      </c>
      <c r="N445" s="136" t="s">
        <v>4425</v>
      </c>
      <c r="O445" s="136" t="s">
        <v>4426</v>
      </c>
      <c r="P445" s="136" t="s">
        <v>4427</v>
      </c>
      <c r="Q445" s="136" t="s">
        <v>4428</v>
      </c>
      <c r="R445" s="136">
        <v>0</v>
      </c>
      <c r="S445" s="142">
        <f>(Tabla18[[#This Row],[Debe]]-Tabla18[[#This Row],[Haber]])*
SUMIF('0_Indice_CAC'!$A:$A,Tabla18[[#This Row],[Mes]],'0_Indice_CAC'!$D:$D)</f>
        <v>2758.5376796090864</v>
      </c>
      <c r="T445" s="142">
        <f>Tabla18[[#This Row],[Debe]]-Tabla18[[#This Row],[Haber]]</f>
        <v>3264.46</v>
      </c>
      <c r="U445" s="322"/>
      <c r="V445" s="323"/>
      <c r="W445" s="142">
        <f t="shared" si="9"/>
        <v>3264.46</v>
      </c>
      <c r="X445" s="142" t="b">
        <f>ISNUMBER(MATCH(A445,'3_Control_Ppto'!$A$4:$A$70,0))</f>
        <v>1</v>
      </c>
      <c r="Y445" s="136"/>
    </row>
    <row r="446" spans="1:25" ht="12" customHeight="1" x14ac:dyDescent="0.3">
      <c r="A446" s="140" t="s">
        <v>4271</v>
      </c>
      <c r="B446" s="140" t="s">
        <v>4090</v>
      </c>
      <c r="C446" s="549">
        <f>+EOMONTH(Tabla18[[#This Row],[Fecha Asiento]],-1)+1</f>
        <v>45931</v>
      </c>
      <c r="D446" s="136">
        <v>53017</v>
      </c>
      <c r="E446" s="136" t="s">
        <v>4677</v>
      </c>
      <c r="F446" s="141">
        <v>45933</v>
      </c>
      <c r="G446" s="136">
        <v>5260</v>
      </c>
      <c r="H446" s="136" t="s">
        <v>4732</v>
      </c>
      <c r="I446" s="136" t="s">
        <v>4733</v>
      </c>
      <c r="J446" s="136" t="s">
        <v>4455</v>
      </c>
      <c r="K446" s="136">
        <v>700026484</v>
      </c>
      <c r="L446" s="138">
        <v>7777.92</v>
      </c>
      <c r="M446" s="138">
        <v>0</v>
      </c>
      <c r="N446" s="136" t="s">
        <v>4425</v>
      </c>
      <c r="O446" s="136" t="s">
        <v>4426</v>
      </c>
      <c r="P446" s="136" t="s">
        <v>4427</v>
      </c>
      <c r="Q446" s="136" t="s">
        <v>4428</v>
      </c>
      <c r="R446" s="136">
        <v>0</v>
      </c>
      <c r="S446" s="142">
        <f>(Tabla18[[#This Row],[Debe]]-Tabla18[[#This Row],[Haber]])*
SUMIF('0_Indice_CAC'!$A:$A,Tabla18[[#This Row],[Mes]],'0_Indice_CAC'!$D:$D)</f>
        <v>6572.50675118859</v>
      </c>
      <c r="T446" s="142">
        <f>Tabla18[[#This Row],[Debe]]-Tabla18[[#This Row],[Haber]]</f>
        <v>7777.92</v>
      </c>
      <c r="U446" s="322"/>
      <c r="V446" s="323"/>
      <c r="W446" s="142">
        <f t="shared" si="9"/>
        <v>7777.92</v>
      </c>
      <c r="X446" s="142" t="b">
        <f>ISNUMBER(MATCH(A446,'3_Control_Ppto'!$A$4:$A$70,0))</f>
        <v>1</v>
      </c>
      <c r="Y446" s="136"/>
    </row>
    <row r="447" spans="1:25" ht="12" customHeight="1" x14ac:dyDescent="0.3">
      <c r="A447" s="140" t="s">
        <v>4119</v>
      </c>
      <c r="B447" s="140" t="s">
        <v>4090</v>
      </c>
      <c r="C447" s="549">
        <f>+EOMONTH(Tabla18[[#This Row],[Fecha Asiento]],-1)+1</f>
        <v>45931</v>
      </c>
      <c r="D447" s="136">
        <v>53022</v>
      </c>
      <c r="E447" s="136" t="s">
        <v>4429</v>
      </c>
      <c r="F447" s="141">
        <v>45933</v>
      </c>
      <c r="G447" s="136">
        <v>2415</v>
      </c>
      <c r="H447" s="136" t="s">
        <v>4697</v>
      </c>
      <c r="I447" s="136" t="s">
        <v>4698</v>
      </c>
      <c r="J447" s="136" t="s">
        <v>4699</v>
      </c>
      <c r="K447" s="136">
        <v>7793</v>
      </c>
      <c r="L447" s="138">
        <v>182000</v>
      </c>
      <c r="M447" s="138">
        <v>0</v>
      </c>
      <c r="N447" s="136" t="s">
        <v>4425</v>
      </c>
      <c r="O447" s="136" t="s">
        <v>4426</v>
      </c>
      <c r="P447" s="136" t="s">
        <v>4427</v>
      </c>
      <c r="Q447" s="136" t="s">
        <v>4428</v>
      </c>
      <c r="R447" s="136">
        <v>0</v>
      </c>
      <c r="S447" s="142">
        <f>(Tabla18[[#This Row],[Debe]]-Tabla18[[#This Row],[Haber]])*
SUMIF('0_Indice_CAC'!$A:$A,Tabla18[[#This Row],[Mes]],'0_Indice_CAC'!$D:$D)</f>
        <v>153793.84574749076</v>
      </c>
      <c r="T447" s="142">
        <f>Tabla18[[#This Row],[Debe]]-Tabla18[[#This Row],[Haber]]</f>
        <v>182000</v>
      </c>
      <c r="U447" s="322"/>
      <c r="V447" s="323"/>
      <c r="W447" s="142">
        <f t="shared" si="9"/>
        <v>182000</v>
      </c>
      <c r="X447" s="142" t="b">
        <f>ISNUMBER(MATCH(A447,'3_Control_Ppto'!$A$4:$A$70,0))</f>
        <v>1</v>
      </c>
      <c r="Y447" s="136"/>
    </row>
    <row r="448" spans="1:25" ht="12" customHeight="1" x14ac:dyDescent="0.3">
      <c r="A448" s="140" t="s">
        <v>25</v>
      </c>
      <c r="B448" s="140" t="s">
        <v>25</v>
      </c>
      <c r="C448" s="549">
        <f>+EOMONTH(Tabla18[[#This Row],[Fecha Asiento]],-1)+1</f>
        <v>45931</v>
      </c>
      <c r="D448" s="136">
        <v>52405</v>
      </c>
      <c r="E448" s="136" t="s">
        <v>4493</v>
      </c>
      <c r="F448" s="141">
        <v>45934</v>
      </c>
      <c r="G448" s="136">
        <v>5149</v>
      </c>
      <c r="H448" s="136" t="s">
        <v>4735</v>
      </c>
      <c r="I448" s="136" t="s">
        <v>4736</v>
      </c>
      <c r="J448" s="136" t="s">
        <v>4439</v>
      </c>
      <c r="K448" s="136">
        <v>400015214</v>
      </c>
      <c r="L448" s="138">
        <v>0.01</v>
      </c>
      <c r="M448" s="138">
        <v>0</v>
      </c>
      <c r="N448" s="136" t="s">
        <v>4425</v>
      </c>
      <c r="O448" s="136" t="s">
        <v>4426</v>
      </c>
      <c r="P448" s="136" t="s">
        <v>4427</v>
      </c>
      <c r="Q448" s="136" t="s">
        <v>4428</v>
      </c>
      <c r="R448" s="136">
        <v>0</v>
      </c>
      <c r="S448" s="142">
        <f>(Tabla18[[#This Row],[Debe]]-Tabla18[[#This Row],[Haber]])*
SUMIF('0_Indice_CAC'!$A:$A,Tabla18[[#This Row],[Mes]],'0_Indice_CAC'!$D:$D)</f>
        <v>8.4502113048071856E-3</v>
      </c>
      <c r="T448" s="142">
        <f>Tabla18[[#This Row],[Debe]]-Tabla18[[#This Row],[Haber]]</f>
        <v>0.01</v>
      </c>
      <c r="U448" s="322"/>
      <c r="V448" s="323"/>
      <c r="W448" s="142">
        <f t="shared" si="9"/>
        <v>0.01</v>
      </c>
      <c r="X448" s="142" t="b">
        <f>ISNUMBER(MATCH(A448,'3_Control_Ppto'!$A$4:$A$70,0))</f>
        <v>0</v>
      </c>
      <c r="Y448" s="136"/>
    </row>
    <row r="449" spans="1:25" ht="12" customHeight="1" x14ac:dyDescent="0.3">
      <c r="A449" s="140" t="s">
        <v>1478</v>
      </c>
      <c r="B449" s="140" t="s">
        <v>4090</v>
      </c>
      <c r="C449" s="549">
        <f>+EOMONTH(Tabla18[[#This Row],[Fecha Asiento]],-1)+1</f>
        <v>45931</v>
      </c>
      <c r="D449" s="136">
        <v>53004</v>
      </c>
      <c r="E449" s="136" t="s">
        <v>4496</v>
      </c>
      <c r="F449" s="141">
        <v>45934</v>
      </c>
      <c r="G449" s="136">
        <v>5148</v>
      </c>
      <c r="H449" s="136" t="s">
        <v>4737</v>
      </c>
      <c r="I449" s="136" t="s">
        <v>4471</v>
      </c>
      <c r="J449" s="136" t="s">
        <v>4455</v>
      </c>
      <c r="K449" s="136">
        <v>1000210192</v>
      </c>
      <c r="L449" s="138">
        <v>325448.5</v>
      </c>
      <c r="M449" s="138">
        <v>0</v>
      </c>
      <c r="N449" s="136" t="s">
        <v>4425</v>
      </c>
      <c r="O449" s="136" t="s">
        <v>4426</v>
      </c>
      <c r="P449" s="136" t="s">
        <v>4427</v>
      </c>
      <c r="Q449" s="136" t="s">
        <v>4428</v>
      </c>
      <c r="R449" s="136">
        <v>0</v>
      </c>
      <c r="S449" s="142">
        <f>(Tabla18[[#This Row],[Debe]]-Tabla18[[#This Row],[Haber]])*
SUMIF('0_Indice_CAC'!$A:$A,Tabla18[[#This Row],[Mes]],'0_Indice_CAC'!$D:$D)</f>
        <v>275010.85938325408</v>
      </c>
      <c r="T449" s="142">
        <f>Tabla18[[#This Row],[Debe]]-Tabla18[[#This Row],[Haber]]</f>
        <v>325448.5</v>
      </c>
      <c r="U449" s="322"/>
      <c r="V449" s="323"/>
      <c r="W449" s="142">
        <f t="shared" si="9"/>
        <v>325448.5</v>
      </c>
      <c r="X449" s="142" t="b">
        <f>ISNUMBER(MATCH(A449,'3_Control_Ppto'!$A$4:$A$70,0))</f>
        <v>1</v>
      </c>
      <c r="Y449" s="136"/>
    </row>
    <row r="450" spans="1:25" ht="12" customHeight="1" x14ac:dyDescent="0.3">
      <c r="A450" s="140" t="s">
        <v>106</v>
      </c>
      <c r="B450" s="140" t="s">
        <v>4090</v>
      </c>
      <c r="C450" s="549">
        <f>+EOMONTH(Tabla18[[#This Row],[Fecha Asiento]],-1)+1</f>
        <v>45931</v>
      </c>
      <c r="D450" s="136">
        <v>53008</v>
      </c>
      <c r="E450" s="136" t="s">
        <v>4490</v>
      </c>
      <c r="F450" s="141">
        <v>45934</v>
      </c>
      <c r="G450" s="136">
        <v>5149</v>
      </c>
      <c r="H450" s="136" t="s">
        <v>4738</v>
      </c>
      <c r="I450" s="136" t="s">
        <v>4736</v>
      </c>
      <c r="J450" s="136" t="s">
        <v>4439</v>
      </c>
      <c r="K450" s="136">
        <v>400015214</v>
      </c>
      <c r="L450" s="138">
        <v>32314.07</v>
      </c>
      <c r="M450" s="138">
        <v>0</v>
      </c>
      <c r="N450" s="136" t="s">
        <v>4425</v>
      </c>
      <c r="O450" s="136" t="s">
        <v>4426</v>
      </c>
      <c r="P450" s="136" t="s">
        <v>4427</v>
      </c>
      <c r="Q450" s="136" t="s">
        <v>4428</v>
      </c>
      <c r="R450" s="136">
        <v>0</v>
      </c>
      <c r="S450" s="142">
        <f>(Tabla18[[#This Row],[Debe]]-Tabla18[[#This Row],[Haber]])*
SUMIF('0_Indice_CAC'!$A:$A,Tabla18[[#This Row],[Mes]],'0_Indice_CAC'!$D:$D)</f>
        <v>27306.07196183307</v>
      </c>
      <c r="T450" s="142">
        <f>Tabla18[[#This Row],[Debe]]-Tabla18[[#This Row],[Haber]]</f>
        <v>32314.07</v>
      </c>
      <c r="U450" s="322"/>
      <c r="V450" s="323"/>
      <c r="W450" s="142">
        <f t="shared" si="9"/>
        <v>32314.07</v>
      </c>
      <c r="X450" s="142" t="b">
        <f>ISNUMBER(MATCH(A450,'3_Control_Ppto'!$A$4:$A$70,0))</f>
        <v>1</v>
      </c>
      <c r="Y450" s="136"/>
    </row>
    <row r="451" spans="1:25" ht="12" customHeight="1" x14ac:dyDescent="0.3">
      <c r="A451" s="140" t="s">
        <v>106</v>
      </c>
      <c r="B451" s="140" t="s">
        <v>4090</v>
      </c>
      <c r="C451" s="549">
        <f>+EOMONTH(Tabla18[[#This Row],[Fecha Asiento]],-1)+1</f>
        <v>45931</v>
      </c>
      <c r="D451" s="136">
        <v>53023</v>
      </c>
      <c r="E451" s="136" t="s">
        <v>4467</v>
      </c>
      <c r="F451" s="141">
        <v>45934</v>
      </c>
      <c r="G451" s="136">
        <v>5148</v>
      </c>
      <c r="H451" s="136" t="s">
        <v>4475</v>
      </c>
      <c r="I451" s="136" t="s">
        <v>4471</v>
      </c>
      <c r="J451" s="136" t="s">
        <v>4455</v>
      </c>
      <c r="K451" s="136">
        <v>1000210192</v>
      </c>
      <c r="L451" s="138">
        <v>41126.400000000001</v>
      </c>
      <c r="M451" s="138">
        <v>0</v>
      </c>
      <c r="N451" s="136" t="s">
        <v>4425</v>
      </c>
      <c r="O451" s="136" t="s">
        <v>4426</v>
      </c>
      <c r="P451" s="136" t="s">
        <v>4427</v>
      </c>
      <c r="Q451" s="136" t="s">
        <v>4428</v>
      </c>
      <c r="R451" s="136">
        <v>0</v>
      </c>
      <c r="S451" s="142">
        <f>(Tabla18[[#This Row],[Debe]]-Tabla18[[#This Row],[Haber]])*
SUMIF('0_Indice_CAC'!$A:$A,Tabla18[[#This Row],[Mes]],'0_Indice_CAC'!$D:$D)</f>
        <v>34752.677020602219</v>
      </c>
      <c r="T451" s="142">
        <f>Tabla18[[#This Row],[Debe]]-Tabla18[[#This Row],[Haber]]</f>
        <v>41126.400000000001</v>
      </c>
      <c r="U451" s="322"/>
      <c r="V451" s="323"/>
      <c r="W451" s="142">
        <f t="shared" si="9"/>
        <v>41126.400000000001</v>
      </c>
      <c r="X451" s="142" t="b">
        <f>ISNUMBER(MATCH(A451,'3_Control_Ppto'!$A$4:$A$70,0))</f>
        <v>1</v>
      </c>
      <c r="Y451" s="136"/>
    </row>
    <row r="452" spans="1:25" ht="12" customHeight="1" x14ac:dyDescent="0.3">
      <c r="A452" s="140" t="s">
        <v>1478</v>
      </c>
      <c r="B452" s="140" t="s">
        <v>4090</v>
      </c>
      <c r="C452" s="549">
        <f>+EOMONTH(Tabla18[[#This Row],[Fecha Asiento]],-1)+1</f>
        <v>45931</v>
      </c>
      <c r="D452" s="136">
        <v>53004</v>
      </c>
      <c r="E452" s="136" t="s">
        <v>4496</v>
      </c>
      <c r="F452" s="141">
        <v>45936</v>
      </c>
      <c r="G452" s="136">
        <v>5481</v>
      </c>
      <c r="H452" s="136" t="s">
        <v>4739</v>
      </c>
      <c r="I452" s="136" t="s">
        <v>4495</v>
      </c>
      <c r="J452" s="136" t="s">
        <v>4455</v>
      </c>
      <c r="K452" s="136">
        <v>400012141</v>
      </c>
      <c r="L452" s="138">
        <v>257592.5</v>
      </c>
      <c r="M452" s="138">
        <v>0</v>
      </c>
      <c r="N452" s="136" t="s">
        <v>4425</v>
      </c>
      <c r="O452" s="136" t="s">
        <v>4426</v>
      </c>
      <c r="P452" s="136" t="s">
        <v>4427</v>
      </c>
      <c r="Q452" s="136" t="s">
        <v>4428</v>
      </c>
      <c r="R452" s="136">
        <v>0</v>
      </c>
      <c r="S452" s="142">
        <f>(Tabla18[[#This Row],[Debe]]-Tabla18[[#This Row],[Haber]])*
SUMIF('0_Indice_CAC'!$A:$A,Tabla18[[#This Row],[Mes]],'0_Indice_CAC'!$D:$D)</f>
        <v>217671.10555335449</v>
      </c>
      <c r="T452" s="142">
        <f>Tabla18[[#This Row],[Debe]]-Tabla18[[#This Row],[Haber]]</f>
        <v>257592.5</v>
      </c>
      <c r="U452" s="322"/>
      <c r="V452" s="323"/>
      <c r="W452" s="142">
        <f t="shared" si="9"/>
        <v>257592.5</v>
      </c>
      <c r="X452" s="142" t="b">
        <f>ISNUMBER(MATCH(A452,'3_Control_Ppto'!$A$4:$A$70,0))</f>
        <v>1</v>
      </c>
      <c r="Y452" s="136"/>
    </row>
    <row r="453" spans="1:25" ht="12" customHeight="1" x14ac:dyDescent="0.3">
      <c r="A453" s="140" t="s">
        <v>106</v>
      </c>
      <c r="B453" s="140" t="s">
        <v>25</v>
      </c>
      <c r="C453" s="549">
        <f>+EOMONTH(Tabla18[[#This Row],[Fecha Asiento]],-1)+1</f>
        <v>45931</v>
      </c>
      <c r="D453" s="136">
        <v>53009</v>
      </c>
      <c r="E453" s="136" t="s">
        <v>4446</v>
      </c>
      <c r="F453" s="141">
        <v>45936</v>
      </c>
      <c r="G453" s="136">
        <v>2340</v>
      </c>
      <c r="H453" s="136" t="s">
        <v>4740</v>
      </c>
      <c r="I453" s="136" t="s">
        <v>4423</v>
      </c>
      <c r="J453" s="136" t="s">
        <v>4424</v>
      </c>
      <c r="K453" s="136">
        <v>7710</v>
      </c>
      <c r="L453" s="138">
        <v>3263000</v>
      </c>
      <c r="M453" s="138">
        <v>0</v>
      </c>
      <c r="N453" s="136" t="s">
        <v>4425</v>
      </c>
      <c r="O453" s="136" t="s">
        <v>4426</v>
      </c>
      <c r="P453" s="136" t="s">
        <v>4427</v>
      </c>
      <c r="Q453" s="136" t="s">
        <v>4428</v>
      </c>
      <c r="R453" s="136">
        <v>0</v>
      </c>
      <c r="S453" s="142">
        <f>(Tabla18[[#This Row],[Debe]]-Tabla18[[#This Row],[Haber]])*
SUMIF('0_Indice_CAC'!$A:$A,Tabla18[[#This Row],[Mes]],'0_Indice_CAC'!$D:$D)</f>
        <v>2757303.9487585844</v>
      </c>
      <c r="T453" s="142">
        <f>Tabla18[[#This Row],[Debe]]-Tabla18[[#This Row],[Haber]]</f>
        <v>3263000</v>
      </c>
      <c r="U453" s="322"/>
      <c r="V453" s="323"/>
      <c r="W453" s="142">
        <f t="shared" si="9"/>
        <v>3263000</v>
      </c>
      <c r="X453" s="142" t="b">
        <f>ISNUMBER(MATCH(A453,'3_Control_Ppto'!$A$4:$A$70,0))</f>
        <v>1</v>
      </c>
      <c r="Y453" s="136"/>
    </row>
    <row r="454" spans="1:25" ht="12" customHeight="1" x14ac:dyDescent="0.3">
      <c r="A454" s="140" t="s">
        <v>1285</v>
      </c>
      <c r="B454" s="140" t="s">
        <v>4090</v>
      </c>
      <c r="C454" s="549">
        <f>+EOMONTH(Tabla18[[#This Row],[Fecha Asiento]],-1)+1</f>
        <v>45931</v>
      </c>
      <c r="D454" s="136">
        <v>53001</v>
      </c>
      <c r="E454" s="136" t="s">
        <v>4464</v>
      </c>
      <c r="F454" s="141">
        <v>45937</v>
      </c>
      <c r="G454" s="136">
        <v>5199</v>
      </c>
      <c r="H454" s="136" t="s">
        <v>4741</v>
      </c>
      <c r="I454" s="136" t="s">
        <v>4742</v>
      </c>
      <c r="J454" s="136" t="s">
        <v>4455</v>
      </c>
      <c r="K454" s="136">
        <v>24000040400</v>
      </c>
      <c r="L454" s="138">
        <v>711814.48</v>
      </c>
      <c r="M454" s="138">
        <v>0</v>
      </c>
      <c r="N454" s="136" t="s">
        <v>4425</v>
      </c>
      <c r="O454" s="136" t="s">
        <v>4426</v>
      </c>
      <c r="P454" s="136" t="s">
        <v>4427</v>
      </c>
      <c r="Q454" s="136" t="s">
        <v>4428</v>
      </c>
      <c r="R454" s="136">
        <v>0</v>
      </c>
      <c r="S454" s="142">
        <f>(Tabla18[[#This Row],[Debe]]-Tabla18[[#This Row],[Haber]])*
SUMIF('0_Indice_CAC'!$A:$A,Tabla18[[#This Row],[Mes]],'0_Indice_CAC'!$D:$D)</f>
        <v>601498.27658214478</v>
      </c>
      <c r="T454" s="142">
        <f>Tabla18[[#This Row],[Debe]]-Tabla18[[#This Row],[Haber]]</f>
        <v>711814.48</v>
      </c>
      <c r="U454" s="322"/>
      <c r="V454" s="323"/>
      <c r="W454" s="142">
        <f t="shared" si="9"/>
        <v>711814.48</v>
      </c>
      <c r="X454" s="142" t="b">
        <f>ISNUMBER(MATCH(A454,'3_Control_Ppto'!$A$4:$A$70,0))</f>
        <v>1</v>
      </c>
      <c r="Y454" s="136"/>
    </row>
    <row r="455" spans="1:25" ht="12" customHeight="1" x14ac:dyDescent="0.3">
      <c r="A455" s="140" t="s">
        <v>1285</v>
      </c>
      <c r="B455" s="140" t="s">
        <v>4090</v>
      </c>
      <c r="C455" s="549">
        <f>+EOMONTH(Tabla18[[#This Row],[Fecha Asiento]],-1)+1</f>
        <v>45931</v>
      </c>
      <c r="D455" s="136">
        <v>53001</v>
      </c>
      <c r="E455" s="136" t="s">
        <v>4464</v>
      </c>
      <c r="F455" s="141">
        <v>45937</v>
      </c>
      <c r="G455" s="136">
        <v>5200</v>
      </c>
      <c r="H455" s="136" t="s">
        <v>4743</v>
      </c>
      <c r="I455" s="136" t="s">
        <v>4736</v>
      </c>
      <c r="J455" s="136" t="s">
        <v>4439</v>
      </c>
      <c r="K455" s="136">
        <v>400015229</v>
      </c>
      <c r="L455" s="138">
        <v>24297.51</v>
      </c>
      <c r="M455" s="138">
        <v>0</v>
      </c>
      <c r="N455" s="136" t="s">
        <v>4425</v>
      </c>
      <c r="O455" s="136" t="s">
        <v>4426</v>
      </c>
      <c r="P455" s="136" t="s">
        <v>4427</v>
      </c>
      <c r="Q455" s="136" t="s">
        <v>4428</v>
      </c>
      <c r="R455" s="136">
        <v>0</v>
      </c>
      <c r="S455" s="142">
        <f>(Tabla18[[#This Row],[Debe]]-Tabla18[[#This Row],[Haber]])*
SUMIF('0_Indice_CAC'!$A:$A,Tabla18[[#This Row],[Mes]],'0_Indice_CAC'!$D:$D)</f>
        <v>20531.909368066561</v>
      </c>
      <c r="T455" s="142">
        <f>Tabla18[[#This Row],[Debe]]-Tabla18[[#This Row],[Haber]]</f>
        <v>24297.51</v>
      </c>
      <c r="U455" s="322"/>
      <c r="V455" s="323"/>
      <c r="W455" s="142">
        <f t="shared" si="9"/>
        <v>24297.51</v>
      </c>
      <c r="X455" s="142" t="b">
        <f>ISNUMBER(MATCH(A455,'3_Control_Ppto'!$A$4:$A$70,0))</f>
        <v>1</v>
      </c>
      <c r="Y455" s="136"/>
    </row>
    <row r="456" spans="1:25" ht="12" customHeight="1" x14ac:dyDescent="0.3">
      <c r="A456" s="140" t="s">
        <v>25</v>
      </c>
      <c r="B456" s="140" t="s">
        <v>25</v>
      </c>
      <c r="C456" s="549">
        <f>+EOMONTH(Tabla18[[#This Row],[Fecha Asiento]],-1)+1</f>
        <v>45931</v>
      </c>
      <c r="D456" s="136">
        <v>52405</v>
      </c>
      <c r="E456" s="136" t="s">
        <v>4493</v>
      </c>
      <c r="F456" s="141">
        <v>45938</v>
      </c>
      <c r="G456" s="136">
        <v>5208</v>
      </c>
      <c r="H456" s="136" t="s">
        <v>4744</v>
      </c>
      <c r="I456" s="136" t="s">
        <v>4630</v>
      </c>
      <c r="J456" s="136" t="s">
        <v>4455</v>
      </c>
      <c r="K456" s="136">
        <v>1500085990</v>
      </c>
      <c r="L456" s="138">
        <v>0.01</v>
      </c>
      <c r="M456" s="138">
        <v>0</v>
      </c>
      <c r="N456" s="136" t="s">
        <v>4425</v>
      </c>
      <c r="O456" s="136" t="s">
        <v>4426</v>
      </c>
      <c r="P456" s="136" t="s">
        <v>4427</v>
      </c>
      <c r="Q456" s="136" t="s">
        <v>4428</v>
      </c>
      <c r="R456" s="136">
        <v>0</v>
      </c>
      <c r="S456" s="142">
        <f>(Tabla18[[#This Row],[Debe]]-Tabla18[[#This Row],[Haber]])*
SUMIF('0_Indice_CAC'!$A:$A,Tabla18[[#This Row],[Mes]],'0_Indice_CAC'!$D:$D)</f>
        <v>8.4502113048071856E-3</v>
      </c>
      <c r="T456" s="142">
        <f>Tabla18[[#This Row],[Debe]]-Tabla18[[#This Row],[Haber]]</f>
        <v>0.01</v>
      </c>
      <c r="U456" s="322"/>
      <c r="V456" s="323"/>
      <c r="W456" s="142">
        <f t="shared" si="9"/>
        <v>0.01</v>
      </c>
      <c r="X456" s="142" t="b">
        <f>ISNUMBER(MATCH(A456,'3_Control_Ppto'!$A$4:$A$70,0))</f>
        <v>0</v>
      </c>
      <c r="Y456" s="136"/>
    </row>
    <row r="457" spans="1:25" ht="12" customHeight="1" x14ac:dyDescent="0.3">
      <c r="A457" s="140" t="s">
        <v>1478</v>
      </c>
      <c r="B457" s="140" t="s">
        <v>4090</v>
      </c>
      <c r="C457" s="549">
        <f>+EOMONTH(Tabla18[[#This Row],[Fecha Asiento]],-1)+1</f>
        <v>45931</v>
      </c>
      <c r="D457" s="136">
        <v>53004</v>
      </c>
      <c r="E457" s="136" t="s">
        <v>4496</v>
      </c>
      <c r="F457" s="141">
        <v>45938</v>
      </c>
      <c r="G457" s="136">
        <v>5208</v>
      </c>
      <c r="H457" s="136" t="s">
        <v>4676</v>
      </c>
      <c r="I457" s="136" t="s">
        <v>4630</v>
      </c>
      <c r="J457" s="136" t="s">
        <v>4455</v>
      </c>
      <c r="K457" s="136">
        <v>1500085990</v>
      </c>
      <c r="L457" s="138">
        <v>1188455.3</v>
      </c>
      <c r="M457" s="138">
        <v>0</v>
      </c>
      <c r="N457" s="136" t="s">
        <v>4425</v>
      </c>
      <c r="O457" s="136" t="s">
        <v>4426</v>
      </c>
      <c r="P457" s="136" t="s">
        <v>4427</v>
      </c>
      <c r="Q457" s="136" t="s">
        <v>4428</v>
      </c>
      <c r="R457" s="136">
        <v>0</v>
      </c>
      <c r="S457" s="142">
        <f>(Tabla18[[#This Row],[Debe]]-Tabla18[[#This Row],[Haber]])*
SUMIF('0_Indice_CAC'!$A:$A,Tabla18[[#This Row],[Mes]],'0_Indice_CAC'!$D:$D)</f>
        <v>1004269.8411318015</v>
      </c>
      <c r="T457" s="142">
        <f>Tabla18[[#This Row],[Debe]]-Tabla18[[#This Row],[Haber]]</f>
        <v>1188455.3</v>
      </c>
      <c r="U457" s="322"/>
      <c r="V457" s="323"/>
      <c r="W457" s="142">
        <f t="shared" si="9"/>
        <v>1188455.3</v>
      </c>
      <c r="X457" s="142" t="b">
        <f>ISNUMBER(MATCH(A457,'3_Control_Ppto'!$A$4:$A$70,0))</f>
        <v>1</v>
      </c>
      <c r="Y457" s="136"/>
    </row>
    <row r="458" spans="1:25" ht="12" customHeight="1" x14ac:dyDescent="0.3">
      <c r="A458" s="140" t="s">
        <v>106</v>
      </c>
      <c r="B458" s="140" t="s">
        <v>4090</v>
      </c>
      <c r="C458" s="549">
        <f>+EOMONTH(Tabla18[[#This Row],[Fecha Asiento]],-1)+1</f>
        <v>45931</v>
      </c>
      <c r="D458" s="136">
        <v>53008</v>
      </c>
      <c r="E458" s="136" t="s">
        <v>4490</v>
      </c>
      <c r="F458" s="141">
        <v>45938</v>
      </c>
      <c r="G458" s="136">
        <v>5208</v>
      </c>
      <c r="H458" s="136" t="s">
        <v>4745</v>
      </c>
      <c r="I458" s="136" t="s">
        <v>4630</v>
      </c>
      <c r="J458" s="136" t="s">
        <v>4455</v>
      </c>
      <c r="K458" s="136">
        <v>1500085990</v>
      </c>
      <c r="L458" s="138">
        <v>124302.82</v>
      </c>
      <c r="M458" s="138">
        <v>0</v>
      </c>
      <c r="N458" s="136" t="s">
        <v>4425</v>
      </c>
      <c r="O458" s="136" t="s">
        <v>4426</v>
      </c>
      <c r="P458" s="136" t="s">
        <v>4427</v>
      </c>
      <c r="Q458" s="136" t="s">
        <v>4428</v>
      </c>
      <c r="R458" s="136">
        <v>0</v>
      </c>
      <c r="S458" s="142">
        <f>(Tabla18[[#This Row],[Debe]]-Tabla18[[#This Row],[Haber]])*
SUMIF('0_Indice_CAC'!$A:$A,Tabla18[[#This Row],[Mes]],'0_Indice_CAC'!$D:$D)</f>
        <v>105038.50947834126</v>
      </c>
      <c r="T458" s="142">
        <f>Tabla18[[#This Row],[Debe]]-Tabla18[[#This Row],[Haber]]</f>
        <v>124302.82</v>
      </c>
      <c r="U458" s="322"/>
      <c r="V458" s="323"/>
      <c r="W458" s="142">
        <f t="shared" si="9"/>
        <v>124302.82</v>
      </c>
      <c r="X458" s="142" t="b">
        <f>ISNUMBER(MATCH(A458,'3_Control_Ppto'!$A$4:$A$70,0))</f>
        <v>1</v>
      </c>
      <c r="Y458" s="136"/>
    </row>
    <row r="459" spans="1:25" ht="12" customHeight="1" x14ac:dyDescent="0.3">
      <c r="A459" s="140" t="s">
        <v>4271</v>
      </c>
      <c r="B459" s="140" t="s">
        <v>4090</v>
      </c>
      <c r="C459" s="549">
        <f>+EOMONTH(Tabla18[[#This Row],[Fecha Asiento]],-1)+1</f>
        <v>45931</v>
      </c>
      <c r="D459" s="136">
        <v>53017</v>
      </c>
      <c r="E459" s="136" t="s">
        <v>4677</v>
      </c>
      <c r="F459" s="141">
        <v>45938</v>
      </c>
      <c r="G459" s="136">
        <v>5268</v>
      </c>
      <c r="H459" s="136" t="s">
        <v>4734</v>
      </c>
      <c r="I459" s="136" t="s">
        <v>4489</v>
      </c>
      <c r="J459" s="136" t="s">
        <v>4439</v>
      </c>
      <c r="K459" s="136">
        <v>300006437</v>
      </c>
      <c r="L459" s="138">
        <v>39999.99</v>
      </c>
      <c r="M459" s="138">
        <v>0</v>
      </c>
      <c r="N459" s="136" t="s">
        <v>4425</v>
      </c>
      <c r="O459" s="136" t="s">
        <v>4426</v>
      </c>
      <c r="P459" s="136" t="s">
        <v>4427</v>
      </c>
      <c r="Q459" s="136" t="s">
        <v>4428</v>
      </c>
      <c r="R459" s="136">
        <v>0</v>
      </c>
      <c r="S459" s="142">
        <f>(Tabla18[[#This Row],[Debe]]-Tabla18[[#This Row],[Haber]])*
SUMIF('0_Indice_CAC'!$A:$A,Tabla18[[#This Row],[Mes]],'0_Indice_CAC'!$D:$D)</f>
        <v>33800.836769017435</v>
      </c>
      <c r="T459" s="142">
        <f>Tabla18[[#This Row],[Debe]]-Tabla18[[#This Row],[Haber]]</f>
        <v>39999.99</v>
      </c>
      <c r="U459" s="322"/>
      <c r="V459" s="323"/>
      <c r="W459" s="142">
        <f t="shared" si="9"/>
        <v>39999.99</v>
      </c>
      <c r="X459" s="142" t="b">
        <f>ISNUMBER(MATCH(A459,'3_Control_Ppto'!$A$4:$A$70,0))</f>
        <v>1</v>
      </c>
      <c r="Y459" s="136"/>
    </row>
    <row r="460" spans="1:25" ht="12" customHeight="1" x14ac:dyDescent="0.3">
      <c r="A460" s="140" t="s">
        <v>4271</v>
      </c>
      <c r="B460" s="140" t="s">
        <v>4090</v>
      </c>
      <c r="C460" s="549">
        <f>+EOMONTH(Tabla18[[#This Row],[Fecha Asiento]],-1)+1</f>
        <v>45931</v>
      </c>
      <c r="D460" s="136">
        <v>53017</v>
      </c>
      <c r="E460" s="136" t="s">
        <v>4677</v>
      </c>
      <c r="F460" s="141">
        <v>45938</v>
      </c>
      <c r="G460" s="136">
        <v>5269</v>
      </c>
      <c r="H460" s="136" t="s">
        <v>4734</v>
      </c>
      <c r="I460" s="136" t="s">
        <v>4489</v>
      </c>
      <c r="J460" s="136" t="s">
        <v>4439</v>
      </c>
      <c r="K460" s="136">
        <v>300006438</v>
      </c>
      <c r="L460" s="138">
        <v>1487.6</v>
      </c>
      <c r="M460" s="138">
        <v>0</v>
      </c>
      <c r="N460" s="136" t="s">
        <v>4425</v>
      </c>
      <c r="O460" s="136" t="s">
        <v>4426</v>
      </c>
      <c r="P460" s="136" t="s">
        <v>4427</v>
      </c>
      <c r="Q460" s="136" t="s">
        <v>4428</v>
      </c>
      <c r="R460" s="136">
        <v>0</v>
      </c>
      <c r="S460" s="142">
        <f>(Tabla18[[#This Row],[Debe]]-Tabla18[[#This Row],[Haber]])*
SUMIF('0_Indice_CAC'!$A:$A,Tabla18[[#This Row],[Mes]],'0_Indice_CAC'!$D:$D)</f>
        <v>1257.0534337031168</v>
      </c>
      <c r="T460" s="142">
        <f>Tabla18[[#This Row],[Debe]]-Tabla18[[#This Row],[Haber]]</f>
        <v>1487.6</v>
      </c>
      <c r="U460" s="322"/>
      <c r="V460" s="323"/>
      <c r="W460" s="142">
        <f t="shared" si="9"/>
        <v>1487.6</v>
      </c>
      <c r="X460" s="142" t="b">
        <f>ISNUMBER(MATCH(A460,'3_Control_Ppto'!$A$4:$A$70,0))</f>
        <v>1</v>
      </c>
      <c r="Y460" s="136"/>
    </row>
    <row r="461" spans="1:25" ht="12" customHeight="1" x14ac:dyDescent="0.3">
      <c r="A461" s="140" t="s">
        <v>4119</v>
      </c>
      <c r="B461" s="140" t="s">
        <v>4090</v>
      </c>
      <c r="C461" s="549">
        <f>+EOMONTH(Tabla18[[#This Row],[Fecha Asiento]],-1)+1</f>
        <v>45931</v>
      </c>
      <c r="D461" s="136">
        <v>53022</v>
      </c>
      <c r="E461" s="136" t="s">
        <v>4429</v>
      </c>
      <c r="F461" s="141">
        <v>45938</v>
      </c>
      <c r="G461" s="136">
        <v>2417</v>
      </c>
      <c r="H461" s="136" t="s">
        <v>4697</v>
      </c>
      <c r="I461" s="136" t="s">
        <v>4698</v>
      </c>
      <c r="J461" s="136" t="s">
        <v>4699</v>
      </c>
      <c r="K461" s="136">
        <v>7793</v>
      </c>
      <c r="L461" s="138">
        <v>91000</v>
      </c>
      <c r="M461" s="138">
        <v>0</v>
      </c>
      <c r="N461" s="136" t="s">
        <v>4425</v>
      </c>
      <c r="O461" s="136" t="s">
        <v>4426</v>
      </c>
      <c r="P461" s="136" t="s">
        <v>4427</v>
      </c>
      <c r="Q461" s="136" t="s">
        <v>4428</v>
      </c>
      <c r="R461" s="136">
        <v>0</v>
      </c>
      <c r="S461" s="142">
        <f>(Tabla18[[#This Row],[Debe]]-Tabla18[[#This Row],[Haber]])*
SUMIF('0_Indice_CAC'!$A:$A,Tabla18[[#This Row],[Mes]],'0_Indice_CAC'!$D:$D)</f>
        <v>76896.922873745381</v>
      </c>
      <c r="T461" s="142">
        <f>Tabla18[[#This Row],[Debe]]-Tabla18[[#This Row],[Haber]]</f>
        <v>91000</v>
      </c>
      <c r="U461" s="322"/>
      <c r="V461" s="323"/>
      <c r="W461" s="142">
        <f t="shared" si="9"/>
        <v>91000</v>
      </c>
      <c r="X461" s="142" t="b">
        <f>ISNUMBER(MATCH(A461,'3_Control_Ppto'!$A$4:$A$70,0))</f>
        <v>1</v>
      </c>
      <c r="Y461" s="136"/>
    </row>
    <row r="462" spans="1:25" ht="12" customHeight="1" x14ac:dyDescent="0.3">
      <c r="A462" s="140" t="s">
        <v>1285</v>
      </c>
      <c r="B462" s="140" t="s">
        <v>4090</v>
      </c>
      <c r="C462" s="549">
        <f>+EOMONTH(Tabla18[[#This Row],[Fecha Asiento]],-1)+1</f>
        <v>45931</v>
      </c>
      <c r="D462" s="136">
        <v>53001</v>
      </c>
      <c r="E462" s="136" t="s">
        <v>4464</v>
      </c>
      <c r="F462" s="141">
        <v>45939</v>
      </c>
      <c r="G462" s="136">
        <v>5271</v>
      </c>
      <c r="H462" s="136" t="s">
        <v>4746</v>
      </c>
      <c r="I462" s="136" t="s">
        <v>4521</v>
      </c>
      <c r="J462" s="136" t="s">
        <v>4455</v>
      </c>
      <c r="K462" s="136">
        <v>400000518</v>
      </c>
      <c r="L462" s="138">
        <v>13223.14</v>
      </c>
      <c r="M462" s="138">
        <v>0</v>
      </c>
      <c r="N462" s="136" t="s">
        <v>4425</v>
      </c>
      <c r="O462" s="136" t="s">
        <v>4426</v>
      </c>
      <c r="P462" s="136" t="s">
        <v>4427</v>
      </c>
      <c r="Q462" s="136" t="s">
        <v>4428</v>
      </c>
      <c r="R462" s="136">
        <v>0</v>
      </c>
      <c r="S462" s="142">
        <f>(Tabla18[[#This Row],[Debe]]-Tabla18[[#This Row],[Haber]])*
SUMIF('0_Indice_CAC'!$A:$A,Tabla18[[#This Row],[Mes]],'0_Indice_CAC'!$D:$D)</f>
        <v>11173.832711304807</v>
      </c>
      <c r="T462" s="142">
        <f>Tabla18[[#This Row],[Debe]]-Tabla18[[#This Row],[Haber]]</f>
        <v>13223.14</v>
      </c>
      <c r="U462" s="322"/>
      <c r="V462" s="323"/>
      <c r="W462" s="142">
        <f t="shared" si="9"/>
        <v>13223.14</v>
      </c>
      <c r="X462" s="142" t="b">
        <f>ISNUMBER(MATCH(A462,'3_Control_Ppto'!$A$4:$A$70,0))</f>
        <v>1</v>
      </c>
      <c r="Y462" s="136"/>
    </row>
    <row r="463" spans="1:25" ht="12" customHeight="1" x14ac:dyDescent="0.3">
      <c r="A463" s="140" t="s">
        <v>1478</v>
      </c>
      <c r="B463" s="140" t="s">
        <v>56</v>
      </c>
      <c r="C463" s="549">
        <f>+EOMONTH(Tabla18[[#This Row],[Fecha Asiento]],-1)+1</f>
        <v>45931</v>
      </c>
      <c r="D463" s="136">
        <v>53005</v>
      </c>
      <c r="E463" s="136" t="s">
        <v>4472</v>
      </c>
      <c r="F463" s="141">
        <v>45939</v>
      </c>
      <c r="G463" s="136">
        <v>2354</v>
      </c>
      <c r="H463" s="136" t="s">
        <v>4747</v>
      </c>
      <c r="I463" s="136" t="s">
        <v>4423</v>
      </c>
      <c r="J463" s="136" t="s">
        <v>4424</v>
      </c>
      <c r="K463" s="136">
        <v>7724</v>
      </c>
      <c r="L463" s="138">
        <v>4422000</v>
      </c>
      <c r="M463" s="138">
        <v>0</v>
      </c>
      <c r="N463" s="136" t="s">
        <v>4425</v>
      </c>
      <c r="O463" s="136" t="s">
        <v>4426</v>
      </c>
      <c r="P463" s="136" t="s">
        <v>4427</v>
      </c>
      <c r="Q463" s="136" t="s">
        <v>4428</v>
      </c>
      <c r="R463" s="136">
        <v>0</v>
      </c>
      <c r="S463" s="142">
        <f>(Tabla18[[#This Row],[Debe]]-Tabla18[[#This Row],[Haber]])*
SUMIF('0_Indice_CAC'!$A:$A,Tabla18[[#This Row],[Mes]],'0_Indice_CAC'!$D:$D)</f>
        <v>3736683.438985737</v>
      </c>
      <c r="T463" s="142">
        <f>Tabla18[[#This Row],[Debe]]-Tabla18[[#This Row],[Haber]]</f>
        <v>4422000</v>
      </c>
      <c r="U463" s="322"/>
      <c r="V463" s="323"/>
      <c r="W463" s="142">
        <f t="shared" si="9"/>
        <v>4422000</v>
      </c>
      <c r="X463" s="142" t="b">
        <f>ISNUMBER(MATCH(A463,'3_Control_Ppto'!$A$4:$A$70,0))</f>
        <v>1</v>
      </c>
      <c r="Y463" s="136"/>
    </row>
    <row r="464" spans="1:25" ht="12" customHeight="1" x14ac:dyDescent="0.3">
      <c r="A464" s="140" t="s">
        <v>4271</v>
      </c>
      <c r="B464" s="140" t="s">
        <v>4090</v>
      </c>
      <c r="C464" s="549">
        <f>+EOMONTH(Tabla18[[#This Row],[Fecha Asiento]],-1)+1</f>
        <v>45931</v>
      </c>
      <c r="D464" s="136">
        <v>53017</v>
      </c>
      <c r="E464" s="136" t="s">
        <v>4677</v>
      </c>
      <c r="F464" s="141">
        <v>45939</v>
      </c>
      <c r="G464" s="136">
        <v>5270</v>
      </c>
      <c r="H464" s="136" t="s">
        <v>4734</v>
      </c>
      <c r="I464" s="136" t="s">
        <v>4489</v>
      </c>
      <c r="J464" s="136" t="s">
        <v>4439</v>
      </c>
      <c r="K464" s="136">
        <v>300006441</v>
      </c>
      <c r="L464" s="138">
        <v>18181.82</v>
      </c>
      <c r="M464" s="138">
        <v>0</v>
      </c>
      <c r="N464" s="136" t="s">
        <v>4425</v>
      </c>
      <c r="O464" s="136" t="s">
        <v>4426</v>
      </c>
      <c r="P464" s="136" t="s">
        <v>4427</v>
      </c>
      <c r="Q464" s="136" t="s">
        <v>4428</v>
      </c>
      <c r="R464" s="136">
        <v>0</v>
      </c>
      <c r="S464" s="142">
        <f>(Tabla18[[#This Row],[Debe]]-Tabla18[[#This Row],[Haber]])*
SUMIF('0_Indice_CAC'!$A:$A,Tabla18[[#This Row],[Mes]],'0_Indice_CAC'!$D:$D)</f>
        <v>15364.022090596936</v>
      </c>
      <c r="T464" s="142">
        <f>Tabla18[[#This Row],[Debe]]-Tabla18[[#This Row],[Haber]]</f>
        <v>18181.82</v>
      </c>
      <c r="U464" s="322"/>
      <c r="V464" s="323"/>
      <c r="W464" s="142">
        <f t="shared" si="9"/>
        <v>18181.82</v>
      </c>
      <c r="X464" s="142" t="b">
        <f>ISNUMBER(MATCH(A464,'3_Control_Ppto'!$A$4:$A$70,0))</f>
        <v>1</v>
      </c>
      <c r="Y464" s="136"/>
    </row>
    <row r="465" spans="1:25" ht="12" customHeight="1" x14ac:dyDescent="0.3">
      <c r="A465" s="140" t="s">
        <v>4119</v>
      </c>
      <c r="B465" s="140" t="s">
        <v>56</v>
      </c>
      <c r="C465" s="549">
        <f>+EOMONTH(Tabla18[[#This Row],[Fecha Asiento]],-1)+1</f>
        <v>45931</v>
      </c>
      <c r="D465" s="136">
        <v>53022</v>
      </c>
      <c r="E465" s="136" t="s">
        <v>4429</v>
      </c>
      <c r="F465" s="141">
        <v>45939</v>
      </c>
      <c r="G465" s="136">
        <v>5273</v>
      </c>
      <c r="H465" s="136" t="s">
        <v>4701</v>
      </c>
      <c r="I465" s="136" t="s">
        <v>4459</v>
      </c>
      <c r="J465" s="136" t="s">
        <v>4455</v>
      </c>
      <c r="K465" s="136">
        <v>300024135</v>
      </c>
      <c r="L465" s="138">
        <v>85000</v>
      </c>
      <c r="M465" s="138">
        <v>0</v>
      </c>
      <c r="N465" s="136" t="s">
        <v>4425</v>
      </c>
      <c r="O465" s="136" t="s">
        <v>4426</v>
      </c>
      <c r="P465" s="136" t="s">
        <v>4427</v>
      </c>
      <c r="Q465" s="136" t="s">
        <v>4428</v>
      </c>
      <c r="R465" s="136">
        <v>0</v>
      </c>
      <c r="S465" s="142">
        <f>(Tabla18[[#This Row],[Debe]]-Tabla18[[#This Row],[Haber]])*
SUMIF('0_Indice_CAC'!$A:$A,Tabla18[[#This Row],[Mes]],'0_Indice_CAC'!$D:$D)</f>
        <v>71826.796090861069</v>
      </c>
      <c r="T465" s="142">
        <f>Tabla18[[#This Row],[Debe]]-Tabla18[[#This Row],[Haber]]</f>
        <v>85000</v>
      </c>
      <c r="U465" s="322"/>
      <c r="V465" s="323"/>
      <c r="W465" s="142">
        <f t="shared" si="9"/>
        <v>85000</v>
      </c>
      <c r="X465" s="142" t="b">
        <f>ISNUMBER(MATCH(A465,'3_Control_Ppto'!$A$4:$A$70,0))</f>
        <v>1</v>
      </c>
      <c r="Y465" s="136"/>
    </row>
    <row r="466" spans="1:25" ht="12" customHeight="1" x14ac:dyDescent="0.3">
      <c r="A466" s="140" t="s">
        <v>4317</v>
      </c>
      <c r="B466" s="140" t="s">
        <v>56</v>
      </c>
      <c r="C466" s="549">
        <f>+EOMONTH(Tabla18[[#This Row],[Fecha Asiento]],-1)+1</f>
        <v>45931</v>
      </c>
      <c r="D466" s="136">
        <v>52102</v>
      </c>
      <c r="E466" s="136" t="s">
        <v>4535</v>
      </c>
      <c r="F466" s="141">
        <v>45940</v>
      </c>
      <c r="G466" s="136">
        <v>2336</v>
      </c>
      <c r="H466" s="136" t="s">
        <v>4686</v>
      </c>
      <c r="I466" s="136" t="s">
        <v>4423</v>
      </c>
      <c r="J466" s="136" t="s">
        <v>4424</v>
      </c>
      <c r="K466" s="136">
        <v>7706</v>
      </c>
      <c r="L466" s="138">
        <v>28900</v>
      </c>
      <c r="M466" s="138">
        <v>0</v>
      </c>
      <c r="N466" s="136" t="s">
        <v>4425</v>
      </c>
      <c r="O466" s="136" t="s">
        <v>4426</v>
      </c>
      <c r="P466" s="136" t="s">
        <v>4427</v>
      </c>
      <c r="Q466" s="136" t="s">
        <v>4428</v>
      </c>
      <c r="R466" s="136">
        <v>0</v>
      </c>
      <c r="S466" s="142">
        <f>(Tabla18[[#This Row],[Debe]]-Tabla18[[#This Row],[Haber]])*
SUMIF('0_Indice_CAC'!$A:$A,Tabla18[[#This Row],[Mes]],'0_Indice_CAC'!$D:$D)</f>
        <v>24421.110670892765</v>
      </c>
      <c r="T466" s="142">
        <f>Tabla18[[#This Row],[Debe]]-Tabla18[[#This Row],[Haber]]</f>
        <v>28900</v>
      </c>
      <c r="U466" s="322"/>
      <c r="V466" s="323"/>
      <c r="W466" s="142">
        <f t="shared" si="9"/>
        <v>28900</v>
      </c>
      <c r="X466" s="142" t="b">
        <f>ISNUMBER(MATCH(A466,'3_Control_Ppto'!$A$4:$A$70,0))</f>
        <v>1</v>
      </c>
      <c r="Y466" s="136"/>
    </row>
    <row r="467" spans="1:25" ht="12" customHeight="1" x14ac:dyDescent="0.3">
      <c r="A467" s="140" t="s">
        <v>106</v>
      </c>
      <c r="B467" s="140" t="s">
        <v>4090</v>
      </c>
      <c r="C467" s="549">
        <f>+EOMONTH(Tabla18[[#This Row],[Fecha Asiento]],-1)+1</f>
        <v>45931</v>
      </c>
      <c r="D467" s="136">
        <v>53023</v>
      </c>
      <c r="E467" s="136" t="s">
        <v>4467</v>
      </c>
      <c r="F467" s="141">
        <v>45941</v>
      </c>
      <c r="G467" s="136">
        <v>5275</v>
      </c>
      <c r="H467" s="136" t="s">
        <v>4475</v>
      </c>
      <c r="I467" s="136" t="s">
        <v>4471</v>
      </c>
      <c r="J467" s="136" t="s">
        <v>4455</v>
      </c>
      <c r="K467" s="136">
        <v>1000210618</v>
      </c>
      <c r="L467" s="138">
        <v>322857</v>
      </c>
      <c r="M467" s="138">
        <v>0</v>
      </c>
      <c r="N467" s="136" t="s">
        <v>4425</v>
      </c>
      <c r="O467" s="136" t="s">
        <v>4426</v>
      </c>
      <c r="P467" s="136" t="s">
        <v>4427</v>
      </c>
      <c r="Q467" s="136" t="s">
        <v>4428</v>
      </c>
      <c r="R467" s="136">
        <v>0</v>
      </c>
      <c r="S467" s="142">
        <f>(Tabla18[[#This Row],[Debe]]-Tabla18[[#This Row],[Haber]])*
SUMIF('0_Indice_CAC'!$A:$A,Tabla18[[#This Row],[Mes]],'0_Indice_CAC'!$D:$D)</f>
        <v>272820.9871236133</v>
      </c>
      <c r="T467" s="142">
        <f>Tabla18[[#This Row],[Debe]]-Tabla18[[#This Row],[Haber]]</f>
        <v>322857</v>
      </c>
      <c r="U467" s="322"/>
      <c r="V467" s="323"/>
      <c r="W467" s="142">
        <f t="shared" si="9"/>
        <v>322857</v>
      </c>
      <c r="X467" s="142" t="b">
        <f>ISNUMBER(MATCH(A467,'3_Control_Ppto'!$A$4:$A$70,0))</f>
        <v>1</v>
      </c>
      <c r="Y467" s="136"/>
    </row>
    <row r="468" spans="1:25" ht="12" customHeight="1" x14ac:dyDescent="0.3">
      <c r="A468" s="140" t="s">
        <v>3219</v>
      </c>
      <c r="B468" s="140" t="s">
        <v>4090</v>
      </c>
      <c r="C468" s="549">
        <f>+EOMONTH(Tabla18[[#This Row],[Fecha Asiento]],-1)+1</f>
        <v>45931</v>
      </c>
      <c r="D468" s="136">
        <v>53019</v>
      </c>
      <c r="E468" s="136" t="s">
        <v>4461</v>
      </c>
      <c r="F468" s="141">
        <v>45943</v>
      </c>
      <c r="G468" s="136">
        <v>5726</v>
      </c>
      <c r="H468" s="136" t="s">
        <v>4748</v>
      </c>
      <c r="I468" s="136" t="s">
        <v>4749</v>
      </c>
      <c r="J468" s="136" t="s">
        <v>4455</v>
      </c>
      <c r="K468" s="136">
        <v>1800095403</v>
      </c>
      <c r="L468" s="138">
        <v>348353.8</v>
      </c>
      <c r="M468" s="138">
        <v>0</v>
      </c>
      <c r="N468" s="136" t="s">
        <v>4425</v>
      </c>
      <c r="O468" s="136" t="s">
        <v>4426</v>
      </c>
      <c r="P468" s="136" t="s">
        <v>4427</v>
      </c>
      <c r="Q468" s="136" t="s">
        <v>4428</v>
      </c>
      <c r="R468" s="136">
        <v>0</v>
      </c>
      <c r="S468" s="142">
        <f>(Tabla18[[#This Row],[Debe]]-Tabla18[[#This Row],[Haber]])*
SUMIF('0_Indice_CAC'!$A:$A,Tabla18[[#This Row],[Mes]],'0_Indice_CAC'!$D:$D)</f>
        <v>294366.3218832541</v>
      </c>
      <c r="T468" s="142">
        <f>Tabla18[[#This Row],[Debe]]-Tabla18[[#This Row],[Haber]]</f>
        <v>348353.8</v>
      </c>
      <c r="U468" s="322"/>
      <c r="V468" s="323"/>
      <c r="W468" s="142">
        <f t="shared" si="9"/>
        <v>348353.8</v>
      </c>
      <c r="X468" s="142" t="b">
        <f>ISNUMBER(MATCH(A468,'3_Control_Ppto'!$A$4:$A$70,0))</f>
        <v>1</v>
      </c>
      <c r="Y468" s="136"/>
    </row>
    <row r="469" spans="1:25" ht="12" customHeight="1" x14ac:dyDescent="0.3">
      <c r="A469" s="140" t="s">
        <v>106</v>
      </c>
      <c r="B469" s="140" t="s">
        <v>4090</v>
      </c>
      <c r="C469" s="549">
        <f>+EOMONTH(Tabla18[[#This Row],[Fecha Asiento]],-1)+1</f>
        <v>45931</v>
      </c>
      <c r="D469" s="136">
        <v>53023</v>
      </c>
      <c r="E469" s="136" t="s">
        <v>4467</v>
      </c>
      <c r="F469" s="141">
        <v>45943</v>
      </c>
      <c r="G469" s="136">
        <v>5382</v>
      </c>
      <c r="H469" s="136" t="s">
        <v>4498</v>
      </c>
      <c r="I469" s="136" t="s">
        <v>4466</v>
      </c>
      <c r="J469" s="136" t="s">
        <v>4455</v>
      </c>
      <c r="K469" s="136">
        <v>600012435</v>
      </c>
      <c r="L469" s="138">
        <v>2909.11</v>
      </c>
      <c r="M469" s="138">
        <v>0</v>
      </c>
      <c r="N469" s="136" t="s">
        <v>4425</v>
      </c>
      <c r="O469" s="136" t="s">
        <v>4426</v>
      </c>
      <c r="P469" s="136" t="s">
        <v>4427</v>
      </c>
      <c r="Q469" s="136" t="s">
        <v>4428</v>
      </c>
      <c r="R469" s="136">
        <v>0</v>
      </c>
      <c r="S469" s="142">
        <f>(Tabla18[[#This Row],[Debe]]-Tabla18[[#This Row],[Haber]])*
SUMIF('0_Indice_CAC'!$A:$A,Tabla18[[#This Row],[Mes]],'0_Indice_CAC'!$D:$D)</f>
        <v>2458.259420892763</v>
      </c>
      <c r="T469" s="142">
        <f>Tabla18[[#This Row],[Debe]]-Tabla18[[#This Row],[Haber]]</f>
        <v>2909.11</v>
      </c>
      <c r="U469" s="322"/>
      <c r="V469" s="323"/>
      <c r="W469" s="142">
        <f t="shared" si="9"/>
        <v>2909.11</v>
      </c>
      <c r="X469" s="142" t="b">
        <f>ISNUMBER(MATCH(A469,'3_Control_Ppto'!$A$4:$A$70,0))</f>
        <v>1</v>
      </c>
      <c r="Y469" s="136"/>
    </row>
    <row r="470" spans="1:25" ht="12" customHeight="1" x14ac:dyDescent="0.3">
      <c r="A470" s="140" t="s">
        <v>1285</v>
      </c>
      <c r="B470" s="140" t="s">
        <v>4090</v>
      </c>
      <c r="C470" s="549">
        <f>+EOMONTH(Tabla18[[#This Row],[Fecha Asiento]],-1)+1</f>
        <v>45931</v>
      </c>
      <c r="D470" s="136">
        <v>53001</v>
      </c>
      <c r="E470" s="136" t="s">
        <v>4464</v>
      </c>
      <c r="F470" s="141">
        <v>45944</v>
      </c>
      <c r="G470" s="136">
        <v>5385</v>
      </c>
      <c r="H470" s="136" t="s">
        <v>4750</v>
      </c>
      <c r="I470" s="136" t="s">
        <v>4471</v>
      </c>
      <c r="J470" s="136" t="s">
        <v>4455</v>
      </c>
      <c r="K470" s="136">
        <v>1000210817</v>
      </c>
      <c r="L470" s="138">
        <v>11743.53</v>
      </c>
      <c r="M470" s="138">
        <v>0</v>
      </c>
      <c r="N470" s="136" t="s">
        <v>4425</v>
      </c>
      <c r="O470" s="136" t="s">
        <v>4426</v>
      </c>
      <c r="P470" s="136" t="s">
        <v>4427</v>
      </c>
      <c r="Q470" s="136" t="s">
        <v>4428</v>
      </c>
      <c r="R470" s="136">
        <v>0</v>
      </c>
      <c r="S470" s="142">
        <f>(Tabla18[[#This Row],[Debe]]-Tabla18[[#This Row],[Haber]])*
SUMIF('0_Indice_CAC'!$A:$A,Tabla18[[#This Row],[Mes]],'0_Indice_CAC'!$D:$D)</f>
        <v>9923.5309964342323</v>
      </c>
      <c r="T470" s="142">
        <f>Tabla18[[#This Row],[Debe]]-Tabla18[[#This Row],[Haber]]</f>
        <v>11743.53</v>
      </c>
      <c r="U470" s="322"/>
      <c r="V470" s="323"/>
      <c r="W470" s="142">
        <f t="shared" si="9"/>
        <v>11743.53</v>
      </c>
      <c r="X470" s="142" t="b">
        <f>ISNUMBER(MATCH(A470,'3_Control_Ppto'!$A$4:$A$70,0))</f>
        <v>1</v>
      </c>
      <c r="Y470" s="136"/>
    </row>
    <row r="471" spans="1:25" ht="12" customHeight="1" x14ac:dyDescent="0.3">
      <c r="A471" s="140" t="s">
        <v>1285</v>
      </c>
      <c r="B471" s="140" t="s">
        <v>4090</v>
      </c>
      <c r="C471" s="549">
        <f>+EOMONTH(Tabla18[[#This Row],[Fecha Asiento]],-1)+1</f>
        <v>45931</v>
      </c>
      <c r="D471" s="136">
        <v>53001</v>
      </c>
      <c r="E471" s="136" t="s">
        <v>4464</v>
      </c>
      <c r="F471" s="141">
        <v>45944</v>
      </c>
      <c r="G471" s="136">
        <v>5386</v>
      </c>
      <c r="H471" s="136" t="s">
        <v>4751</v>
      </c>
      <c r="I471" s="136" t="s">
        <v>4752</v>
      </c>
      <c r="J471" s="136" t="s">
        <v>4455</v>
      </c>
      <c r="K471" s="136">
        <v>400030510</v>
      </c>
      <c r="L471" s="138">
        <v>332191.21999999997</v>
      </c>
      <c r="M471" s="138">
        <v>0</v>
      </c>
      <c r="N471" s="136" t="s">
        <v>4425</v>
      </c>
      <c r="O471" s="136" t="s">
        <v>4426</v>
      </c>
      <c r="P471" s="136" t="s">
        <v>4427</v>
      </c>
      <c r="Q471" s="136" t="s">
        <v>4428</v>
      </c>
      <c r="R471" s="136">
        <v>0</v>
      </c>
      <c r="S471" s="142">
        <f>(Tabla18[[#This Row],[Debe]]-Tabla18[[#This Row],[Haber]])*
SUMIF('0_Indice_CAC'!$A:$A,Tabla18[[#This Row],[Mes]],'0_Indice_CAC'!$D:$D)</f>
        <v>280708.60026016901</v>
      </c>
      <c r="T471" s="142">
        <f>Tabla18[[#This Row],[Debe]]-Tabla18[[#This Row],[Haber]]</f>
        <v>332191.21999999997</v>
      </c>
      <c r="U471" s="322"/>
      <c r="V471" s="323"/>
      <c r="W471" s="142">
        <f t="shared" si="9"/>
        <v>332191.21999999997</v>
      </c>
      <c r="X471" s="142" t="b">
        <f>ISNUMBER(MATCH(A471,'3_Control_Ppto'!$A$4:$A$70,0))</f>
        <v>1</v>
      </c>
      <c r="Y471" s="136"/>
    </row>
    <row r="472" spans="1:25" ht="12" customHeight="1" x14ac:dyDescent="0.3">
      <c r="A472" s="140" t="s">
        <v>1285</v>
      </c>
      <c r="B472" s="140" t="s">
        <v>4090</v>
      </c>
      <c r="C472" s="549">
        <f>+EOMONTH(Tabla18[[#This Row],[Fecha Asiento]],-1)+1</f>
        <v>45931</v>
      </c>
      <c r="D472" s="136">
        <v>53001</v>
      </c>
      <c r="E472" s="136" t="s">
        <v>4464</v>
      </c>
      <c r="F472" s="141">
        <v>45944</v>
      </c>
      <c r="G472" s="136">
        <v>5387</v>
      </c>
      <c r="H472" s="136" t="s">
        <v>4751</v>
      </c>
      <c r="I472" s="136" t="s">
        <v>4752</v>
      </c>
      <c r="J472" s="136" t="s">
        <v>4455</v>
      </c>
      <c r="K472" s="136">
        <v>400030512</v>
      </c>
      <c r="L472" s="138">
        <v>115348.76</v>
      </c>
      <c r="M472" s="138">
        <v>0</v>
      </c>
      <c r="N472" s="136" t="s">
        <v>4425</v>
      </c>
      <c r="O472" s="136" t="s">
        <v>4426</v>
      </c>
      <c r="P472" s="136" t="s">
        <v>4427</v>
      </c>
      <c r="Q472" s="136" t="s">
        <v>4428</v>
      </c>
      <c r="R472" s="136">
        <v>0</v>
      </c>
      <c r="S472" s="142">
        <f>(Tabla18[[#This Row],[Debe]]-Tabla18[[#This Row],[Haber]])*
SUMIF('0_Indice_CAC'!$A:$A,Tabla18[[#This Row],[Mes]],'0_Indice_CAC'!$D:$D)</f>
        <v>97472.139574749075</v>
      </c>
      <c r="T472" s="142">
        <f>Tabla18[[#This Row],[Debe]]-Tabla18[[#This Row],[Haber]]</f>
        <v>115348.76</v>
      </c>
      <c r="U472" s="322"/>
      <c r="V472" s="323"/>
      <c r="W472" s="142">
        <f t="shared" si="9"/>
        <v>115348.76</v>
      </c>
      <c r="X472" s="142" t="b">
        <f>ISNUMBER(MATCH(A472,'3_Control_Ppto'!$A$4:$A$70,0))</f>
        <v>1</v>
      </c>
      <c r="Y472" s="136"/>
    </row>
    <row r="473" spans="1:25" ht="12" customHeight="1" x14ac:dyDescent="0.3">
      <c r="A473" s="140" t="s">
        <v>1478</v>
      </c>
      <c r="B473" s="140" t="s">
        <v>4090</v>
      </c>
      <c r="C473" s="549">
        <f>+EOMONTH(Tabla18[[#This Row],[Fecha Asiento]],-1)+1</f>
        <v>45931</v>
      </c>
      <c r="D473" s="136">
        <v>53004</v>
      </c>
      <c r="E473" s="136" t="s">
        <v>4496</v>
      </c>
      <c r="F473" s="141">
        <v>45944</v>
      </c>
      <c r="G473" s="136">
        <v>5280</v>
      </c>
      <c r="H473" s="136" t="s">
        <v>4753</v>
      </c>
      <c r="I473" s="136" t="s">
        <v>4754</v>
      </c>
      <c r="J473" s="136" t="s">
        <v>4455</v>
      </c>
      <c r="K473" s="136">
        <v>200003705</v>
      </c>
      <c r="L473" s="138">
        <v>4863228.91</v>
      </c>
      <c r="M473" s="138">
        <v>0</v>
      </c>
      <c r="N473" s="136" t="s">
        <v>4425</v>
      </c>
      <c r="O473" s="136" t="s">
        <v>4426</v>
      </c>
      <c r="P473" s="136" t="s">
        <v>4427</v>
      </c>
      <c r="Q473" s="136" t="s">
        <v>4428</v>
      </c>
      <c r="R473" s="136">
        <v>0</v>
      </c>
      <c r="S473" s="142">
        <f>(Tabla18[[#This Row],[Debe]]-Tabla18[[#This Row],[Haber]])*
SUMIF('0_Indice_CAC'!$A:$A,Tabla18[[#This Row],[Mes]],'0_Indice_CAC'!$D:$D)</f>
        <v>4109531.1913147126</v>
      </c>
      <c r="T473" s="142">
        <f>Tabla18[[#This Row],[Debe]]-Tabla18[[#This Row],[Haber]]</f>
        <v>4863228.91</v>
      </c>
      <c r="U473" s="322"/>
      <c r="V473" s="323"/>
      <c r="W473" s="142">
        <f t="shared" si="9"/>
        <v>4863228.91</v>
      </c>
      <c r="X473" s="142" t="b">
        <f>ISNUMBER(MATCH(A473,'3_Control_Ppto'!$A$4:$A$70,0))</f>
        <v>1</v>
      </c>
      <c r="Y473" s="136"/>
    </row>
    <row r="474" spans="1:25" ht="12" customHeight="1" x14ac:dyDescent="0.3">
      <c r="A474" s="140" t="s">
        <v>1478</v>
      </c>
      <c r="B474" s="140" t="s">
        <v>4090</v>
      </c>
      <c r="C474" s="549">
        <f>+EOMONTH(Tabla18[[#This Row],[Fecha Asiento]],-1)+1</f>
        <v>45931</v>
      </c>
      <c r="D474" s="136">
        <v>53004</v>
      </c>
      <c r="E474" s="136" t="s">
        <v>4496</v>
      </c>
      <c r="F474" s="141">
        <v>45944</v>
      </c>
      <c r="G474" s="136">
        <v>5281</v>
      </c>
      <c r="H474" s="136" t="s">
        <v>4753</v>
      </c>
      <c r="I474" s="136" t="s">
        <v>4754</v>
      </c>
      <c r="J474" s="136" t="s">
        <v>4455</v>
      </c>
      <c r="K474" s="136">
        <v>200003704</v>
      </c>
      <c r="L474" s="138">
        <v>8352790.6500000004</v>
      </c>
      <c r="M474" s="138">
        <v>0</v>
      </c>
      <c r="N474" s="136" t="s">
        <v>4425</v>
      </c>
      <c r="O474" s="136" t="s">
        <v>4426</v>
      </c>
      <c r="P474" s="136" t="s">
        <v>4427</v>
      </c>
      <c r="Q474" s="136" t="s">
        <v>4428</v>
      </c>
      <c r="R474" s="136">
        <v>0</v>
      </c>
      <c r="S474" s="142">
        <f>(Tabla18[[#This Row],[Debe]]-Tabla18[[#This Row],[Haber]])*
SUMIF('0_Indice_CAC'!$A:$A,Tabla18[[#This Row],[Mes]],'0_Indice_CAC'!$D:$D)</f>
        <v>7058284.5977317756</v>
      </c>
      <c r="T474" s="142">
        <f>Tabla18[[#This Row],[Debe]]-Tabla18[[#This Row],[Haber]]</f>
        <v>8352790.6500000004</v>
      </c>
      <c r="U474" s="322"/>
      <c r="V474" s="323"/>
      <c r="W474" s="142">
        <f t="shared" si="9"/>
        <v>8352790.6500000004</v>
      </c>
      <c r="X474" s="142" t="b">
        <f>ISNUMBER(MATCH(A474,'3_Control_Ppto'!$A$4:$A$70,0))</f>
        <v>1</v>
      </c>
      <c r="Y474" s="136"/>
    </row>
    <row r="475" spans="1:25" ht="12" customHeight="1" x14ac:dyDescent="0.3">
      <c r="A475" s="140" t="s">
        <v>4271</v>
      </c>
      <c r="B475" s="140" t="s">
        <v>4090</v>
      </c>
      <c r="C475" s="549">
        <f>+EOMONTH(Tabla18[[#This Row],[Fecha Asiento]],-1)+1</f>
        <v>45931</v>
      </c>
      <c r="D475" s="136">
        <v>53017</v>
      </c>
      <c r="E475" s="136" t="s">
        <v>4677</v>
      </c>
      <c r="F475" s="141">
        <v>45944</v>
      </c>
      <c r="G475" s="136">
        <v>5383</v>
      </c>
      <c r="H475" s="136" t="s">
        <v>4734</v>
      </c>
      <c r="I475" s="136" t="s">
        <v>4489</v>
      </c>
      <c r="J475" s="136" t="s">
        <v>4439</v>
      </c>
      <c r="K475" s="136">
        <v>300006460</v>
      </c>
      <c r="L475" s="138">
        <v>15371.9</v>
      </c>
      <c r="M475" s="138">
        <v>0</v>
      </c>
      <c r="N475" s="136" t="s">
        <v>4425</v>
      </c>
      <c r="O475" s="136" t="s">
        <v>4426</v>
      </c>
      <c r="P475" s="136" t="s">
        <v>4427</v>
      </c>
      <c r="Q475" s="136" t="s">
        <v>4428</v>
      </c>
      <c r="R475" s="136">
        <v>0</v>
      </c>
      <c r="S475" s="142">
        <f>(Tabla18[[#This Row],[Debe]]-Tabla18[[#This Row],[Haber]])*
SUMIF('0_Indice_CAC'!$A:$A,Tabla18[[#This Row],[Mes]],'0_Indice_CAC'!$D:$D)</f>
        <v>12989.580315636556</v>
      </c>
      <c r="T475" s="142">
        <f>Tabla18[[#This Row],[Debe]]-Tabla18[[#This Row],[Haber]]</f>
        <v>15371.9</v>
      </c>
      <c r="U475" s="322"/>
      <c r="V475" s="323"/>
      <c r="W475" s="142">
        <f t="shared" si="9"/>
        <v>15371.9</v>
      </c>
      <c r="X475" s="142" t="b">
        <f>ISNUMBER(MATCH(A475,'3_Control_Ppto'!$A$4:$A$70,0))</f>
        <v>1</v>
      </c>
      <c r="Y475" s="136"/>
    </row>
    <row r="476" spans="1:25" ht="12" customHeight="1" x14ac:dyDescent="0.3">
      <c r="A476" s="140" t="s">
        <v>4310</v>
      </c>
      <c r="B476" s="140" t="s">
        <v>56</v>
      </c>
      <c r="C476" s="549">
        <f>+EOMONTH(Tabla18[[#This Row],[Fecha Asiento]],-1)+1</f>
        <v>45931</v>
      </c>
      <c r="D476" s="136">
        <v>52204</v>
      </c>
      <c r="E476" s="136" t="s">
        <v>4452</v>
      </c>
      <c r="F476" s="141">
        <v>45945</v>
      </c>
      <c r="G476" s="136">
        <v>2363</v>
      </c>
      <c r="H476" s="136" t="s">
        <v>4755</v>
      </c>
      <c r="I476" s="136" t="s">
        <v>4423</v>
      </c>
      <c r="J476" s="136" t="s">
        <v>4424</v>
      </c>
      <c r="K476" s="136">
        <v>7733</v>
      </c>
      <c r="L476" s="138">
        <v>162500</v>
      </c>
      <c r="M476" s="138">
        <v>0</v>
      </c>
      <c r="N476" s="136" t="s">
        <v>4425</v>
      </c>
      <c r="O476" s="136" t="s">
        <v>4426</v>
      </c>
      <c r="P476" s="136" t="s">
        <v>4427</v>
      </c>
      <c r="Q476" s="136" t="s">
        <v>4428</v>
      </c>
      <c r="R476" s="136">
        <v>0</v>
      </c>
      <c r="S476" s="142">
        <f>(Tabla18[[#This Row],[Debe]]-Tabla18[[#This Row],[Haber]])*
SUMIF('0_Indice_CAC'!$A:$A,Tabla18[[#This Row],[Mes]],'0_Indice_CAC'!$D:$D)</f>
        <v>137315.93370311675</v>
      </c>
      <c r="T476" s="142">
        <f>Tabla18[[#This Row],[Debe]]-Tabla18[[#This Row],[Haber]]</f>
        <v>162500</v>
      </c>
      <c r="U476" s="322"/>
      <c r="V476" s="323"/>
      <c r="W476" s="142">
        <f t="shared" si="9"/>
        <v>162500</v>
      </c>
      <c r="X476" s="142" t="b">
        <f>ISNUMBER(MATCH(A476,'3_Control_Ppto'!$A$4:$A$70,0))</f>
        <v>1</v>
      </c>
      <c r="Y476" s="136"/>
    </row>
    <row r="477" spans="1:25" ht="12" customHeight="1" x14ac:dyDescent="0.3">
      <c r="A477" s="140" t="s">
        <v>4317</v>
      </c>
      <c r="B477" s="140" t="s">
        <v>56</v>
      </c>
      <c r="C477" s="549">
        <f>+EOMONTH(Tabla18[[#This Row],[Fecha Asiento]],-1)+1</f>
        <v>45931</v>
      </c>
      <c r="D477" s="136">
        <v>52302</v>
      </c>
      <c r="E477" s="136" t="s">
        <v>4444</v>
      </c>
      <c r="F477" s="141">
        <v>45945</v>
      </c>
      <c r="G477" s="136">
        <v>5400</v>
      </c>
      <c r="H477" s="136" t="s">
        <v>4578</v>
      </c>
      <c r="I477" s="136" t="s">
        <v>4532</v>
      </c>
      <c r="J477" s="136" t="s">
        <v>4455</v>
      </c>
      <c r="K477" s="136">
        <v>217201854964</v>
      </c>
      <c r="L477" s="138">
        <v>445.28</v>
      </c>
      <c r="M477" s="138">
        <v>0</v>
      </c>
      <c r="N477" s="136" t="s">
        <v>4425</v>
      </c>
      <c r="O477" s="136" t="s">
        <v>4426</v>
      </c>
      <c r="P477" s="136" t="s">
        <v>4427</v>
      </c>
      <c r="Q477" s="136" t="s">
        <v>4428</v>
      </c>
      <c r="R477" s="136">
        <v>0</v>
      </c>
      <c r="S477" s="142">
        <f>(Tabla18[[#This Row],[Debe]]-Tabla18[[#This Row],[Haber]])*
SUMIF('0_Indice_CAC'!$A:$A,Tabla18[[#This Row],[Mes]],'0_Indice_CAC'!$D:$D)</f>
        <v>376.27100898045433</v>
      </c>
      <c r="T477" s="142">
        <f>Tabla18[[#This Row],[Debe]]-Tabla18[[#This Row],[Haber]]</f>
        <v>445.28</v>
      </c>
      <c r="U477" s="322"/>
      <c r="V477" s="323"/>
      <c r="W477" s="142">
        <f t="shared" si="9"/>
        <v>445.28</v>
      </c>
      <c r="X477" s="142" t="b">
        <f>ISNUMBER(MATCH(A477,'3_Control_Ppto'!$A$4:$A$70,0))</f>
        <v>1</v>
      </c>
      <c r="Y477" s="136"/>
    </row>
    <row r="478" spans="1:25" ht="12" customHeight="1" x14ac:dyDescent="0.3">
      <c r="A478" s="140" t="s">
        <v>4317</v>
      </c>
      <c r="B478" s="140" t="s">
        <v>56</v>
      </c>
      <c r="C478" s="549">
        <f>+EOMONTH(Tabla18[[#This Row],[Fecha Asiento]],-1)+1</f>
        <v>45931</v>
      </c>
      <c r="D478" s="136">
        <v>52302</v>
      </c>
      <c r="E478" s="136" t="s">
        <v>4444</v>
      </c>
      <c r="F478" s="141">
        <v>45945</v>
      </c>
      <c r="G478" s="136">
        <v>5400</v>
      </c>
      <c r="H478" s="136" t="s">
        <v>4756</v>
      </c>
      <c r="I478" s="136" t="s">
        <v>4532</v>
      </c>
      <c r="J478" s="136" t="s">
        <v>4455</v>
      </c>
      <c r="K478" s="136">
        <v>217201854964</v>
      </c>
      <c r="L478" s="138">
        <v>31205.439999999999</v>
      </c>
      <c r="M478" s="138">
        <v>0</v>
      </c>
      <c r="N478" s="136" t="s">
        <v>4425</v>
      </c>
      <c r="O478" s="136" t="s">
        <v>4426</v>
      </c>
      <c r="P478" s="136" t="s">
        <v>4427</v>
      </c>
      <c r="Q478" s="136" t="s">
        <v>4428</v>
      </c>
      <c r="R478" s="136">
        <v>0</v>
      </c>
      <c r="S478" s="142">
        <f>(Tabla18[[#This Row],[Debe]]-Tabla18[[#This Row],[Haber]])*
SUMIF('0_Indice_CAC'!$A:$A,Tabla18[[#This Row],[Mes]],'0_Indice_CAC'!$D:$D)</f>
        <v>26369.25618594823</v>
      </c>
      <c r="T478" s="142">
        <f>Tabla18[[#This Row],[Debe]]-Tabla18[[#This Row],[Haber]]</f>
        <v>31205.439999999999</v>
      </c>
      <c r="U478" s="322"/>
      <c r="V478" s="323"/>
      <c r="W478" s="142">
        <f t="shared" si="9"/>
        <v>31205.439999999999</v>
      </c>
      <c r="X478" s="142" t="b">
        <f>ISNUMBER(MATCH(A478,'3_Control_Ppto'!$A$4:$A$70,0))</f>
        <v>1</v>
      </c>
      <c r="Y478" s="136"/>
    </row>
    <row r="479" spans="1:25" ht="12" customHeight="1" x14ac:dyDescent="0.3">
      <c r="A479" s="140" t="s">
        <v>4317</v>
      </c>
      <c r="B479" s="140" t="s">
        <v>56</v>
      </c>
      <c r="C479" s="549">
        <f>+EOMONTH(Tabla18[[#This Row],[Fecha Asiento]],-1)+1</f>
        <v>45931</v>
      </c>
      <c r="D479" s="136">
        <v>52302</v>
      </c>
      <c r="E479" s="136" t="s">
        <v>4444</v>
      </c>
      <c r="F479" s="141">
        <v>45945</v>
      </c>
      <c r="G479" s="136">
        <v>5400</v>
      </c>
      <c r="H479" s="136" t="s">
        <v>4534</v>
      </c>
      <c r="I479" s="136" t="s">
        <v>4532</v>
      </c>
      <c r="J479" s="136" t="s">
        <v>4455</v>
      </c>
      <c r="K479" s="136">
        <v>217201854964</v>
      </c>
      <c r="L479" s="138">
        <v>5451.77</v>
      </c>
      <c r="M479" s="138">
        <v>0</v>
      </c>
      <c r="N479" s="136" t="s">
        <v>4425</v>
      </c>
      <c r="O479" s="136" t="s">
        <v>4426</v>
      </c>
      <c r="P479" s="136" t="s">
        <v>4427</v>
      </c>
      <c r="Q479" s="136" t="s">
        <v>4428</v>
      </c>
      <c r="R479" s="136">
        <v>0</v>
      </c>
      <c r="S479" s="142">
        <f>(Tabla18[[#This Row],[Debe]]-Tabla18[[#This Row],[Haber]])*
SUMIF('0_Indice_CAC'!$A:$A,Tabla18[[#This Row],[Mes]],'0_Indice_CAC'!$D:$D)</f>
        <v>4606.860848520867</v>
      </c>
      <c r="T479" s="142">
        <f>Tabla18[[#This Row],[Debe]]-Tabla18[[#This Row],[Haber]]</f>
        <v>5451.77</v>
      </c>
      <c r="U479" s="322"/>
      <c r="V479" s="323"/>
      <c r="W479" s="142">
        <f t="shared" si="9"/>
        <v>5451.77</v>
      </c>
      <c r="X479" s="142" t="b">
        <f>ISNUMBER(MATCH(A479,'3_Control_Ppto'!$A$4:$A$70,0))</f>
        <v>1</v>
      </c>
      <c r="Y479" s="136"/>
    </row>
    <row r="480" spans="1:25" ht="12" customHeight="1" x14ac:dyDescent="0.3">
      <c r="A480" s="140" t="s">
        <v>1285</v>
      </c>
      <c r="B480" s="140" t="s">
        <v>4090</v>
      </c>
      <c r="C480" s="549">
        <f>+EOMONTH(Tabla18[[#This Row],[Fecha Asiento]],-1)+1</f>
        <v>45931</v>
      </c>
      <c r="D480" s="136">
        <v>53001</v>
      </c>
      <c r="E480" s="136" t="s">
        <v>4464</v>
      </c>
      <c r="F480" s="141">
        <v>45945</v>
      </c>
      <c r="G480" s="136">
        <v>5394</v>
      </c>
      <c r="H480" s="136" t="s">
        <v>4751</v>
      </c>
      <c r="I480" s="136" t="s">
        <v>4752</v>
      </c>
      <c r="J480" s="136" t="s">
        <v>4455</v>
      </c>
      <c r="K480" s="136">
        <v>400030550</v>
      </c>
      <c r="L480" s="138">
        <v>24557.55</v>
      </c>
      <c r="M480" s="138">
        <v>0</v>
      </c>
      <c r="N480" s="136" t="s">
        <v>4425</v>
      </c>
      <c r="O480" s="136" t="s">
        <v>4426</v>
      </c>
      <c r="P480" s="136" t="s">
        <v>4427</v>
      </c>
      <c r="Q480" s="136" t="s">
        <v>4428</v>
      </c>
      <c r="R480" s="136">
        <v>0</v>
      </c>
      <c r="S480" s="142">
        <f>(Tabla18[[#This Row],[Debe]]-Tabla18[[#This Row],[Haber]])*
SUMIF('0_Indice_CAC'!$A:$A,Tabla18[[#This Row],[Mes]],'0_Indice_CAC'!$D:$D)</f>
        <v>20751.648662836767</v>
      </c>
      <c r="T480" s="142">
        <f>Tabla18[[#This Row],[Debe]]-Tabla18[[#This Row],[Haber]]</f>
        <v>24557.55</v>
      </c>
      <c r="U480" s="322"/>
      <c r="V480" s="323"/>
      <c r="W480" s="142">
        <f t="shared" ref="W480:W543" si="10">IFERROR(T480-IF(V480="",0,V480),0)</f>
        <v>24557.55</v>
      </c>
      <c r="X480" s="142" t="b">
        <f>ISNUMBER(MATCH(A480,'3_Control_Ppto'!$A$4:$A$70,0))</f>
        <v>1</v>
      </c>
      <c r="Y480" s="136"/>
    </row>
    <row r="481" spans="1:25" ht="12" customHeight="1" x14ac:dyDescent="0.3">
      <c r="A481" s="140" t="s">
        <v>106</v>
      </c>
      <c r="B481" s="140" t="s">
        <v>4090</v>
      </c>
      <c r="C481" s="549">
        <f>+EOMONTH(Tabla18[[#This Row],[Fecha Asiento]],-1)+1</f>
        <v>45931</v>
      </c>
      <c r="D481" s="136">
        <v>53008</v>
      </c>
      <c r="E481" s="136" t="s">
        <v>4490</v>
      </c>
      <c r="F481" s="141">
        <v>45945</v>
      </c>
      <c r="G481" s="136">
        <v>5503</v>
      </c>
      <c r="H481" s="136" t="s">
        <v>4757</v>
      </c>
      <c r="I481" s="136" t="s">
        <v>4758</v>
      </c>
      <c r="J481" s="136" t="s">
        <v>4455</v>
      </c>
      <c r="K481" s="136">
        <v>800028501</v>
      </c>
      <c r="L481" s="138">
        <v>4528.9799999999996</v>
      </c>
      <c r="M481" s="138">
        <v>0</v>
      </c>
      <c r="N481" s="136" t="s">
        <v>4425</v>
      </c>
      <c r="O481" s="136" t="s">
        <v>4426</v>
      </c>
      <c r="P481" s="136" t="s">
        <v>4427</v>
      </c>
      <c r="Q481" s="136" t="s">
        <v>4428</v>
      </c>
      <c r="R481" s="136">
        <v>0</v>
      </c>
      <c r="S481" s="142">
        <f>(Tabla18[[#This Row],[Debe]]-Tabla18[[#This Row],[Haber]])*
SUMIF('0_Indice_CAC'!$A:$A,Tabla18[[#This Row],[Mes]],'0_Indice_CAC'!$D:$D)</f>
        <v>3827.0837995245638</v>
      </c>
      <c r="T481" s="142">
        <f>Tabla18[[#This Row],[Debe]]-Tabla18[[#This Row],[Haber]]</f>
        <v>4528.9799999999996</v>
      </c>
      <c r="U481" s="322"/>
      <c r="V481" s="323"/>
      <c r="W481" s="142">
        <f t="shared" si="10"/>
        <v>4528.9799999999996</v>
      </c>
      <c r="X481" s="142" t="b">
        <f>ISNUMBER(MATCH(A481,'3_Control_Ppto'!$A$4:$A$70,0))</f>
        <v>1</v>
      </c>
      <c r="Y481" s="136"/>
    </row>
    <row r="482" spans="1:25" ht="12" customHeight="1" x14ac:dyDescent="0.3">
      <c r="A482" s="140" t="s">
        <v>106</v>
      </c>
      <c r="B482" s="140" t="s">
        <v>4090</v>
      </c>
      <c r="C482" s="549">
        <f>+EOMONTH(Tabla18[[#This Row],[Fecha Asiento]],-1)+1</f>
        <v>45931</v>
      </c>
      <c r="D482" s="136">
        <v>53008</v>
      </c>
      <c r="E482" s="136" t="s">
        <v>4490</v>
      </c>
      <c r="F482" s="141">
        <v>45945</v>
      </c>
      <c r="G482" s="136">
        <v>5504</v>
      </c>
      <c r="H482" s="136" t="s">
        <v>4757</v>
      </c>
      <c r="I482" s="136" t="s">
        <v>4758</v>
      </c>
      <c r="J482" s="136" t="s">
        <v>4455</v>
      </c>
      <c r="K482" s="136">
        <v>800028502</v>
      </c>
      <c r="L482" s="138">
        <v>2264.4899999999998</v>
      </c>
      <c r="M482" s="138">
        <v>0</v>
      </c>
      <c r="N482" s="136" t="s">
        <v>4425</v>
      </c>
      <c r="O482" s="136" t="s">
        <v>4426</v>
      </c>
      <c r="P482" s="136" t="s">
        <v>4427</v>
      </c>
      <c r="Q482" s="136" t="s">
        <v>4428</v>
      </c>
      <c r="R482" s="136">
        <v>0</v>
      </c>
      <c r="S482" s="142">
        <f>(Tabla18[[#This Row],[Debe]]-Tabla18[[#This Row],[Haber]])*
SUMIF('0_Indice_CAC'!$A:$A,Tabla18[[#This Row],[Mes]],'0_Indice_CAC'!$D:$D)</f>
        <v>1913.5418997622819</v>
      </c>
      <c r="T482" s="142">
        <f>Tabla18[[#This Row],[Debe]]-Tabla18[[#This Row],[Haber]]</f>
        <v>2264.4899999999998</v>
      </c>
      <c r="U482" s="322"/>
      <c r="V482" s="323"/>
      <c r="W482" s="142">
        <f t="shared" si="10"/>
        <v>2264.4899999999998</v>
      </c>
      <c r="X482" s="142" t="b">
        <f>ISNUMBER(MATCH(A482,'3_Control_Ppto'!$A$4:$A$70,0))</f>
        <v>1</v>
      </c>
      <c r="Y482" s="136"/>
    </row>
    <row r="483" spans="1:25" ht="12" customHeight="1" x14ac:dyDescent="0.3">
      <c r="A483" s="140" t="s">
        <v>3219</v>
      </c>
      <c r="B483" s="140" t="s">
        <v>4090</v>
      </c>
      <c r="C483" s="549">
        <f>+EOMONTH(Tabla18[[#This Row],[Fecha Asiento]],-1)+1</f>
        <v>45931</v>
      </c>
      <c r="D483" s="136">
        <v>53019</v>
      </c>
      <c r="E483" s="136" t="s">
        <v>4461</v>
      </c>
      <c r="F483" s="141">
        <v>45945</v>
      </c>
      <c r="G483" s="136">
        <v>5727</v>
      </c>
      <c r="H483" s="136" t="s">
        <v>4748</v>
      </c>
      <c r="I483" s="136" t="s">
        <v>4749</v>
      </c>
      <c r="J483" s="136" t="s">
        <v>4455</v>
      </c>
      <c r="K483" s="136">
        <v>1800095496</v>
      </c>
      <c r="L483" s="138">
        <v>432434.55</v>
      </c>
      <c r="M483" s="138">
        <v>0</v>
      </c>
      <c r="N483" s="136" t="s">
        <v>4425</v>
      </c>
      <c r="O483" s="136" t="s">
        <v>4426</v>
      </c>
      <c r="P483" s="136" t="s">
        <v>4427</v>
      </c>
      <c r="Q483" s="136" t="s">
        <v>4428</v>
      </c>
      <c r="R483" s="136">
        <v>0</v>
      </c>
      <c r="S483" s="142">
        <f>(Tabla18[[#This Row],[Debe]]-Tabla18[[#This Row],[Haber]])*
SUMIF('0_Indice_CAC'!$A:$A,Tabla18[[#This Row],[Mes]],'0_Indice_CAC'!$D:$D)</f>
        <v>365416.33229992079</v>
      </c>
      <c r="T483" s="142">
        <f>Tabla18[[#This Row],[Debe]]-Tabla18[[#This Row],[Haber]]</f>
        <v>432434.55</v>
      </c>
      <c r="U483" s="322"/>
      <c r="V483" s="323"/>
      <c r="W483" s="142">
        <f t="shared" si="10"/>
        <v>432434.55</v>
      </c>
      <c r="X483" s="142" t="b">
        <f>ISNUMBER(MATCH(A483,'3_Control_Ppto'!$A$4:$A$70,0))</f>
        <v>1</v>
      </c>
      <c r="Y483" s="136"/>
    </row>
    <row r="484" spans="1:25" ht="12" customHeight="1" x14ac:dyDescent="0.3">
      <c r="A484" s="140" t="s">
        <v>3219</v>
      </c>
      <c r="B484" s="140" t="s">
        <v>4090</v>
      </c>
      <c r="C484" s="549">
        <f>+EOMONTH(Tabla18[[#This Row],[Fecha Asiento]],-1)+1</f>
        <v>45931</v>
      </c>
      <c r="D484" s="136">
        <v>53019</v>
      </c>
      <c r="E484" s="136" t="s">
        <v>4461</v>
      </c>
      <c r="F484" s="141">
        <v>45945</v>
      </c>
      <c r="G484" s="136">
        <v>5727</v>
      </c>
      <c r="H484" s="136" t="s">
        <v>4748</v>
      </c>
      <c r="I484" s="136" t="s">
        <v>4749</v>
      </c>
      <c r="J484" s="136" t="s">
        <v>4455</v>
      </c>
      <c r="K484" s="136">
        <v>1800095496</v>
      </c>
      <c r="L484" s="138">
        <v>45898.19</v>
      </c>
      <c r="M484" s="138">
        <v>0</v>
      </c>
      <c r="N484" s="136" t="s">
        <v>4425</v>
      </c>
      <c r="O484" s="136" t="s">
        <v>4426</v>
      </c>
      <c r="P484" s="136" t="s">
        <v>4427</v>
      </c>
      <c r="Q484" s="136" t="s">
        <v>4428</v>
      </c>
      <c r="R484" s="136">
        <v>0</v>
      </c>
      <c r="S484" s="142">
        <f>(Tabla18[[#This Row],[Debe]]-Tabla18[[#This Row],[Haber]])*
SUMIF('0_Indice_CAC'!$A:$A,Tabla18[[#This Row],[Mes]],'0_Indice_CAC'!$D:$D)</f>
        <v>38784.940400818807</v>
      </c>
      <c r="T484" s="142">
        <f>Tabla18[[#This Row],[Debe]]-Tabla18[[#This Row],[Haber]]</f>
        <v>45898.19</v>
      </c>
      <c r="U484" s="322"/>
      <c r="V484" s="323"/>
      <c r="W484" s="142">
        <f t="shared" si="10"/>
        <v>45898.19</v>
      </c>
      <c r="X484" s="142" t="b">
        <f>ISNUMBER(MATCH(A484,'3_Control_Ppto'!$A$4:$A$70,0))</f>
        <v>1</v>
      </c>
      <c r="Y484" s="136"/>
    </row>
    <row r="485" spans="1:25" ht="12" customHeight="1" x14ac:dyDescent="0.3">
      <c r="A485" s="140" t="s">
        <v>4317</v>
      </c>
      <c r="B485" s="140" t="s">
        <v>56</v>
      </c>
      <c r="C485" s="549">
        <f>+EOMONTH(Tabla18[[#This Row],[Fecha Asiento]],-1)+1</f>
        <v>45931</v>
      </c>
      <c r="D485" s="136">
        <v>52103</v>
      </c>
      <c r="E485" s="136" t="s">
        <v>4477</v>
      </c>
      <c r="F485" s="141">
        <v>45946</v>
      </c>
      <c r="G485" s="136">
        <v>2323</v>
      </c>
      <c r="H485" s="136" t="s">
        <v>4478</v>
      </c>
      <c r="I485" s="136" t="s">
        <v>4423</v>
      </c>
      <c r="J485" s="136" t="s">
        <v>4424</v>
      </c>
      <c r="K485" s="136">
        <v>7693</v>
      </c>
      <c r="L485" s="138">
        <v>4500</v>
      </c>
      <c r="M485" s="138">
        <v>0</v>
      </c>
      <c r="N485" s="136" t="s">
        <v>4425</v>
      </c>
      <c r="O485" s="136" t="s">
        <v>4426</v>
      </c>
      <c r="P485" s="136" t="s">
        <v>4427</v>
      </c>
      <c r="Q485" s="136" t="s">
        <v>4428</v>
      </c>
      <c r="R485" s="136">
        <v>0</v>
      </c>
      <c r="S485" s="142">
        <f>(Tabla18[[#This Row],[Debe]]-Tabla18[[#This Row],[Haber]])*
SUMIF('0_Indice_CAC'!$A:$A,Tabla18[[#This Row],[Mes]],'0_Indice_CAC'!$D:$D)</f>
        <v>3802.5950871632331</v>
      </c>
      <c r="T485" s="142">
        <f>Tabla18[[#This Row],[Debe]]-Tabla18[[#This Row],[Haber]]</f>
        <v>4500</v>
      </c>
      <c r="U485" s="322"/>
      <c r="V485" s="323"/>
      <c r="W485" s="142">
        <f t="shared" si="10"/>
        <v>4500</v>
      </c>
      <c r="X485" s="142" t="b">
        <f>ISNUMBER(MATCH(A485,'3_Control_Ppto'!$A$4:$A$70,0))</f>
        <v>1</v>
      </c>
      <c r="Y485" s="136"/>
    </row>
    <row r="486" spans="1:25" ht="12" customHeight="1" x14ac:dyDescent="0.3">
      <c r="A486" s="140" t="s">
        <v>4317</v>
      </c>
      <c r="B486" s="140" t="s">
        <v>56</v>
      </c>
      <c r="C486" s="549">
        <f>+EOMONTH(Tabla18[[#This Row],[Fecha Asiento]],-1)+1</f>
        <v>45931</v>
      </c>
      <c r="D486" s="136">
        <v>52103</v>
      </c>
      <c r="E486" s="136" t="s">
        <v>4477</v>
      </c>
      <c r="F486" s="141">
        <v>45947</v>
      </c>
      <c r="G486" s="136">
        <v>2334</v>
      </c>
      <c r="H486" s="136" t="s">
        <v>4478</v>
      </c>
      <c r="I486" s="136" t="s">
        <v>4423</v>
      </c>
      <c r="J486" s="136" t="s">
        <v>4424</v>
      </c>
      <c r="K486" s="136">
        <v>7704</v>
      </c>
      <c r="L486" s="138">
        <v>9169.2199999999993</v>
      </c>
      <c r="M486" s="138">
        <v>0</v>
      </c>
      <c r="N486" s="136" t="s">
        <v>4425</v>
      </c>
      <c r="O486" s="136" t="s">
        <v>4426</v>
      </c>
      <c r="P486" s="136" t="s">
        <v>4427</v>
      </c>
      <c r="Q486" s="136" t="s">
        <v>4428</v>
      </c>
      <c r="R486" s="136">
        <v>0</v>
      </c>
      <c r="S486" s="142">
        <f>(Tabla18[[#This Row],[Debe]]-Tabla18[[#This Row],[Haber]])*
SUMIF('0_Indice_CAC'!$A:$A,Tabla18[[#This Row],[Mes]],'0_Indice_CAC'!$D:$D)</f>
        <v>7748.1846500264128</v>
      </c>
      <c r="T486" s="142">
        <f>Tabla18[[#This Row],[Debe]]-Tabla18[[#This Row],[Haber]]</f>
        <v>9169.2199999999993</v>
      </c>
      <c r="U486" s="322"/>
      <c r="V486" s="323"/>
      <c r="W486" s="142">
        <f t="shared" si="10"/>
        <v>9169.2199999999993</v>
      </c>
      <c r="X486" s="142" t="b">
        <f>ISNUMBER(MATCH(A486,'3_Control_Ppto'!$A$4:$A$70,0))</f>
        <v>1</v>
      </c>
      <c r="Y486" s="136"/>
    </row>
    <row r="487" spans="1:25" ht="12" customHeight="1" x14ac:dyDescent="0.3">
      <c r="A487" s="140" t="s">
        <v>4317</v>
      </c>
      <c r="B487" s="140" t="s">
        <v>56</v>
      </c>
      <c r="C487" s="549">
        <f>+EOMONTH(Tabla18[[#This Row],[Fecha Asiento]],-1)+1</f>
        <v>45931</v>
      </c>
      <c r="D487" s="136">
        <v>52103</v>
      </c>
      <c r="E487" s="136" t="s">
        <v>4477</v>
      </c>
      <c r="F487" s="141">
        <v>45947</v>
      </c>
      <c r="G487" s="136">
        <v>2335</v>
      </c>
      <c r="H487" s="136" t="s">
        <v>4478</v>
      </c>
      <c r="I487" s="136" t="s">
        <v>4423</v>
      </c>
      <c r="J487" s="136" t="s">
        <v>4424</v>
      </c>
      <c r="K487" s="136">
        <v>7705</v>
      </c>
      <c r="L487" s="138">
        <v>9483.51</v>
      </c>
      <c r="M487" s="138">
        <v>0</v>
      </c>
      <c r="N487" s="136" t="s">
        <v>4425</v>
      </c>
      <c r="O487" s="136" t="s">
        <v>4426</v>
      </c>
      <c r="P487" s="136" t="s">
        <v>4427</v>
      </c>
      <c r="Q487" s="136" t="s">
        <v>4428</v>
      </c>
      <c r="R487" s="136">
        <v>0</v>
      </c>
      <c r="S487" s="142">
        <f>(Tabla18[[#This Row],[Debe]]-Tabla18[[#This Row],[Haber]])*
SUMIF('0_Indice_CAC'!$A:$A,Tabla18[[#This Row],[Mes]],'0_Indice_CAC'!$D:$D)</f>
        <v>8013.7663411251988</v>
      </c>
      <c r="T487" s="142">
        <f>Tabla18[[#This Row],[Debe]]-Tabla18[[#This Row],[Haber]]</f>
        <v>9483.51</v>
      </c>
      <c r="U487" s="322"/>
      <c r="V487" s="323"/>
      <c r="W487" s="142">
        <f t="shared" si="10"/>
        <v>9483.51</v>
      </c>
      <c r="X487" s="142" t="b">
        <f>ISNUMBER(MATCH(A487,'3_Control_Ppto'!$A$4:$A$70,0))</f>
        <v>1</v>
      </c>
      <c r="Y487" s="136"/>
    </row>
    <row r="488" spans="1:25" ht="12" customHeight="1" x14ac:dyDescent="0.3">
      <c r="A488" s="140" t="s">
        <v>4317</v>
      </c>
      <c r="B488" s="140" t="s">
        <v>56</v>
      </c>
      <c r="C488" s="549">
        <f>+EOMONTH(Tabla18[[#This Row],[Fecha Asiento]],-1)+1</f>
        <v>45931</v>
      </c>
      <c r="D488" s="136">
        <v>52103</v>
      </c>
      <c r="E488" s="136" t="s">
        <v>4477</v>
      </c>
      <c r="F488" s="141">
        <v>45947</v>
      </c>
      <c r="G488" s="136">
        <v>5406</v>
      </c>
      <c r="H488" s="136" t="s">
        <v>4569</v>
      </c>
      <c r="I488" s="136" t="s">
        <v>4570</v>
      </c>
      <c r="J488" s="136" t="s">
        <v>4455</v>
      </c>
      <c r="K488" s="136">
        <v>418100139864</v>
      </c>
      <c r="L488" s="138">
        <v>11449.7</v>
      </c>
      <c r="M488" s="138">
        <v>0</v>
      </c>
      <c r="N488" s="136" t="s">
        <v>4425</v>
      </c>
      <c r="O488" s="136" t="s">
        <v>4426</v>
      </c>
      <c r="P488" s="136" t="s">
        <v>4427</v>
      </c>
      <c r="Q488" s="136" t="s">
        <v>4428</v>
      </c>
      <c r="R488" s="136">
        <v>0</v>
      </c>
      <c r="S488" s="142">
        <f>(Tabla18[[#This Row],[Debe]]-Tabla18[[#This Row],[Haber]])*
SUMIF('0_Indice_CAC'!$A:$A,Tabla18[[#This Row],[Mes]],'0_Indice_CAC'!$D:$D)</f>
        <v>9675.2384376650825</v>
      </c>
      <c r="T488" s="142">
        <f>Tabla18[[#This Row],[Debe]]-Tabla18[[#This Row],[Haber]]</f>
        <v>11449.7</v>
      </c>
      <c r="U488" s="322"/>
      <c r="V488" s="323"/>
      <c r="W488" s="142">
        <f t="shared" si="10"/>
        <v>11449.7</v>
      </c>
      <c r="X488" s="142" t="b">
        <f>ISNUMBER(MATCH(A488,'3_Control_Ppto'!$A$4:$A$70,0))</f>
        <v>1</v>
      </c>
      <c r="Y488" s="136"/>
    </row>
    <row r="489" spans="1:25" ht="12" customHeight="1" x14ac:dyDescent="0.3">
      <c r="A489" s="140" t="s">
        <v>4317</v>
      </c>
      <c r="B489" s="140" t="s">
        <v>56</v>
      </c>
      <c r="C489" s="549">
        <f>+EOMONTH(Tabla18[[#This Row],[Fecha Asiento]],-1)+1</f>
        <v>45931</v>
      </c>
      <c r="D489" s="136">
        <v>52103</v>
      </c>
      <c r="E489" s="136" t="s">
        <v>4477</v>
      </c>
      <c r="F489" s="141">
        <v>45947</v>
      </c>
      <c r="G489" s="136">
        <v>5406</v>
      </c>
      <c r="H489" s="136" t="s">
        <v>4569</v>
      </c>
      <c r="I489" s="136" t="s">
        <v>4570</v>
      </c>
      <c r="J489" s="136" t="s">
        <v>4455</v>
      </c>
      <c r="K489" s="136">
        <v>418100139864</v>
      </c>
      <c r="L489" s="138">
        <v>51645.78</v>
      </c>
      <c r="M489" s="138">
        <v>0</v>
      </c>
      <c r="N489" s="136" t="s">
        <v>4425</v>
      </c>
      <c r="O489" s="136" t="s">
        <v>4426</v>
      </c>
      <c r="P489" s="136" t="s">
        <v>4427</v>
      </c>
      <c r="Q489" s="136" t="s">
        <v>4428</v>
      </c>
      <c r="R489" s="136">
        <v>0</v>
      </c>
      <c r="S489" s="142">
        <f>(Tabla18[[#This Row],[Debe]]-Tabla18[[#This Row],[Haber]])*
SUMIF('0_Indice_CAC'!$A:$A,Tabla18[[#This Row],[Mes]],'0_Indice_CAC'!$D:$D)</f>
        <v>43641.775400158476</v>
      </c>
      <c r="T489" s="142">
        <f>Tabla18[[#This Row],[Debe]]-Tabla18[[#This Row],[Haber]]</f>
        <v>51645.78</v>
      </c>
      <c r="U489" s="322"/>
      <c r="V489" s="323"/>
      <c r="W489" s="142">
        <f t="shared" si="10"/>
        <v>51645.78</v>
      </c>
      <c r="X489" s="142" t="b">
        <f>ISNUMBER(MATCH(A489,'3_Control_Ppto'!$A$4:$A$70,0))</f>
        <v>1</v>
      </c>
      <c r="Y489" s="136"/>
    </row>
    <row r="490" spans="1:25" ht="12" customHeight="1" x14ac:dyDescent="0.3">
      <c r="A490" s="140" t="s">
        <v>106</v>
      </c>
      <c r="B490" s="140" t="s">
        <v>4090</v>
      </c>
      <c r="C490" s="549">
        <f>+EOMONTH(Tabla18[[#This Row],[Fecha Asiento]],-1)+1</f>
        <v>45931</v>
      </c>
      <c r="D490" s="136">
        <v>53023</v>
      </c>
      <c r="E490" s="136" t="s">
        <v>4467</v>
      </c>
      <c r="F490" s="141">
        <v>45947</v>
      </c>
      <c r="G490" s="136">
        <v>2321</v>
      </c>
      <c r="H490" s="136" t="s">
        <v>4468</v>
      </c>
      <c r="I490" s="136" t="s">
        <v>4423</v>
      </c>
      <c r="J490" s="136" t="s">
        <v>4424</v>
      </c>
      <c r="K490" s="136">
        <v>7691</v>
      </c>
      <c r="L490" s="138">
        <v>6270</v>
      </c>
      <c r="M490" s="138">
        <v>0</v>
      </c>
      <c r="N490" s="136" t="s">
        <v>4425</v>
      </c>
      <c r="O490" s="136" t="s">
        <v>4426</v>
      </c>
      <c r="P490" s="136" t="s">
        <v>4427</v>
      </c>
      <c r="Q490" s="136" t="s">
        <v>4428</v>
      </c>
      <c r="R490" s="136">
        <v>0</v>
      </c>
      <c r="S490" s="142">
        <f>(Tabla18[[#This Row],[Debe]]-Tabla18[[#This Row],[Haber]])*
SUMIF('0_Indice_CAC'!$A:$A,Tabla18[[#This Row],[Mes]],'0_Indice_CAC'!$D:$D)</f>
        <v>5298.282488114105</v>
      </c>
      <c r="T490" s="142">
        <f>Tabla18[[#This Row],[Debe]]-Tabla18[[#This Row],[Haber]]</f>
        <v>6270</v>
      </c>
      <c r="U490" s="322"/>
      <c r="V490" s="323"/>
      <c r="W490" s="142">
        <f t="shared" si="10"/>
        <v>6270</v>
      </c>
      <c r="X490" s="142" t="b">
        <f>ISNUMBER(MATCH(A490,'3_Control_Ppto'!$A$4:$A$70,0))</f>
        <v>1</v>
      </c>
      <c r="Y490" s="136"/>
    </row>
    <row r="491" spans="1:25" ht="12" customHeight="1" x14ac:dyDescent="0.3">
      <c r="A491" s="140" t="s">
        <v>106</v>
      </c>
      <c r="B491" s="140" t="s">
        <v>4090</v>
      </c>
      <c r="C491" s="549">
        <f>+EOMONTH(Tabla18[[#This Row],[Fecha Asiento]],-1)+1</f>
        <v>45931</v>
      </c>
      <c r="D491" s="136">
        <v>53023</v>
      </c>
      <c r="E491" s="136" t="s">
        <v>4467</v>
      </c>
      <c r="F491" s="141">
        <v>45947</v>
      </c>
      <c r="G491" s="136">
        <v>2322</v>
      </c>
      <c r="H491" s="136" t="s">
        <v>4468</v>
      </c>
      <c r="I491" s="136" t="s">
        <v>4423</v>
      </c>
      <c r="J491" s="136" t="s">
        <v>4424</v>
      </c>
      <c r="K491" s="136">
        <v>7692</v>
      </c>
      <c r="L491" s="138">
        <v>17700</v>
      </c>
      <c r="M491" s="138">
        <v>0</v>
      </c>
      <c r="N491" s="136" t="s">
        <v>4425</v>
      </c>
      <c r="O491" s="136" t="s">
        <v>4426</v>
      </c>
      <c r="P491" s="136" t="s">
        <v>4427</v>
      </c>
      <c r="Q491" s="136" t="s">
        <v>4428</v>
      </c>
      <c r="R491" s="136">
        <v>0</v>
      </c>
      <c r="S491" s="142">
        <f>(Tabla18[[#This Row],[Debe]]-Tabla18[[#This Row],[Haber]])*
SUMIF('0_Indice_CAC'!$A:$A,Tabla18[[#This Row],[Mes]],'0_Indice_CAC'!$D:$D)</f>
        <v>14956.874009508718</v>
      </c>
      <c r="T491" s="142">
        <f>Tabla18[[#This Row],[Debe]]-Tabla18[[#This Row],[Haber]]</f>
        <v>17700</v>
      </c>
      <c r="U491" s="322"/>
      <c r="V491" s="323"/>
      <c r="W491" s="142">
        <f t="shared" si="10"/>
        <v>17700</v>
      </c>
      <c r="X491" s="142" t="b">
        <f>ISNUMBER(MATCH(A491,'3_Control_Ppto'!$A$4:$A$70,0))</f>
        <v>1</v>
      </c>
      <c r="Y491" s="136"/>
    </row>
    <row r="492" spans="1:25" ht="12" customHeight="1" x14ac:dyDescent="0.3">
      <c r="A492" s="140" t="s">
        <v>1478</v>
      </c>
      <c r="B492" s="140" t="s">
        <v>4090</v>
      </c>
      <c r="C492" s="549">
        <f>+EOMONTH(Tabla18[[#This Row],[Fecha Asiento]],-1)+1</f>
        <v>45931</v>
      </c>
      <c r="D492" s="136">
        <v>53004</v>
      </c>
      <c r="E492" s="136" t="s">
        <v>4496</v>
      </c>
      <c r="F492" s="141">
        <v>45950</v>
      </c>
      <c r="G492" s="136">
        <v>2396</v>
      </c>
      <c r="H492" s="136" t="s">
        <v>4759</v>
      </c>
      <c r="I492" s="136" t="s">
        <v>4423</v>
      </c>
      <c r="J492" s="136" t="s">
        <v>4424</v>
      </c>
      <c r="K492" s="136">
        <v>7760</v>
      </c>
      <c r="L492" s="138">
        <v>75000</v>
      </c>
      <c r="M492" s="138">
        <v>0</v>
      </c>
      <c r="N492" s="136" t="s">
        <v>4425</v>
      </c>
      <c r="O492" s="136" t="s">
        <v>4426</v>
      </c>
      <c r="P492" s="136" t="s">
        <v>4427</v>
      </c>
      <c r="Q492" s="136" t="s">
        <v>4428</v>
      </c>
      <c r="R492" s="136">
        <v>0</v>
      </c>
      <c r="S492" s="142">
        <f>(Tabla18[[#This Row],[Debe]]-Tabla18[[#This Row],[Haber]])*
SUMIF('0_Indice_CAC'!$A:$A,Tabla18[[#This Row],[Mes]],'0_Indice_CAC'!$D:$D)</f>
        <v>63376.584786053885</v>
      </c>
      <c r="T492" s="142">
        <f>Tabla18[[#This Row],[Debe]]-Tabla18[[#This Row],[Haber]]</f>
        <v>75000</v>
      </c>
      <c r="U492" s="322"/>
      <c r="V492" s="323"/>
      <c r="W492" s="142">
        <f t="shared" si="10"/>
        <v>75000</v>
      </c>
      <c r="X492" s="142" t="b">
        <f>ISNUMBER(MATCH(A492,'3_Control_Ppto'!$A$4:$A$70,0))</f>
        <v>1</v>
      </c>
      <c r="Y492" s="136"/>
    </row>
    <row r="493" spans="1:25" ht="12" customHeight="1" x14ac:dyDescent="0.3">
      <c r="A493" s="140" t="s">
        <v>106</v>
      </c>
      <c r="B493" s="140" t="s">
        <v>4090</v>
      </c>
      <c r="C493" s="549">
        <f>+EOMONTH(Tabla18[[#This Row],[Fecha Asiento]],-1)+1</f>
        <v>45931</v>
      </c>
      <c r="D493" s="136">
        <v>53023</v>
      </c>
      <c r="E493" s="136" t="s">
        <v>4467</v>
      </c>
      <c r="F493" s="141">
        <v>45950</v>
      </c>
      <c r="G493" s="136">
        <v>2427</v>
      </c>
      <c r="H493" s="136" t="s">
        <v>4468</v>
      </c>
      <c r="I493" s="136" t="s">
        <v>4423</v>
      </c>
      <c r="J493" s="136" t="s">
        <v>4424</v>
      </c>
      <c r="K493" s="136">
        <v>7765</v>
      </c>
      <c r="L493" s="138">
        <v>2600</v>
      </c>
      <c r="M493" s="138">
        <v>0</v>
      </c>
      <c r="N493" s="136" t="s">
        <v>4425</v>
      </c>
      <c r="O493" s="136" t="s">
        <v>4426</v>
      </c>
      <c r="P493" s="136" t="s">
        <v>4427</v>
      </c>
      <c r="Q493" s="136" t="s">
        <v>4428</v>
      </c>
      <c r="R493" s="136">
        <v>0</v>
      </c>
      <c r="S493" s="142">
        <f>(Tabla18[[#This Row],[Debe]]-Tabla18[[#This Row],[Haber]])*
SUMIF('0_Indice_CAC'!$A:$A,Tabla18[[#This Row],[Mes]],'0_Indice_CAC'!$D:$D)</f>
        <v>2197.0549392498679</v>
      </c>
      <c r="T493" s="142">
        <f>Tabla18[[#This Row],[Debe]]-Tabla18[[#This Row],[Haber]]</f>
        <v>2600</v>
      </c>
      <c r="U493" s="322"/>
      <c r="V493" s="323"/>
      <c r="W493" s="142">
        <f t="shared" si="10"/>
        <v>2600</v>
      </c>
      <c r="X493" s="142" t="b">
        <f>ISNUMBER(MATCH(A493,'3_Control_Ppto'!$A$4:$A$70,0))</f>
        <v>1</v>
      </c>
      <c r="Y493" s="136"/>
    </row>
    <row r="494" spans="1:25" ht="12" customHeight="1" x14ac:dyDescent="0.3">
      <c r="A494" s="140" t="s">
        <v>106</v>
      </c>
      <c r="B494" s="140" t="s">
        <v>4090</v>
      </c>
      <c r="C494" s="549">
        <f>+EOMONTH(Tabla18[[#This Row],[Fecha Asiento]],-1)+1</f>
        <v>45931</v>
      </c>
      <c r="D494" s="136">
        <v>53023</v>
      </c>
      <c r="E494" s="136" t="s">
        <v>4467</v>
      </c>
      <c r="F494" s="141">
        <v>45950</v>
      </c>
      <c r="G494" s="136">
        <v>5411</v>
      </c>
      <c r="H494" s="136" t="s">
        <v>4705</v>
      </c>
      <c r="I494" s="136" t="s">
        <v>4482</v>
      </c>
      <c r="J494" s="136" t="s">
        <v>4455</v>
      </c>
      <c r="K494" s="136">
        <v>1000000158</v>
      </c>
      <c r="L494" s="138">
        <v>16116</v>
      </c>
      <c r="M494" s="138">
        <v>0</v>
      </c>
      <c r="N494" s="136" t="s">
        <v>4425</v>
      </c>
      <c r="O494" s="136" t="s">
        <v>4426</v>
      </c>
      <c r="P494" s="136" t="s">
        <v>4427</v>
      </c>
      <c r="Q494" s="136" t="s">
        <v>4428</v>
      </c>
      <c r="R494" s="136">
        <v>0</v>
      </c>
      <c r="S494" s="142">
        <f>(Tabla18[[#This Row],[Debe]]-Tabla18[[#This Row],[Haber]])*
SUMIF('0_Indice_CAC'!$A:$A,Tabla18[[#This Row],[Mes]],'0_Indice_CAC'!$D:$D)</f>
        <v>13618.360538827259</v>
      </c>
      <c r="T494" s="142">
        <f>Tabla18[[#This Row],[Debe]]-Tabla18[[#This Row],[Haber]]</f>
        <v>16116</v>
      </c>
      <c r="U494" s="322"/>
      <c r="V494" s="323"/>
      <c r="W494" s="142">
        <f t="shared" si="10"/>
        <v>16116</v>
      </c>
      <c r="X494" s="142" t="b">
        <f>ISNUMBER(MATCH(A494,'3_Control_Ppto'!$A$4:$A$70,0))</f>
        <v>1</v>
      </c>
      <c r="Y494" s="136"/>
    </row>
    <row r="495" spans="1:25" ht="12" customHeight="1" x14ac:dyDescent="0.3">
      <c r="A495" s="140" t="s">
        <v>4317</v>
      </c>
      <c r="B495" s="140" t="s">
        <v>56</v>
      </c>
      <c r="C495" s="549">
        <f>+EOMONTH(Tabla18[[#This Row],[Fecha Asiento]],-1)+1</f>
        <v>45931</v>
      </c>
      <c r="D495" s="136">
        <v>52005</v>
      </c>
      <c r="E495" s="136" t="s">
        <v>4357</v>
      </c>
      <c r="F495" s="141">
        <v>45951</v>
      </c>
      <c r="G495" s="136">
        <v>5506</v>
      </c>
      <c r="H495" s="136" t="s">
        <v>4586</v>
      </c>
      <c r="I495" s="136" t="s">
        <v>4587</v>
      </c>
      <c r="J495" s="136" t="s">
        <v>4455</v>
      </c>
      <c r="K495" s="136">
        <v>395005176382</v>
      </c>
      <c r="L495" s="138">
        <v>10973.81</v>
      </c>
      <c r="M495" s="138">
        <v>0</v>
      </c>
      <c r="N495" s="136" t="s">
        <v>4425</v>
      </c>
      <c r="O495" s="136" t="s">
        <v>4426</v>
      </c>
      <c r="P495" s="136" t="s">
        <v>4427</v>
      </c>
      <c r="Q495" s="136" t="s">
        <v>4428</v>
      </c>
      <c r="R495" s="136">
        <v>0</v>
      </c>
      <c r="S495" s="142">
        <f>(Tabla18[[#This Row],[Debe]]-Tabla18[[#This Row],[Haber]])*
SUMIF('0_Indice_CAC'!$A:$A,Tabla18[[#This Row],[Mes]],'0_Indice_CAC'!$D:$D)</f>
        <v>9273.1013318806126</v>
      </c>
      <c r="T495" s="142">
        <f>Tabla18[[#This Row],[Debe]]-Tabla18[[#This Row],[Haber]]</f>
        <v>10973.81</v>
      </c>
      <c r="U495" s="322"/>
      <c r="V495" s="323"/>
      <c r="W495" s="142">
        <f t="shared" si="10"/>
        <v>10973.81</v>
      </c>
      <c r="X495" s="142" t="b">
        <f>ISNUMBER(MATCH(A495,'3_Control_Ppto'!$A$4:$A$70,0))</f>
        <v>1</v>
      </c>
      <c r="Y495" s="136"/>
    </row>
    <row r="496" spans="1:25" ht="12" customHeight="1" x14ac:dyDescent="0.3">
      <c r="A496" s="140" t="s">
        <v>1478</v>
      </c>
      <c r="B496" s="140" t="s">
        <v>4090</v>
      </c>
      <c r="C496" s="549">
        <f>+EOMONTH(Tabla18[[#This Row],[Fecha Asiento]],-1)+1</f>
        <v>45931</v>
      </c>
      <c r="D496" s="136">
        <v>53004</v>
      </c>
      <c r="E496" s="136" t="s">
        <v>4496</v>
      </c>
      <c r="F496" s="141">
        <v>45951</v>
      </c>
      <c r="G496" s="136">
        <v>5412</v>
      </c>
      <c r="H496" s="136" t="s">
        <v>4702</v>
      </c>
      <c r="I496" s="136" t="s">
        <v>4596</v>
      </c>
      <c r="J496" s="136" t="s">
        <v>4597</v>
      </c>
      <c r="K496" s="136">
        <v>22400006425</v>
      </c>
      <c r="L496" s="138">
        <v>232800</v>
      </c>
      <c r="M496" s="138">
        <v>0</v>
      </c>
      <c r="N496" s="136" t="s">
        <v>4425</v>
      </c>
      <c r="O496" s="136" t="s">
        <v>4426</v>
      </c>
      <c r="P496" s="136" t="s">
        <v>4427</v>
      </c>
      <c r="Q496" s="136" t="s">
        <v>4428</v>
      </c>
      <c r="R496" s="136">
        <v>0</v>
      </c>
      <c r="S496" s="142">
        <f>(Tabla18[[#This Row],[Debe]]-Tabla18[[#This Row],[Haber]])*
SUMIF('0_Indice_CAC'!$A:$A,Tabla18[[#This Row],[Mes]],'0_Indice_CAC'!$D:$D)</f>
        <v>196720.91917591126</v>
      </c>
      <c r="T496" s="142">
        <f>Tabla18[[#This Row],[Debe]]-Tabla18[[#This Row],[Haber]]</f>
        <v>232800</v>
      </c>
      <c r="U496" s="322"/>
      <c r="V496" s="323"/>
      <c r="W496" s="142">
        <f t="shared" si="10"/>
        <v>232800</v>
      </c>
      <c r="X496" s="142" t="b">
        <f>ISNUMBER(MATCH(A496,'3_Control_Ppto'!$A$4:$A$70,0))</f>
        <v>1</v>
      </c>
      <c r="Y496" s="136"/>
    </row>
    <row r="497" spans="1:25" ht="12" customHeight="1" x14ac:dyDescent="0.3">
      <c r="A497" s="140" t="s">
        <v>106</v>
      </c>
      <c r="B497" s="140" t="s">
        <v>25</v>
      </c>
      <c r="C497" s="549">
        <f>+EOMONTH(Tabla18[[#This Row],[Fecha Asiento]],-1)+1</f>
        <v>45931</v>
      </c>
      <c r="D497" s="136">
        <v>53009</v>
      </c>
      <c r="E497" s="136" t="s">
        <v>4446</v>
      </c>
      <c r="F497" s="141">
        <v>45951</v>
      </c>
      <c r="G497" s="136">
        <v>2387</v>
      </c>
      <c r="H497" s="136" t="s">
        <v>4760</v>
      </c>
      <c r="I497" s="136" t="s">
        <v>4423</v>
      </c>
      <c r="J497" s="136" t="s">
        <v>4424</v>
      </c>
      <c r="K497" s="136">
        <v>7751</v>
      </c>
      <c r="L497" s="138">
        <v>2926000</v>
      </c>
      <c r="M497" s="138">
        <v>0</v>
      </c>
      <c r="N497" s="136" t="s">
        <v>4425</v>
      </c>
      <c r="O497" s="136" t="s">
        <v>4426</v>
      </c>
      <c r="P497" s="136" t="s">
        <v>4427</v>
      </c>
      <c r="Q497" s="136" t="s">
        <v>4428</v>
      </c>
      <c r="R497" s="136">
        <v>0</v>
      </c>
      <c r="S497" s="142">
        <f>(Tabla18[[#This Row],[Debe]]-Tabla18[[#This Row],[Haber]])*
SUMIF('0_Indice_CAC'!$A:$A,Tabla18[[#This Row],[Mes]],'0_Indice_CAC'!$D:$D)</f>
        <v>2472531.8277865821</v>
      </c>
      <c r="T497" s="142">
        <f>Tabla18[[#This Row],[Debe]]-Tabla18[[#This Row],[Haber]]</f>
        <v>2926000</v>
      </c>
      <c r="U497" s="322"/>
      <c r="V497" s="323"/>
      <c r="W497" s="142">
        <f t="shared" si="10"/>
        <v>2926000</v>
      </c>
      <c r="X497" s="142" t="b">
        <f>ISNUMBER(MATCH(A497,'3_Control_Ppto'!$A$4:$A$70,0))</f>
        <v>1</v>
      </c>
      <c r="Y497" s="136"/>
    </row>
    <row r="498" spans="1:25" ht="12" customHeight="1" x14ac:dyDescent="0.3">
      <c r="A498" s="140" t="s">
        <v>106</v>
      </c>
      <c r="B498" s="140" t="s">
        <v>56</v>
      </c>
      <c r="C498" s="549">
        <f>+EOMONTH(Tabla18[[#This Row],[Fecha Asiento]],-1)+1</f>
        <v>45931</v>
      </c>
      <c r="D498" s="136">
        <v>53009</v>
      </c>
      <c r="E498" s="136" t="s">
        <v>4446</v>
      </c>
      <c r="F498" s="141">
        <v>45951</v>
      </c>
      <c r="G498" s="136">
        <v>2388</v>
      </c>
      <c r="H498" s="136" t="s">
        <v>4761</v>
      </c>
      <c r="I498" s="136" t="s">
        <v>4423</v>
      </c>
      <c r="J498" s="136" t="s">
        <v>4424</v>
      </c>
      <c r="K498" s="136">
        <v>7752</v>
      </c>
      <c r="L498" s="138">
        <v>210000</v>
      </c>
      <c r="M498" s="138">
        <v>0</v>
      </c>
      <c r="N498" s="136" t="s">
        <v>4425</v>
      </c>
      <c r="O498" s="136" t="s">
        <v>4426</v>
      </c>
      <c r="P498" s="136" t="s">
        <v>4427</v>
      </c>
      <c r="Q498" s="136" t="s">
        <v>4428</v>
      </c>
      <c r="R498" s="136">
        <v>0</v>
      </c>
      <c r="S498" s="142">
        <f>(Tabla18[[#This Row],[Debe]]-Tabla18[[#This Row],[Haber]])*
SUMIF('0_Indice_CAC'!$A:$A,Tabla18[[#This Row],[Mes]],'0_Indice_CAC'!$D:$D)</f>
        <v>177454.43740095088</v>
      </c>
      <c r="T498" s="142">
        <f>Tabla18[[#This Row],[Debe]]-Tabla18[[#This Row],[Haber]]</f>
        <v>210000</v>
      </c>
      <c r="U498" s="322"/>
      <c r="V498" s="323"/>
      <c r="W498" s="142">
        <f t="shared" si="10"/>
        <v>210000</v>
      </c>
      <c r="X498" s="142" t="b">
        <f>ISNUMBER(MATCH(A498,'3_Control_Ppto'!$A$4:$A$70,0))</f>
        <v>1</v>
      </c>
      <c r="Y498" s="136"/>
    </row>
    <row r="499" spans="1:25" ht="12" customHeight="1" x14ac:dyDescent="0.3">
      <c r="A499" s="140" t="s">
        <v>106</v>
      </c>
      <c r="B499" s="140" t="s">
        <v>4090</v>
      </c>
      <c r="C499" s="549">
        <f>+EOMONTH(Tabla18[[#This Row],[Fecha Asiento]],-1)+1</f>
        <v>45931</v>
      </c>
      <c r="D499" s="136">
        <v>53023</v>
      </c>
      <c r="E499" s="136" t="s">
        <v>4467</v>
      </c>
      <c r="F499" s="141">
        <v>45951</v>
      </c>
      <c r="G499" s="136">
        <v>5542</v>
      </c>
      <c r="H499" s="136" t="s">
        <v>4705</v>
      </c>
      <c r="I499" s="136" t="s">
        <v>4482</v>
      </c>
      <c r="J499" s="136" t="s">
        <v>4455</v>
      </c>
      <c r="K499" s="136">
        <v>1000000160</v>
      </c>
      <c r="L499" s="138">
        <v>10250</v>
      </c>
      <c r="M499" s="138">
        <v>0</v>
      </c>
      <c r="N499" s="136" t="s">
        <v>4425</v>
      </c>
      <c r="O499" s="136" t="s">
        <v>4426</v>
      </c>
      <c r="P499" s="136" t="s">
        <v>4427</v>
      </c>
      <c r="Q499" s="136" t="s">
        <v>4428</v>
      </c>
      <c r="R499" s="136">
        <v>0</v>
      </c>
      <c r="S499" s="142">
        <f>(Tabla18[[#This Row],[Debe]]-Tabla18[[#This Row],[Haber]])*
SUMIF('0_Indice_CAC'!$A:$A,Tabla18[[#This Row],[Mes]],'0_Indice_CAC'!$D:$D)</f>
        <v>8661.4665874273651</v>
      </c>
      <c r="T499" s="142">
        <f>Tabla18[[#This Row],[Debe]]-Tabla18[[#This Row],[Haber]]</f>
        <v>10250</v>
      </c>
      <c r="U499" s="322"/>
      <c r="V499" s="323"/>
      <c r="W499" s="142">
        <f t="shared" si="10"/>
        <v>10250</v>
      </c>
      <c r="X499" s="142" t="b">
        <f>ISNUMBER(MATCH(A499,'3_Control_Ppto'!$A$4:$A$70,0))</f>
        <v>1</v>
      </c>
      <c r="Y499" s="136"/>
    </row>
    <row r="500" spans="1:25" ht="12" customHeight="1" x14ac:dyDescent="0.3">
      <c r="A500" s="140" t="s">
        <v>106</v>
      </c>
      <c r="B500" s="140" t="s">
        <v>4090</v>
      </c>
      <c r="C500" s="549">
        <f>+EOMONTH(Tabla18[[#This Row],[Fecha Asiento]],-1)+1</f>
        <v>45931</v>
      </c>
      <c r="D500" s="136">
        <v>53023</v>
      </c>
      <c r="E500" s="136" t="s">
        <v>4467</v>
      </c>
      <c r="F500" s="141">
        <v>45951</v>
      </c>
      <c r="G500" s="136">
        <v>5543</v>
      </c>
      <c r="H500" s="136" t="s">
        <v>4705</v>
      </c>
      <c r="I500" s="136" t="s">
        <v>4482</v>
      </c>
      <c r="J500" s="136" t="s">
        <v>4455</v>
      </c>
      <c r="K500" s="136">
        <v>1000000159</v>
      </c>
      <c r="L500" s="138">
        <v>33267.5</v>
      </c>
      <c r="M500" s="138">
        <v>0</v>
      </c>
      <c r="N500" s="136" t="s">
        <v>4425</v>
      </c>
      <c r="O500" s="136" t="s">
        <v>4426</v>
      </c>
      <c r="P500" s="136" t="s">
        <v>4427</v>
      </c>
      <c r="Q500" s="136" t="s">
        <v>4428</v>
      </c>
      <c r="R500" s="136">
        <v>0</v>
      </c>
      <c r="S500" s="142">
        <f>(Tabla18[[#This Row],[Debe]]-Tabla18[[#This Row],[Haber]])*
SUMIF('0_Indice_CAC'!$A:$A,Tabla18[[#This Row],[Mes]],'0_Indice_CAC'!$D:$D)</f>
        <v>28111.740458267301</v>
      </c>
      <c r="T500" s="142">
        <f>Tabla18[[#This Row],[Debe]]-Tabla18[[#This Row],[Haber]]</f>
        <v>33267.5</v>
      </c>
      <c r="U500" s="322"/>
      <c r="V500" s="323"/>
      <c r="W500" s="142">
        <f t="shared" si="10"/>
        <v>33267.5</v>
      </c>
      <c r="X500" s="142" t="b">
        <f>ISNUMBER(MATCH(A500,'3_Control_Ppto'!$A$4:$A$70,0))</f>
        <v>1</v>
      </c>
      <c r="Y500" s="136"/>
    </row>
    <row r="501" spans="1:25" ht="12" customHeight="1" x14ac:dyDescent="0.3">
      <c r="A501" s="140" t="s">
        <v>25</v>
      </c>
      <c r="B501" s="140" t="s">
        <v>25</v>
      </c>
      <c r="C501" s="549">
        <f>+EOMONTH(Tabla18[[#This Row],[Fecha Asiento]],-1)+1</f>
        <v>45931</v>
      </c>
      <c r="D501" s="136">
        <v>53999</v>
      </c>
      <c r="E501" s="136" t="s">
        <v>4762</v>
      </c>
      <c r="F501" s="141">
        <v>45951</v>
      </c>
      <c r="G501" s="136">
        <v>5463</v>
      </c>
      <c r="H501" s="136" t="s">
        <v>4763</v>
      </c>
      <c r="I501" s="136" t="s">
        <v>4423</v>
      </c>
      <c r="J501" s="136" t="s">
        <v>4431</v>
      </c>
      <c r="K501" s="136">
        <v>4170</v>
      </c>
      <c r="L501" s="138">
        <v>74540</v>
      </c>
      <c r="M501" s="138">
        <v>0</v>
      </c>
      <c r="N501" s="136" t="s">
        <v>4425</v>
      </c>
      <c r="O501" s="136" t="s">
        <v>4426</v>
      </c>
      <c r="P501" s="136" t="s">
        <v>4427</v>
      </c>
      <c r="Q501" s="136" t="s">
        <v>4428</v>
      </c>
      <c r="R501" s="136">
        <v>0</v>
      </c>
      <c r="S501" s="142">
        <f>(Tabla18[[#This Row],[Debe]]-Tabla18[[#This Row],[Haber]])*
SUMIF('0_Indice_CAC'!$A:$A,Tabla18[[#This Row],[Mes]],'0_Indice_CAC'!$D:$D)</f>
        <v>62987.875066032757</v>
      </c>
      <c r="T501" s="142">
        <f>Tabla18[[#This Row],[Debe]]-Tabla18[[#This Row],[Haber]]</f>
        <v>74540</v>
      </c>
      <c r="U501" s="322"/>
      <c r="V501" s="323"/>
      <c r="W501" s="142">
        <f t="shared" si="10"/>
        <v>74540</v>
      </c>
      <c r="X501" s="142" t="b">
        <f>ISNUMBER(MATCH(A501,'3_Control_Ppto'!$A$4:$A$70,0))</f>
        <v>0</v>
      </c>
      <c r="Y501" s="136"/>
    </row>
    <row r="502" spans="1:25" ht="12" customHeight="1" x14ac:dyDescent="0.3">
      <c r="A502" s="140" t="s">
        <v>4317</v>
      </c>
      <c r="B502" s="140" t="s">
        <v>56</v>
      </c>
      <c r="C502" s="549">
        <f>+EOMONTH(Tabla18[[#This Row],[Fecha Asiento]],-1)+1</f>
        <v>45931</v>
      </c>
      <c r="D502" s="136">
        <v>52302</v>
      </c>
      <c r="E502" s="136" t="s">
        <v>4444</v>
      </c>
      <c r="F502" s="141">
        <v>45952</v>
      </c>
      <c r="G502" s="136">
        <v>5544</v>
      </c>
      <c r="H502" s="136" t="s">
        <v>4620</v>
      </c>
      <c r="I502" s="136" t="s">
        <v>4602</v>
      </c>
      <c r="J502" s="136" t="s">
        <v>4439</v>
      </c>
      <c r="K502" s="136">
        <v>2000022862</v>
      </c>
      <c r="L502" s="138">
        <v>5620.92</v>
      </c>
      <c r="M502" s="138">
        <v>0</v>
      </c>
      <c r="N502" s="136" t="s">
        <v>4425</v>
      </c>
      <c r="O502" s="136" t="s">
        <v>4426</v>
      </c>
      <c r="P502" s="136" t="s">
        <v>4427</v>
      </c>
      <c r="Q502" s="136" t="s">
        <v>4428</v>
      </c>
      <c r="R502" s="136">
        <v>0</v>
      </c>
      <c r="S502" s="142">
        <f>(Tabla18[[#This Row],[Debe]]-Tabla18[[#This Row],[Haber]])*
SUMIF('0_Indice_CAC'!$A:$A,Tabla18[[#This Row],[Mes]],'0_Indice_CAC'!$D:$D)</f>
        <v>4749.7961727416805</v>
      </c>
      <c r="T502" s="142">
        <f>Tabla18[[#This Row],[Debe]]-Tabla18[[#This Row],[Haber]]</f>
        <v>5620.92</v>
      </c>
      <c r="U502" s="322"/>
      <c r="V502" s="323"/>
      <c r="W502" s="142">
        <f t="shared" si="10"/>
        <v>5620.92</v>
      </c>
      <c r="X502" s="142" t="b">
        <f>ISNUMBER(MATCH(A502,'3_Control_Ppto'!$A$4:$A$70,0))</f>
        <v>1</v>
      </c>
      <c r="Y502" s="136"/>
    </row>
    <row r="503" spans="1:25" ht="12" customHeight="1" x14ac:dyDescent="0.3">
      <c r="A503" s="140" t="s">
        <v>4317</v>
      </c>
      <c r="B503" s="140" t="s">
        <v>56</v>
      </c>
      <c r="C503" s="549">
        <f>+EOMONTH(Tabla18[[#This Row],[Fecha Asiento]],-1)+1</f>
        <v>45931</v>
      </c>
      <c r="D503" s="136">
        <v>52302</v>
      </c>
      <c r="E503" s="136" t="s">
        <v>4444</v>
      </c>
      <c r="F503" s="141">
        <v>45952</v>
      </c>
      <c r="G503" s="136">
        <v>5544</v>
      </c>
      <c r="H503" s="136" t="s">
        <v>4620</v>
      </c>
      <c r="I503" s="136" t="s">
        <v>4602</v>
      </c>
      <c r="J503" s="136" t="s">
        <v>4439</v>
      </c>
      <c r="K503" s="136">
        <v>2000022862</v>
      </c>
      <c r="L503" s="138">
        <v>1227.55</v>
      </c>
      <c r="M503" s="138">
        <v>0</v>
      </c>
      <c r="N503" s="136" t="s">
        <v>4425</v>
      </c>
      <c r="O503" s="136" t="s">
        <v>4426</v>
      </c>
      <c r="P503" s="136" t="s">
        <v>4427</v>
      </c>
      <c r="Q503" s="136" t="s">
        <v>4428</v>
      </c>
      <c r="R503" s="136">
        <v>0</v>
      </c>
      <c r="S503" s="142">
        <f>(Tabla18[[#This Row],[Debe]]-Tabla18[[#This Row],[Haber]])*
SUMIF('0_Indice_CAC'!$A:$A,Tabla18[[#This Row],[Mes]],'0_Indice_CAC'!$D:$D)</f>
        <v>1037.305688721606</v>
      </c>
      <c r="T503" s="142">
        <f>Tabla18[[#This Row],[Debe]]-Tabla18[[#This Row],[Haber]]</f>
        <v>1227.55</v>
      </c>
      <c r="U503" s="322"/>
      <c r="V503" s="323"/>
      <c r="W503" s="142">
        <f t="shared" si="10"/>
        <v>1227.55</v>
      </c>
      <c r="X503" s="142" t="b">
        <f>ISNUMBER(MATCH(A503,'3_Control_Ppto'!$A$4:$A$70,0))</f>
        <v>1</v>
      </c>
      <c r="Y503" s="136"/>
    </row>
    <row r="504" spans="1:25" ht="12" customHeight="1" x14ac:dyDescent="0.3">
      <c r="A504" s="140" t="s">
        <v>4317</v>
      </c>
      <c r="B504" s="140" t="s">
        <v>56</v>
      </c>
      <c r="C504" s="549">
        <f>+EOMONTH(Tabla18[[#This Row],[Fecha Asiento]],-1)+1</f>
        <v>45931</v>
      </c>
      <c r="D504" s="136">
        <v>52302</v>
      </c>
      <c r="E504" s="136" t="s">
        <v>4444</v>
      </c>
      <c r="F504" s="141">
        <v>45952</v>
      </c>
      <c r="G504" s="136">
        <v>5544</v>
      </c>
      <c r="H504" s="136" t="s">
        <v>4620</v>
      </c>
      <c r="I504" s="136" t="s">
        <v>4602</v>
      </c>
      <c r="J504" s="136" t="s">
        <v>4439</v>
      </c>
      <c r="K504" s="136">
        <v>2000022862</v>
      </c>
      <c r="L504" s="138">
        <v>75.2</v>
      </c>
      <c r="M504" s="138">
        <v>0</v>
      </c>
      <c r="N504" s="136" t="s">
        <v>4425</v>
      </c>
      <c r="O504" s="136" t="s">
        <v>4426</v>
      </c>
      <c r="P504" s="136" t="s">
        <v>4427</v>
      </c>
      <c r="Q504" s="136" t="s">
        <v>4428</v>
      </c>
      <c r="R504" s="136">
        <v>0</v>
      </c>
      <c r="S504" s="142">
        <f>(Tabla18[[#This Row],[Debe]]-Tabla18[[#This Row],[Haber]])*
SUMIF('0_Indice_CAC'!$A:$A,Tabla18[[#This Row],[Mes]],'0_Indice_CAC'!$D:$D)</f>
        <v>63.545589012150032</v>
      </c>
      <c r="T504" s="142">
        <f>Tabla18[[#This Row],[Debe]]-Tabla18[[#This Row],[Haber]]</f>
        <v>75.2</v>
      </c>
      <c r="U504" s="322"/>
      <c r="V504" s="323"/>
      <c r="W504" s="142">
        <f t="shared" si="10"/>
        <v>75.2</v>
      </c>
      <c r="X504" s="142" t="b">
        <f>ISNUMBER(MATCH(A504,'3_Control_Ppto'!$A$4:$A$70,0))</f>
        <v>1</v>
      </c>
      <c r="Y504" s="136"/>
    </row>
    <row r="505" spans="1:25" ht="12" customHeight="1" x14ac:dyDescent="0.3">
      <c r="A505" s="140" t="s">
        <v>25</v>
      </c>
      <c r="B505" s="140" t="s">
        <v>25</v>
      </c>
      <c r="C505" s="549">
        <f>+EOMONTH(Tabla18[[#This Row],[Fecha Asiento]],-1)+1</f>
        <v>45931</v>
      </c>
      <c r="D505" s="136">
        <v>52405</v>
      </c>
      <c r="E505" s="136" t="s">
        <v>4493</v>
      </c>
      <c r="F505" s="141">
        <v>45952</v>
      </c>
      <c r="G505" s="136">
        <v>5648</v>
      </c>
      <c r="H505" s="136" t="s">
        <v>4744</v>
      </c>
      <c r="I505" s="136" t="s">
        <v>4630</v>
      </c>
      <c r="J505" s="136" t="s">
        <v>4455</v>
      </c>
      <c r="K505" s="136">
        <v>1500086557</v>
      </c>
      <c r="L505" s="138">
        <v>0.01</v>
      </c>
      <c r="M505" s="138">
        <v>0</v>
      </c>
      <c r="N505" s="136" t="s">
        <v>4425</v>
      </c>
      <c r="O505" s="136" t="s">
        <v>4426</v>
      </c>
      <c r="P505" s="136" t="s">
        <v>4427</v>
      </c>
      <c r="Q505" s="136" t="s">
        <v>4428</v>
      </c>
      <c r="R505" s="136">
        <v>0</v>
      </c>
      <c r="S505" s="142">
        <f>(Tabla18[[#This Row],[Debe]]-Tabla18[[#This Row],[Haber]])*
SUMIF('0_Indice_CAC'!$A:$A,Tabla18[[#This Row],[Mes]],'0_Indice_CAC'!$D:$D)</f>
        <v>8.4502113048071856E-3</v>
      </c>
      <c r="T505" s="142">
        <f>Tabla18[[#This Row],[Debe]]-Tabla18[[#This Row],[Haber]]</f>
        <v>0.01</v>
      </c>
      <c r="U505" s="322"/>
      <c r="V505" s="323"/>
      <c r="W505" s="142">
        <f t="shared" si="10"/>
        <v>0.01</v>
      </c>
      <c r="X505" s="142" t="b">
        <f>ISNUMBER(MATCH(A505,'3_Control_Ppto'!$A$4:$A$70,0))</f>
        <v>0</v>
      </c>
      <c r="Y505" s="136"/>
    </row>
    <row r="506" spans="1:25" ht="12" customHeight="1" x14ac:dyDescent="0.3">
      <c r="A506" s="140" t="s">
        <v>1478</v>
      </c>
      <c r="B506" s="140" t="s">
        <v>4090</v>
      </c>
      <c r="C506" s="549">
        <f>+EOMONTH(Tabla18[[#This Row],[Fecha Asiento]],-1)+1</f>
        <v>45931</v>
      </c>
      <c r="D506" s="136">
        <v>53004</v>
      </c>
      <c r="E506" s="136" t="s">
        <v>4496</v>
      </c>
      <c r="F506" s="141">
        <v>45952</v>
      </c>
      <c r="G506" s="136">
        <v>5648</v>
      </c>
      <c r="H506" s="136" t="s">
        <v>4676</v>
      </c>
      <c r="I506" s="136" t="s">
        <v>4630</v>
      </c>
      <c r="J506" s="136" t="s">
        <v>4455</v>
      </c>
      <c r="K506" s="136">
        <v>1500086557</v>
      </c>
      <c r="L506" s="138">
        <v>410021.48</v>
      </c>
      <c r="M506" s="138">
        <v>0</v>
      </c>
      <c r="N506" s="136" t="s">
        <v>4425</v>
      </c>
      <c r="O506" s="136" t="s">
        <v>4426</v>
      </c>
      <c r="P506" s="136" t="s">
        <v>4427</v>
      </c>
      <c r="Q506" s="136" t="s">
        <v>4428</v>
      </c>
      <c r="R506" s="136">
        <v>0</v>
      </c>
      <c r="S506" s="142">
        <f>(Tabla18[[#This Row],[Debe]]-Tabla18[[#This Row],[Haber]])*
SUMIF('0_Indice_CAC'!$A:$A,Tabla18[[#This Row],[Mes]],'0_Indice_CAC'!$D:$D)</f>
        <v>346476.81455097726</v>
      </c>
      <c r="T506" s="142">
        <f>Tabla18[[#This Row],[Debe]]-Tabla18[[#This Row],[Haber]]</f>
        <v>410021.48</v>
      </c>
      <c r="U506" s="322"/>
      <c r="V506" s="323"/>
      <c r="W506" s="142">
        <f t="shared" si="10"/>
        <v>410021.48</v>
      </c>
      <c r="X506" s="142" t="b">
        <f>ISNUMBER(MATCH(A506,'3_Control_Ppto'!$A$4:$A$70,0))</f>
        <v>1</v>
      </c>
      <c r="Y506" s="136"/>
    </row>
    <row r="507" spans="1:25" ht="12" customHeight="1" x14ac:dyDescent="0.3">
      <c r="A507" s="140" t="s">
        <v>106</v>
      </c>
      <c r="B507" s="140" t="s">
        <v>4090</v>
      </c>
      <c r="C507" s="549">
        <f>+EOMONTH(Tabla18[[#This Row],[Fecha Asiento]],-1)+1</f>
        <v>45931</v>
      </c>
      <c r="D507" s="136">
        <v>53008</v>
      </c>
      <c r="E507" s="136" t="s">
        <v>4490</v>
      </c>
      <c r="F507" s="141">
        <v>45952</v>
      </c>
      <c r="G507" s="136">
        <v>5648</v>
      </c>
      <c r="H507" s="136" t="s">
        <v>4641</v>
      </c>
      <c r="I507" s="136" t="s">
        <v>4630</v>
      </c>
      <c r="J507" s="136" t="s">
        <v>4455</v>
      </c>
      <c r="K507" s="136">
        <v>1500086557</v>
      </c>
      <c r="L507" s="138">
        <v>72519.3</v>
      </c>
      <c r="M507" s="138">
        <v>0</v>
      </c>
      <c r="N507" s="136" t="s">
        <v>4425</v>
      </c>
      <c r="O507" s="136" t="s">
        <v>4426</v>
      </c>
      <c r="P507" s="136" t="s">
        <v>4427</v>
      </c>
      <c r="Q507" s="136" t="s">
        <v>4428</v>
      </c>
      <c r="R507" s="136">
        <v>0</v>
      </c>
      <c r="S507" s="142">
        <f>(Tabla18[[#This Row],[Debe]]-Tabla18[[#This Row],[Haber]])*
SUMIF('0_Indice_CAC'!$A:$A,Tabla18[[#This Row],[Mes]],'0_Indice_CAC'!$D:$D)</f>
        <v>61280.340867670369</v>
      </c>
      <c r="T507" s="142">
        <f>Tabla18[[#This Row],[Debe]]-Tabla18[[#This Row],[Haber]]</f>
        <v>72519.3</v>
      </c>
      <c r="U507" s="322"/>
      <c r="V507" s="323"/>
      <c r="W507" s="142">
        <f t="shared" si="10"/>
        <v>72519.3</v>
      </c>
      <c r="X507" s="142" t="b">
        <f>ISNUMBER(MATCH(A507,'3_Control_Ppto'!$A$4:$A$70,0))</f>
        <v>1</v>
      </c>
      <c r="Y507" s="136"/>
    </row>
    <row r="508" spans="1:25" ht="12" customHeight="1" x14ac:dyDescent="0.3">
      <c r="A508" s="140" t="s">
        <v>106</v>
      </c>
      <c r="B508" s="140" t="s">
        <v>4090</v>
      </c>
      <c r="C508" s="549">
        <f>+EOMONTH(Tabla18[[#This Row],[Fecha Asiento]],-1)+1</f>
        <v>45931</v>
      </c>
      <c r="D508" s="136">
        <v>53008</v>
      </c>
      <c r="E508" s="136" t="s">
        <v>4490</v>
      </c>
      <c r="F508" s="141">
        <v>45952</v>
      </c>
      <c r="G508" s="136">
        <v>5648</v>
      </c>
      <c r="H508" s="136" t="s">
        <v>4641</v>
      </c>
      <c r="I508" s="136" t="s">
        <v>4630</v>
      </c>
      <c r="J508" s="136" t="s">
        <v>4455</v>
      </c>
      <c r="K508" s="136">
        <v>1500086557</v>
      </c>
      <c r="L508" s="138">
        <v>20661.16</v>
      </c>
      <c r="M508" s="138">
        <v>0</v>
      </c>
      <c r="N508" s="136" t="s">
        <v>4425</v>
      </c>
      <c r="O508" s="136" t="s">
        <v>4426</v>
      </c>
      <c r="P508" s="136" t="s">
        <v>4427</v>
      </c>
      <c r="Q508" s="136" t="s">
        <v>4428</v>
      </c>
      <c r="R508" s="136">
        <v>0</v>
      </c>
      <c r="S508" s="142">
        <f>(Tabla18[[#This Row],[Debe]]-Tabla18[[#This Row],[Haber]])*
SUMIF('0_Indice_CAC'!$A:$A,Tabla18[[#This Row],[Mes]],'0_Indice_CAC'!$D:$D)</f>
        <v>17459.116780243003</v>
      </c>
      <c r="T508" s="142">
        <f>Tabla18[[#This Row],[Debe]]-Tabla18[[#This Row],[Haber]]</f>
        <v>20661.16</v>
      </c>
      <c r="U508" s="322"/>
      <c r="V508" s="323"/>
      <c r="W508" s="142">
        <f t="shared" si="10"/>
        <v>20661.16</v>
      </c>
      <c r="X508" s="142" t="b">
        <f>ISNUMBER(MATCH(A508,'3_Control_Ppto'!$A$4:$A$70,0))</f>
        <v>1</v>
      </c>
      <c r="Y508" s="136"/>
    </row>
    <row r="509" spans="1:25" ht="12" customHeight="1" x14ac:dyDescent="0.3">
      <c r="A509" s="140" t="s">
        <v>4119</v>
      </c>
      <c r="B509" s="140" t="s">
        <v>25</v>
      </c>
      <c r="C509" s="549">
        <f>+EOMONTH(Tabla18[[#This Row],[Fecha Asiento]],-1)+1</f>
        <v>45931</v>
      </c>
      <c r="D509" s="136">
        <v>53022</v>
      </c>
      <c r="E509" s="136" t="s">
        <v>4429</v>
      </c>
      <c r="F509" s="141">
        <v>45952</v>
      </c>
      <c r="G509" s="136">
        <v>2394</v>
      </c>
      <c r="H509" s="136" t="s">
        <v>4764</v>
      </c>
      <c r="I509" s="136" t="s">
        <v>4423</v>
      </c>
      <c r="J509" s="136" t="s">
        <v>4424</v>
      </c>
      <c r="K509" s="136">
        <v>7758</v>
      </c>
      <c r="L509" s="138">
        <v>224000</v>
      </c>
      <c r="M509" s="138">
        <v>0</v>
      </c>
      <c r="N509" s="136" t="s">
        <v>4425</v>
      </c>
      <c r="O509" s="136" t="s">
        <v>4426</v>
      </c>
      <c r="P509" s="136" t="s">
        <v>4427</v>
      </c>
      <c r="Q509" s="136" t="s">
        <v>4428</v>
      </c>
      <c r="R509" s="136">
        <v>0</v>
      </c>
      <c r="S509" s="142">
        <f>(Tabla18[[#This Row],[Debe]]-Tabla18[[#This Row],[Haber]])*
SUMIF('0_Indice_CAC'!$A:$A,Tabla18[[#This Row],[Mes]],'0_Indice_CAC'!$D:$D)</f>
        <v>189284.73322768093</v>
      </c>
      <c r="T509" s="142">
        <f>Tabla18[[#This Row],[Debe]]-Tabla18[[#This Row],[Haber]]</f>
        <v>224000</v>
      </c>
      <c r="U509" s="322"/>
      <c r="V509" s="323"/>
      <c r="W509" s="142">
        <f t="shared" si="10"/>
        <v>224000</v>
      </c>
      <c r="X509" s="142" t="b">
        <f>ISNUMBER(MATCH(A509,'3_Control_Ppto'!$A$4:$A$70,0))</f>
        <v>1</v>
      </c>
      <c r="Y509" s="136"/>
    </row>
    <row r="510" spans="1:25" ht="12" customHeight="1" x14ac:dyDescent="0.3">
      <c r="A510" s="140" t="s">
        <v>4119</v>
      </c>
      <c r="B510" s="140" t="s">
        <v>4090</v>
      </c>
      <c r="C510" s="549">
        <f>+EOMONTH(Tabla18[[#This Row],[Fecha Asiento]],-1)+1</f>
        <v>45931</v>
      </c>
      <c r="D510" s="136">
        <v>53022</v>
      </c>
      <c r="E510" s="136" t="s">
        <v>4429</v>
      </c>
      <c r="F510" s="141">
        <v>45953</v>
      </c>
      <c r="G510" s="136">
        <v>2425</v>
      </c>
      <c r="H510" s="136" t="s">
        <v>4697</v>
      </c>
      <c r="I510" s="136" t="s">
        <v>4698</v>
      </c>
      <c r="J510" s="136" t="s">
        <v>4699</v>
      </c>
      <c r="K510" s="136">
        <v>7793</v>
      </c>
      <c r="L510" s="138">
        <v>91000</v>
      </c>
      <c r="M510" s="138">
        <v>0</v>
      </c>
      <c r="N510" s="136" t="s">
        <v>4425</v>
      </c>
      <c r="O510" s="136" t="s">
        <v>4426</v>
      </c>
      <c r="P510" s="136" t="s">
        <v>4427</v>
      </c>
      <c r="Q510" s="136" t="s">
        <v>4428</v>
      </c>
      <c r="R510" s="136">
        <v>0</v>
      </c>
      <c r="S510" s="142">
        <f>(Tabla18[[#This Row],[Debe]]-Tabla18[[#This Row],[Haber]])*
SUMIF('0_Indice_CAC'!$A:$A,Tabla18[[#This Row],[Mes]],'0_Indice_CAC'!$D:$D)</f>
        <v>76896.922873745381</v>
      </c>
      <c r="T510" s="142">
        <f>Tabla18[[#This Row],[Debe]]-Tabla18[[#This Row],[Haber]]</f>
        <v>91000</v>
      </c>
      <c r="U510" s="322"/>
      <c r="V510" s="323"/>
      <c r="W510" s="142">
        <f t="shared" si="10"/>
        <v>91000</v>
      </c>
      <c r="X510" s="142" t="b">
        <f>ISNUMBER(MATCH(A510,'3_Control_Ppto'!$A$4:$A$70,0))</f>
        <v>1</v>
      </c>
      <c r="Y510" s="136"/>
    </row>
    <row r="511" spans="1:25" ht="12" customHeight="1" x14ac:dyDescent="0.3">
      <c r="A511" s="140" t="s">
        <v>106</v>
      </c>
      <c r="B511" s="140" t="s">
        <v>4090</v>
      </c>
      <c r="C511" s="549">
        <f>+EOMONTH(Tabla18[[#This Row],[Fecha Asiento]],-1)+1</f>
        <v>45931</v>
      </c>
      <c r="D511" s="136">
        <v>53023</v>
      </c>
      <c r="E511" s="136" t="s">
        <v>4467</v>
      </c>
      <c r="F511" s="141">
        <v>45953</v>
      </c>
      <c r="G511" s="136">
        <v>2426</v>
      </c>
      <c r="H511" s="136" t="s">
        <v>4468</v>
      </c>
      <c r="I511" s="136" t="s">
        <v>4423</v>
      </c>
      <c r="J511" s="136" t="s">
        <v>4424</v>
      </c>
      <c r="K511" s="136">
        <v>7764</v>
      </c>
      <c r="L511" s="138">
        <v>3900</v>
      </c>
      <c r="M511" s="138">
        <v>0</v>
      </c>
      <c r="N511" s="136" t="s">
        <v>4425</v>
      </c>
      <c r="O511" s="136" t="s">
        <v>4426</v>
      </c>
      <c r="P511" s="136" t="s">
        <v>4427</v>
      </c>
      <c r="Q511" s="136" t="s">
        <v>4428</v>
      </c>
      <c r="R511" s="136">
        <v>0</v>
      </c>
      <c r="S511" s="142">
        <f>(Tabla18[[#This Row],[Debe]]-Tabla18[[#This Row],[Haber]])*
SUMIF('0_Indice_CAC'!$A:$A,Tabla18[[#This Row],[Mes]],'0_Indice_CAC'!$D:$D)</f>
        <v>3295.5824088748022</v>
      </c>
      <c r="T511" s="142">
        <f>Tabla18[[#This Row],[Debe]]-Tabla18[[#This Row],[Haber]]</f>
        <v>3900</v>
      </c>
      <c r="U511" s="322"/>
      <c r="V511" s="323"/>
      <c r="W511" s="142">
        <f t="shared" si="10"/>
        <v>3900</v>
      </c>
      <c r="X511" s="142" t="b">
        <f>ISNUMBER(MATCH(A511,'3_Control_Ppto'!$A$4:$A$70,0))</f>
        <v>1</v>
      </c>
      <c r="Y511" s="136"/>
    </row>
    <row r="512" spans="1:25" ht="12" customHeight="1" x14ac:dyDescent="0.3">
      <c r="A512" s="140" t="s">
        <v>4317</v>
      </c>
      <c r="B512" s="140" t="s">
        <v>56</v>
      </c>
      <c r="C512" s="549">
        <f>+EOMONTH(Tabla18[[#This Row],[Fecha Asiento]],-1)+1</f>
        <v>45931</v>
      </c>
      <c r="D512" s="136">
        <v>52103</v>
      </c>
      <c r="E512" s="136" t="s">
        <v>4477</v>
      </c>
      <c r="F512" s="141">
        <v>45954</v>
      </c>
      <c r="G512" s="136">
        <v>5545</v>
      </c>
      <c r="H512" s="136" t="s">
        <v>4627</v>
      </c>
      <c r="I512" s="136" t="s">
        <v>4628</v>
      </c>
      <c r="J512" s="136" t="s">
        <v>4455</v>
      </c>
      <c r="K512" s="136">
        <v>800000458</v>
      </c>
      <c r="L512" s="138">
        <v>6611.57</v>
      </c>
      <c r="M512" s="138">
        <v>0</v>
      </c>
      <c r="N512" s="136" t="s">
        <v>4425</v>
      </c>
      <c r="O512" s="136" t="s">
        <v>4426</v>
      </c>
      <c r="P512" s="136" t="s">
        <v>4427</v>
      </c>
      <c r="Q512" s="136" t="s">
        <v>4428</v>
      </c>
      <c r="R512" s="136">
        <v>0</v>
      </c>
      <c r="S512" s="142">
        <f>(Tabla18[[#This Row],[Debe]]-Tabla18[[#This Row],[Haber]])*
SUMIF('0_Indice_CAC'!$A:$A,Tabla18[[#This Row],[Mes]],'0_Indice_CAC'!$D:$D)</f>
        <v>5586.9163556524036</v>
      </c>
      <c r="T512" s="142">
        <f>Tabla18[[#This Row],[Debe]]-Tabla18[[#This Row],[Haber]]</f>
        <v>6611.57</v>
      </c>
      <c r="U512" s="322"/>
      <c r="V512" s="323"/>
      <c r="W512" s="142">
        <f t="shared" si="10"/>
        <v>6611.57</v>
      </c>
      <c r="X512" s="142" t="b">
        <f>ISNUMBER(MATCH(A512,'3_Control_Ppto'!$A$4:$A$70,0))</f>
        <v>1</v>
      </c>
      <c r="Y512" s="136"/>
    </row>
    <row r="513" spans="1:25" ht="12" customHeight="1" x14ac:dyDescent="0.3">
      <c r="A513" s="140" t="s">
        <v>4317</v>
      </c>
      <c r="B513" s="140" t="s">
        <v>56</v>
      </c>
      <c r="C513" s="549">
        <f>+EOMONTH(Tabla18[[#This Row],[Fecha Asiento]],-1)+1</f>
        <v>45931</v>
      </c>
      <c r="D513" s="136">
        <v>52103</v>
      </c>
      <c r="E513" s="136" t="s">
        <v>4477</v>
      </c>
      <c r="F513" s="141">
        <v>45954</v>
      </c>
      <c r="G513" s="136">
        <v>5546</v>
      </c>
      <c r="H513" s="136" t="s">
        <v>4569</v>
      </c>
      <c r="I513" s="136" t="s">
        <v>4570</v>
      </c>
      <c r="J513" s="136" t="s">
        <v>4455</v>
      </c>
      <c r="K513" s="136">
        <v>418100140350</v>
      </c>
      <c r="L513" s="138">
        <v>11886.14</v>
      </c>
      <c r="M513" s="138">
        <v>0</v>
      </c>
      <c r="N513" s="136" t="s">
        <v>4425</v>
      </c>
      <c r="O513" s="136" t="s">
        <v>4426</v>
      </c>
      <c r="P513" s="136" t="s">
        <v>4427</v>
      </c>
      <c r="Q513" s="136" t="s">
        <v>4428</v>
      </c>
      <c r="R513" s="136">
        <v>0</v>
      </c>
      <c r="S513" s="142">
        <f>(Tabla18[[#This Row],[Debe]]-Tabla18[[#This Row],[Haber]])*
SUMIF('0_Indice_CAC'!$A:$A,Tabla18[[#This Row],[Mes]],'0_Indice_CAC'!$D:$D)</f>
        <v>10044.039459852087</v>
      </c>
      <c r="T513" s="142">
        <f>Tabla18[[#This Row],[Debe]]-Tabla18[[#This Row],[Haber]]</f>
        <v>11886.14</v>
      </c>
      <c r="U513" s="322"/>
      <c r="V513" s="323"/>
      <c r="W513" s="142">
        <f t="shared" si="10"/>
        <v>11886.14</v>
      </c>
      <c r="X513" s="142" t="b">
        <f>ISNUMBER(MATCH(A513,'3_Control_Ppto'!$A$4:$A$70,0))</f>
        <v>1</v>
      </c>
      <c r="Y513" s="136"/>
    </row>
    <row r="514" spans="1:25" ht="12" customHeight="1" x14ac:dyDescent="0.3">
      <c r="A514" s="140" t="s">
        <v>4317</v>
      </c>
      <c r="B514" s="140" t="s">
        <v>56</v>
      </c>
      <c r="C514" s="549">
        <f>+EOMONTH(Tabla18[[#This Row],[Fecha Asiento]],-1)+1</f>
        <v>45931</v>
      </c>
      <c r="D514" s="136">
        <v>52103</v>
      </c>
      <c r="E514" s="136" t="s">
        <v>4477</v>
      </c>
      <c r="F514" s="141">
        <v>45954</v>
      </c>
      <c r="G514" s="136">
        <v>5546</v>
      </c>
      <c r="H514" s="136" t="s">
        <v>4569</v>
      </c>
      <c r="I514" s="136" t="s">
        <v>4570</v>
      </c>
      <c r="J514" s="136" t="s">
        <v>4455</v>
      </c>
      <c r="K514" s="136">
        <v>418100140350</v>
      </c>
      <c r="L514" s="138">
        <v>61493.38</v>
      </c>
      <c r="M514" s="138">
        <v>0</v>
      </c>
      <c r="N514" s="136" t="s">
        <v>4425</v>
      </c>
      <c r="O514" s="136" t="s">
        <v>4426</v>
      </c>
      <c r="P514" s="136" t="s">
        <v>4427</v>
      </c>
      <c r="Q514" s="136" t="s">
        <v>4428</v>
      </c>
      <c r="R514" s="136">
        <v>0</v>
      </c>
      <c r="S514" s="142">
        <f>(Tabla18[[#This Row],[Debe]]-Tabla18[[#This Row],[Haber]])*
SUMIF('0_Indice_CAC'!$A:$A,Tabla18[[#This Row],[Mes]],'0_Indice_CAC'!$D:$D)</f>
        <v>51963.205484680402</v>
      </c>
      <c r="T514" s="142">
        <f>Tabla18[[#This Row],[Debe]]-Tabla18[[#This Row],[Haber]]</f>
        <v>61493.38</v>
      </c>
      <c r="U514" s="322"/>
      <c r="V514" s="323"/>
      <c r="W514" s="142">
        <f t="shared" si="10"/>
        <v>61493.38</v>
      </c>
      <c r="X514" s="142" t="b">
        <f>ISNUMBER(MATCH(A514,'3_Control_Ppto'!$A$4:$A$70,0))</f>
        <v>1</v>
      </c>
      <c r="Y514" s="136"/>
    </row>
    <row r="515" spans="1:25" ht="12" customHeight="1" x14ac:dyDescent="0.3">
      <c r="A515" s="140" t="s">
        <v>25</v>
      </c>
      <c r="B515" s="140" t="s">
        <v>25</v>
      </c>
      <c r="C515" s="549">
        <f>+EOMONTH(Tabla18[[#This Row],[Fecha Asiento]],-1)+1</f>
        <v>45931</v>
      </c>
      <c r="D515" s="136">
        <v>52405</v>
      </c>
      <c r="E515" s="136" t="s">
        <v>4493</v>
      </c>
      <c r="F515" s="141">
        <v>45954</v>
      </c>
      <c r="G515" s="136">
        <v>5546</v>
      </c>
      <c r="H515" s="136" t="s">
        <v>4765</v>
      </c>
      <c r="I515" s="136" t="s">
        <v>4570</v>
      </c>
      <c r="J515" s="136" t="s">
        <v>4455</v>
      </c>
      <c r="K515" s="136">
        <v>418100140350</v>
      </c>
      <c r="L515" s="138">
        <v>0.01</v>
      </c>
      <c r="M515" s="138">
        <v>0</v>
      </c>
      <c r="N515" s="136" t="s">
        <v>4425</v>
      </c>
      <c r="O515" s="136" t="s">
        <v>4426</v>
      </c>
      <c r="P515" s="136" t="s">
        <v>4427</v>
      </c>
      <c r="Q515" s="136" t="s">
        <v>4428</v>
      </c>
      <c r="R515" s="136">
        <v>0</v>
      </c>
      <c r="S515" s="142">
        <f>(Tabla18[[#This Row],[Debe]]-Tabla18[[#This Row],[Haber]])*
SUMIF('0_Indice_CAC'!$A:$A,Tabla18[[#This Row],[Mes]],'0_Indice_CAC'!$D:$D)</f>
        <v>8.4502113048071856E-3</v>
      </c>
      <c r="T515" s="142">
        <f>Tabla18[[#This Row],[Debe]]-Tabla18[[#This Row],[Haber]]</f>
        <v>0.01</v>
      </c>
      <c r="U515" s="322"/>
      <c r="V515" s="323"/>
      <c r="W515" s="142">
        <f t="shared" si="10"/>
        <v>0.01</v>
      </c>
      <c r="X515" s="142" t="b">
        <f>ISNUMBER(MATCH(A515,'3_Control_Ppto'!$A$4:$A$70,0))</f>
        <v>0</v>
      </c>
      <c r="Y515" s="136"/>
    </row>
    <row r="516" spans="1:25" ht="12" customHeight="1" x14ac:dyDescent="0.3">
      <c r="A516" s="140" t="s">
        <v>1285</v>
      </c>
      <c r="B516" s="140" t="s">
        <v>4090</v>
      </c>
      <c r="C516" s="549">
        <f>+EOMONTH(Tabla18[[#This Row],[Fecha Asiento]],-1)+1</f>
        <v>45931</v>
      </c>
      <c r="D516" s="136">
        <v>53001</v>
      </c>
      <c r="E516" s="136" t="s">
        <v>4464</v>
      </c>
      <c r="F516" s="141">
        <v>45954</v>
      </c>
      <c r="G516" s="136">
        <v>5496</v>
      </c>
      <c r="H516" s="136" t="s">
        <v>4766</v>
      </c>
      <c r="I516" s="136" t="s">
        <v>4767</v>
      </c>
      <c r="J516" s="136" t="s">
        <v>4455</v>
      </c>
      <c r="K516" s="136">
        <v>300001735</v>
      </c>
      <c r="L516" s="138">
        <v>202741.82</v>
      </c>
      <c r="M516" s="138">
        <v>0</v>
      </c>
      <c r="N516" s="136" t="s">
        <v>4425</v>
      </c>
      <c r="O516" s="136" t="s">
        <v>4426</v>
      </c>
      <c r="P516" s="136" t="s">
        <v>4427</v>
      </c>
      <c r="Q516" s="136" t="s">
        <v>4428</v>
      </c>
      <c r="R516" s="136">
        <v>0</v>
      </c>
      <c r="S516" s="142">
        <f>(Tabla18[[#This Row],[Debe]]-Tabla18[[#This Row],[Haber]])*
SUMIF('0_Indice_CAC'!$A:$A,Tabla18[[#This Row],[Mes]],'0_Indice_CAC'!$D:$D)</f>
        <v>171321.12193211835</v>
      </c>
      <c r="T516" s="142">
        <f>Tabla18[[#This Row],[Debe]]-Tabla18[[#This Row],[Haber]]</f>
        <v>202741.82</v>
      </c>
      <c r="U516" s="322"/>
      <c r="V516" s="323"/>
      <c r="W516" s="142">
        <f t="shared" si="10"/>
        <v>202741.82</v>
      </c>
      <c r="X516" s="142" t="b">
        <f>ISNUMBER(MATCH(A516,'3_Control_Ppto'!$A$4:$A$70,0))</f>
        <v>1</v>
      </c>
      <c r="Y516" s="136"/>
    </row>
    <row r="517" spans="1:25" ht="12" customHeight="1" x14ac:dyDescent="0.3">
      <c r="A517" s="140" t="s">
        <v>3219</v>
      </c>
      <c r="B517" s="140" t="s">
        <v>4090</v>
      </c>
      <c r="C517" s="549">
        <f>+EOMONTH(Tabla18[[#This Row],[Fecha Asiento]],-1)+1</f>
        <v>45931</v>
      </c>
      <c r="D517" s="136">
        <v>53019</v>
      </c>
      <c r="E517" s="136" t="s">
        <v>4461</v>
      </c>
      <c r="F517" s="141">
        <v>45957</v>
      </c>
      <c r="G517" s="136">
        <v>5550</v>
      </c>
      <c r="H517" s="136" t="s">
        <v>4462</v>
      </c>
      <c r="I517" s="136" t="s">
        <v>4463</v>
      </c>
      <c r="J517" s="136" t="s">
        <v>4455</v>
      </c>
      <c r="K517" s="136">
        <v>300009237</v>
      </c>
      <c r="L517" s="138">
        <v>380764.5</v>
      </c>
      <c r="M517" s="138">
        <v>0</v>
      </c>
      <c r="N517" s="136" t="s">
        <v>4425</v>
      </c>
      <c r="O517" s="136" t="s">
        <v>4426</v>
      </c>
      <c r="P517" s="136" t="s">
        <v>4427</v>
      </c>
      <c r="Q517" s="136" t="s">
        <v>4428</v>
      </c>
      <c r="R517" s="136">
        <v>0</v>
      </c>
      <c r="S517" s="142">
        <f>(Tabla18[[#This Row],[Debe]]-Tabla18[[#This Row],[Haber]])*
SUMIF('0_Indice_CAC'!$A:$A,Tabla18[[#This Row],[Mes]],'0_Indice_CAC'!$D:$D)</f>
        <v>321754.0482369255</v>
      </c>
      <c r="T517" s="142">
        <f>Tabla18[[#This Row],[Debe]]-Tabla18[[#This Row],[Haber]]</f>
        <v>380764.5</v>
      </c>
      <c r="U517" s="322"/>
      <c r="V517" s="323"/>
      <c r="W517" s="142">
        <f t="shared" si="10"/>
        <v>380764.5</v>
      </c>
      <c r="X517" s="142" t="b">
        <f>ISNUMBER(MATCH(A517,'3_Control_Ppto'!$A$4:$A$70,0))</f>
        <v>1</v>
      </c>
      <c r="Y517" s="136"/>
    </row>
    <row r="518" spans="1:25" ht="12" customHeight="1" x14ac:dyDescent="0.3">
      <c r="A518" s="140" t="s">
        <v>106</v>
      </c>
      <c r="B518" s="140" t="s">
        <v>4090</v>
      </c>
      <c r="C518" s="549">
        <f>+EOMONTH(Tabla18[[#This Row],[Fecha Asiento]],-1)+1</f>
        <v>45931</v>
      </c>
      <c r="D518" s="136">
        <v>53023</v>
      </c>
      <c r="E518" s="136" t="s">
        <v>4467</v>
      </c>
      <c r="F518" s="141">
        <v>45958</v>
      </c>
      <c r="G518" s="136">
        <v>5552</v>
      </c>
      <c r="H518" s="136" t="s">
        <v>4475</v>
      </c>
      <c r="I518" s="136" t="s">
        <v>4471</v>
      </c>
      <c r="J518" s="136" t="s">
        <v>4455</v>
      </c>
      <c r="K518" s="136">
        <v>1000212019</v>
      </c>
      <c r="L518" s="138">
        <v>303347.25</v>
      </c>
      <c r="M518" s="138">
        <v>0</v>
      </c>
      <c r="N518" s="136" t="s">
        <v>4425</v>
      </c>
      <c r="O518" s="136" t="s">
        <v>4426</v>
      </c>
      <c r="P518" s="136" t="s">
        <v>4427</v>
      </c>
      <c r="Q518" s="136" t="s">
        <v>4428</v>
      </c>
      <c r="R518" s="136">
        <v>0</v>
      </c>
      <c r="S518" s="142">
        <f>(Tabla18[[#This Row],[Debe]]-Tabla18[[#This Row],[Haber]])*
SUMIF('0_Indice_CAC'!$A:$A,Tabla18[[#This Row],[Mes]],'0_Indice_CAC'!$D:$D)</f>
        <v>256334.83612321713</v>
      </c>
      <c r="T518" s="142">
        <f>Tabla18[[#This Row],[Debe]]-Tabla18[[#This Row],[Haber]]</f>
        <v>303347.25</v>
      </c>
      <c r="U518" s="322"/>
      <c r="V518" s="323"/>
      <c r="W518" s="142">
        <f t="shared" si="10"/>
        <v>303347.25</v>
      </c>
      <c r="X518" s="142" t="b">
        <f>ISNUMBER(MATCH(A518,'3_Control_Ppto'!$A$4:$A$70,0))</f>
        <v>1</v>
      </c>
      <c r="Y518" s="136"/>
    </row>
    <row r="519" spans="1:25" ht="12" customHeight="1" x14ac:dyDescent="0.3">
      <c r="A519" s="140" t="s">
        <v>25</v>
      </c>
      <c r="B519" s="140" t="s">
        <v>25</v>
      </c>
      <c r="C519" s="549">
        <f>+EOMONTH(Tabla18[[#This Row],[Fecha Asiento]],-1)+1</f>
        <v>45931</v>
      </c>
      <c r="D519" s="136">
        <v>410222</v>
      </c>
      <c r="E519" s="136" t="s">
        <v>4605</v>
      </c>
      <c r="F519" s="141">
        <v>45959</v>
      </c>
      <c r="G519" s="136">
        <v>5524</v>
      </c>
      <c r="H519" s="136" t="s">
        <v>4606</v>
      </c>
      <c r="I519" s="136" t="s">
        <v>4607</v>
      </c>
      <c r="J519" s="136" t="s">
        <v>4608</v>
      </c>
      <c r="K519" s="136">
        <v>300000754</v>
      </c>
      <c r="L519" s="138">
        <v>0</v>
      </c>
      <c r="M519" s="138">
        <v>50900936.710000001</v>
      </c>
      <c r="N519" s="136" t="s">
        <v>4425</v>
      </c>
      <c r="O519" s="136" t="s">
        <v>4426</v>
      </c>
      <c r="P519" s="136" t="s">
        <v>4427</v>
      </c>
      <c r="Q519" s="136" t="s">
        <v>4428</v>
      </c>
      <c r="R519" s="136">
        <v>0</v>
      </c>
      <c r="S519" s="142">
        <f>(Tabla18[[#This Row],[Debe]]-Tabla18[[#This Row],[Haber]])*
SUMIF('0_Indice_CAC'!$A:$A,Tabla18[[#This Row],[Mes]],'0_Indice_CAC'!$D:$D)</f>
        <v>-43012367.081211701</v>
      </c>
      <c r="T519" s="142">
        <f>Tabla18[[#This Row],[Debe]]-Tabla18[[#This Row],[Haber]]</f>
        <v>-50900936.710000001</v>
      </c>
      <c r="U519" s="322"/>
      <c r="V519" s="323"/>
      <c r="W519" s="142">
        <f t="shared" si="10"/>
        <v>-50900936.710000001</v>
      </c>
      <c r="X519" s="142" t="b">
        <f>ISNUMBER(MATCH(A519,'3_Control_Ppto'!$A$4:$A$70,0))</f>
        <v>0</v>
      </c>
      <c r="Y519" s="136"/>
    </row>
    <row r="520" spans="1:25" ht="12" customHeight="1" x14ac:dyDescent="0.3">
      <c r="A520" s="140" t="s">
        <v>25</v>
      </c>
      <c r="B520" s="140" t="s">
        <v>25</v>
      </c>
      <c r="C520" s="549">
        <f>+EOMONTH(Tabla18[[#This Row],[Fecha Asiento]],-1)+1</f>
        <v>45931</v>
      </c>
      <c r="D520" s="136">
        <v>52405</v>
      </c>
      <c r="E520" s="136" t="s">
        <v>4493</v>
      </c>
      <c r="F520" s="141">
        <v>45959</v>
      </c>
      <c r="G520" s="136">
        <v>5558</v>
      </c>
      <c r="H520" s="136" t="s">
        <v>4768</v>
      </c>
      <c r="I520" s="136" t="s">
        <v>4769</v>
      </c>
      <c r="J520" s="136" t="s">
        <v>4455</v>
      </c>
      <c r="K520" s="136">
        <v>2400127318</v>
      </c>
      <c r="L520" s="138">
        <v>0.04</v>
      </c>
      <c r="M520" s="138">
        <v>0</v>
      </c>
      <c r="N520" s="136" t="s">
        <v>4425</v>
      </c>
      <c r="O520" s="136" t="s">
        <v>4426</v>
      </c>
      <c r="P520" s="136" t="s">
        <v>4427</v>
      </c>
      <c r="Q520" s="136" t="s">
        <v>4428</v>
      </c>
      <c r="R520" s="136">
        <v>0</v>
      </c>
      <c r="S520" s="142">
        <f>(Tabla18[[#This Row],[Debe]]-Tabla18[[#This Row],[Haber]])*
SUMIF('0_Indice_CAC'!$A:$A,Tabla18[[#This Row],[Mes]],'0_Indice_CAC'!$D:$D)</f>
        <v>3.3800845219228742E-2</v>
      </c>
      <c r="T520" s="142">
        <f>Tabla18[[#This Row],[Debe]]-Tabla18[[#This Row],[Haber]]</f>
        <v>0.04</v>
      </c>
      <c r="U520" s="322"/>
      <c r="V520" s="323"/>
      <c r="W520" s="142">
        <f t="shared" si="10"/>
        <v>0.04</v>
      </c>
      <c r="X520" s="142" t="b">
        <f>ISNUMBER(MATCH(A520,'3_Control_Ppto'!$A$4:$A$70,0))</f>
        <v>0</v>
      </c>
      <c r="Y520" s="136"/>
    </row>
    <row r="521" spans="1:25" ht="12" customHeight="1" x14ac:dyDescent="0.3">
      <c r="A521" s="140" t="s">
        <v>1478</v>
      </c>
      <c r="B521" s="140" t="s">
        <v>4090</v>
      </c>
      <c r="C521" s="549">
        <f>+EOMONTH(Tabla18[[#This Row],[Fecha Asiento]],-1)+1</f>
        <v>45931</v>
      </c>
      <c r="D521" s="136">
        <v>53004</v>
      </c>
      <c r="E521" s="136" t="s">
        <v>4496</v>
      </c>
      <c r="F521" s="141">
        <v>45959</v>
      </c>
      <c r="G521" s="136">
        <v>5649</v>
      </c>
      <c r="H521" s="136" t="s">
        <v>4676</v>
      </c>
      <c r="I521" s="136" t="s">
        <v>4630</v>
      </c>
      <c r="J521" s="136" t="s">
        <v>4455</v>
      </c>
      <c r="K521" s="136">
        <v>1500086884</v>
      </c>
      <c r="L521" s="138">
        <v>288850.84000000003</v>
      </c>
      <c r="M521" s="138">
        <v>0</v>
      </c>
      <c r="N521" s="136" t="s">
        <v>4425</v>
      </c>
      <c r="O521" s="136" t="s">
        <v>4426</v>
      </c>
      <c r="P521" s="136" t="s">
        <v>4427</v>
      </c>
      <c r="Q521" s="136" t="s">
        <v>4428</v>
      </c>
      <c r="R521" s="136">
        <v>0</v>
      </c>
      <c r="S521" s="142">
        <f>(Tabla18[[#This Row],[Debe]]-Tabla18[[#This Row],[Haber]])*
SUMIF('0_Indice_CAC'!$A:$A,Tabla18[[#This Row],[Mes]],'0_Indice_CAC'!$D:$D)</f>
        <v>244085.06335710516</v>
      </c>
      <c r="T521" s="142">
        <f>Tabla18[[#This Row],[Debe]]-Tabla18[[#This Row],[Haber]]</f>
        <v>288850.84000000003</v>
      </c>
      <c r="U521" s="322"/>
      <c r="V521" s="323"/>
      <c r="W521" s="142">
        <f t="shared" si="10"/>
        <v>288850.84000000003</v>
      </c>
      <c r="X521" s="142" t="b">
        <f>ISNUMBER(MATCH(A521,'3_Control_Ppto'!$A$4:$A$70,0))</f>
        <v>1</v>
      </c>
      <c r="Y521" s="136"/>
    </row>
    <row r="522" spans="1:25" ht="12" customHeight="1" x14ac:dyDescent="0.3">
      <c r="A522" s="140" t="s">
        <v>106</v>
      </c>
      <c r="B522" s="140" t="s">
        <v>4090</v>
      </c>
      <c r="C522" s="549">
        <f>+EOMONTH(Tabla18[[#This Row],[Fecha Asiento]],-1)+1</f>
        <v>45931</v>
      </c>
      <c r="D522" s="136">
        <v>53008</v>
      </c>
      <c r="E522" s="136" t="s">
        <v>4490</v>
      </c>
      <c r="F522" s="141">
        <v>45959</v>
      </c>
      <c r="G522" s="136">
        <v>5558</v>
      </c>
      <c r="H522" s="136" t="s">
        <v>4770</v>
      </c>
      <c r="I522" s="136" t="s">
        <v>4769</v>
      </c>
      <c r="J522" s="136" t="s">
        <v>4455</v>
      </c>
      <c r="K522" s="136">
        <v>2400127318</v>
      </c>
      <c r="L522" s="138">
        <v>12524830.699999999</v>
      </c>
      <c r="M522" s="138">
        <v>0</v>
      </c>
      <c r="N522" s="136" t="s">
        <v>4425</v>
      </c>
      <c r="O522" s="136" t="s">
        <v>4426</v>
      </c>
      <c r="P522" s="136" t="s">
        <v>4427</v>
      </c>
      <c r="Q522" s="136" t="s">
        <v>4428</v>
      </c>
      <c r="R522" s="136">
        <v>0</v>
      </c>
      <c r="S522" s="142">
        <f>(Tabla18[[#This Row],[Debe]]-Tabla18[[#This Row],[Haber]])*
SUMIF('0_Indice_CAC'!$A:$A,Tabla18[[#This Row],[Mes]],'0_Indice_CAC'!$D:$D)</f>
        <v>10583746.597193608</v>
      </c>
      <c r="T522" s="142">
        <f>Tabla18[[#This Row],[Debe]]-Tabla18[[#This Row],[Haber]]</f>
        <v>12524830.699999999</v>
      </c>
      <c r="U522" s="322"/>
      <c r="V522" s="323"/>
      <c r="W522" s="142">
        <f t="shared" si="10"/>
        <v>12524830.699999999</v>
      </c>
      <c r="X522" s="142" t="b">
        <f>ISNUMBER(MATCH(A522,'3_Control_Ppto'!$A$4:$A$70,0))</f>
        <v>1</v>
      </c>
      <c r="Y522" s="136"/>
    </row>
    <row r="523" spans="1:25" ht="12" customHeight="1" x14ac:dyDescent="0.3">
      <c r="A523" s="140" t="s">
        <v>106</v>
      </c>
      <c r="B523" s="140" t="s">
        <v>4090</v>
      </c>
      <c r="C523" s="549">
        <f>+EOMONTH(Tabla18[[#This Row],[Fecha Asiento]],-1)+1</f>
        <v>45931</v>
      </c>
      <c r="D523" s="136">
        <v>53023</v>
      </c>
      <c r="E523" s="136" t="s">
        <v>4467</v>
      </c>
      <c r="F523" s="141">
        <v>45960</v>
      </c>
      <c r="G523" s="136">
        <v>5566</v>
      </c>
      <c r="H523" s="136" t="s">
        <v>4475</v>
      </c>
      <c r="I523" s="136" t="s">
        <v>4471</v>
      </c>
      <c r="J523" s="136" t="s">
        <v>4455</v>
      </c>
      <c r="K523" s="136">
        <v>1000212188</v>
      </c>
      <c r="L523" s="138">
        <v>74920.05</v>
      </c>
      <c r="M523" s="138">
        <v>0</v>
      </c>
      <c r="N523" s="136" t="s">
        <v>4425</v>
      </c>
      <c r="O523" s="136" t="s">
        <v>4426</v>
      </c>
      <c r="P523" s="136" t="s">
        <v>4427</v>
      </c>
      <c r="Q523" s="136" t="s">
        <v>4428</v>
      </c>
      <c r="R523" s="136">
        <v>0</v>
      </c>
      <c r="S523" s="142">
        <f>(Tabla18[[#This Row],[Debe]]-Tabla18[[#This Row],[Haber]])*
SUMIF('0_Indice_CAC'!$A:$A,Tabla18[[#This Row],[Mes]],'0_Indice_CAC'!$D:$D)</f>
        <v>63309.025346671951</v>
      </c>
      <c r="T523" s="142">
        <f>Tabla18[[#This Row],[Debe]]-Tabla18[[#This Row],[Haber]]</f>
        <v>74920.05</v>
      </c>
      <c r="U523" s="322"/>
      <c r="V523" s="323"/>
      <c r="W523" s="142">
        <f t="shared" si="10"/>
        <v>74920.05</v>
      </c>
      <c r="X523" s="142" t="b">
        <f>ISNUMBER(MATCH(A523,'3_Control_Ppto'!$A$4:$A$70,0))</f>
        <v>1</v>
      </c>
      <c r="Y523" s="136"/>
    </row>
    <row r="524" spans="1:25" ht="12" customHeight="1" x14ac:dyDescent="0.3">
      <c r="A524" s="140" t="s">
        <v>106</v>
      </c>
      <c r="B524" s="140" t="s">
        <v>4090</v>
      </c>
      <c r="C524" s="549">
        <f>+EOMONTH(Tabla18[[#This Row],[Fecha Asiento]],-1)+1</f>
        <v>45931</v>
      </c>
      <c r="D524" s="136">
        <v>53023</v>
      </c>
      <c r="E524" s="136" t="s">
        <v>4467</v>
      </c>
      <c r="F524" s="141">
        <v>45960</v>
      </c>
      <c r="G524" s="136">
        <v>5567</v>
      </c>
      <c r="H524" s="136" t="s">
        <v>4475</v>
      </c>
      <c r="I524" s="136" t="s">
        <v>4471</v>
      </c>
      <c r="J524" s="136" t="s">
        <v>4519</v>
      </c>
      <c r="K524" s="136">
        <v>1000013917</v>
      </c>
      <c r="L524" s="138">
        <v>0</v>
      </c>
      <c r="M524" s="138">
        <v>303347.25</v>
      </c>
      <c r="N524" s="136" t="s">
        <v>4425</v>
      </c>
      <c r="O524" s="136" t="s">
        <v>4426</v>
      </c>
      <c r="P524" s="136" t="s">
        <v>4427</v>
      </c>
      <c r="Q524" s="136" t="s">
        <v>4428</v>
      </c>
      <c r="R524" s="136">
        <v>0</v>
      </c>
      <c r="S524" s="142">
        <f>(Tabla18[[#This Row],[Debe]]-Tabla18[[#This Row],[Haber]])*
SUMIF('0_Indice_CAC'!$A:$A,Tabla18[[#This Row],[Mes]],'0_Indice_CAC'!$D:$D)</f>
        <v>-256334.83612321713</v>
      </c>
      <c r="T524" s="142">
        <f>Tabla18[[#This Row],[Debe]]-Tabla18[[#This Row],[Haber]]</f>
        <v>-303347.25</v>
      </c>
      <c r="U524" s="322"/>
      <c r="V524" s="323"/>
      <c r="W524" s="142">
        <f t="shared" si="10"/>
        <v>-303347.25</v>
      </c>
      <c r="X524" s="142" t="b">
        <f>ISNUMBER(MATCH(A524,'3_Control_Ppto'!$A$4:$A$70,0))</f>
        <v>1</v>
      </c>
      <c r="Y524" s="136"/>
    </row>
    <row r="525" spans="1:25" ht="12" customHeight="1" x14ac:dyDescent="0.3">
      <c r="A525" s="140" t="s">
        <v>4317</v>
      </c>
      <c r="B525" s="140" t="s">
        <v>56</v>
      </c>
      <c r="C525" s="549">
        <f>+EOMONTH(Tabla18[[#This Row],[Fecha Asiento]],-1)+1</f>
        <v>45931</v>
      </c>
      <c r="D525" s="136">
        <v>52302</v>
      </c>
      <c r="E525" s="136" t="s">
        <v>4444</v>
      </c>
      <c r="F525" s="141">
        <v>45961</v>
      </c>
      <c r="G525" s="136">
        <v>5584</v>
      </c>
      <c r="H525" s="136" t="s">
        <v>4533</v>
      </c>
      <c r="I525" s="136" t="s">
        <v>4532</v>
      </c>
      <c r="J525" s="136" t="s">
        <v>4455</v>
      </c>
      <c r="K525" s="136">
        <v>217201868522</v>
      </c>
      <c r="L525" s="138">
        <v>905.28</v>
      </c>
      <c r="M525" s="138">
        <v>0</v>
      </c>
      <c r="N525" s="136" t="s">
        <v>4425</v>
      </c>
      <c r="O525" s="136" t="s">
        <v>4426</v>
      </c>
      <c r="P525" s="136" t="s">
        <v>4427</v>
      </c>
      <c r="Q525" s="136" t="s">
        <v>4428</v>
      </c>
      <c r="R525" s="136">
        <v>0</v>
      </c>
      <c r="S525" s="142">
        <f>(Tabla18[[#This Row],[Debe]]-Tabla18[[#This Row],[Haber]])*
SUMIF('0_Indice_CAC'!$A:$A,Tabla18[[#This Row],[Mes]],'0_Indice_CAC'!$D:$D)</f>
        <v>764.98072900158479</v>
      </c>
      <c r="T525" s="142">
        <f>Tabla18[[#This Row],[Debe]]-Tabla18[[#This Row],[Haber]]</f>
        <v>905.28</v>
      </c>
      <c r="U525" s="322"/>
      <c r="V525" s="323"/>
      <c r="W525" s="142">
        <f t="shared" si="10"/>
        <v>905.28</v>
      </c>
      <c r="X525" s="142" t="b">
        <f>ISNUMBER(MATCH(A525,'3_Control_Ppto'!$A$4:$A$70,0))</f>
        <v>1</v>
      </c>
      <c r="Y525" s="136"/>
    </row>
    <row r="526" spans="1:25" ht="12" customHeight="1" x14ac:dyDescent="0.3">
      <c r="A526" s="140" t="s">
        <v>4317</v>
      </c>
      <c r="B526" s="140" t="s">
        <v>56</v>
      </c>
      <c r="C526" s="549">
        <f>+EOMONTH(Tabla18[[#This Row],[Fecha Asiento]],-1)+1</f>
        <v>45931</v>
      </c>
      <c r="D526" s="136">
        <v>52302</v>
      </c>
      <c r="E526" s="136" t="s">
        <v>4444</v>
      </c>
      <c r="F526" s="141">
        <v>45961</v>
      </c>
      <c r="G526" s="136">
        <v>5584</v>
      </c>
      <c r="H526" s="136" t="s">
        <v>4771</v>
      </c>
      <c r="I526" s="136" t="s">
        <v>4532</v>
      </c>
      <c r="J526" s="136" t="s">
        <v>4455</v>
      </c>
      <c r="K526" s="136">
        <v>217201868522</v>
      </c>
      <c r="L526" s="138">
        <v>46929.15</v>
      </c>
      <c r="M526" s="138">
        <v>0</v>
      </c>
      <c r="N526" s="136" t="s">
        <v>4425</v>
      </c>
      <c r="O526" s="136" t="s">
        <v>4426</v>
      </c>
      <c r="P526" s="136" t="s">
        <v>4427</v>
      </c>
      <c r="Q526" s="136" t="s">
        <v>4428</v>
      </c>
      <c r="R526" s="136">
        <v>0</v>
      </c>
      <c r="S526" s="142">
        <f>(Tabla18[[#This Row],[Debe]]-Tabla18[[#This Row],[Haber]])*
SUMIF('0_Indice_CAC'!$A:$A,Tabla18[[#This Row],[Mes]],'0_Indice_CAC'!$D:$D)</f>
        <v>39656.12338549921</v>
      </c>
      <c r="T526" s="142">
        <f>Tabla18[[#This Row],[Debe]]-Tabla18[[#This Row],[Haber]]</f>
        <v>46929.15</v>
      </c>
      <c r="U526" s="322"/>
      <c r="V526" s="323"/>
      <c r="W526" s="142">
        <f t="shared" si="10"/>
        <v>46929.15</v>
      </c>
      <c r="X526" s="142" t="b">
        <f>ISNUMBER(MATCH(A526,'3_Control_Ppto'!$A$4:$A$70,0))</f>
        <v>1</v>
      </c>
      <c r="Y526" s="136"/>
    </row>
    <row r="527" spans="1:25" ht="12" customHeight="1" x14ac:dyDescent="0.3">
      <c r="A527" s="140" t="s">
        <v>4317</v>
      </c>
      <c r="B527" s="140" t="s">
        <v>56</v>
      </c>
      <c r="C527" s="549">
        <f>+EOMONTH(Tabla18[[#This Row],[Fecha Asiento]],-1)+1</f>
        <v>45931</v>
      </c>
      <c r="D527" s="136">
        <v>52302</v>
      </c>
      <c r="E527" s="136" t="s">
        <v>4444</v>
      </c>
      <c r="F527" s="141">
        <v>45961</v>
      </c>
      <c r="G527" s="136">
        <v>5584</v>
      </c>
      <c r="H527" s="136" t="s">
        <v>4772</v>
      </c>
      <c r="I527" s="136" t="s">
        <v>4532</v>
      </c>
      <c r="J527" s="136" t="s">
        <v>4455</v>
      </c>
      <c r="K527" s="136">
        <v>217201868522</v>
      </c>
      <c r="L527" s="138">
        <v>18686.330000000002</v>
      </c>
      <c r="M527" s="138">
        <v>0</v>
      </c>
      <c r="N527" s="136" t="s">
        <v>4425</v>
      </c>
      <c r="O527" s="136" t="s">
        <v>4426</v>
      </c>
      <c r="P527" s="136" t="s">
        <v>4427</v>
      </c>
      <c r="Q527" s="136" t="s">
        <v>4428</v>
      </c>
      <c r="R527" s="136">
        <v>0</v>
      </c>
      <c r="S527" s="142">
        <f>(Tabla18[[#This Row],[Debe]]-Tabla18[[#This Row],[Haber]])*
SUMIF('0_Indice_CAC'!$A:$A,Tabla18[[#This Row],[Mes]],'0_Indice_CAC'!$D:$D)</f>
        <v>15790.343701135766</v>
      </c>
      <c r="T527" s="142">
        <f>Tabla18[[#This Row],[Debe]]-Tabla18[[#This Row],[Haber]]</f>
        <v>18686.330000000002</v>
      </c>
      <c r="U527" s="322"/>
      <c r="V527" s="323"/>
      <c r="W527" s="142">
        <f t="shared" si="10"/>
        <v>18686.330000000002</v>
      </c>
      <c r="X527" s="142" t="b">
        <f>ISNUMBER(MATCH(A527,'3_Control_Ppto'!$A$4:$A$70,0))</f>
        <v>1</v>
      </c>
      <c r="Y527" s="136"/>
    </row>
    <row r="528" spans="1:25" ht="12" customHeight="1" x14ac:dyDescent="0.3">
      <c r="A528" s="140" t="s">
        <v>4317</v>
      </c>
      <c r="B528" s="140" t="s">
        <v>56</v>
      </c>
      <c r="C528" s="549">
        <f>+EOMONTH(Tabla18[[#This Row],[Fecha Asiento]],-1)+1</f>
        <v>45931</v>
      </c>
      <c r="D528" s="136">
        <v>52302</v>
      </c>
      <c r="E528" s="136" t="s">
        <v>4444</v>
      </c>
      <c r="F528" s="141">
        <v>45961</v>
      </c>
      <c r="G528" s="136">
        <v>5584</v>
      </c>
      <c r="H528" s="136" t="s">
        <v>4534</v>
      </c>
      <c r="I528" s="136" t="s">
        <v>4532</v>
      </c>
      <c r="J528" s="136" t="s">
        <v>4455</v>
      </c>
      <c r="K528" s="136">
        <v>217201868522</v>
      </c>
      <c r="L528" s="138">
        <v>11593.87</v>
      </c>
      <c r="M528" s="138">
        <v>0</v>
      </c>
      <c r="N528" s="136" t="s">
        <v>4425</v>
      </c>
      <c r="O528" s="136" t="s">
        <v>4426</v>
      </c>
      <c r="P528" s="136" t="s">
        <v>4427</v>
      </c>
      <c r="Q528" s="136" t="s">
        <v>4428</v>
      </c>
      <c r="R528" s="136">
        <v>0</v>
      </c>
      <c r="S528" s="142">
        <f>(Tabla18[[#This Row],[Debe]]-Tabla18[[#This Row],[Haber]])*
SUMIF('0_Indice_CAC'!$A:$A,Tabla18[[#This Row],[Mes]],'0_Indice_CAC'!$D:$D)</f>
        <v>9797.0651340464883</v>
      </c>
      <c r="T528" s="142">
        <f>Tabla18[[#This Row],[Debe]]-Tabla18[[#This Row],[Haber]]</f>
        <v>11593.87</v>
      </c>
      <c r="U528" s="322"/>
      <c r="V528" s="323"/>
      <c r="W528" s="142">
        <f t="shared" si="10"/>
        <v>11593.87</v>
      </c>
      <c r="X528" s="142" t="b">
        <f>ISNUMBER(MATCH(A528,'3_Control_Ppto'!$A$4:$A$70,0))</f>
        <v>1</v>
      </c>
      <c r="Y528" s="136"/>
    </row>
    <row r="529" spans="1:25" ht="12" customHeight="1" x14ac:dyDescent="0.3">
      <c r="A529" s="140" t="s">
        <v>1478</v>
      </c>
      <c r="B529" s="140" t="s">
        <v>4090</v>
      </c>
      <c r="C529" s="549">
        <f>+EOMONTH(Tabla18[[#This Row],[Fecha Asiento]],-1)+1</f>
        <v>45931</v>
      </c>
      <c r="D529" s="136">
        <v>53004</v>
      </c>
      <c r="E529" s="136" t="s">
        <v>4496</v>
      </c>
      <c r="F529" s="141">
        <v>45961</v>
      </c>
      <c r="G529" s="136">
        <v>5650</v>
      </c>
      <c r="H529" s="136" t="s">
        <v>4676</v>
      </c>
      <c r="I529" s="136" t="s">
        <v>4630</v>
      </c>
      <c r="J529" s="136" t="s">
        <v>4455</v>
      </c>
      <c r="K529" s="136">
        <v>1500087118</v>
      </c>
      <c r="L529" s="138">
        <v>235213.32</v>
      </c>
      <c r="M529" s="138">
        <v>0</v>
      </c>
      <c r="N529" s="136" t="s">
        <v>4425</v>
      </c>
      <c r="O529" s="136" t="s">
        <v>4426</v>
      </c>
      <c r="P529" s="136" t="s">
        <v>4427</v>
      </c>
      <c r="Q529" s="136" t="s">
        <v>4428</v>
      </c>
      <c r="R529" s="136">
        <v>0</v>
      </c>
      <c r="S529" s="142">
        <f>(Tabla18[[#This Row],[Debe]]-Tabla18[[#This Row],[Haber]])*
SUMIF('0_Indice_CAC'!$A:$A,Tabla18[[#This Row],[Mes]],'0_Indice_CAC'!$D:$D)</f>
        <v>198760.22557052301</v>
      </c>
      <c r="T529" s="142">
        <f>Tabla18[[#This Row],[Debe]]-Tabla18[[#This Row],[Haber]]</f>
        <v>235213.32</v>
      </c>
      <c r="U529" s="322"/>
      <c r="V529" s="323"/>
      <c r="W529" s="142">
        <f t="shared" si="10"/>
        <v>235213.32</v>
      </c>
      <c r="X529" s="142" t="b">
        <f>ISNUMBER(MATCH(A529,'3_Control_Ppto'!$A$4:$A$70,0))</f>
        <v>1</v>
      </c>
      <c r="Y529" s="136"/>
    </row>
    <row r="530" spans="1:25" ht="12" customHeight="1" x14ac:dyDescent="0.3">
      <c r="A530" s="140" t="s">
        <v>4119</v>
      </c>
      <c r="B530" s="140" t="s">
        <v>56</v>
      </c>
      <c r="C530" s="549">
        <f>+EOMONTH(Tabla18[[#This Row],[Fecha Asiento]],-1)+1</f>
        <v>45962</v>
      </c>
      <c r="D530" s="136">
        <v>52104</v>
      </c>
      <c r="E530" s="136" t="s">
        <v>4528</v>
      </c>
      <c r="F530" s="141">
        <v>45962</v>
      </c>
      <c r="G530" s="136">
        <v>19</v>
      </c>
      <c r="H530" s="136" t="s">
        <v>4655</v>
      </c>
      <c r="I530" s="136" t="s">
        <v>4656</v>
      </c>
      <c r="J530" s="136" t="s">
        <v>4455</v>
      </c>
      <c r="K530" s="136">
        <v>1100001734</v>
      </c>
      <c r="L530" s="138">
        <v>460000</v>
      </c>
      <c r="M530" s="138">
        <v>0</v>
      </c>
      <c r="N530" s="136" t="s">
        <v>4425</v>
      </c>
      <c r="O530" s="136" t="s">
        <v>4426</v>
      </c>
      <c r="P530" s="136" t="s">
        <v>4427</v>
      </c>
      <c r="Q530" s="136" t="s">
        <v>4428</v>
      </c>
      <c r="R530" s="136">
        <v>0</v>
      </c>
      <c r="S530" s="142">
        <f>(Tabla18[[#This Row],[Debe]]-Tabla18[[#This Row],[Haber]])*
SUMIF('0_Indice_CAC'!$A:$A,Tabla18[[#This Row],[Mes]],'0_Indice_CAC'!$D:$D)</f>
        <v>381115.84092711582</v>
      </c>
      <c r="T530" s="142">
        <f>Tabla18[[#This Row],[Debe]]-Tabla18[[#This Row],[Haber]]</f>
        <v>460000</v>
      </c>
      <c r="U530" s="322"/>
      <c r="V530" s="323"/>
      <c r="W530" s="142">
        <f t="shared" si="10"/>
        <v>460000</v>
      </c>
      <c r="X530" s="142" t="b">
        <f>ISNUMBER(MATCH(A530,'3_Control_Ppto'!$A$4:$A$70,0))</f>
        <v>1</v>
      </c>
      <c r="Y530" s="136"/>
    </row>
    <row r="531" spans="1:25" ht="12" customHeight="1" x14ac:dyDescent="0.3">
      <c r="A531" s="140" t="s">
        <v>4119</v>
      </c>
      <c r="B531" s="140" t="s">
        <v>56</v>
      </c>
      <c r="C531" s="549">
        <f>+EOMONTH(Tabla18[[#This Row],[Fecha Asiento]],-1)+1</f>
        <v>45962</v>
      </c>
      <c r="D531" s="136">
        <v>52104</v>
      </c>
      <c r="E531" s="136" t="s">
        <v>4528</v>
      </c>
      <c r="F531" s="141">
        <v>45962</v>
      </c>
      <c r="G531" s="136">
        <v>2339</v>
      </c>
      <c r="H531" s="136" t="s">
        <v>4655</v>
      </c>
      <c r="I531" s="136" t="s">
        <v>4656</v>
      </c>
      <c r="J531" s="136" t="s">
        <v>4455</v>
      </c>
      <c r="K531" s="136">
        <v>1100001208</v>
      </c>
      <c r="L531" s="138">
        <v>132000</v>
      </c>
      <c r="M531" s="138">
        <v>0</v>
      </c>
      <c r="N531" s="136" t="s">
        <v>4425</v>
      </c>
      <c r="O531" s="136" t="s">
        <v>4426</v>
      </c>
      <c r="P531" s="136" t="s">
        <v>4427</v>
      </c>
      <c r="Q531" s="136" t="s">
        <v>4428</v>
      </c>
      <c r="R531" s="136">
        <v>0</v>
      </c>
      <c r="S531" s="142">
        <f>(Tabla18[[#This Row],[Debe]]-Tabla18[[#This Row],[Haber]])*
SUMIF('0_Indice_CAC'!$A:$A,Tabla18[[#This Row],[Mes]],'0_Indice_CAC'!$D:$D)</f>
        <v>109363.6760921289</v>
      </c>
      <c r="T531" s="142">
        <f>Tabla18[[#This Row],[Debe]]-Tabla18[[#This Row],[Haber]]</f>
        <v>132000</v>
      </c>
      <c r="U531" s="322"/>
      <c r="V531" s="323"/>
      <c r="W531" s="142">
        <f t="shared" si="10"/>
        <v>132000</v>
      </c>
      <c r="X531" s="142" t="b">
        <f>ISNUMBER(MATCH(A531,'3_Control_Ppto'!$A$4:$A$70,0))</f>
        <v>1</v>
      </c>
      <c r="Y531" s="136"/>
    </row>
    <row r="532" spans="1:25" ht="12" customHeight="1" x14ac:dyDescent="0.3">
      <c r="A532" s="140" t="s">
        <v>25</v>
      </c>
      <c r="B532" s="140" t="s">
        <v>25</v>
      </c>
      <c r="C532" s="549">
        <f>+EOMONTH(Tabla18[[#This Row],[Fecha Asiento]],-1)+1</f>
        <v>45962</v>
      </c>
      <c r="D532" s="136">
        <v>52202</v>
      </c>
      <c r="E532" s="136" t="s">
        <v>4773</v>
      </c>
      <c r="F532" s="141">
        <v>45964</v>
      </c>
      <c r="G532" s="136">
        <v>5</v>
      </c>
      <c r="H532" s="136" t="s">
        <v>4774</v>
      </c>
      <c r="I532" s="136" t="s">
        <v>4423</v>
      </c>
      <c r="J532" s="136" t="s">
        <v>4424</v>
      </c>
      <c r="K532" s="136">
        <v>7826</v>
      </c>
      <c r="L532" s="138">
        <v>1500000</v>
      </c>
      <c r="M532" s="138">
        <v>0</v>
      </c>
      <c r="N532" s="136" t="s">
        <v>4425</v>
      </c>
      <c r="O532" s="136" t="s">
        <v>4426</v>
      </c>
      <c r="P532" s="136" t="s">
        <v>4427</v>
      </c>
      <c r="Q532" s="136" t="s">
        <v>4428</v>
      </c>
      <c r="R532" s="136">
        <v>0</v>
      </c>
      <c r="S532" s="142">
        <f>(Tabla18[[#This Row],[Debe]]-Tabla18[[#This Row],[Haber]])*
SUMIF('0_Indice_CAC'!$A:$A,Tabla18[[#This Row],[Mes]],'0_Indice_CAC'!$D:$D)</f>
        <v>1242769.0465014647</v>
      </c>
      <c r="T532" s="142">
        <f>Tabla18[[#This Row],[Debe]]-Tabla18[[#This Row],[Haber]]</f>
        <v>1500000</v>
      </c>
      <c r="U532" s="322"/>
      <c r="V532" s="323"/>
      <c r="W532" s="142">
        <f t="shared" si="10"/>
        <v>1500000</v>
      </c>
      <c r="X532" s="142" t="b">
        <f>ISNUMBER(MATCH(A532,'3_Control_Ppto'!$A$4:$A$70,0))</f>
        <v>0</v>
      </c>
      <c r="Y532" s="136"/>
    </row>
    <row r="533" spans="1:25" ht="12" customHeight="1" x14ac:dyDescent="0.3">
      <c r="A533" s="140" t="s">
        <v>25</v>
      </c>
      <c r="B533" s="140" t="s">
        <v>25</v>
      </c>
      <c r="C533" s="549">
        <f>+EOMONTH(Tabla18[[#This Row],[Fecha Asiento]],-1)+1</f>
        <v>45962</v>
      </c>
      <c r="D533" s="136">
        <v>52206</v>
      </c>
      <c r="E533" s="136" t="s">
        <v>4441</v>
      </c>
      <c r="F533" s="141">
        <v>45964</v>
      </c>
      <c r="G533" s="136">
        <v>4</v>
      </c>
      <c r="H533" s="136" t="s">
        <v>4775</v>
      </c>
      <c r="I533" s="136" t="s">
        <v>4423</v>
      </c>
      <c r="J533" s="136" t="s">
        <v>4424</v>
      </c>
      <c r="K533" s="136">
        <v>7825</v>
      </c>
      <c r="L533" s="138">
        <v>3500000</v>
      </c>
      <c r="M533" s="138">
        <v>0</v>
      </c>
      <c r="N533" s="136" t="s">
        <v>4425</v>
      </c>
      <c r="O533" s="136" t="s">
        <v>4426</v>
      </c>
      <c r="P533" s="136" t="s">
        <v>4427</v>
      </c>
      <c r="Q533" s="136" t="s">
        <v>4428</v>
      </c>
      <c r="R533" s="136">
        <v>0</v>
      </c>
      <c r="S533" s="142">
        <f>(Tabla18[[#This Row],[Debe]]-Tabla18[[#This Row],[Haber]])*
SUMIF('0_Indice_CAC'!$A:$A,Tabla18[[#This Row],[Mes]],'0_Indice_CAC'!$D:$D)</f>
        <v>2899794.4418367511</v>
      </c>
      <c r="T533" s="142">
        <f>Tabla18[[#This Row],[Debe]]-Tabla18[[#This Row],[Haber]]</f>
        <v>3500000</v>
      </c>
      <c r="U533" s="322"/>
      <c r="V533" s="323"/>
      <c r="W533" s="142">
        <f t="shared" si="10"/>
        <v>3500000</v>
      </c>
      <c r="X533" s="142" t="b">
        <f>ISNUMBER(MATCH(A533,'3_Control_Ppto'!$A$4:$A$70,0))</f>
        <v>0</v>
      </c>
      <c r="Y533" s="136"/>
    </row>
    <row r="534" spans="1:25" ht="12" customHeight="1" x14ac:dyDescent="0.3">
      <c r="A534" s="140" t="s">
        <v>3219</v>
      </c>
      <c r="B534" s="140" t="s">
        <v>4090</v>
      </c>
      <c r="C534" s="549">
        <f>+EOMONTH(Tabla18[[#This Row],[Fecha Asiento]],-1)+1</f>
        <v>45962</v>
      </c>
      <c r="D534" s="136">
        <v>53019</v>
      </c>
      <c r="E534" s="136" t="s">
        <v>4461</v>
      </c>
      <c r="F534" s="141">
        <v>45964</v>
      </c>
      <c r="G534" s="136">
        <v>429</v>
      </c>
      <c r="H534" s="136" t="s">
        <v>4462</v>
      </c>
      <c r="I534" s="136" t="s">
        <v>4463</v>
      </c>
      <c r="J534" s="136" t="s">
        <v>4455</v>
      </c>
      <c r="K534" s="136">
        <v>300009385</v>
      </c>
      <c r="L534" s="138">
        <v>48821.94</v>
      </c>
      <c r="M534" s="138">
        <v>0</v>
      </c>
      <c r="N534" s="136" t="s">
        <v>4425</v>
      </c>
      <c r="O534" s="136" t="s">
        <v>4426</v>
      </c>
      <c r="P534" s="136" t="s">
        <v>4427</v>
      </c>
      <c r="Q534" s="136" t="s">
        <v>4428</v>
      </c>
      <c r="R534" s="136">
        <v>0</v>
      </c>
      <c r="S534" s="142">
        <f>(Tabla18[[#This Row],[Debe]]-Tabla18[[#This Row],[Haber]])*
SUMIF('0_Indice_CAC'!$A:$A,Tabla18[[#This Row],[Mes]],'0_Indice_CAC'!$D:$D)</f>
        <v>40449.597214767811</v>
      </c>
      <c r="T534" s="142">
        <f>Tabla18[[#This Row],[Debe]]-Tabla18[[#This Row],[Haber]]</f>
        <v>48821.94</v>
      </c>
      <c r="U534" s="322"/>
      <c r="V534" s="323"/>
      <c r="W534" s="142">
        <f t="shared" si="10"/>
        <v>48821.94</v>
      </c>
      <c r="X534" s="142" t="b">
        <f>ISNUMBER(MATCH(A534,'3_Control_Ppto'!$A$4:$A$70,0))</f>
        <v>1</v>
      </c>
      <c r="Y534" s="136"/>
    </row>
    <row r="535" spans="1:25" ht="12" customHeight="1" x14ac:dyDescent="0.3">
      <c r="A535" s="140" t="s">
        <v>4317</v>
      </c>
      <c r="B535" s="140" t="s">
        <v>56</v>
      </c>
      <c r="C535" s="549">
        <f>+EOMONTH(Tabla18[[#This Row],[Fecha Asiento]],-1)+1</f>
        <v>45962</v>
      </c>
      <c r="D535" s="136">
        <v>52102</v>
      </c>
      <c r="E535" s="136" t="s">
        <v>4535</v>
      </c>
      <c r="F535" s="141">
        <v>45965</v>
      </c>
      <c r="G535" s="136">
        <v>195</v>
      </c>
      <c r="H535" s="136" t="s">
        <v>4633</v>
      </c>
      <c r="I535" s="136" t="s">
        <v>4634</v>
      </c>
      <c r="J535" s="136" t="s">
        <v>4542</v>
      </c>
      <c r="K535" s="136">
        <v>400007304</v>
      </c>
      <c r="L535" s="138">
        <v>29600</v>
      </c>
      <c r="M535" s="138">
        <v>0</v>
      </c>
      <c r="N535" s="136" t="s">
        <v>4425</v>
      </c>
      <c r="O535" s="136" t="s">
        <v>4426</v>
      </c>
      <c r="P535" s="136" t="s">
        <v>4427</v>
      </c>
      <c r="Q535" s="136" t="s">
        <v>4428</v>
      </c>
      <c r="R535" s="136">
        <v>0</v>
      </c>
      <c r="S535" s="142">
        <f>(Tabla18[[#This Row],[Debe]]-Tabla18[[#This Row],[Haber]])*
SUMIF('0_Indice_CAC'!$A:$A,Tabla18[[#This Row],[Mes]],'0_Indice_CAC'!$D:$D)</f>
        <v>24523.975850962237</v>
      </c>
      <c r="T535" s="142">
        <f>Tabla18[[#This Row],[Debe]]-Tabla18[[#This Row],[Haber]]</f>
        <v>29600</v>
      </c>
      <c r="U535" s="322"/>
      <c r="V535" s="323"/>
      <c r="W535" s="142">
        <f t="shared" si="10"/>
        <v>29600</v>
      </c>
      <c r="X535" s="142" t="b">
        <f>ISNUMBER(MATCH(A535,'3_Control_Ppto'!$A$4:$A$70,0))</f>
        <v>1</v>
      </c>
      <c r="Y535" s="136"/>
    </row>
    <row r="536" spans="1:25" ht="12" customHeight="1" x14ac:dyDescent="0.3">
      <c r="A536" s="140" t="s">
        <v>106</v>
      </c>
      <c r="B536" s="140" t="s">
        <v>4090</v>
      </c>
      <c r="C536" s="549">
        <f>+EOMONTH(Tabla18[[#This Row],[Fecha Asiento]],-1)+1</f>
        <v>45962</v>
      </c>
      <c r="D536" s="136">
        <v>53023</v>
      </c>
      <c r="E536" s="136" t="s">
        <v>4467</v>
      </c>
      <c r="F536" s="141">
        <v>45965</v>
      </c>
      <c r="G536" s="136">
        <v>30</v>
      </c>
      <c r="H536" s="136" t="s">
        <v>4475</v>
      </c>
      <c r="I536" s="136" t="s">
        <v>4471</v>
      </c>
      <c r="J536" s="136" t="s">
        <v>4455</v>
      </c>
      <c r="K536" s="136">
        <v>1000212592</v>
      </c>
      <c r="L536" s="138">
        <v>74111.42</v>
      </c>
      <c r="M536" s="138">
        <v>0</v>
      </c>
      <c r="N536" s="136" t="s">
        <v>4425</v>
      </c>
      <c r="O536" s="136" t="s">
        <v>4426</v>
      </c>
      <c r="P536" s="136" t="s">
        <v>4427</v>
      </c>
      <c r="Q536" s="136" t="s">
        <v>4428</v>
      </c>
      <c r="R536" s="136">
        <v>0</v>
      </c>
      <c r="S536" s="142">
        <f>(Tabla18[[#This Row],[Debe]]-Tabla18[[#This Row],[Haber]])*
SUMIF('0_Indice_CAC'!$A:$A,Tabla18[[#This Row],[Mes]],'0_Indice_CAC'!$D:$D)</f>
        <v>61402.252512179715</v>
      </c>
      <c r="T536" s="142">
        <f>Tabla18[[#This Row],[Debe]]-Tabla18[[#This Row],[Haber]]</f>
        <v>74111.42</v>
      </c>
      <c r="U536" s="322"/>
      <c r="V536" s="323"/>
      <c r="W536" s="142">
        <f t="shared" si="10"/>
        <v>74111.42</v>
      </c>
      <c r="X536" s="142" t="b">
        <f>ISNUMBER(MATCH(A536,'3_Control_Ppto'!$A$4:$A$70,0))</f>
        <v>1</v>
      </c>
      <c r="Y536" s="136"/>
    </row>
    <row r="537" spans="1:25" ht="12" customHeight="1" x14ac:dyDescent="0.3">
      <c r="A537" s="140" t="s">
        <v>106</v>
      </c>
      <c r="B537" s="140" t="s">
        <v>4090</v>
      </c>
      <c r="C537" s="549">
        <f>+EOMONTH(Tabla18[[#This Row],[Fecha Asiento]],-1)+1</f>
        <v>45962</v>
      </c>
      <c r="D537" s="136">
        <v>53023</v>
      </c>
      <c r="E537" s="136" t="s">
        <v>4467</v>
      </c>
      <c r="F537" s="141">
        <v>45965</v>
      </c>
      <c r="G537" s="136">
        <v>30</v>
      </c>
      <c r="H537" s="136" t="s">
        <v>4475</v>
      </c>
      <c r="I537" s="136" t="s">
        <v>4471</v>
      </c>
      <c r="J537" s="136" t="s">
        <v>4455</v>
      </c>
      <c r="K537" s="136">
        <v>1000212592</v>
      </c>
      <c r="L537" s="138">
        <v>14588.1</v>
      </c>
      <c r="M537" s="138">
        <v>0</v>
      </c>
      <c r="N537" s="136" t="s">
        <v>4425</v>
      </c>
      <c r="O537" s="136" t="s">
        <v>4426</v>
      </c>
      <c r="P537" s="136" t="s">
        <v>4427</v>
      </c>
      <c r="Q537" s="136" t="s">
        <v>4428</v>
      </c>
      <c r="R537" s="136">
        <v>0</v>
      </c>
      <c r="S537" s="142">
        <f>(Tabla18[[#This Row],[Debe]]-Tabla18[[#This Row],[Haber]])*
SUMIF('0_Indice_CAC'!$A:$A,Tabla18[[#This Row],[Mes]],'0_Indice_CAC'!$D:$D)</f>
        <v>12086.426084845345</v>
      </c>
      <c r="T537" s="142">
        <f>Tabla18[[#This Row],[Debe]]-Tabla18[[#This Row],[Haber]]</f>
        <v>14588.1</v>
      </c>
      <c r="U537" s="322"/>
      <c r="V537" s="323"/>
      <c r="W537" s="142">
        <f t="shared" si="10"/>
        <v>14588.1</v>
      </c>
      <c r="X537" s="142" t="b">
        <f>ISNUMBER(MATCH(A537,'3_Control_Ppto'!$A$4:$A$70,0))</f>
        <v>1</v>
      </c>
      <c r="Y537" s="136"/>
    </row>
    <row r="538" spans="1:25" ht="12" customHeight="1" x14ac:dyDescent="0.3">
      <c r="A538" s="140" t="s">
        <v>4310</v>
      </c>
      <c r="B538" s="140" t="s">
        <v>56</v>
      </c>
      <c r="C538" s="549">
        <f>+EOMONTH(Tabla18[[#This Row],[Fecha Asiento]],-1)+1</f>
        <v>45962</v>
      </c>
      <c r="D538" s="136">
        <v>52204</v>
      </c>
      <c r="E538" s="136" t="s">
        <v>4452</v>
      </c>
      <c r="F538" s="141">
        <v>45966</v>
      </c>
      <c r="G538" s="136">
        <v>33</v>
      </c>
      <c r="H538" s="136" t="s">
        <v>4453</v>
      </c>
      <c r="I538" s="136" t="s">
        <v>4454</v>
      </c>
      <c r="J538" s="136" t="s">
        <v>4455</v>
      </c>
      <c r="K538" s="136">
        <v>300001370</v>
      </c>
      <c r="L538" s="138">
        <v>332000</v>
      </c>
      <c r="M538" s="138">
        <v>0</v>
      </c>
      <c r="N538" s="136" t="s">
        <v>4425</v>
      </c>
      <c r="O538" s="136" t="s">
        <v>4426</v>
      </c>
      <c r="P538" s="136" t="s">
        <v>4427</v>
      </c>
      <c r="Q538" s="136" t="s">
        <v>4428</v>
      </c>
      <c r="R538" s="136">
        <v>0</v>
      </c>
      <c r="S538" s="142">
        <f>(Tabla18[[#This Row],[Debe]]-Tabla18[[#This Row],[Haber]])*
SUMIF('0_Indice_CAC'!$A:$A,Tabla18[[#This Row],[Mes]],'0_Indice_CAC'!$D:$D)</f>
        <v>275066.21562565753</v>
      </c>
      <c r="T538" s="142">
        <f>Tabla18[[#This Row],[Debe]]-Tabla18[[#This Row],[Haber]]</f>
        <v>332000</v>
      </c>
      <c r="U538" s="322"/>
      <c r="V538" s="323"/>
      <c r="W538" s="142">
        <f t="shared" si="10"/>
        <v>332000</v>
      </c>
      <c r="X538" s="142" t="b">
        <f>ISNUMBER(MATCH(A538,'3_Control_Ppto'!$A$4:$A$70,0))</f>
        <v>1</v>
      </c>
      <c r="Y538" s="136"/>
    </row>
    <row r="539" spans="1:25" ht="12" customHeight="1" x14ac:dyDescent="0.3">
      <c r="A539" s="140" t="s">
        <v>1285</v>
      </c>
      <c r="B539" s="140" t="s">
        <v>4090</v>
      </c>
      <c r="C539" s="549">
        <f>+EOMONTH(Tabla18[[#This Row],[Fecha Asiento]],-1)+1</f>
        <v>45962</v>
      </c>
      <c r="D539" s="136">
        <v>53001</v>
      </c>
      <c r="E539" s="136" t="s">
        <v>4464</v>
      </c>
      <c r="F539" s="141">
        <v>45966</v>
      </c>
      <c r="G539" s="136">
        <v>32</v>
      </c>
      <c r="H539" s="136" t="s">
        <v>4776</v>
      </c>
      <c r="I539" s="136" t="s">
        <v>4767</v>
      </c>
      <c r="J539" s="136" t="s">
        <v>4455</v>
      </c>
      <c r="K539" s="136">
        <v>300001741</v>
      </c>
      <c r="L539" s="138">
        <v>202741.82</v>
      </c>
      <c r="M539" s="138">
        <v>0</v>
      </c>
      <c r="N539" s="136" t="s">
        <v>4425</v>
      </c>
      <c r="O539" s="136" t="s">
        <v>4426</v>
      </c>
      <c r="P539" s="136" t="s">
        <v>4427</v>
      </c>
      <c r="Q539" s="136" t="s">
        <v>4428</v>
      </c>
      <c r="R539" s="136">
        <v>0</v>
      </c>
      <c r="S539" s="142">
        <f>(Tabla18[[#This Row],[Debe]]-Tabla18[[#This Row],[Haber]])*
SUMIF('0_Indice_CAC'!$A:$A,Tabla18[[#This Row],[Mes]],'0_Indice_CAC'!$D:$D)</f>
        <v>167974.17221824772</v>
      </c>
      <c r="T539" s="142">
        <f>Tabla18[[#This Row],[Debe]]-Tabla18[[#This Row],[Haber]]</f>
        <v>202741.82</v>
      </c>
      <c r="U539" s="322"/>
      <c r="V539" s="323"/>
      <c r="W539" s="142">
        <f t="shared" si="10"/>
        <v>202741.82</v>
      </c>
      <c r="X539" s="142" t="b">
        <f>ISNUMBER(MATCH(A539,'3_Control_Ppto'!$A$4:$A$70,0))</f>
        <v>1</v>
      </c>
      <c r="Y539" s="136"/>
    </row>
    <row r="540" spans="1:25" ht="12" customHeight="1" x14ac:dyDescent="0.3">
      <c r="A540" s="140" t="s">
        <v>106</v>
      </c>
      <c r="B540" s="140" t="s">
        <v>25</v>
      </c>
      <c r="C540" s="549">
        <f>+EOMONTH(Tabla18[[#This Row],[Fecha Asiento]],-1)+1</f>
        <v>45962</v>
      </c>
      <c r="D540" s="136">
        <v>53009</v>
      </c>
      <c r="E540" s="136" t="s">
        <v>4446</v>
      </c>
      <c r="F540" s="141">
        <v>45967</v>
      </c>
      <c r="G540" s="136">
        <v>29</v>
      </c>
      <c r="H540" s="136" t="s">
        <v>4777</v>
      </c>
      <c r="I540" s="136" t="s">
        <v>4423</v>
      </c>
      <c r="J540" s="136" t="s">
        <v>4424</v>
      </c>
      <c r="K540" s="136">
        <v>7954</v>
      </c>
      <c r="L540" s="138">
        <v>3634000</v>
      </c>
      <c r="M540" s="138">
        <v>0</v>
      </c>
      <c r="N540" s="136" t="s">
        <v>4425</v>
      </c>
      <c r="O540" s="136" t="s">
        <v>4426</v>
      </c>
      <c r="P540" s="136" t="s">
        <v>4427</v>
      </c>
      <c r="Q540" s="136" t="s">
        <v>4428</v>
      </c>
      <c r="R540" s="136">
        <v>0</v>
      </c>
      <c r="S540" s="142">
        <f>(Tabla18[[#This Row],[Debe]]-Tabla18[[#This Row],[Haber]])*
SUMIF('0_Indice_CAC'!$A:$A,Tabla18[[#This Row],[Mes]],'0_Indice_CAC'!$D:$D)</f>
        <v>3010815.143324215</v>
      </c>
      <c r="T540" s="142">
        <f>Tabla18[[#This Row],[Debe]]-Tabla18[[#This Row],[Haber]]</f>
        <v>3634000</v>
      </c>
      <c r="U540" s="322"/>
      <c r="V540" s="323"/>
      <c r="W540" s="142">
        <f t="shared" si="10"/>
        <v>3634000</v>
      </c>
      <c r="X540" s="142" t="b">
        <f>ISNUMBER(MATCH(A540,'3_Control_Ppto'!$A$4:$A$70,0))</f>
        <v>1</v>
      </c>
      <c r="Y540" s="136"/>
    </row>
    <row r="541" spans="1:25" ht="12" customHeight="1" x14ac:dyDescent="0.3">
      <c r="A541" s="140" t="s">
        <v>106</v>
      </c>
      <c r="B541" s="140" t="s">
        <v>4090</v>
      </c>
      <c r="C541" s="549">
        <f>+EOMONTH(Tabla18[[#This Row],[Fecha Asiento]],-1)+1</f>
        <v>45962</v>
      </c>
      <c r="D541" s="136">
        <v>53023</v>
      </c>
      <c r="E541" s="136" t="s">
        <v>4467</v>
      </c>
      <c r="F541" s="141">
        <v>45967</v>
      </c>
      <c r="G541" s="136">
        <v>198</v>
      </c>
      <c r="H541" s="136" t="s">
        <v>4778</v>
      </c>
      <c r="I541" s="136" t="s">
        <v>4506</v>
      </c>
      <c r="J541" s="136" t="s">
        <v>4455</v>
      </c>
      <c r="K541" s="136">
        <v>1400069047</v>
      </c>
      <c r="L541" s="138">
        <v>5405.9</v>
      </c>
      <c r="M541" s="138">
        <v>0</v>
      </c>
      <c r="N541" s="136" t="s">
        <v>4425</v>
      </c>
      <c r="O541" s="136" t="s">
        <v>4426</v>
      </c>
      <c r="P541" s="136" t="s">
        <v>4427</v>
      </c>
      <c r="Q541" s="136" t="s">
        <v>4428</v>
      </c>
      <c r="R541" s="136">
        <v>0</v>
      </c>
      <c r="S541" s="142">
        <f>(Tabla18[[#This Row],[Debe]]-Tabla18[[#This Row],[Haber]])*
SUMIF('0_Indice_CAC'!$A:$A,Tabla18[[#This Row],[Mes]],'0_Indice_CAC'!$D:$D)</f>
        <v>4478.8567923215114</v>
      </c>
      <c r="T541" s="142">
        <f>Tabla18[[#This Row],[Debe]]-Tabla18[[#This Row],[Haber]]</f>
        <v>5405.9</v>
      </c>
      <c r="U541" s="322"/>
      <c r="V541" s="323"/>
      <c r="W541" s="142">
        <f t="shared" si="10"/>
        <v>5405.9</v>
      </c>
      <c r="X541" s="142" t="b">
        <f>ISNUMBER(MATCH(A541,'3_Control_Ppto'!$A$4:$A$70,0))</f>
        <v>1</v>
      </c>
      <c r="Y541" s="136"/>
    </row>
    <row r="542" spans="1:25" ht="12" customHeight="1" x14ac:dyDescent="0.3">
      <c r="A542" s="140" t="s">
        <v>4317</v>
      </c>
      <c r="B542" s="140" t="s">
        <v>56</v>
      </c>
      <c r="C542" s="549">
        <f>+EOMONTH(Tabla18[[#This Row],[Fecha Asiento]],-1)+1</f>
        <v>45962</v>
      </c>
      <c r="D542" s="136">
        <v>52103</v>
      </c>
      <c r="E542" s="136" t="s">
        <v>4477</v>
      </c>
      <c r="F542" s="141">
        <v>45968</v>
      </c>
      <c r="G542" s="136">
        <v>199</v>
      </c>
      <c r="H542" s="136" t="s">
        <v>4627</v>
      </c>
      <c r="I542" s="136" t="s">
        <v>4628</v>
      </c>
      <c r="J542" s="136" t="s">
        <v>4455</v>
      </c>
      <c r="K542" s="136">
        <v>800000478</v>
      </c>
      <c r="L542" s="138">
        <v>8264.4599999999991</v>
      </c>
      <c r="M542" s="138">
        <v>0</v>
      </c>
      <c r="N542" s="136" t="s">
        <v>4425</v>
      </c>
      <c r="O542" s="136" t="s">
        <v>4426</v>
      </c>
      <c r="P542" s="136" t="s">
        <v>4427</v>
      </c>
      <c r="Q542" s="136" t="s">
        <v>4428</v>
      </c>
      <c r="R542" s="136">
        <v>0</v>
      </c>
      <c r="S542" s="142">
        <f>(Tabla18[[#This Row],[Debe]]-Tabla18[[#This Row],[Haber]])*
SUMIF('0_Indice_CAC'!$A:$A,Tabla18[[#This Row],[Mes]],'0_Indice_CAC'!$D:$D)</f>
        <v>6847.2100493663293</v>
      </c>
      <c r="T542" s="142">
        <f>Tabla18[[#This Row],[Debe]]-Tabla18[[#This Row],[Haber]]</f>
        <v>8264.4599999999991</v>
      </c>
      <c r="U542" s="322"/>
      <c r="V542" s="323"/>
      <c r="W542" s="142">
        <f t="shared" si="10"/>
        <v>8264.4599999999991</v>
      </c>
      <c r="X542" s="142" t="b">
        <f>ISNUMBER(MATCH(A542,'3_Control_Ppto'!$A$4:$A$70,0))</f>
        <v>1</v>
      </c>
      <c r="Y542" s="136"/>
    </row>
    <row r="543" spans="1:25" ht="12" customHeight="1" x14ac:dyDescent="0.3">
      <c r="A543" s="140" t="s">
        <v>4317</v>
      </c>
      <c r="B543" s="140" t="s">
        <v>56</v>
      </c>
      <c r="C543" s="549">
        <f>+EOMONTH(Tabla18[[#This Row],[Fecha Asiento]],-1)+1</f>
        <v>45962</v>
      </c>
      <c r="D543" s="136">
        <v>52103</v>
      </c>
      <c r="E543" s="136" t="s">
        <v>4477</v>
      </c>
      <c r="F543" s="141">
        <v>45968</v>
      </c>
      <c r="G543" s="136">
        <v>200</v>
      </c>
      <c r="H543" s="136" t="s">
        <v>4569</v>
      </c>
      <c r="I543" s="136" t="s">
        <v>4570</v>
      </c>
      <c r="J543" s="136" t="s">
        <v>4455</v>
      </c>
      <c r="K543" s="136">
        <v>418100141337</v>
      </c>
      <c r="L543" s="138">
        <v>10264.299999999999</v>
      </c>
      <c r="M543" s="138">
        <v>0</v>
      </c>
      <c r="N543" s="136" t="s">
        <v>4425</v>
      </c>
      <c r="O543" s="136" t="s">
        <v>4426</v>
      </c>
      <c r="P543" s="136" t="s">
        <v>4427</v>
      </c>
      <c r="Q543" s="136" t="s">
        <v>4428</v>
      </c>
      <c r="R543" s="136">
        <v>0</v>
      </c>
      <c r="S543" s="142">
        <f>(Tabla18[[#This Row],[Debe]]-Tabla18[[#This Row],[Haber]])*
SUMIF('0_Indice_CAC'!$A:$A,Tabla18[[#This Row],[Mes]],'0_Indice_CAC'!$D:$D)</f>
        <v>8504.1028826699894</v>
      </c>
      <c r="T543" s="142">
        <f>Tabla18[[#This Row],[Debe]]-Tabla18[[#This Row],[Haber]]</f>
        <v>10264.299999999999</v>
      </c>
      <c r="U543" s="322"/>
      <c r="V543" s="323"/>
      <c r="W543" s="142">
        <f t="shared" si="10"/>
        <v>10264.299999999999</v>
      </c>
      <c r="X543" s="142" t="b">
        <f>ISNUMBER(MATCH(A543,'3_Control_Ppto'!$A$4:$A$70,0))</f>
        <v>1</v>
      </c>
      <c r="Y543" s="136"/>
    </row>
    <row r="544" spans="1:25" ht="12" customHeight="1" x14ac:dyDescent="0.3">
      <c r="A544" s="140" t="s">
        <v>4317</v>
      </c>
      <c r="B544" s="140" t="s">
        <v>56</v>
      </c>
      <c r="C544" s="549">
        <f>+EOMONTH(Tabla18[[#This Row],[Fecha Asiento]],-1)+1</f>
        <v>45962</v>
      </c>
      <c r="D544" s="136">
        <v>52103</v>
      </c>
      <c r="E544" s="136" t="s">
        <v>4477</v>
      </c>
      <c r="F544" s="141">
        <v>45968</v>
      </c>
      <c r="G544" s="136">
        <v>200</v>
      </c>
      <c r="H544" s="136" t="s">
        <v>4569</v>
      </c>
      <c r="I544" s="136" t="s">
        <v>4570</v>
      </c>
      <c r="J544" s="136" t="s">
        <v>4455</v>
      </c>
      <c r="K544" s="136">
        <v>418100141337</v>
      </c>
      <c r="L544" s="138">
        <v>71280.06</v>
      </c>
      <c r="M544" s="138">
        <v>0</v>
      </c>
      <c r="N544" s="136" t="s">
        <v>4425</v>
      </c>
      <c r="O544" s="136" t="s">
        <v>4426</v>
      </c>
      <c r="P544" s="136" t="s">
        <v>4427</v>
      </c>
      <c r="Q544" s="136" t="s">
        <v>4428</v>
      </c>
      <c r="R544" s="136">
        <v>0</v>
      </c>
      <c r="S544" s="142">
        <f>(Tabla18[[#This Row],[Debe]]-Tabla18[[#This Row],[Haber]])*
SUMIF('0_Indice_CAC'!$A:$A,Tabla18[[#This Row],[Mes]],'0_Indice_CAC'!$D:$D)</f>
        <v>59056.434800511459</v>
      </c>
      <c r="T544" s="142">
        <f>Tabla18[[#This Row],[Debe]]-Tabla18[[#This Row],[Haber]]</f>
        <v>71280.06</v>
      </c>
      <c r="U544" s="322"/>
      <c r="V544" s="323"/>
      <c r="W544" s="142">
        <f t="shared" ref="W544:W607" si="11">IFERROR(T544-IF(V544="",0,V544),0)</f>
        <v>71280.06</v>
      </c>
      <c r="X544" s="142" t="b">
        <f>ISNUMBER(MATCH(A544,'3_Control_Ppto'!$A$4:$A$70,0))</f>
        <v>1</v>
      </c>
      <c r="Y544" s="136"/>
    </row>
    <row r="545" spans="1:25" ht="12" customHeight="1" x14ac:dyDescent="0.3">
      <c r="A545" s="140" t="s">
        <v>106</v>
      </c>
      <c r="B545" s="140" t="s">
        <v>25</v>
      </c>
      <c r="C545" s="549">
        <f>+EOMONTH(Tabla18[[#This Row],[Fecha Asiento]],-1)+1</f>
        <v>45962</v>
      </c>
      <c r="D545" s="136">
        <v>53009</v>
      </c>
      <c r="E545" s="136" t="s">
        <v>4446</v>
      </c>
      <c r="F545" s="141">
        <v>45968</v>
      </c>
      <c r="G545" s="136">
        <v>31</v>
      </c>
      <c r="H545" s="136" t="s">
        <v>4779</v>
      </c>
      <c r="I545" s="136" t="s">
        <v>4423</v>
      </c>
      <c r="J545" s="136" t="s">
        <v>4424</v>
      </c>
      <c r="K545" s="136">
        <v>7956</v>
      </c>
      <c r="L545" s="138">
        <v>210000</v>
      </c>
      <c r="M545" s="138">
        <v>0</v>
      </c>
      <c r="N545" s="136" t="s">
        <v>4425</v>
      </c>
      <c r="O545" s="136" t="s">
        <v>4426</v>
      </c>
      <c r="P545" s="136" t="s">
        <v>4427</v>
      </c>
      <c r="Q545" s="136" t="s">
        <v>4428</v>
      </c>
      <c r="R545" s="136">
        <v>0</v>
      </c>
      <c r="S545" s="142">
        <f>(Tabla18[[#This Row],[Debe]]-Tabla18[[#This Row],[Haber]])*
SUMIF('0_Indice_CAC'!$A:$A,Tabla18[[#This Row],[Mes]],'0_Indice_CAC'!$D:$D)</f>
        <v>173987.66651020505</v>
      </c>
      <c r="T545" s="142">
        <f>Tabla18[[#This Row],[Debe]]-Tabla18[[#This Row],[Haber]]</f>
        <v>210000</v>
      </c>
      <c r="U545" s="322"/>
      <c r="V545" s="323"/>
      <c r="W545" s="142">
        <f t="shared" si="11"/>
        <v>210000</v>
      </c>
      <c r="X545" s="142" t="b">
        <f>ISNUMBER(MATCH(A545,'3_Control_Ppto'!$A$4:$A$70,0))</f>
        <v>1</v>
      </c>
      <c r="Y545" s="136"/>
    </row>
    <row r="546" spans="1:25" ht="12" customHeight="1" x14ac:dyDescent="0.3">
      <c r="A546" s="140" t="s">
        <v>1478</v>
      </c>
      <c r="B546" s="140" t="s">
        <v>56</v>
      </c>
      <c r="C546" s="549">
        <f>+EOMONTH(Tabla18[[#This Row],[Fecha Asiento]],-1)+1</f>
        <v>45962</v>
      </c>
      <c r="D546" s="136">
        <v>53005</v>
      </c>
      <c r="E546" s="136" t="s">
        <v>4472</v>
      </c>
      <c r="F546" s="141">
        <v>45971</v>
      </c>
      <c r="G546" s="136">
        <v>39</v>
      </c>
      <c r="H546" s="136" t="s">
        <v>4780</v>
      </c>
      <c r="I546" s="136" t="s">
        <v>4423</v>
      </c>
      <c r="J546" s="136" t="s">
        <v>4424</v>
      </c>
      <c r="K546" s="136">
        <v>7964</v>
      </c>
      <c r="L546" s="138">
        <v>621500</v>
      </c>
      <c r="M546" s="138">
        <v>0</v>
      </c>
      <c r="N546" s="136" t="s">
        <v>4425</v>
      </c>
      <c r="O546" s="136" t="s">
        <v>4426</v>
      </c>
      <c r="P546" s="136" t="s">
        <v>4427</v>
      </c>
      <c r="Q546" s="136" t="s">
        <v>4428</v>
      </c>
      <c r="R546" s="136">
        <v>0</v>
      </c>
      <c r="S546" s="142">
        <f>(Tabla18[[#This Row],[Debe]]-Tabla18[[#This Row],[Haber]])*
SUMIF('0_Indice_CAC'!$A:$A,Tabla18[[#This Row],[Mes]],'0_Indice_CAC'!$D:$D)</f>
        <v>514920.6416004402</v>
      </c>
      <c r="T546" s="142">
        <f>Tabla18[[#This Row],[Debe]]-Tabla18[[#This Row],[Haber]]</f>
        <v>621500</v>
      </c>
      <c r="U546" s="322"/>
      <c r="V546" s="323"/>
      <c r="W546" s="142">
        <f t="shared" si="11"/>
        <v>621500</v>
      </c>
      <c r="X546" s="142" t="b">
        <f>ISNUMBER(MATCH(A546,'3_Control_Ppto'!$A$4:$A$70,0))</f>
        <v>1</v>
      </c>
      <c r="Y546" s="136"/>
    </row>
    <row r="547" spans="1:25" ht="12" customHeight="1" x14ac:dyDescent="0.3">
      <c r="A547" s="140" t="s">
        <v>106</v>
      </c>
      <c r="B547" s="140" t="s">
        <v>4090</v>
      </c>
      <c r="C547" s="549">
        <f>+EOMONTH(Tabla18[[#This Row],[Fecha Asiento]],-1)+1</f>
        <v>45962</v>
      </c>
      <c r="D547" s="136">
        <v>53008</v>
      </c>
      <c r="E547" s="136" t="s">
        <v>4490</v>
      </c>
      <c r="F547" s="141">
        <v>45973</v>
      </c>
      <c r="G547" s="136">
        <v>95</v>
      </c>
      <c r="H547" s="136" t="s">
        <v>4781</v>
      </c>
      <c r="I547" s="136" t="s">
        <v>4727</v>
      </c>
      <c r="J547" s="136" t="s">
        <v>4455</v>
      </c>
      <c r="K547" s="136">
        <v>400002307</v>
      </c>
      <c r="L547" s="138">
        <v>414528.93</v>
      </c>
      <c r="M547" s="138">
        <v>0</v>
      </c>
      <c r="N547" s="136" t="s">
        <v>4425</v>
      </c>
      <c r="O547" s="136" t="s">
        <v>4426</v>
      </c>
      <c r="P547" s="136" t="s">
        <v>4427</v>
      </c>
      <c r="Q547" s="136" t="s">
        <v>4428</v>
      </c>
      <c r="R547" s="136">
        <v>0</v>
      </c>
      <c r="S547" s="142">
        <f>(Tabla18[[#This Row],[Debe]]-Tabla18[[#This Row],[Haber]])*
SUMIF('0_Indice_CAC'!$A:$A,Tabla18[[#This Row],[Mes]],'0_Indice_CAC'!$D:$D)</f>
        <v>343442.48205558158</v>
      </c>
      <c r="T547" s="142">
        <f>Tabla18[[#This Row],[Debe]]-Tabla18[[#This Row],[Haber]]</f>
        <v>414528.93</v>
      </c>
      <c r="U547" s="322"/>
      <c r="V547" s="323"/>
      <c r="W547" s="142">
        <f t="shared" si="11"/>
        <v>414528.93</v>
      </c>
      <c r="X547" s="142" t="b">
        <f>ISNUMBER(MATCH(A547,'3_Control_Ppto'!$A$4:$A$70,0))</f>
        <v>1</v>
      </c>
      <c r="Y547" s="136"/>
    </row>
    <row r="548" spans="1:25" ht="12" customHeight="1" x14ac:dyDescent="0.3">
      <c r="A548" s="140" t="s">
        <v>4119</v>
      </c>
      <c r="B548" s="140" t="s">
        <v>56</v>
      </c>
      <c r="C548" s="549">
        <f>+EOMONTH(Tabla18[[#This Row],[Fecha Asiento]],-1)+1</f>
        <v>45962</v>
      </c>
      <c r="D548" s="136">
        <v>53022</v>
      </c>
      <c r="E548" s="136" t="s">
        <v>4429</v>
      </c>
      <c r="F548" s="141">
        <v>45973</v>
      </c>
      <c r="G548" s="136">
        <v>343</v>
      </c>
      <c r="H548" s="136" t="s">
        <v>4701</v>
      </c>
      <c r="I548" s="136" t="s">
        <v>4459</v>
      </c>
      <c r="J548" s="136" t="s">
        <v>4455</v>
      </c>
      <c r="K548" s="136">
        <v>300024398</v>
      </c>
      <c r="L548" s="138">
        <v>85000</v>
      </c>
      <c r="M548" s="138">
        <v>0</v>
      </c>
      <c r="N548" s="136" t="s">
        <v>4425</v>
      </c>
      <c r="O548" s="136" t="s">
        <v>4426</v>
      </c>
      <c r="P548" s="136" t="s">
        <v>4427</v>
      </c>
      <c r="Q548" s="136" t="s">
        <v>4428</v>
      </c>
      <c r="R548" s="136">
        <v>0</v>
      </c>
      <c r="S548" s="142">
        <f>(Tabla18[[#This Row],[Debe]]-Tabla18[[#This Row],[Haber]])*
SUMIF('0_Indice_CAC'!$A:$A,Tabla18[[#This Row],[Mes]],'0_Indice_CAC'!$D:$D)</f>
        <v>70423.579301749662</v>
      </c>
      <c r="T548" s="142">
        <f>Tabla18[[#This Row],[Debe]]-Tabla18[[#This Row],[Haber]]</f>
        <v>85000</v>
      </c>
      <c r="U548" s="322"/>
      <c r="V548" s="323"/>
      <c r="W548" s="142">
        <f t="shared" si="11"/>
        <v>85000</v>
      </c>
      <c r="X548" s="142" t="b">
        <f>ISNUMBER(MATCH(A548,'3_Control_Ppto'!$A$4:$A$70,0))</f>
        <v>1</v>
      </c>
      <c r="Y548" s="136"/>
    </row>
    <row r="549" spans="1:25" ht="12" customHeight="1" x14ac:dyDescent="0.3">
      <c r="A549" s="140" t="s">
        <v>106</v>
      </c>
      <c r="B549" s="140" t="s">
        <v>4090</v>
      </c>
      <c r="C549" s="549">
        <f>+EOMONTH(Tabla18[[#This Row],[Fecha Asiento]],-1)+1</f>
        <v>45962</v>
      </c>
      <c r="D549" s="136">
        <v>53008</v>
      </c>
      <c r="E549" s="136" t="s">
        <v>4490</v>
      </c>
      <c r="F549" s="141">
        <v>45974</v>
      </c>
      <c r="G549" s="136">
        <v>157</v>
      </c>
      <c r="H549" s="136" t="s">
        <v>4782</v>
      </c>
      <c r="I549" s="136" t="s">
        <v>4423</v>
      </c>
      <c r="J549" s="136" t="s">
        <v>4424</v>
      </c>
      <c r="K549" s="136">
        <v>8176</v>
      </c>
      <c r="L549" s="138">
        <v>2807107</v>
      </c>
      <c r="M549" s="138">
        <v>0</v>
      </c>
      <c r="N549" s="136" t="s">
        <v>4425</v>
      </c>
      <c r="O549" s="136" t="s">
        <v>4426</v>
      </c>
      <c r="P549" s="136" t="s">
        <v>4427</v>
      </c>
      <c r="Q549" s="136" t="s">
        <v>4428</v>
      </c>
      <c r="R549" s="136">
        <v>0</v>
      </c>
      <c r="S549" s="142">
        <f>(Tabla18[[#This Row],[Debe]]-Tabla18[[#This Row],[Haber]])*
SUMIF('0_Indice_CAC'!$A:$A,Tabla18[[#This Row],[Mes]],'0_Indice_CAC'!$D:$D)</f>
        <v>2325723.7932117246</v>
      </c>
      <c r="T549" s="142">
        <f>Tabla18[[#This Row],[Debe]]-Tabla18[[#This Row],[Haber]]</f>
        <v>2807107</v>
      </c>
      <c r="U549" s="322"/>
      <c r="V549" s="323"/>
      <c r="W549" s="142">
        <f t="shared" si="11"/>
        <v>2807107</v>
      </c>
      <c r="X549" s="142" t="b">
        <f>ISNUMBER(MATCH(A549,'3_Control_Ppto'!$A$4:$A$70,0))</f>
        <v>1</v>
      </c>
      <c r="Y549" s="136"/>
    </row>
    <row r="550" spans="1:25" ht="12" customHeight="1" x14ac:dyDescent="0.3">
      <c r="A550" s="140" t="s">
        <v>4317</v>
      </c>
      <c r="B550" s="140" t="s">
        <v>56</v>
      </c>
      <c r="C550" s="549">
        <f>+EOMONTH(Tabla18[[#This Row],[Fecha Asiento]],-1)+1</f>
        <v>45962</v>
      </c>
      <c r="D550" s="136">
        <v>52103</v>
      </c>
      <c r="E550" s="136" t="s">
        <v>4477</v>
      </c>
      <c r="F550" s="141">
        <v>45975</v>
      </c>
      <c r="G550" s="136">
        <v>202</v>
      </c>
      <c r="H550" s="136" t="s">
        <v>4569</v>
      </c>
      <c r="I550" s="136" t="s">
        <v>4570</v>
      </c>
      <c r="J550" s="136" t="s">
        <v>4455</v>
      </c>
      <c r="K550" s="136">
        <v>418100141777</v>
      </c>
      <c r="L550" s="138">
        <v>74337.33</v>
      </c>
      <c r="M550" s="138">
        <v>0</v>
      </c>
      <c r="N550" s="136" t="s">
        <v>4425</v>
      </c>
      <c r="O550" s="136" t="s">
        <v>4426</v>
      </c>
      <c r="P550" s="136" t="s">
        <v>4427</v>
      </c>
      <c r="Q550" s="136" t="s">
        <v>4428</v>
      </c>
      <c r="R550" s="136">
        <v>0</v>
      </c>
      <c r="S550" s="142">
        <f>(Tabla18[[#This Row],[Debe]]-Tabla18[[#This Row],[Haber]])*
SUMIF('0_Indice_CAC'!$A:$A,Tabla18[[#This Row],[Mes]],'0_Indice_CAC'!$D:$D)</f>
        <v>61589.421815709822</v>
      </c>
      <c r="T550" s="142">
        <f>Tabla18[[#This Row],[Debe]]-Tabla18[[#This Row],[Haber]]</f>
        <v>74337.33</v>
      </c>
      <c r="U550" s="322"/>
      <c r="V550" s="323"/>
      <c r="W550" s="142">
        <f t="shared" si="11"/>
        <v>74337.33</v>
      </c>
      <c r="X550" s="142" t="b">
        <f>ISNUMBER(MATCH(A550,'3_Control_Ppto'!$A$4:$A$70,0))</f>
        <v>1</v>
      </c>
      <c r="Y550" s="136"/>
    </row>
    <row r="551" spans="1:25" ht="12" customHeight="1" x14ac:dyDescent="0.3">
      <c r="A551" s="140" t="s">
        <v>4317</v>
      </c>
      <c r="B551" s="140" t="s">
        <v>56</v>
      </c>
      <c r="C551" s="549">
        <f>+EOMONTH(Tabla18[[#This Row],[Fecha Asiento]],-1)+1</f>
        <v>45962</v>
      </c>
      <c r="D551" s="136">
        <v>52103</v>
      </c>
      <c r="E551" s="136" t="s">
        <v>4477</v>
      </c>
      <c r="F551" s="141">
        <v>45975</v>
      </c>
      <c r="G551" s="136">
        <v>202</v>
      </c>
      <c r="H551" s="136" t="s">
        <v>4569</v>
      </c>
      <c r="I551" s="136" t="s">
        <v>4570</v>
      </c>
      <c r="J551" s="136" t="s">
        <v>4455</v>
      </c>
      <c r="K551" s="136">
        <v>418100141777</v>
      </c>
      <c r="L551" s="138">
        <v>14076.55</v>
      </c>
      <c r="M551" s="138">
        <v>0</v>
      </c>
      <c r="N551" s="136" t="s">
        <v>4425</v>
      </c>
      <c r="O551" s="136" t="s">
        <v>4426</v>
      </c>
      <c r="P551" s="136" t="s">
        <v>4427</v>
      </c>
      <c r="Q551" s="136" t="s">
        <v>4428</v>
      </c>
      <c r="R551" s="136">
        <v>0</v>
      </c>
      <c r="S551" s="142">
        <f>(Tabla18[[#This Row],[Debe]]-Tabla18[[#This Row],[Haber]])*
SUMIF('0_Indice_CAC'!$A:$A,Tabla18[[#This Row],[Mes]],'0_Indice_CAC'!$D:$D)</f>
        <v>11662.600414353461</v>
      </c>
      <c r="T551" s="142">
        <f>Tabla18[[#This Row],[Debe]]-Tabla18[[#This Row],[Haber]]</f>
        <v>14076.55</v>
      </c>
      <c r="U551" s="322"/>
      <c r="V551" s="323"/>
      <c r="W551" s="142">
        <f t="shared" si="11"/>
        <v>14076.55</v>
      </c>
      <c r="X551" s="142" t="b">
        <f>ISNUMBER(MATCH(A551,'3_Control_Ppto'!$A$4:$A$70,0))</f>
        <v>1</v>
      </c>
      <c r="Y551" s="136"/>
    </row>
    <row r="552" spans="1:25" ht="12" customHeight="1" x14ac:dyDescent="0.3">
      <c r="A552" s="140" t="s">
        <v>4317</v>
      </c>
      <c r="B552" s="140" t="s">
        <v>56</v>
      </c>
      <c r="C552" s="549">
        <f>+EOMONTH(Tabla18[[#This Row],[Fecha Asiento]],-1)+1</f>
        <v>45962</v>
      </c>
      <c r="D552" s="136">
        <v>52103</v>
      </c>
      <c r="E552" s="136" t="s">
        <v>4477</v>
      </c>
      <c r="F552" s="141">
        <v>45975</v>
      </c>
      <c r="G552" s="136">
        <v>253</v>
      </c>
      <c r="H552" s="136" t="s">
        <v>4478</v>
      </c>
      <c r="I552" s="136" t="s">
        <v>4423</v>
      </c>
      <c r="J552" s="136" t="s">
        <v>4431</v>
      </c>
      <c r="K552" s="136">
        <v>4213</v>
      </c>
      <c r="L552" s="138">
        <v>10000</v>
      </c>
      <c r="M552" s="138">
        <v>0</v>
      </c>
      <c r="N552" s="136" t="s">
        <v>4425</v>
      </c>
      <c r="O552" s="136" t="s">
        <v>4426</v>
      </c>
      <c r="P552" s="136" t="s">
        <v>4427</v>
      </c>
      <c r="Q552" s="136" t="s">
        <v>4428</v>
      </c>
      <c r="R552" s="136">
        <v>0</v>
      </c>
      <c r="S552" s="142">
        <f>(Tabla18[[#This Row],[Debe]]-Tabla18[[#This Row],[Haber]])*
SUMIF('0_Indice_CAC'!$A:$A,Tabla18[[#This Row],[Mes]],'0_Indice_CAC'!$D:$D)</f>
        <v>8285.1269766764308</v>
      </c>
      <c r="T552" s="142">
        <f>Tabla18[[#This Row],[Debe]]-Tabla18[[#This Row],[Haber]]</f>
        <v>10000</v>
      </c>
      <c r="U552" s="322"/>
      <c r="V552" s="323"/>
      <c r="W552" s="142">
        <f t="shared" si="11"/>
        <v>10000</v>
      </c>
      <c r="X552" s="142" t="b">
        <f>ISNUMBER(MATCH(A552,'3_Control_Ppto'!$A$4:$A$70,0))</f>
        <v>1</v>
      </c>
      <c r="Y552" s="136"/>
    </row>
    <row r="553" spans="1:25" ht="12" customHeight="1" x14ac:dyDescent="0.3">
      <c r="A553" s="140" t="s">
        <v>4317</v>
      </c>
      <c r="B553" s="140" t="s">
        <v>56</v>
      </c>
      <c r="C553" s="549">
        <f>+EOMONTH(Tabla18[[#This Row],[Fecha Asiento]],-1)+1</f>
        <v>45962</v>
      </c>
      <c r="D553" s="136">
        <v>52302</v>
      </c>
      <c r="E553" s="136" t="s">
        <v>4444</v>
      </c>
      <c r="F553" s="141">
        <v>45976</v>
      </c>
      <c r="G553" s="136">
        <v>203</v>
      </c>
      <c r="H553" s="136" t="s">
        <v>4783</v>
      </c>
      <c r="I553" s="136" t="s">
        <v>4532</v>
      </c>
      <c r="J553" s="136" t="s">
        <v>4455</v>
      </c>
      <c r="K553" s="136">
        <v>217201892519</v>
      </c>
      <c r="L553" s="138">
        <v>26131.51</v>
      </c>
      <c r="M553" s="138">
        <v>0</v>
      </c>
      <c r="N553" s="136" t="s">
        <v>4425</v>
      </c>
      <c r="O553" s="136" t="s">
        <v>4426</v>
      </c>
      <c r="P553" s="136" t="s">
        <v>4427</v>
      </c>
      <c r="Q553" s="136" t="s">
        <v>4428</v>
      </c>
      <c r="R553" s="136">
        <v>0</v>
      </c>
      <c r="S553" s="142">
        <f>(Tabla18[[#This Row],[Debe]]-Tabla18[[#This Row],[Haber]])*
SUMIF('0_Indice_CAC'!$A:$A,Tabla18[[#This Row],[Mes]],'0_Indice_CAC'!$D:$D)</f>
        <v>21650.287844228991</v>
      </c>
      <c r="T553" s="142">
        <f>Tabla18[[#This Row],[Debe]]-Tabla18[[#This Row],[Haber]]</f>
        <v>26131.51</v>
      </c>
      <c r="U553" s="322"/>
      <c r="V553" s="323"/>
      <c r="W553" s="142">
        <f t="shared" si="11"/>
        <v>26131.51</v>
      </c>
      <c r="X553" s="142" t="b">
        <f>ISNUMBER(MATCH(A553,'3_Control_Ppto'!$A$4:$A$70,0))</f>
        <v>1</v>
      </c>
      <c r="Y553" s="136"/>
    </row>
    <row r="554" spans="1:25" ht="12" customHeight="1" x14ac:dyDescent="0.3">
      <c r="A554" s="140" t="s">
        <v>4317</v>
      </c>
      <c r="B554" s="140" t="s">
        <v>56</v>
      </c>
      <c r="C554" s="549">
        <f>+EOMONTH(Tabla18[[#This Row],[Fecha Asiento]],-1)+1</f>
        <v>45962</v>
      </c>
      <c r="D554" s="136">
        <v>52302</v>
      </c>
      <c r="E554" s="136" t="s">
        <v>4444</v>
      </c>
      <c r="F554" s="141">
        <v>45976</v>
      </c>
      <c r="G554" s="136">
        <v>203</v>
      </c>
      <c r="H554" s="136" t="s">
        <v>4578</v>
      </c>
      <c r="I554" s="136" t="s">
        <v>4532</v>
      </c>
      <c r="J554" s="136" t="s">
        <v>4455</v>
      </c>
      <c r="K554" s="136">
        <v>217201892519</v>
      </c>
      <c r="L554" s="138">
        <v>676.8</v>
      </c>
      <c r="M554" s="138">
        <v>0</v>
      </c>
      <c r="N554" s="136" t="s">
        <v>4425</v>
      </c>
      <c r="O554" s="136" t="s">
        <v>4426</v>
      </c>
      <c r="P554" s="136" t="s">
        <v>4427</v>
      </c>
      <c r="Q554" s="136" t="s">
        <v>4428</v>
      </c>
      <c r="R554" s="136">
        <v>0</v>
      </c>
      <c r="S554" s="142">
        <f>(Tabla18[[#This Row],[Debe]]-Tabla18[[#This Row],[Haber]])*
SUMIF('0_Indice_CAC'!$A:$A,Tabla18[[#This Row],[Mes]],'0_Indice_CAC'!$D:$D)</f>
        <v>560.73739378146081</v>
      </c>
      <c r="T554" s="142">
        <f>Tabla18[[#This Row],[Debe]]-Tabla18[[#This Row],[Haber]]</f>
        <v>676.8</v>
      </c>
      <c r="U554" s="322"/>
      <c r="V554" s="323"/>
      <c r="W554" s="142">
        <f t="shared" si="11"/>
        <v>676.8</v>
      </c>
      <c r="X554" s="142" t="b">
        <f>ISNUMBER(MATCH(A554,'3_Control_Ppto'!$A$4:$A$70,0))</f>
        <v>1</v>
      </c>
      <c r="Y554" s="136"/>
    </row>
    <row r="555" spans="1:25" ht="12" customHeight="1" x14ac:dyDescent="0.3">
      <c r="A555" s="140" t="s">
        <v>4317</v>
      </c>
      <c r="B555" s="140" t="s">
        <v>56</v>
      </c>
      <c r="C555" s="549">
        <f>+EOMONTH(Tabla18[[#This Row],[Fecha Asiento]],-1)+1</f>
        <v>45962</v>
      </c>
      <c r="D555" s="136">
        <v>52302</v>
      </c>
      <c r="E555" s="136" t="s">
        <v>4444</v>
      </c>
      <c r="F555" s="141">
        <v>45976</v>
      </c>
      <c r="G555" s="136">
        <v>203</v>
      </c>
      <c r="H555" s="136" t="s">
        <v>4784</v>
      </c>
      <c r="I555" s="136" t="s">
        <v>4532</v>
      </c>
      <c r="J555" s="136" t="s">
        <v>4455</v>
      </c>
      <c r="K555" s="136">
        <v>217201892519</v>
      </c>
      <c r="L555" s="138">
        <v>15494.56</v>
      </c>
      <c r="M555" s="138">
        <v>0</v>
      </c>
      <c r="N555" s="136" t="s">
        <v>4425</v>
      </c>
      <c r="O555" s="136" t="s">
        <v>4426</v>
      </c>
      <c r="P555" s="136" t="s">
        <v>4427</v>
      </c>
      <c r="Q555" s="136" t="s">
        <v>4428</v>
      </c>
      <c r="R555" s="136">
        <v>0</v>
      </c>
      <c r="S555" s="142">
        <f>(Tabla18[[#This Row],[Debe]]-Tabla18[[#This Row],[Haber]])*
SUMIF('0_Indice_CAC'!$A:$A,Tabla18[[#This Row],[Mes]],'0_Indice_CAC'!$D:$D)</f>
        <v>12837.439704773156</v>
      </c>
      <c r="T555" s="142">
        <f>Tabla18[[#This Row],[Debe]]-Tabla18[[#This Row],[Haber]]</f>
        <v>15494.56</v>
      </c>
      <c r="U555" s="322"/>
      <c r="V555" s="323"/>
      <c r="W555" s="142">
        <f t="shared" si="11"/>
        <v>15494.56</v>
      </c>
      <c r="X555" s="142" t="b">
        <f>ISNUMBER(MATCH(A555,'3_Control_Ppto'!$A$4:$A$70,0))</f>
        <v>1</v>
      </c>
      <c r="Y555" s="136"/>
    </row>
    <row r="556" spans="1:25" ht="12" customHeight="1" x14ac:dyDescent="0.3">
      <c r="A556" s="140" t="s">
        <v>4317</v>
      </c>
      <c r="B556" s="140" t="s">
        <v>56</v>
      </c>
      <c r="C556" s="549">
        <f>+EOMONTH(Tabla18[[#This Row],[Fecha Asiento]],-1)+1</f>
        <v>45962</v>
      </c>
      <c r="D556" s="136">
        <v>52302</v>
      </c>
      <c r="E556" s="136" t="s">
        <v>4444</v>
      </c>
      <c r="F556" s="141">
        <v>45976</v>
      </c>
      <c r="G556" s="136">
        <v>203</v>
      </c>
      <c r="H556" s="136" t="s">
        <v>4534</v>
      </c>
      <c r="I556" s="136" t="s">
        <v>4532</v>
      </c>
      <c r="J556" s="136" t="s">
        <v>4455</v>
      </c>
      <c r="K556" s="136">
        <v>217201892519</v>
      </c>
      <c r="L556" s="138">
        <v>7396.2</v>
      </c>
      <c r="M556" s="138">
        <v>0</v>
      </c>
      <c r="N556" s="136" t="s">
        <v>4425</v>
      </c>
      <c r="O556" s="136" t="s">
        <v>4426</v>
      </c>
      <c r="P556" s="136" t="s">
        <v>4427</v>
      </c>
      <c r="Q556" s="136" t="s">
        <v>4428</v>
      </c>
      <c r="R556" s="136">
        <v>0</v>
      </c>
      <c r="S556" s="142">
        <f>(Tabla18[[#This Row],[Debe]]-Tabla18[[#This Row],[Haber]])*
SUMIF('0_Indice_CAC'!$A:$A,Tabla18[[#This Row],[Mes]],'0_Indice_CAC'!$D:$D)</f>
        <v>6127.8456144894217</v>
      </c>
      <c r="T556" s="142">
        <f>Tabla18[[#This Row],[Debe]]-Tabla18[[#This Row],[Haber]]</f>
        <v>7396.2</v>
      </c>
      <c r="U556" s="322"/>
      <c r="V556" s="323"/>
      <c r="W556" s="142">
        <f t="shared" si="11"/>
        <v>7396.2</v>
      </c>
      <c r="X556" s="142" t="b">
        <f>ISNUMBER(MATCH(A556,'3_Control_Ppto'!$A$4:$A$70,0))</f>
        <v>1</v>
      </c>
      <c r="Y556" s="136"/>
    </row>
    <row r="557" spans="1:25" ht="12" customHeight="1" x14ac:dyDescent="0.3">
      <c r="A557" s="140" t="s">
        <v>4310</v>
      </c>
      <c r="B557" s="140" t="s">
        <v>56</v>
      </c>
      <c r="C557" s="549">
        <f>+EOMONTH(Tabla18[[#This Row],[Fecha Asiento]],-1)+1</f>
        <v>45962</v>
      </c>
      <c r="D557" s="136">
        <v>52204</v>
      </c>
      <c r="E557" s="136" t="s">
        <v>4452</v>
      </c>
      <c r="F557" s="141">
        <v>45979</v>
      </c>
      <c r="G557" s="136">
        <v>53</v>
      </c>
      <c r="H557" s="136" t="s">
        <v>4785</v>
      </c>
      <c r="I557" s="136" t="s">
        <v>4423</v>
      </c>
      <c r="J557" s="136" t="s">
        <v>4424</v>
      </c>
      <c r="K557" s="136">
        <v>7978</v>
      </c>
      <c r="L557" s="138">
        <v>279500</v>
      </c>
      <c r="M557" s="138">
        <v>0</v>
      </c>
      <c r="N557" s="136" t="s">
        <v>4425</v>
      </c>
      <c r="O557" s="136" t="s">
        <v>4426</v>
      </c>
      <c r="P557" s="136" t="s">
        <v>4427</v>
      </c>
      <c r="Q557" s="136" t="s">
        <v>4428</v>
      </c>
      <c r="R557" s="136">
        <v>0</v>
      </c>
      <c r="S557" s="142">
        <f>(Tabla18[[#This Row],[Debe]]-Tabla18[[#This Row],[Haber]])*
SUMIF('0_Indice_CAC'!$A:$A,Tabla18[[#This Row],[Mes]],'0_Indice_CAC'!$D:$D)</f>
        <v>231569.29899810624</v>
      </c>
      <c r="T557" s="142">
        <f>Tabla18[[#This Row],[Debe]]-Tabla18[[#This Row],[Haber]]</f>
        <v>279500</v>
      </c>
      <c r="U557" s="322"/>
      <c r="V557" s="323"/>
      <c r="W557" s="142">
        <f t="shared" si="11"/>
        <v>279500</v>
      </c>
      <c r="X557" s="142" t="b">
        <f>ISNUMBER(MATCH(A557,'3_Control_Ppto'!$A$4:$A$70,0))</f>
        <v>1</v>
      </c>
      <c r="Y557" s="136"/>
    </row>
    <row r="558" spans="1:25" ht="12" customHeight="1" x14ac:dyDescent="0.3">
      <c r="A558" s="140" t="s">
        <v>4317</v>
      </c>
      <c r="B558" s="140" t="s">
        <v>56</v>
      </c>
      <c r="C558" s="549">
        <f>+EOMONTH(Tabla18[[#This Row],[Fecha Asiento]],-1)+1</f>
        <v>45962</v>
      </c>
      <c r="D558" s="136">
        <v>52005</v>
      </c>
      <c r="E558" s="136" t="s">
        <v>4357</v>
      </c>
      <c r="F558" s="141">
        <v>45982</v>
      </c>
      <c r="G558" s="136">
        <v>215</v>
      </c>
      <c r="H558" s="136" t="s">
        <v>4586</v>
      </c>
      <c r="I558" s="136" t="s">
        <v>4587</v>
      </c>
      <c r="J558" s="136" t="s">
        <v>4455</v>
      </c>
      <c r="K558" s="136">
        <v>395005465477</v>
      </c>
      <c r="L558" s="138">
        <v>16776.87</v>
      </c>
      <c r="M558" s="138">
        <v>0</v>
      </c>
      <c r="N558" s="136" t="s">
        <v>4425</v>
      </c>
      <c r="O558" s="136" t="s">
        <v>4426</v>
      </c>
      <c r="P558" s="136" t="s">
        <v>4427</v>
      </c>
      <c r="Q558" s="136" t="s">
        <v>4428</v>
      </c>
      <c r="R558" s="136">
        <v>0</v>
      </c>
      <c r="S558" s="142">
        <f>(Tabla18[[#This Row],[Debe]]-Tabla18[[#This Row],[Haber]])*
SUMIF('0_Indice_CAC'!$A:$A,Tabla18[[#This Row],[Mes]],'0_Indice_CAC'!$D:$D)</f>
        <v>13899.849822119351</v>
      </c>
      <c r="T558" s="142">
        <f>Tabla18[[#This Row],[Debe]]-Tabla18[[#This Row],[Haber]]</f>
        <v>16776.87</v>
      </c>
      <c r="U558" s="322"/>
      <c r="V558" s="323"/>
      <c r="W558" s="142">
        <f t="shared" si="11"/>
        <v>16776.87</v>
      </c>
      <c r="X558" s="142" t="b">
        <f>ISNUMBER(MATCH(A558,'3_Control_Ppto'!$A$4:$A$70,0))</f>
        <v>1</v>
      </c>
      <c r="Y558" s="136"/>
    </row>
    <row r="559" spans="1:25" ht="12" customHeight="1" x14ac:dyDescent="0.3">
      <c r="A559" s="140" t="s">
        <v>4317</v>
      </c>
      <c r="B559" s="140" t="s">
        <v>56</v>
      </c>
      <c r="C559" s="549">
        <f>+EOMONTH(Tabla18[[#This Row],[Fecha Asiento]],-1)+1</f>
        <v>45962</v>
      </c>
      <c r="D559" s="136">
        <v>52103</v>
      </c>
      <c r="E559" s="136" t="s">
        <v>4477</v>
      </c>
      <c r="F559" s="141">
        <v>45982</v>
      </c>
      <c r="G559" s="136">
        <v>222</v>
      </c>
      <c r="H559" s="136" t="s">
        <v>4569</v>
      </c>
      <c r="I559" s="136" t="s">
        <v>4570</v>
      </c>
      <c r="J559" s="136" t="s">
        <v>4455</v>
      </c>
      <c r="K559" s="136">
        <v>418100142237</v>
      </c>
      <c r="L559" s="138">
        <v>14751.95</v>
      </c>
      <c r="M559" s="138">
        <v>0</v>
      </c>
      <c r="N559" s="136" t="s">
        <v>4425</v>
      </c>
      <c r="O559" s="136" t="s">
        <v>4426</v>
      </c>
      <c r="P559" s="136" t="s">
        <v>4427</v>
      </c>
      <c r="Q559" s="136" t="s">
        <v>4428</v>
      </c>
      <c r="R559" s="136">
        <v>0</v>
      </c>
      <c r="S559" s="142">
        <f>(Tabla18[[#This Row],[Debe]]-Tabla18[[#This Row],[Haber]])*
SUMIF('0_Indice_CAC'!$A:$A,Tabla18[[#This Row],[Mes]],'0_Indice_CAC'!$D:$D)</f>
        <v>12222.177890358189</v>
      </c>
      <c r="T559" s="142">
        <f>Tabla18[[#This Row],[Debe]]-Tabla18[[#This Row],[Haber]]</f>
        <v>14751.95</v>
      </c>
      <c r="U559" s="322"/>
      <c r="V559" s="323"/>
      <c r="W559" s="142">
        <f t="shared" si="11"/>
        <v>14751.95</v>
      </c>
      <c r="X559" s="142" t="b">
        <f>ISNUMBER(MATCH(A559,'3_Control_Ppto'!$A$4:$A$70,0))</f>
        <v>1</v>
      </c>
      <c r="Y559" s="136"/>
    </row>
    <row r="560" spans="1:25" ht="12" customHeight="1" x14ac:dyDescent="0.3">
      <c r="A560" s="140" t="s">
        <v>4317</v>
      </c>
      <c r="B560" s="140" t="s">
        <v>56</v>
      </c>
      <c r="C560" s="549">
        <f>+EOMONTH(Tabla18[[#This Row],[Fecha Asiento]],-1)+1</f>
        <v>45962</v>
      </c>
      <c r="D560" s="136">
        <v>52103</v>
      </c>
      <c r="E560" s="136" t="s">
        <v>4477</v>
      </c>
      <c r="F560" s="141">
        <v>45982</v>
      </c>
      <c r="G560" s="136">
        <v>222</v>
      </c>
      <c r="H560" s="136" t="s">
        <v>4569</v>
      </c>
      <c r="I560" s="136" t="s">
        <v>4570</v>
      </c>
      <c r="J560" s="136" t="s">
        <v>4455</v>
      </c>
      <c r="K560" s="136">
        <v>418100142237</v>
      </c>
      <c r="L560" s="138">
        <v>70295.429999999993</v>
      </c>
      <c r="M560" s="138">
        <v>0</v>
      </c>
      <c r="N560" s="136" t="s">
        <v>4425</v>
      </c>
      <c r="O560" s="136" t="s">
        <v>4426</v>
      </c>
      <c r="P560" s="136" t="s">
        <v>4427</v>
      </c>
      <c r="Q560" s="136" t="s">
        <v>4428</v>
      </c>
      <c r="R560" s="136">
        <v>0</v>
      </c>
      <c r="S560" s="142">
        <f>(Tabla18[[#This Row],[Debe]]-Tabla18[[#This Row],[Haber]])*
SUMIF('0_Indice_CAC'!$A:$A,Tabla18[[#This Row],[Mes]],'0_Indice_CAC'!$D:$D)</f>
        <v>58240.656343006965</v>
      </c>
      <c r="T560" s="142">
        <f>Tabla18[[#This Row],[Debe]]-Tabla18[[#This Row],[Haber]]</f>
        <v>70295.429999999993</v>
      </c>
      <c r="U560" s="322"/>
      <c r="V560" s="323"/>
      <c r="W560" s="142">
        <f t="shared" si="11"/>
        <v>70295.429999999993</v>
      </c>
      <c r="X560" s="142" t="b">
        <f>ISNUMBER(MATCH(A560,'3_Control_Ppto'!$A$4:$A$70,0))</f>
        <v>1</v>
      </c>
      <c r="Y560" s="136"/>
    </row>
    <row r="561" spans="1:25" ht="12" customHeight="1" x14ac:dyDescent="0.3">
      <c r="A561" s="140" t="s">
        <v>4317</v>
      </c>
      <c r="B561" s="140" t="s">
        <v>56</v>
      </c>
      <c r="C561" s="549">
        <f>+EOMONTH(Tabla18[[#This Row],[Fecha Asiento]],-1)+1</f>
        <v>45962</v>
      </c>
      <c r="D561" s="136">
        <v>52302</v>
      </c>
      <c r="E561" s="136" t="s">
        <v>4444</v>
      </c>
      <c r="F561" s="141">
        <v>45982</v>
      </c>
      <c r="G561" s="136">
        <v>74</v>
      </c>
      <c r="H561" s="136" t="s">
        <v>4786</v>
      </c>
      <c r="I561" s="136" t="s">
        <v>4423</v>
      </c>
      <c r="J561" s="136" t="s">
        <v>4424</v>
      </c>
      <c r="K561" s="136">
        <v>7999</v>
      </c>
      <c r="L561" s="138">
        <v>7800</v>
      </c>
      <c r="M561" s="138">
        <v>0</v>
      </c>
      <c r="N561" s="136" t="s">
        <v>4425</v>
      </c>
      <c r="O561" s="136" t="s">
        <v>4426</v>
      </c>
      <c r="P561" s="136" t="s">
        <v>4427</v>
      </c>
      <c r="Q561" s="136" t="s">
        <v>4428</v>
      </c>
      <c r="R561" s="136">
        <v>0</v>
      </c>
      <c r="S561" s="142">
        <f>(Tabla18[[#This Row],[Debe]]-Tabla18[[#This Row],[Haber]])*
SUMIF('0_Indice_CAC'!$A:$A,Tabla18[[#This Row],[Mes]],'0_Indice_CAC'!$D:$D)</f>
        <v>6462.3990418076164</v>
      </c>
      <c r="T561" s="142">
        <f>Tabla18[[#This Row],[Debe]]-Tabla18[[#This Row],[Haber]]</f>
        <v>7800</v>
      </c>
      <c r="U561" s="322"/>
      <c r="V561" s="323"/>
      <c r="W561" s="142">
        <f t="shared" si="11"/>
        <v>7800</v>
      </c>
      <c r="X561" s="142" t="b">
        <f>ISNUMBER(MATCH(A561,'3_Control_Ppto'!$A$4:$A$70,0))</f>
        <v>1</v>
      </c>
      <c r="Y561" s="136"/>
    </row>
    <row r="562" spans="1:25" ht="12" customHeight="1" x14ac:dyDescent="0.3">
      <c r="A562" s="140" t="s">
        <v>106</v>
      </c>
      <c r="B562" s="140" t="s">
        <v>4090</v>
      </c>
      <c r="C562" s="549">
        <f>+EOMONTH(Tabla18[[#This Row],[Fecha Asiento]],-1)+1</f>
        <v>45962</v>
      </c>
      <c r="D562" s="136">
        <v>53008</v>
      </c>
      <c r="E562" s="136" t="s">
        <v>4490</v>
      </c>
      <c r="F562" s="141">
        <v>45982</v>
      </c>
      <c r="G562" s="136">
        <v>344</v>
      </c>
      <c r="H562" s="136" t="s">
        <v>4641</v>
      </c>
      <c r="I562" s="136" t="s">
        <v>4630</v>
      </c>
      <c r="J562" s="136" t="s">
        <v>4455</v>
      </c>
      <c r="K562" s="136">
        <v>1500088156</v>
      </c>
      <c r="L562" s="138">
        <v>40747.14</v>
      </c>
      <c r="M562" s="138">
        <v>0</v>
      </c>
      <c r="N562" s="136" t="s">
        <v>4425</v>
      </c>
      <c r="O562" s="136" t="s">
        <v>4426</v>
      </c>
      <c r="P562" s="136" t="s">
        <v>4427</v>
      </c>
      <c r="Q562" s="136" t="s">
        <v>4428</v>
      </c>
      <c r="R562" s="136">
        <v>0</v>
      </c>
      <c r="S562" s="142">
        <f>(Tabla18[[#This Row],[Debe]]-Tabla18[[#This Row],[Haber]])*
SUMIF('0_Indice_CAC'!$A:$A,Tabla18[[#This Row],[Mes]],'0_Indice_CAC'!$D:$D)</f>
        <v>33759.522883641126</v>
      </c>
      <c r="T562" s="142">
        <f>Tabla18[[#This Row],[Debe]]-Tabla18[[#This Row],[Haber]]</f>
        <v>40747.14</v>
      </c>
      <c r="U562" s="322"/>
      <c r="V562" s="323"/>
      <c r="W562" s="142">
        <f t="shared" si="11"/>
        <v>40747.14</v>
      </c>
      <c r="X562" s="142" t="b">
        <f>ISNUMBER(MATCH(A562,'3_Control_Ppto'!$A$4:$A$70,0))</f>
        <v>1</v>
      </c>
      <c r="Y562" s="136"/>
    </row>
    <row r="563" spans="1:25" ht="12" customHeight="1" x14ac:dyDescent="0.3">
      <c r="A563" s="140" t="s">
        <v>106</v>
      </c>
      <c r="B563" s="140" t="s">
        <v>25</v>
      </c>
      <c r="C563" s="549">
        <f>+EOMONTH(Tabla18[[#This Row],[Fecha Asiento]],-1)+1</f>
        <v>45962</v>
      </c>
      <c r="D563" s="136">
        <v>53009</v>
      </c>
      <c r="E563" s="136" t="s">
        <v>4446</v>
      </c>
      <c r="F563" s="141">
        <v>45982</v>
      </c>
      <c r="G563" s="136">
        <v>60</v>
      </c>
      <c r="H563" s="136" t="s">
        <v>4787</v>
      </c>
      <c r="I563" s="136" t="s">
        <v>4423</v>
      </c>
      <c r="J563" s="136" t="s">
        <v>4424</v>
      </c>
      <c r="K563" s="136">
        <v>7985</v>
      </c>
      <c r="L563" s="138">
        <v>210000</v>
      </c>
      <c r="M563" s="138">
        <v>0</v>
      </c>
      <c r="N563" s="136" t="s">
        <v>4425</v>
      </c>
      <c r="O563" s="136" t="s">
        <v>4426</v>
      </c>
      <c r="P563" s="136" t="s">
        <v>4427</v>
      </c>
      <c r="Q563" s="136" t="s">
        <v>4428</v>
      </c>
      <c r="R563" s="136">
        <v>0</v>
      </c>
      <c r="S563" s="142">
        <f>(Tabla18[[#This Row],[Debe]]-Tabla18[[#This Row],[Haber]])*
SUMIF('0_Indice_CAC'!$A:$A,Tabla18[[#This Row],[Mes]],'0_Indice_CAC'!$D:$D)</f>
        <v>173987.66651020505</v>
      </c>
      <c r="T563" s="142">
        <f>Tabla18[[#This Row],[Debe]]-Tabla18[[#This Row],[Haber]]</f>
        <v>210000</v>
      </c>
      <c r="U563" s="322"/>
      <c r="V563" s="323"/>
      <c r="W563" s="142">
        <f t="shared" si="11"/>
        <v>210000</v>
      </c>
      <c r="X563" s="142" t="b">
        <f>ISNUMBER(MATCH(A563,'3_Control_Ppto'!$A$4:$A$70,0))</f>
        <v>1</v>
      </c>
      <c r="Y563" s="136"/>
    </row>
    <row r="564" spans="1:25" ht="12" customHeight="1" x14ac:dyDescent="0.3">
      <c r="A564" s="140" t="s">
        <v>106</v>
      </c>
      <c r="B564" s="140" t="s">
        <v>25</v>
      </c>
      <c r="C564" s="549">
        <f>+EOMONTH(Tabla18[[#This Row],[Fecha Asiento]],-1)+1</f>
        <v>45962</v>
      </c>
      <c r="D564" s="136">
        <v>53009</v>
      </c>
      <c r="E564" s="136" t="s">
        <v>4446</v>
      </c>
      <c r="F564" s="141">
        <v>45982</v>
      </c>
      <c r="G564" s="136">
        <v>66</v>
      </c>
      <c r="H564" s="136" t="s">
        <v>4788</v>
      </c>
      <c r="I564" s="136" t="s">
        <v>4423</v>
      </c>
      <c r="J564" s="136" t="s">
        <v>4424</v>
      </c>
      <c r="K564" s="136">
        <v>7991</v>
      </c>
      <c r="L564" s="138">
        <v>3978500</v>
      </c>
      <c r="M564" s="138">
        <v>0</v>
      </c>
      <c r="N564" s="136" t="s">
        <v>4425</v>
      </c>
      <c r="O564" s="136" t="s">
        <v>4426</v>
      </c>
      <c r="P564" s="136" t="s">
        <v>4427</v>
      </c>
      <c r="Q564" s="136" t="s">
        <v>4428</v>
      </c>
      <c r="R564" s="136">
        <v>0</v>
      </c>
      <c r="S564" s="142">
        <f>(Tabla18[[#This Row],[Debe]]-Tabla18[[#This Row],[Haber]])*
SUMIF('0_Indice_CAC'!$A:$A,Tabla18[[#This Row],[Mes]],'0_Indice_CAC'!$D:$D)</f>
        <v>3296237.767670718</v>
      </c>
      <c r="T564" s="142">
        <f>Tabla18[[#This Row],[Debe]]-Tabla18[[#This Row],[Haber]]</f>
        <v>3978500</v>
      </c>
      <c r="U564" s="322"/>
      <c r="V564" s="323"/>
      <c r="W564" s="142">
        <f t="shared" si="11"/>
        <v>3978500</v>
      </c>
      <c r="X564" s="142" t="b">
        <f>ISNUMBER(MATCH(A564,'3_Control_Ppto'!$A$4:$A$70,0))</f>
        <v>1</v>
      </c>
      <c r="Y564" s="136"/>
    </row>
    <row r="565" spans="1:25" ht="12" customHeight="1" x14ac:dyDescent="0.3">
      <c r="A565" s="140" t="s">
        <v>3219</v>
      </c>
      <c r="B565" s="140" t="s">
        <v>4090</v>
      </c>
      <c r="C565" s="549">
        <f>+EOMONTH(Tabla18[[#This Row],[Fecha Asiento]],-1)+1</f>
        <v>45962</v>
      </c>
      <c r="D565" s="136">
        <v>53019</v>
      </c>
      <c r="E565" s="136" t="s">
        <v>4461</v>
      </c>
      <c r="F565" s="141">
        <v>45982</v>
      </c>
      <c r="G565" s="136">
        <v>221</v>
      </c>
      <c r="H565" s="136" t="s">
        <v>4462</v>
      </c>
      <c r="I565" s="136" t="s">
        <v>4463</v>
      </c>
      <c r="J565" s="136" t="s">
        <v>4455</v>
      </c>
      <c r="K565" s="136">
        <v>300009709</v>
      </c>
      <c r="L565" s="138">
        <v>319530.23999999999</v>
      </c>
      <c r="M565" s="138">
        <v>0</v>
      </c>
      <c r="N565" s="136" t="s">
        <v>4425</v>
      </c>
      <c r="O565" s="136" t="s">
        <v>4426</v>
      </c>
      <c r="P565" s="136" t="s">
        <v>4427</v>
      </c>
      <c r="Q565" s="136" t="s">
        <v>4428</v>
      </c>
      <c r="R565" s="136">
        <v>0</v>
      </c>
      <c r="S565" s="142">
        <f>(Tabla18[[#This Row],[Debe]]-Tabla18[[#This Row],[Haber]])*
SUMIF('0_Indice_CAC'!$A:$A,Tabla18[[#This Row],[Mes]],'0_Indice_CAC'!$D:$D)</f>
        <v>264734.86112878943</v>
      </c>
      <c r="T565" s="142">
        <f>Tabla18[[#This Row],[Debe]]-Tabla18[[#This Row],[Haber]]</f>
        <v>319530.23999999999</v>
      </c>
      <c r="U565" s="322"/>
      <c r="V565" s="323"/>
      <c r="W565" s="142">
        <f t="shared" si="11"/>
        <v>319530.23999999999</v>
      </c>
      <c r="X565" s="142" t="b">
        <f>ISNUMBER(MATCH(A565,'3_Control_Ppto'!$A$4:$A$70,0))</f>
        <v>1</v>
      </c>
      <c r="Y565" s="136"/>
    </row>
    <row r="566" spans="1:25" ht="12" customHeight="1" x14ac:dyDescent="0.3">
      <c r="A566" s="140" t="s">
        <v>1478</v>
      </c>
      <c r="B566" s="140" t="s">
        <v>56</v>
      </c>
      <c r="C566" s="549">
        <f>+EOMONTH(Tabla18[[#This Row],[Fecha Asiento]],-1)+1</f>
        <v>45962</v>
      </c>
      <c r="D566" s="136">
        <v>53005</v>
      </c>
      <c r="E566" s="136" t="s">
        <v>4472</v>
      </c>
      <c r="F566" s="141">
        <v>45986</v>
      </c>
      <c r="G566" s="136">
        <v>88</v>
      </c>
      <c r="H566" s="136" t="s">
        <v>4789</v>
      </c>
      <c r="I566" s="136" t="s">
        <v>4423</v>
      </c>
      <c r="J566" s="136" t="s">
        <v>4424</v>
      </c>
      <c r="K566" s="136">
        <v>8013</v>
      </c>
      <c r="L566" s="138">
        <v>1860510</v>
      </c>
      <c r="M566" s="138">
        <v>0</v>
      </c>
      <c r="N566" s="136" t="s">
        <v>4425</v>
      </c>
      <c r="O566" s="136" t="s">
        <v>4426</v>
      </c>
      <c r="P566" s="136" t="s">
        <v>4427</v>
      </c>
      <c r="Q566" s="136" t="s">
        <v>4428</v>
      </c>
      <c r="R566" s="136">
        <v>0</v>
      </c>
      <c r="S566" s="142">
        <f>(Tabla18[[#This Row],[Debe]]-Tabla18[[#This Row],[Haber]])*
SUMIF('0_Indice_CAC'!$A:$A,Tabla18[[#This Row],[Mes]],'0_Indice_CAC'!$D:$D)</f>
        <v>1541456.1591376266</v>
      </c>
      <c r="T566" s="142">
        <f>Tabla18[[#This Row],[Debe]]-Tabla18[[#This Row],[Haber]]</f>
        <v>1860510</v>
      </c>
      <c r="U566" s="322" t="s">
        <v>4668</v>
      </c>
      <c r="V566" s="323"/>
      <c r="W566" s="142">
        <f t="shared" si="11"/>
        <v>1860510</v>
      </c>
      <c r="X566" s="142" t="b">
        <f>ISNUMBER(MATCH(A566,'3_Control_Ppto'!$A$4:$A$70,0))</f>
        <v>1</v>
      </c>
      <c r="Y566" s="136"/>
    </row>
    <row r="567" spans="1:25" ht="12" customHeight="1" x14ac:dyDescent="0.3">
      <c r="A567" s="140" t="s">
        <v>1478</v>
      </c>
      <c r="B567" s="140" t="s">
        <v>56</v>
      </c>
      <c r="C567" s="549">
        <f>+EOMONTH(Tabla18[[#This Row],[Fecha Asiento]],-1)+1</f>
        <v>45962</v>
      </c>
      <c r="D567" s="136">
        <v>53005</v>
      </c>
      <c r="E567" s="136" t="s">
        <v>4472</v>
      </c>
      <c r="F567" s="141">
        <v>45986</v>
      </c>
      <c r="G567" s="136">
        <v>89</v>
      </c>
      <c r="H567" s="136" t="s">
        <v>4790</v>
      </c>
      <c r="I567" s="136" t="s">
        <v>4423</v>
      </c>
      <c r="J567" s="136" t="s">
        <v>4424</v>
      </c>
      <c r="K567" s="136">
        <v>8014</v>
      </c>
      <c r="L567" s="138">
        <v>1620678</v>
      </c>
      <c r="M567" s="138">
        <v>0</v>
      </c>
      <c r="N567" s="136" t="s">
        <v>4425</v>
      </c>
      <c r="O567" s="136" t="s">
        <v>4426</v>
      </c>
      <c r="P567" s="136" t="s">
        <v>4427</v>
      </c>
      <c r="Q567" s="136" t="s">
        <v>4428</v>
      </c>
      <c r="R567" s="136">
        <v>0</v>
      </c>
      <c r="S567" s="142">
        <f>(Tabla18[[#This Row],[Debe]]-Tabla18[[#This Row],[Haber]])*
SUMIF('0_Indice_CAC'!$A:$A,Tabla18[[#This Row],[Mes]],'0_Indice_CAC'!$D:$D)</f>
        <v>1342752.3018306005</v>
      </c>
      <c r="T567" s="142">
        <f>Tabla18[[#This Row],[Debe]]-Tabla18[[#This Row],[Haber]]</f>
        <v>1620678</v>
      </c>
      <c r="U567" s="322" t="s">
        <v>4668</v>
      </c>
      <c r="V567" s="323"/>
      <c r="W567" s="142">
        <f t="shared" si="11"/>
        <v>1620678</v>
      </c>
      <c r="X567" s="142" t="b">
        <f>ISNUMBER(MATCH(A567,'3_Control_Ppto'!$A$4:$A$70,0))</f>
        <v>1</v>
      </c>
      <c r="Y567" s="136"/>
    </row>
    <row r="568" spans="1:25" ht="12" customHeight="1" x14ac:dyDescent="0.3">
      <c r="A568" s="140" t="s">
        <v>106</v>
      </c>
      <c r="B568" s="140" t="s">
        <v>4090</v>
      </c>
      <c r="C568" s="549">
        <f>+EOMONTH(Tabla18[[#This Row],[Fecha Asiento]],-1)+1</f>
        <v>45962</v>
      </c>
      <c r="D568" s="136">
        <v>53023</v>
      </c>
      <c r="E568" s="136" t="s">
        <v>4467</v>
      </c>
      <c r="F568" s="141">
        <v>45986</v>
      </c>
      <c r="G568" s="136">
        <v>228</v>
      </c>
      <c r="H568" s="136" t="s">
        <v>4475</v>
      </c>
      <c r="I568" s="136" t="s">
        <v>4471</v>
      </c>
      <c r="J568" s="136" t="s">
        <v>4455</v>
      </c>
      <c r="K568" s="136">
        <v>1000214089</v>
      </c>
      <c r="L568" s="138">
        <v>36542.080000000002</v>
      </c>
      <c r="M568" s="138">
        <v>0</v>
      </c>
      <c r="N568" s="136" t="s">
        <v>4425</v>
      </c>
      <c r="O568" s="136" t="s">
        <v>4426</v>
      </c>
      <c r="P568" s="136" t="s">
        <v>4427</v>
      </c>
      <c r="Q568" s="136" t="s">
        <v>4428</v>
      </c>
      <c r="R568" s="136">
        <v>0</v>
      </c>
      <c r="S568" s="142">
        <f>(Tabla18[[#This Row],[Debe]]-Tabla18[[#This Row],[Haber]])*
SUMIF('0_Indice_CAC'!$A:$A,Tabla18[[#This Row],[Mes]],'0_Indice_CAC'!$D:$D)</f>
        <v>30275.577279186829</v>
      </c>
      <c r="T568" s="142">
        <f>Tabla18[[#This Row],[Debe]]-Tabla18[[#This Row],[Haber]]</f>
        <v>36542.080000000002</v>
      </c>
      <c r="U568" s="322"/>
      <c r="V568" s="323"/>
      <c r="W568" s="142">
        <f t="shared" si="11"/>
        <v>36542.080000000002</v>
      </c>
      <c r="X568" s="142" t="b">
        <f>ISNUMBER(MATCH(A568,'3_Control_Ppto'!$A$4:$A$70,0))</f>
        <v>1</v>
      </c>
      <c r="Y568" s="136"/>
    </row>
    <row r="569" spans="1:25" ht="12" customHeight="1" x14ac:dyDescent="0.3">
      <c r="A569" s="140" t="s">
        <v>4317</v>
      </c>
      <c r="B569" s="140" t="s">
        <v>56</v>
      </c>
      <c r="C569" s="549">
        <f>+EOMONTH(Tabla18[[#This Row],[Fecha Asiento]],-1)+1</f>
        <v>45962</v>
      </c>
      <c r="D569" s="136">
        <v>52101</v>
      </c>
      <c r="E569" s="136" t="s">
        <v>4709</v>
      </c>
      <c r="F569" s="141">
        <v>45987</v>
      </c>
      <c r="G569" s="136">
        <v>73</v>
      </c>
      <c r="H569" s="136" t="s">
        <v>4710</v>
      </c>
      <c r="I569" s="136" t="s">
        <v>4423</v>
      </c>
      <c r="J569" s="136" t="s">
        <v>4424</v>
      </c>
      <c r="K569" s="136">
        <v>7998</v>
      </c>
      <c r="L569" s="138">
        <v>4900</v>
      </c>
      <c r="M569" s="138">
        <v>0</v>
      </c>
      <c r="N569" s="136" t="s">
        <v>4425</v>
      </c>
      <c r="O569" s="136" t="s">
        <v>4426</v>
      </c>
      <c r="P569" s="136" t="s">
        <v>4427</v>
      </c>
      <c r="Q569" s="136" t="s">
        <v>4428</v>
      </c>
      <c r="R569" s="136">
        <v>0</v>
      </c>
      <c r="S569" s="142">
        <f>(Tabla18[[#This Row],[Debe]]-Tabla18[[#This Row],[Haber]])*
SUMIF('0_Indice_CAC'!$A:$A,Tabla18[[#This Row],[Mes]],'0_Indice_CAC'!$D:$D)</f>
        <v>4059.7122185714511</v>
      </c>
      <c r="T569" s="142">
        <f>Tabla18[[#This Row],[Debe]]-Tabla18[[#This Row],[Haber]]</f>
        <v>4900</v>
      </c>
      <c r="U569" s="322"/>
      <c r="V569" s="323"/>
      <c r="W569" s="142">
        <f t="shared" si="11"/>
        <v>4900</v>
      </c>
      <c r="X569" s="142" t="b">
        <f>ISNUMBER(MATCH(A569,'3_Control_Ppto'!$A$4:$A$70,0))</f>
        <v>1</v>
      </c>
      <c r="Y569" s="136"/>
    </row>
    <row r="570" spans="1:25" ht="12" customHeight="1" x14ac:dyDescent="0.3">
      <c r="A570" s="140" t="s">
        <v>4317</v>
      </c>
      <c r="B570" s="140" t="s">
        <v>56</v>
      </c>
      <c r="C570" s="549">
        <f>+EOMONTH(Tabla18[[#This Row],[Fecha Asiento]],-1)+1</f>
        <v>45962</v>
      </c>
      <c r="D570" s="136">
        <v>52101</v>
      </c>
      <c r="E570" s="136" t="s">
        <v>4709</v>
      </c>
      <c r="F570" s="141">
        <v>45987</v>
      </c>
      <c r="G570" s="136">
        <v>75</v>
      </c>
      <c r="H570" s="136" t="s">
        <v>4710</v>
      </c>
      <c r="I570" s="136" t="s">
        <v>4423</v>
      </c>
      <c r="J570" s="136" t="s">
        <v>4424</v>
      </c>
      <c r="K570" s="136">
        <v>8000</v>
      </c>
      <c r="L570" s="138">
        <v>7800</v>
      </c>
      <c r="M570" s="138">
        <v>0</v>
      </c>
      <c r="N570" s="136" t="s">
        <v>4425</v>
      </c>
      <c r="O570" s="136" t="s">
        <v>4426</v>
      </c>
      <c r="P570" s="136" t="s">
        <v>4427</v>
      </c>
      <c r="Q570" s="136" t="s">
        <v>4428</v>
      </c>
      <c r="R570" s="136">
        <v>0</v>
      </c>
      <c r="S570" s="142">
        <f>(Tabla18[[#This Row],[Debe]]-Tabla18[[#This Row],[Haber]])*
SUMIF('0_Indice_CAC'!$A:$A,Tabla18[[#This Row],[Mes]],'0_Indice_CAC'!$D:$D)</f>
        <v>6462.3990418076164</v>
      </c>
      <c r="T570" s="142">
        <f>Tabla18[[#This Row],[Debe]]-Tabla18[[#This Row],[Haber]]</f>
        <v>7800</v>
      </c>
      <c r="U570" s="322"/>
      <c r="V570" s="323"/>
      <c r="W570" s="142">
        <f t="shared" si="11"/>
        <v>7800</v>
      </c>
      <c r="X570" s="142" t="b">
        <f>ISNUMBER(MATCH(A570,'3_Control_Ppto'!$A$4:$A$70,0))</f>
        <v>1</v>
      </c>
      <c r="Y570" s="136"/>
    </row>
    <row r="571" spans="1:25" ht="12" customHeight="1" x14ac:dyDescent="0.3">
      <c r="A571" s="140" t="s">
        <v>106</v>
      </c>
      <c r="B571" s="140" t="s">
        <v>4090</v>
      </c>
      <c r="C571" s="549">
        <f>+EOMONTH(Tabla18[[#This Row],[Fecha Asiento]],-1)+1</f>
        <v>45962</v>
      </c>
      <c r="D571" s="136">
        <v>53023</v>
      </c>
      <c r="E571" s="136" t="s">
        <v>4467</v>
      </c>
      <c r="F571" s="141">
        <v>45987</v>
      </c>
      <c r="G571" s="136">
        <v>236</v>
      </c>
      <c r="H571" s="136" t="s">
        <v>4705</v>
      </c>
      <c r="I571" s="136" t="s">
        <v>4482</v>
      </c>
      <c r="J571" s="136" t="s">
        <v>4455</v>
      </c>
      <c r="K571" s="136">
        <v>500000635</v>
      </c>
      <c r="L571" s="138">
        <v>5124</v>
      </c>
      <c r="M571" s="138">
        <v>0</v>
      </c>
      <c r="N571" s="136" t="s">
        <v>4425</v>
      </c>
      <c r="O571" s="136" t="s">
        <v>4426</v>
      </c>
      <c r="P571" s="136" t="s">
        <v>4427</v>
      </c>
      <c r="Q571" s="136" t="s">
        <v>4428</v>
      </c>
      <c r="R571" s="136">
        <v>0</v>
      </c>
      <c r="S571" s="142">
        <f>(Tabla18[[#This Row],[Debe]]-Tabla18[[#This Row],[Haber]])*
SUMIF('0_Indice_CAC'!$A:$A,Tabla18[[#This Row],[Mes]],'0_Indice_CAC'!$D:$D)</f>
        <v>4245.2990628490033</v>
      </c>
      <c r="T571" s="142">
        <f>Tabla18[[#This Row],[Debe]]-Tabla18[[#This Row],[Haber]]</f>
        <v>5124</v>
      </c>
      <c r="U571" s="322"/>
      <c r="V571" s="323"/>
      <c r="W571" s="142">
        <f t="shared" si="11"/>
        <v>5124</v>
      </c>
      <c r="X571" s="142" t="b">
        <f>ISNUMBER(MATCH(A571,'3_Control_Ppto'!$A$4:$A$70,0))</f>
        <v>1</v>
      </c>
      <c r="Y571" s="136"/>
    </row>
    <row r="572" spans="1:25" ht="12" customHeight="1" x14ac:dyDescent="0.3">
      <c r="A572" s="140" t="s">
        <v>4317</v>
      </c>
      <c r="B572" s="140" t="s">
        <v>56</v>
      </c>
      <c r="C572" s="549">
        <f>+EOMONTH(Tabla18[[#This Row],[Fecha Asiento]],-1)+1</f>
        <v>45962</v>
      </c>
      <c r="D572" s="136">
        <v>52102</v>
      </c>
      <c r="E572" s="136" t="s">
        <v>4535</v>
      </c>
      <c r="F572" s="141">
        <v>45988</v>
      </c>
      <c r="G572" s="136">
        <v>240</v>
      </c>
      <c r="H572" s="136" t="s">
        <v>4633</v>
      </c>
      <c r="I572" s="136" t="s">
        <v>4634</v>
      </c>
      <c r="J572" s="136" t="s">
        <v>4542</v>
      </c>
      <c r="K572" s="136">
        <v>400007441</v>
      </c>
      <c r="L572" s="138">
        <v>27600</v>
      </c>
      <c r="M572" s="138">
        <v>0</v>
      </c>
      <c r="N572" s="136" t="s">
        <v>4425</v>
      </c>
      <c r="O572" s="136" t="s">
        <v>4426</v>
      </c>
      <c r="P572" s="136" t="s">
        <v>4427</v>
      </c>
      <c r="Q572" s="136" t="s">
        <v>4428</v>
      </c>
      <c r="R572" s="136">
        <v>0</v>
      </c>
      <c r="S572" s="142">
        <f>(Tabla18[[#This Row],[Debe]]-Tabla18[[#This Row],[Haber]])*
SUMIF('0_Indice_CAC'!$A:$A,Tabla18[[#This Row],[Mes]],'0_Indice_CAC'!$D:$D)</f>
        <v>22866.950455626949</v>
      </c>
      <c r="T572" s="142">
        <f>Tabla18[[#This Row],[Debe]]-Tabla18[[#This Row],[Haber]]</f>
        <v>27600</v>
      </c>
      <c r="U572" s="322"/>
      <c r="V572" s="323"/>
      <c r="W572" s="142">
        <f t="shared" si="11"/>
        <v>27600</v>
      </c>
      <c r="X572" s="142" t="b">
        <f>ISNUMBER(MATCH(A572,'3_Control_Ppto'!$A$4:$A$70,0))</f>
        <v>1</v>
      </c>
      <c r="Y572" s="136"/>
    </row>
    <row r="573" spans="1:25" ht="12" customHeight="1" x14ac:dyDescent="0.3">
      <c r="A573" s="140" t="s">
        <v>4317</v>
      </c>
      <c r="B573" s="140" t="s">
        <v>56</v>
      </c>
      <c r="C573" s="549">
        <f>+EOMONTH(Tabla18[[#This Row],[Fecha Asiento]],-1)+1</f>
        <v>45962</v>
      </c>
      <c r="D573" s="136">
        <v>52302</v>
      </c>
      <c r="E573" s="136" t="s">
        <v>4444</v>
      </c>
      <c r="F573" s="141">
        <v>45989</v>
      </c>
      <c r="G573" s="136">
        <v>420</v>
      </c>
      <c r="H573" s="136" t="s">
        <v>4620</v>
      </c>
      <c r="I573" s="136" t="s">
        <v>4602</v>
      </c>
      <c r="J573" s="136" t="s">
        <v>4455</v>
      </c>
      <c r="K573" s="136">
        <v>3000025853</v>
      </c>
      <c r="L573" s="138">
        <v>5585.3</v>
      </c>
      <c r="M573" s="138">
        <v>0</v>
      </c>
      <c r="N573" s="136" t="s">
        <v>4425</v>
      </c>
      <c r="O573" s="136" t="s">
        <v>4426</v>
      </c>
      <c r="P573" s="136" t="s">
        <v>4427</v>
      </c>
      <c r="Q573" s="136" t="s">
        <v>4428</v>
      </c>
      <c r="R573" s="136">
        <v>0</v>
      </c>
      <c r="S573" s="142">
        <f>(Tabla18[[#This Row],[Debe]]-Tabla18[[#This Row],[Haber]])*
SUMIF('0_Indice_CAC'!$A:$A,Tabla18[[#This Row],[Mes]],'0_Indice_CAC'!$D:$D)</f>
        <v>4627.4919702830875</v>
      </c>
      <c r="T573" s="142">
        <f>Tabla18[[#This Row],[Debe]]-Tabla18[[#This Row],[Haber]]</f>
        <v>5585.3</v>
      </c>
      <c r="U573" s="322"/>
      <c r="V573" s="323"/>
      <c r="W573" s="142">
        <f t="shared" si="11"/>
        <v>5585.3</v>
      </c>
      <c r="X573" s="142" t="b">
        <f>ISNUMBER(MATCH(A573,'3_Control_Ppto'!$A$4:$A$70,0))</f>
        <v>1</v>
      </c>
      <c r="Y573" s="136"/>
    </row>
    <row r="574" spans="1:25" ht="12" customHeight="1" x14ac:dyDescent="0.3">
      <c r="A574" s="140" t="s">
        <v>4317</v>
      </c>
      <c r="B574" s="140" t="s">
        <v>56</v>
      </c>
      <c r="C574" s="549">
        <f>+EOMONTH(Tabla18[[#This Row],[Fecha Asiento]],-1)+1</f>
        <v>45962</v>
      </c>
      <c r="D574" s="136">
        <v>52302</v>
      </c>
      <c r="E574" s="136" t="s">
        <v>4444</v>
      </c>
      <c r="F574" s="141">
        <v>45989</v>
      </c>
      <c r="G574" s="136">
        <v>420</v>
      </c>
      <c r="H574" s="136" t="s">
        <v>4620</v>
      </c>
      <c r="I574" s="136" t="s">
        <v>4602</v>
      </c>
      <c r="J574" s="136" t="s">
        <v>4455</v>
      </c>
      <c r="K574" s="136">
        <v>3000025853</v>
      </c>
      <c r="L574" s="138">
        <v>1194.55</v>
      </c>
      <c r="M574" s="138">
        <v>0</v>
      </c>
      <c r="N574" s="136" t="s">
        <v>4425</v>
      </c>
      <c r="O574" s="136" t="s">
        <v>4426</v>
      </c>
      <c r="P574" s="136" t="s">
        <v>4427</v>
      </c>
      <c r="Q574" s="136" t="s">
        <v>4428</v>
      </c>
      <c r="R574" s="136">
        <v>0</v>
      </c>
      <c r="S574" s="142">
        <f>(Tabla18[[#This Row],[Debe]]-Tabla18[[#This Row],[Haber]])*
SUMIF('0_Indice_CAC'!$A:$A,Tabla18[[#This Row],[Mes]],'0_Indice_CAC'!$D:$D)</f>
        <v>989.69984299888301</v>
      </c>
      <c r="T574" s="142">
        <f>Tabla18[[#This Row],[Debe]]-Tabla18[[#This Row],[Haber]]</f>
        <v>1194.55</v>
      </c>
      <c r="U574" s="322"/>
      <c r="V574" s="323"/>
      <c r="W574" s="142">
        <f t="shared" si="11"/>
        <v>1194.55</v>
      </c>
      <c r="X574" s="142" t="b">
        <f>ISNUMBER(MATCH(A574,'3_Control_Ppto'!$A$4:$A$70,0))</f>
        <v>1</v>
      </c>
      <c r="Y574" s="136"/>
    </row>
    <row r="575" spans="1:25" ht="12" customHeight="1" x14ac:dyDescent="0.3">
      <c r="A575" s="140" t="s">
        <v>4317</v>
      </c>
      <c r="B575" s="140" t="s">
        <v>56</v>
      </c>
      <c r="C575" s="549">
        <f>+EOMONTH(Tabla18[[#This Row],[Fecha Asiento]],-1)+1</f>
        <v>45962</v>
      </c>
      <c r="D575" s="136">
        <v>52302</v>
      </c>
      <c r="E575" s="136" t="s">
        <v>4444</v>
      </c>
      <c r="F575" s="141">
        <v>45989</v>
      </c>
      <c r="G575" s="136">
        <v>420</v>
      </c>
      <c r="H575" s="136" t="s">
        <v>4620</v>
      </c>
      <c r="I575" s="136" t="s">
        <v>4602</v>
      </c>
      <c r="J575" s="136" t="s">
        <v>4455</v>
      </c>
      <c r="K575" s="136">
        <v>3000025853</v>
      </c>
      <c r="L575" s="138">
        <v>73.17</v>
      </c>
      <c r="M575" s="138">
        <v>0</v>
      </c>
      <c r="N575" s="136" t="s">
        <v>4425</v>
      </c>
      <c r="O575" s="136" t="s">
        <v>4426</v>
      </c>
      <c r="P575" s="136" t="s">
        <v>4427</v>
      </c>
      <c r="Q575" s="136" t="s">
        <v>4428</v>
      </c>
      <c r="R575" s="136">
        <v>0</v>
      </c>
      <c r="S575" s="142">
        <f>(Tabla18[[#This Row],[Debe]]-Tabla18[[#This Row],[Haber]])*
SUMIF('0_Indice_CAC'!$A:$A,Tabla18[[#This Row],[Mes]],'0_Indice_CAC'!$D:$D)</f>
        <v>60.622274088341449</v>
      </c>
      <c r="T575" s="142">
        <f>Tabla18[[#This Row],[Debe]]-Tabla18[[#This Row],[Haber]]</f>
        <v>73.17</v>
      </c>
      <c r="U575" s="322"/>
      <c r="V575" s="323"/>
      <c r="W575" s="142">
        <f t="shared" si="11"/>
        <v>73.17</v>
      </c>
      <c r="X575" s="142" t="b">
        <f>ISNUMBER(MATCH(A575,'3_Control_Ppto'!$A$4:$A$70,0))</f>
        <v>1</v>
      </c>
      <c r="Y575" s="136"/>
    </row>
    <row r="576" spans="1:25" ht="12" customHeight="1" x14ac:dyDescent="0.3">
      <c r="A576" s="140" t="s">
        <v>106</v>
      </c>
      <c r="B576" s="140" t="s">
        <v>4090</v>
      </c>
      <c r="C576" s="549">
        <f>+EOMONTH(Tabla18[[#This Row],[Fecha Asiento]],-1)+1</f>
        <v>45962</v>
      </c>
      <c r="D576" s="136">
        <v>53008</v>
      </c>
      <c r="E576" s="136" t="s">
        <v>4490</v>
      </c>
      <c r="F576" s="141">
        <v>45989</v>
      </c>
      <c r="G576" s="136">
        <v>242</v>
      </c>
      <c r="H576" s="136" t="s">
        <v>4641</v>
      </c>
      <c r="I576" s="136" t="s">
        <v>4630</v>
      </c>
      <c r="J576" s="136" t="s">
        <v>4455</v>
      </c>
      <c r="K576" s="136">
        <v>1500088398</v>
      </c>
      <c r="L576" s="138">
        <v>120330</v>
      </c>
      <c r="M576" s="138">
        <v>0</v>
      </c>
      <c r="N576" s="136" t="s">
        <v>4425</v>
      </c>
      <c r="O576" s="136" t="s">
        <v>4426</v>
      </c>
      <c r="P576" s="136" t="s">
        <v>4427</v>
      </c>
      <c r="Q576" s="136" t="s">
        <v>4428</v>
      </c>
      <c r="R576" s="136">
        <v>0</v>
      </c>
      <c r="S576" s="142">
        <f>(Tabla18[[#This Row],[Debe]]-Tabla18[[#This Row],[Haber]])*
SUMIF('0_Indice_CAC'!$A:$A,Tabla18[[#This Row],[Mes]],'0_Indice_CAC'!$D:$D)</f>
        <v>99694.932910347503</v>
      </c>
      <c r="T576" s="142">
        <f>Tabla18[[#This Row],[Debe]]-Tabla18[[#This Row],[Haber]]</f>
        <v>120330</v>
      </c>
      <c r="U576" s="322"/>
      <c r="V576" s="323"/>
      <c r="W576" s="142">
        <f t="shared" si="11"/>
        <v>120330</v>
      </c>
      <c r="X576" s="142" t="b">
        <f>ISNUMBER(MATCH(A576,'3_Control_Ppto'!$A$4:$A$70,0))</f>
        <v>1</v>
      </c>
      <c r="Y576" s="136"/>
    </row>
    <row r="577" spans="1:25" ht="12" customHeight="1" x14ac:dyDescent="0.3">
      <c r="A577" s="140" t="s">
        <v>4317</v>
      </c>
      <c r="B577" s="140" t="s">
        <v>56</v>
      </c>
      <c r="C577" s="549">
        <f>+EOMONTH(Tabla18[[#This Row],[Fecha Asiento]],-1)+1</f>
        <v>45962</v>
      </c>
      <c r="D577" s="136">
        <v>52302</v>
      </c>
      <c r="E577" s="136" t="s">
        <v>4444</v>
      </c>
      <c r="F577" s="141">
        <v>45991</v>
      </c>
      <c r="G577" s="136">
        <v>351</v>
      </c>
      <c r="H577" s="136" t="s">
        <v>4791</v>
      </c>
      <c r="I577" s="136" t="s">
        <v>4532</v>
      </c>
      <c r="J577" s="136" t="s">
        <v>4455</v>
      </c>
      <c r="K577" s="136">
        <v>217201905588</v>
      </c>
      <c r="L577" s="138">
        <v>27897.85</v>
      </c>
      <c r="M577" s="138">
        <v>0</v>
      </c>
      <c r="N577" s="136" t="s">
        <v>4425</v>
      </c>
      <c r="O577" s="136" t="s">
        <v>4426</v>
      </c>
      <c r="P577" s="136" t="s">
        <v>4427</v>
      </c>
      <c r="Q577" s="136" t="s">
        <v>4428</v>
      </c>
      <c r="R577" s="136">
        <v>0</v>
      </c>
      <c r="S577" s="142">
        <f>(Tabla18[[#This Row],[Debe]]-Tabla18[[#This Row],[Haber]])*
SUMIF('0_Indice_CAC'!$A:$A,Tabla18[[#This Row],[Mes]],'0_Indice_CAC'!$D:$D)</f>
        <v>23113.722962627256</v>
      </c>
      <c r="T577" s="142">
        <f>Tabla18[[#This Row],[Debe]]-Tabla18[[#This Row],[Haber]]</f>
        <v>27897.85</v>
      </c>
      <c r="U577" s="322"/>
      <c r="V577" s="323"/>
      <c r="W577" s="142">
        <f t="shared" si="11"/>
        <v>27897.85</v>
      </c>
      <c r="X577" s="142" t="b">
        <f>ISNUMBER(MATCH(A577,'3_Control_Ppto'!$A$4:$A$70,0))</f>
        <v>1</v>
      </c>
      <c r="Y577" s="136"/>
    </row>
    <row r="578" spans="1:25" ht="12" customHeight="1" x14ac:dyDescent="0.3">
      <c r="A578" s="140" t="s">
        <v>4317</v>
      </c>
      <c r="B578" s="140" t="s">
        <v>56</v>
      </c>
      <c r="C578" s="549">
        <f>+EOMONTH(Tabla18[[#This Row],[Fecha Asiento]],-1)+1</f>
        <v>45962</v>
      </c>
      <c r="D578" s="136">
        <v>52302</v>
      </c>
      <c r="E578" s="136" t="s">
        <v>4444</v>
      </c>
      <c r="F578" s="141">
        <v>45991</v>
      </c>
      <c r="G578" s="136">
        <v>351</v>
      </c>
      <c r="H578" s="136" t="s">
        <v>4533</v>
      </c>
      <c r="I578" s="136" t="s">
        <v>4532</v>
      </c>
      <c r="J578" s="136" t="s">
        <v>4455</v>
      </c>
      <c r="K578" s="136">
        <v>217201905588</v>
      </c>
      <c r="L578" s="138">
        <v>373.14</v>
      </c>
      <c r="M578" s="138">
        <v>0</v>
      </c>
      <c r="N578" s="136" t="s">
        <v>4425</v>
      </c>
      <c r="O578" s="136" t="s">
        <v>4426</v>
      </c>
      <c r="P578" s="136" t="s">
        <v>4427</v>
      </c>
      <c r="Q578" s="136" t="s">
        <v>4428</v>
      </c>
      <c r="R578" s="136">
        <v>0</v>
      </c>
      <c r="S578" s="142">
        <f>(Tabla18[[#This Row],[Debe]]-Tabla18[[#This Row],[Haber]])*
SUMIF('0_Indice_CAC'!$A:$A,Tabla18[[#This Row],[Mes]],'0_Indice_CAC'!$D:$D)</f>
        <v>309.15122800770433</v>
      </c>
      <c r="T578" s="142">
        <f>Tabla18[[#This Row],[Debe]]-Tabla18[[#This Row],[Haber]]</f>
        <v>373.14</v>
      </c>
      <c r="U578" s="322"/>
      <c r="V578" s="323"/>
      <c r="W578" s="142">
        <f t="shared" si="11"/>
        <v>373.14</v>
      </c>
      <c r="X578" s="142" t="b">
        <f>ISNUMBER(MATCH(A578,'3_Control_Ppto'!$A$4:$A$70,0))</f>
        <v>1</v>
      </c>
      <c r="Y578" s="136"/>
    </row>
    <row r="579" spans="1:25" ht="12" customHeight="1" x14ac:dyDescent="0.3">
      <c r="A579" s="140" t="s">
        <v>4317</v>
      </c>
      <c r="B579" s="140" t="s">
        <v>56</v>
      </c>
      <c r="C579" s="549">
        <f>+EOMONTH(Tabla18[[#This Row],[Fecha Asiento]],-1)+1</f>
        <v>45962</v>
      </c>
      <c r="D579" s="136">
        <v>52302</v>
      </c>
      <c r="E579" s="136" t="s">
        <v>4444</v>
      </c>
      <c r="F579" s="141">
        <v>45991</v>
      </c>
      <c r="G579" s="136">
        <v>351</v>
      </c>
      <c r="H579" s="136" t="s">
        <v>4534</v>
      </c>
      <c r="I579" s="136" t="s">
        <v>4532</v>
      </c>
      <c r="J579" s="136" t="s">
        <v>4455</v>
      </c>
      <c r="K579" s="136">
        <v>217201905588</v>
      </c>
      <c r="L579" s="138">
        <v>4825.45</v>
      </c>
      <c r="M579" s="138">
        <v>0</v>
      </c>
      <c r="N579" s="136" t="s">
        <v>4425</v>
      </c>
      <c r="O579" s="136" t="s">
        <v>4426</v>
      </c>
      <c r="P579" s="136" t="s">
        <v>4427</v>
      </c>
      <c r="Q579" s="136" t="s">
        <v>4428</v>
      </c>
      <c r="R579" s="136">
        <v>0</v>
      </c>
      <c r="S579" s="142">
        <f>(Tabla18[[#This Row],[Debe]]-Tabla18[[#This Row],[Haber]])*
SUMIF('0_Indice_CAC'!$A:$A,Tabla18[[#This Row],[Mes]],'0_Indice_CAC'!$D:$D)</f>
        <v>3997.9465969603284</v>
      </c>
      <c r="T579" s="142">
        <f>Tabla18[[#This Row],[Debe]]-Tabla18[[#This Row],[Haber]]</f>
        <v>4825.45</v>
      </c>
      <c r="U579" s="322"/>
      <c r="V579" s="323"/>
      <c r="W579" s="142">
        <f t="shared" si="11"/>
        <v>4825.45</v>
      </c>
      <c r="X579" s="142" t="b">
        <f>ISNUMBER(MATCH(A579,'3_Control_Ppto'!$A$4:$A$70,0))</f>
        <v>1</v>
      </c>
      <c r="Y579" s="136"/>
    </row>
    <row r="580" spans="1:25" ht="12" customHeight="1" x14ac:dyDescent="0.3">
      <c r="A580" s="140" t="s">
        <v>4119</v>
      </c>
      <c r="B580" s="140" t="s">
        <v>56</v>
      </c>
      <c r="C580" s="549">
        <f>+EOMONTH(Tabla18[[#This Row],[Fecha Asiento]],-1)+1</f>
        <v>45992</v>
      </c>
      <c r="D580" s="136">
        <v>52104</v>
      </c>
      <c r="E580" s="136" t="s">
        <v>4528</v>
      </c>
      <c r="F580" s="141">
        <v>45992</v>
      </c>
      <c r="G580" s="136">
        <v>353</v>
      </c>
      <c r="H580" s="136" t="s">
        <v>4655</v>
      </c>
      <c r="I580" s="136" t="s">
        <v>4656</v>
      </c>
      <c r="J580" s="136" t="s">
        <v>4455</v>
      </c>
      <c r="K580" s="136">
        <v>1100002020</v>
      </c>
      <c r="L580" s="138">
        <v>370000</v>
      </c>
      <c r="M580" s="138">
        <v>0</v>
      </c>
      <c r="N580" s="136" t="s">
        <v>4425</v>
      </c>
      <c r="O580" s="136" t="s">
        <v>4426</v>
      </c>
      <c r="P580" s="136" t="s">
        <v>4427</v>
      </c>
      <c r="Q580" s="136" t="s">
        <v>4428</v>
      </c>
      <c r="R580" s="136">
        <v>0</v>
      </c>
      <c r="S580" s="142">
        <f>(Tabla18[[#This Row],[Debe]]-Tabla18[[#This Row],[Haber]])*
SUMIF('0_Indice_CAC'!$A:$A,Tabla18[[#This Row],[Mes]],'0_Indice_CAC'!$D:$D)</f>
        <v>299141.8609970067</v>
      </c>
      <c r="T580" s="142">
        <f>Tabla18[[#This Row],[Debe]]-Tabla18[[#This Row],[Haber]]</f>
        <v>370000</v>
      </c>
      <c r="U580" s="322"/>
      <c r="V580" s="323"/>
      <c r="W580" s="142">
        <f t="shared" si="11"/>
        <v>370000</v>
      </c>
      <c r="X580" s="142" t="b">
        <f>ISNUMBER(MATCH(A580,'3_Control_Ppto'!$A$4:$A$70,0))</f>
        <v>1</v>
      </c>
      <c r="Y580" s="136"/>
    </row>
    <row r="581" spans="1:25" ht="12" customHeight="1" x14ac:dyDescent="0.3">
      <c r="A581" s="140" t="s">
        <v>4310</v>
      </c>
      <c r="B581" s="140" t="s">
        <v>56</v>
      </c>
      <c r="C581" s="549">
        <f>+EOMONTH(Tabla18[[#This Row],[Fecha Asiento]],-1)+1</f>
        <v>45992</v>
      </c>
      <c r="D581" s="136">
        <v>52204</v>
      </c>
      <c r="E581" s="136" t="s">
        <v>4452</v>
      </c>
      <c r="F581" s="141">
        <v>45993</v>
      </c>
      <c r="G581" s="136">
        <v>318</v>
      </c>
      <c r="H581" s="136" t="s">
        <v>4453</v>
      </c>
      <c r="I581" s="136" t="s">
        <v>4454</v>
      </c>
      <c r="J581" s="136" t="s">
        <v>4455</v>
      </c>
      <c r="K581" s="136">
        <v>300001373</v>
      </c>
      <c r="L581" s="138">
        <v>339775</v>
      </c>
      <c r="M581" s="138">
        <v>0</v>
      </c>
      <c r="N581" s="136" t="s">
        <v>4425</v>
      </c>
      <c r="O581" s="136" t="s">
        <v>4426</v>
      </c>
      <c r="P581" s="136" t="s">
        <v>4427</v>
      </c>
      <c r="Q581" s="136" t="s">
        <v>4428</v>
      </c>
      <c r="R581" s="136">
        <v>0</v>
      </c>
      <c r="S581" s="142">
        <f>(Tabla18[[#This Row],[Debe]]-Tabla18[[#This Row],[Haber]])*
SUMIF('0_Indice_CAC'!$A:$A,Tabla18[[#This Row],[Mes]],'0_Indice_CAC'!$D:$D)</f>
        <v>274705.20491961611</v>
      </c>
      <c r="T581" s="142">
        <f>Tabla18[[#This Row],[Debe]]-Tabla18[[#This Row],[Haber]]</f>
        <v>339775</v>
      </c>
      <c r="U581" s="322"/>
      <c r="V581" s="323"/>
      <c r="W581" s="142">
        <f t="shared" si="11"/>
        <v>339775</v>
      </c>
      <c r="X581" s="142" t="b">
        <f>ISNUMBER(MATCH(A581,'3_Control_Ppto'!$A$4:$A$70,0))</f>
        <v>1</v>
      </c>
      <c r="Y581" s="136"/>
    </row>
    <row r="582" spans="1:25" ht="12" customHeight="1" x14ac:dyDescent="0.3">
      <c r="A582" s="140" t="s">
        <v>25</v>
      </c>
      <c r="B582" s="140" t="s">
        <v>25</v>
      </c>
      <c r="C582" s="549">
        <f>+EOMONTH(Tabla18[[#This Row],[Fecha Asiento]],-1)+1</f>
        <v>45992</v>
      </c>
      <c r="D582" s="136">
        <v>5101</v>
      </c>
      <c r="E582" s="136" t="s">
        <v>4661</v>
      </c>
      <c r="F582" s="141">
        <v>45994</v>
      </c>
      <c r="G582" s="136">
        <v>236</v>
      </c>
      <c r="H582" s="136" t="s">
        <v>4792</v>
      </c>
      <c r="I582" s="136" t="s">
        <v>4423</v>
      </c>
      <c r="J582" s="136" t="s">
        <v>4424</v>
      </c>
      <c r="K582" s="136">
        <v>8261</v>
      </c>
      <c r="L582" s="138">
        <v>3500000</v>
      </c>
      <c r="M582" s="138">
        <v>0</v>
      </c>
      <c r="N582" s="136" t="s">
        <v>4425</v>
      </c>
      <c r="O582" s="136" t="s">
        <v>4426</v>
      </c>
      <c r="P582" s="136" t="s">
        <v>4427</v>
      </c>
      <c r="Q582" s="136" t="s">
        <v>4428</v>
      </c>
      <c r="R582" s="136">
        <v>0</v>
      </c>
      <c r="S582" s="142">
        <f>(Tabla18[[#This Row],[Debe]]-Tabla18[[#This Row],[Haber]])*
SUMIF('0_Indice_CAC'!$A:$A,Tabla18[[#This Row],[Mes]],'0_Indice_CAC'!$D:$D)</f>
        <v>2829720.3067284417</v>
      </c>
      <c r="T582" s="142">
        <f>Tabla18[[#This Row],[Debe]]-Tabla18[[#This Row],[Haber]]</f>
        <v>3500000</v>
      </c>
      <c r="U582" s="322"/>
      <c r="V582" s="323"/>
      <c r="W582" s="142">
        <f t="shared" si="11"/>
        <v>3500000</v>
      </c>
      <c r="X582" s="142" t="b">
        <f>ISNUMBER(MATCH(A582,'3_Control_Ppto'!$A$4:$A$70,0))</f>
        <v>0</v>
      </c>
      <c r="Y582" s="136"/>
    </row>
    <row r="583" spans="1:25" ht="12" customHeight="1" x14ac:dyDescent="0.3">
      <c r="A583" s="140" t="s">
        <v>4271</v>
      </c>
      <c r="B583" s="140" t="s">
        <v>4090</v>
      </c>
      <c r="C583" s="549">
        <f>+EOMONTH(Tabla18[[#This Row],[Fecha Asiento]],-1)+1</f>
        <v>45992</v>
      </c>
      <c r="D583" s="136">
        <v>53017</v>
      </c>
      <c r="E583" s="136" t="s">
        <v>4677</v>
      </c>
      <c r="F583" s="141">
        <v>45994</v>
      </c>
      <c r="G583" s="136">
        <v>389</v>
      </c>
      <c r="H583" s="136" t="s">
        <v>4793</v>
      </c>
      <c r="I583" s="136" t="s">
        <v>4794</v>
      </c>
      <c r="J583" s="136" t="s">
        <v>4455</v>
      </c>
      <c r="K583" s="136">
        <v>900002342</v>
      </c>
      <c r="L583" s="138">
        <v>2973837.18</v>
      </c>
      <c r="M583" s="138">
        <v>0</v>
      </c>
      <c r="N583" s="136" t="s">
        <v>4425</v>
      </c>
      <c r="O583" s="136" t="s">
        <v>4426</v>
      </c>
      <c r="P583" s="136" t="s">
        <v>4427</v>
      </c>
      <c r="Q583" s="136" t="s">
        <v>4428</v>
      </c>
      <c r="R583" s="136">
        <v>0</v>
      </c>
      <c r="S583" s="142">
        <f>(Tabla18[[#This Row],[Debe]]-Tabla18[[#This Row],[Haber]])*
SUMIF('0_Indice_CAC'!$A:$A,Tabla18[[#This Row],[Mes]],'0_Indice_CAC'!$D:$D)</f>
        <v>2404322.1306142984</v>
      </c>
      <c r="T583" s="142">
        <f>Tabla18[[#This Row],[Debe]]-Tabla18[[#This Row],[Haber]]</f>
        <v>2973837.18</v>
      </c>
      <c r="U583" s="322"/>
      <c r="V583" s="323"/>
      <c r="W583" s="142">
        <f t="shared" si="11"/>
        <v>2973837.18</v>
      </c>
      <c r="X583" s="142" t="b">
        <f>ISNUMBER(MATCH(A583,'3_Control_Ppto'!$A$4:$A$70,0))</f>
        <v>1</v>
      </c>
      <c r="Y583" s="136"/>
    </row>
    <row r="584" spans="1:25" ht="12" customHeight="1" x14ac:dyDescent="0.3">
      <c r="A584" s="140" t="s">
        <v>4310</v>
      </c>
      <c r="B584" s="140" t="s">
        <v>56</v>
      </c>
      <c r="C584" s="549">
        <f>+EOMONTH(Tabla18[[#This Row],[Fecha Asiento]],-1)+1</f>
        <v>45992</v>
      </c>
      <c r="D584" s="136">
        <v>52204</v>
      </c>
      <c r="E584" s="136" t="s">
        <v>4452</v>
      </c>
      <c r="F584" s="141">
        <v>45995</v>
      </c>
      <c r="G584" s="136">
        <v>327</v>
      </c>
      <c r="H584" s="136" t="s">
        <v>4785</v>
      </c>
      <c r="I584" s="136" t="s">
        <v>4423</v>
      </c>
      <c r="J584" s="136" t="s">
        <v>4424</v>
      </c>
      <c r="K584" s="136">
        <v>8348</v>
      </c>
      <c r="L584" s="138">
        <v>170400</v>
      </c>
      <c r="M584" s="138">
        <v>0</v>
      </c>
      <c r="N584" s="136" t="s">
        <v>4425</v>
      </c>
      <c r="O584" s="136" t="s">
        <v>4426</v>
      </c>
      <c r="P584" s="136" t="s">
        <v>4427</v>
      </c>
      <c r="Q584" s="136" t="s">
        <v>4428</v>
      </c>
      <c r="R584" s="136">
        <v>0</v>
      </c>
      <c r="S584" s="142">
        <f>(Tabla18[[#This Row],[Debe]]-Tabla18[[#This Row],[Haber]])*
SUMIF('0_Indice_CAC'!$A:$A,Tabla18[[#This Row],[Mes]],'0_Indice_CAC'!$D:$D)</f>
        <v>137766.95436186471</v>
      </c>
      <c r="T584" s="142">
        <f>Tabla18[[#This Row],[Debe]]-Tabla18[[#This Row],[Haber]]</f>
        <v>170400</v>
      </c>
      <c r="U584" s="322"/>
      <c r="V584" s="323"/>
      <c r="W584" s="142">
        <f t="shared" si="11"/>
        <v>170400</v>
      </c>
      <c r="X584" s="142" t="b">
        <f>ISNUMBER(MATCH(A584,'3_Control_Ppto'!$A$4:$A$70,0))</f>
        <v>1</v>
      </c>
      <c r="Y584" s="136"/>
    </row>
    <row r="585" spans="1:25" ht="12" customHeight="1" x14ac:dyDescent="0.3">
      <c r="A585" s="140" t="s">
        <v>4271</v>
      </c>
      <c r="B585" s="140" t="s">
        <v>4090</v>
      </c>
      <c r="C585" s="549">
        <f>+EOMONTH(Tabla18[[#This Row],[Fecha Asiento]],-1)+1</f>
        <v>45992</v>
      </c>
      <c r="D585" s="136">
        <v>53017</v>
      </c>
      <c r="E585" s="136" t="s">
        <v>4677</v>
      </c>
      <c r="F585" s="141">
        <v>45995</v>
      </c>
      <c r="G585" s="136">
        <v>367</v>
      </c>
      <c r="H585" s="136" t="s">
        <v>4795</v>
      </c>
      <c r="I585" s="136" t="s">
        <v>4752</v>
      </c>
      <c r="J585" s="136" t="s">
        <v>4455</v>
      </c>
      <c r="K585" s="136">
        <v>400031834</v>
      </c>
      <c r="L585" s="138">
        <v>346799.95</v>
      </c>
      <c r="M585" s="138">
        <v>0</v>
      </c>
      <c r="N585" s="136" t="s">
        <v>4425</v>
      </c>
      <c r="O585" s="136" t="s">
        <v>4426</v>
      </c>
      <c r="P585" s="136" t="s">
        <v>4427</v>
      </c>
      <c r="Q585" s="136" t="s">
        <v>4428</v>
      </c>
      <c r="R585" s="136">
        <v>0</v>
      </c>
      <c r="S585" s="142">
        <f>(Tabla18[[#This Row],[Debe]]-Tabla18[[#This Row],[Haber]])*
SUMIF('0_Indice_CAC'!$A:$A,Tabla18[[#This Row],[Mes]],'0_Indice_CAC'!$D:$D)</f>
        <v>280384.81739640236</v>
      </c>
      <c r="T585" s="142">
        <f>Tabla18[[#This Row],[Debe]]-Tabla18[[#This Row],[Haber]]</f>
        <v>346799.95</v>
      </c>
      <c r="U585" s="322"/>
      <c r="V585" s="323"/>
      <c r="W585" s="142">
        <f t="shared" si="11"/>
        <v>346799.95</v>
      </c>
      <c r="X585" s="142" t="b">
        <f>ISNUMBER(MATCH(A585,'3_Control_Ppto'!$A$4:$A$70,0))</f>
        <v>1</v>
      </c>
      <c r="Y585" s="136"/>
    </row>
    <row r="586" spans="1:25" ht="12" customHeight="1" x14ac:dyDescent="0.3">
      <c r="A586" s="140" t="s">
        <v>4317</v>
      </c>
      <c r="B586" s="140" t="s">
        <v>56</v>
      </c>
      <c r="C586" s="549">
        <f>+EOMONTH(Tabla18[[#This Row],[Fecha Asiento]],-1)+1</f>
        <v>45992</v>
      </c>
      <c r="D586" s="136">
        <v>52103</v>
      </c>
      <c r="E586" s="136" t="s">
        <v>4477</v>
      </c>
      <c r="F586" s="141">
        <v>45996</v>
      </c>
      <c r="G586" s="136">
        <v>423</v>
      </c>
      <c r="H586" s="136" t="s">
        <v>4569</v>
      </c>
      <c r="I586" s="136" t="s">
        <v>4570</v>
      </c>
      <c r="J586" s="136" t="s">
        <v>4455</v>
      </c>
      <c r="K586" s="136">
        <v>418100143276</v>
      </c>
      <c r="L586" s="138">
        <v>14554.74</v>
      </c>
      <c r="M586" s="138">
        <v>0</v>
      </c>
      <c r="N586" s="136" t="s">
        <v>4425</v>
      </c>
      <c r="O586" s="136" t="s">
        <v>4426</v>
      </c>
      <c r="P586" s="136" t="s">
        <v>4427</v>
      </c>
      <c r="Q586" s="136" t="s">
        <v>4428</v>
      </c>
      <c r="R586" s="136">
        <v>0</v>
      </c>
      <c r="S586" s="142">
        <f>(Tabla18[[#This Row],[Debe]]-Tabla18[[#This Row],[Haber]])*
SUMIF('0_Indice_CAC'!$A:$A,Tabla18[[#This Row],[Mes]],'0_Indice_CAC'!$D:$D)</f>
        <v>11767.383810615063</v>
      </c>
      <c r="T586" s="142">
        <f>Tabla18[[#This Row],[Debe]]-Tabla18[[#This Row],[Haber]]</f>
        <v>14554.74</v>
      </c>
      <c r="U586" s="322"/>
      <c r="V586" s="323"/>
      <c r="W586" s="142">
        <f t="shared" si="11"/>
        <v>14554.74</v>
      </c>
      <c r="X586" s="142" t="b">
        <f>ISNUMBER(MATCH(A586,'3_Control_Ppto'!$A$4:$A$70,0))</f>
        <v>1</v>
      </c>
      <c r="Y586" s="136"/>
    </row>
    <row r="587" spans="1:25" ht="12" customHeight="1" x14ac:dyDescent="0.3">
      <c r="A587" s="140" t="s">
        <v>4317</v>
      </c>
      <c r="B587" s="140" t="s">
        <v>56</v>
      </c>
      <c r="C587" s="549">
        <f>+EOMONTH(Tabla18[[#This Row],[Fecha Asiento]],-1)+1</f>
        <v>45992</v>
      </c>
      <c r="D587" s="136">
        <v>52103</v>
      </c>
      <c r="E587" s="136" t="s">
        <v>4477</v>
      </c>
      <c r="F587" s="141">
        <v>45996</v>
      </c>
      <c r="G587" s="136">
        <v>423</v>
      </c>
      <c r="H587" s="136" t="s">
        <v>4569</v>
      </c>
      <c r="I587" s="136" t="s">
        <v>4570</v>
      </c>
      <c r="J587" s="136" t="s">
        <v>4455</v>
      </c>
      <c r="K587" s="136">
        <v>418100143276</v>
      </c>
      <c r="L587" s="138">
        <v>96026.65</v>
      </c>
      <c r="M587" s="138">
        <v>0</v>
      </c>
      <c r="N587" s="136" t="s">
        <v>4425</v>
      </c>
      <c r="O587" s="136" t="s">
        <v>4426</v>
      </c>
      <c r="P587" s="136" t="s">
        <v>4427</v>
      </c>
      <c r="Q587" s="136" t="s">
        <v>4428</v>
      </c>
      <c r="R587" s="136">
        <v>0</v>
      </c>
      <c r="S587" s="142">
        <f>(Tabla18[[#This Row],[Debe]]-Tabla18[[#This Row],[Haber]])*
SUMIF('0_Indice_CAC'!$A:$A,Tabla18[[#This Row],[Mes]],'0_Indice_CAC'!$D:$D)</f>
        <v>77636.731854887053</v>
      </c>
      <c r="T587" s="142">
        <f>Tabla18[[#This Row],[Debe]]-Tabla18[[#This Row],[Haber]]</f>
        <v>96026.65</v>
      </c>
      <c r="U587" s="322"/>
      <c r="V587" s="323"/>
      <c r="W587" s="142">
        <f t="shared" si="11"/>
        <v>96026.65</v>
      </c>
      <c r="X587" s="142" t="b">
        <f>ISNUMBER(MATCH(A587,'3_Control_Ppto'!$A$4:$A$70,0))</f>
        <v>1</v>
      </c>
      <c r="Y587" s="136"/>
    </row>
    <row r="588" spans="1:25" ht="12" customHeight="1" x14ac:dyDescent="0.3">
      <c r="A588" s="140" t="s">
        <v>106</v>
      </c>
      <c r="B588" s="140" t="s">
        <v>4090</v>
      </c>
      <c r="C588" s="549">
        <f>+EOMONTH(Tabla18[[#This Row],[Fecha Asiento]],-1)+1</f>
        <v>45992</v>
      </c>
      <c r="D588" s="136">
        <v>53008</v>
      </c>
      <c r="E588" s="136" t="s">
        <v>4490</v>
      </c>
      <c r="F588" s="141">
        <v>45996</v>
      </c>
      <c r="G588" s="136">
        <v>374</v>
      </c>
      <c r="H588" s="136" t="s">
        <v>4641</v>
      </c>
      <c r="I588" s="136" t="s">
        <v>4630</v>
      </c>
      <c r="J588" s="136" t="s">
        <v>4455</v>
      </c>
      <c r="K588" s="136">
        <v>1500088657</v>
      </c>
      <c r="L588" s="138">
        <v>1074966.1599999999</v>
      </c>
      <c r="M588" s="138">
        <v>0</v>
      </c>
      <c r="N588" s="136" t="s">
        <v>4425</v>
      </c>
      <c r="O588" s="136" t="s">
        <v>4426</v>
      </c>
      <c r="P588" s="136" t="s">
        <v>4427</v>
      </c>
      <c r="Q588" s="136" t="s">
        <v>4428</v>
      </c>
      <c r="R588" s="136">
        <v>0</v>
      </c>
      <c r="S588" s="142">
        <f>(Tabla18[[#This Row],[Debe]]-Tabla18[[#This Row],[Haber]])*
SUMIF('0_Indice_CAC'!$A:$A,Tabla18[[#This Row],[Mes]],'0_Indice_CAC'!$D:$D)</f>
        <v>869101.02057082707</v>
      </c>
      <c r="T588" s="142">
        <f>Tabla18[[#This Row],[Debe]]-Tabla18[[#This Row],[Haber]]</f>
        <v>1074966.1599999999</v>
      </c>
      <c r="U588" s="322"/>
      <c r="V588" s="323"/>
      <c r="W588" s="142">
        <f t="shared" si="11"/>
        <v>1074966.1599999999</v>
      </c>
      <c r="X588" s="142" t="b">
        <f>ISNUMBER(MATCH(A588,'3_Control_Ppto'!$A$4:$A$70,0))</f>
        <v>1</v>
      </c>
      <c r="Y588" s="136"/>
    </row>
    <row r="589" spans="1:25" ht="12" customHeight="1" x14ac:dyDescent="0.3">
      <c r="A589" s="140" t="s">
        <v>106</v>
      </c>
      <c r="B589" s="140" t="s">
        <v>25</v>
      </c>
      <c r="C589" s="549">
        <f>+EOMONTH(Tabla18[[#This Row],[Fecha Asiento]],-1)+1</f>
        <v>45992</v>
      </c>
      <c r="D589" s="136">
        <v>53009</v>
      </c>
      <c r="E589" s="136" t="s">
        <v>4446</v>
      </c>
      <c r="F589" s="141">
        <v>45996</v>
      </c>
      <c r="G589" s="136">
        <v>116</v>
      </c>
      <c r="H589" s="136" t="s">
        <v>4796</v>
      </c>
      <c r="I589" s="136" t="s">
        <v>4423</v>
      </c>
      <c r="J589" s="136" t="s">
        <v>4424</v>
      </c>
      <c r="K589" s="136">
        <v>8050</v>
      </c>
      <c r="L589" s="138">
        <v>216000</v>
      </c>
      <c r="M589" s="138">
        <v>0</v>
      </c>
      <c r="N589" s="136" t="s">
        <v>4425</v>
      </c>
      <c r="O589" s="136" t="s">
        <v>4426</v>
      </c>
      <c r="P589" s="136" t="s">
        <v>4427</v>
      </c>
      <c r="Q589" s="136" t="s">
        <v>4428</v>
      </c>
      <c r="R589" s="136">
        <v>0</v>
      </c>
      <c r="S589" s="142">
        <f>(Tabla18[[#This Row],[Debe]]-Tabla18[[#This Row],[Haber]])*
SUMIF('0_Indice_CAC'!$A:$A,Tabla18[[#This Row],[Mes]],'0_Indice_CAC'!$D:$D)</f>
        <v>174634.16750095526</v>
      </c>
      <c r="T589" s="142">
        <f>Tabla18[[#This Row],[Debe]]-Tabla18[[#This Row],[Haber]]</f>
        <v>216000</v>
      </c>
      <c r="U589" s="322"/>
      <c r="V589" s="323"/>
      <c r="W589" s="142">
        <f t="shared" si="11"/>
        <v>216000</v>
      </c>
      <c r="X589" s="142" t="b">
        <f>ISNUMBER(MATCH(A589,'3_Control_Ppto'!$A$4:$A$70,0))</f>
        <v>1</v>
      </c>
      <c r="Y589" s="136"/>
    </row>
    <row r="590" spans="1:25" ht="12" customHeight="1" x14ac:dyDescent="0.3">
      <c r="A590" s="140" t="s">
        <v>106</v>
      </c>
      <c r="B590" s="140" t="s">
        <v>25</v>
      </c>
      <c r="C590" s="549">
        <f>+EOMONTH(Tabla18[[#This Row],[Fecha Asiento]],-1)+1</f>
        <v>45992</v>
      </c>
      <c r="D590" s="136">
        <v>53009</v>
      </c>
      <c r="E590" s="136" t="s">
        <v>4446</v>
      </c>
      <c r="F590" s="141">
        <v>45996</v>
      </c>
      <c r="G590" s="136">
        <v>140</v>
      </c>
      <c r="H590" s="136" t="s">
        <v>4797</v>
      </c>
      <c r="I590" s="136" t="s">
        <v>4423</v>
      </c>
      <c r="J590" s="136" t="s">
        <v>4424</v>
      </c>
      <c r="K590" s="136">
        <v>8159</v>
      </c>
      <c r="L590" s="138">
        <v>2885000</v>
      </c>
      <c r="M590" s="138">
        <v>0</v>
      </c>
      <c r="N590" s="136" t="s">
        <v>4425</v>
      </c>
      <c r="O590" s="136" t="s">
        <v>4426</v>
      </c>
      <c r="P590" s="136" t="s">
        <v>4427</v>
      </c>
      <c r="Q590" s="136" t="s">
        <v>4428</v>
      </c>
      <c r="R590" s="136">
        <v>0</v>
      </c>
      <c r="S590" s="142">
        <f>(Tabla18[[#This Row],[Debe]]-Tabla18[[#This Row],[Haber]])*
SUMIF('0_Indice_CAC'!$A:$A,Tabla18[[#This Row],[Mes]],'0_Indice_CAC'!$D:$D)</f>
        <v>2332498.0242604441</v>
      </c>
      <c r="T590" s="142">
        <f>Tabla18[[#This Row],[Debe]]-Tabla18[[#This Row],[Haber]]</f>
        <v>2885000</v>
      </c>
      <c r="U590" s="322"/>
      <c r="V590" s="323"/>
      <c r="W590" s="142">
        <f t="shared" si="11"/>
        <v>2885000</v>
      </c>
      <c r="X590" s="142" t="b">
        <f>ISNUMBER(MATCH(A590,'3_Control_Ppto'!$A$4:$A$70,0))</f>
        <v>1</v>
      </c>
      <c r="Y590" s="136"/>
    </row>
    <row r="591" spans="1:25" ht="12" customHeight="1" x14ac:dyDescent="0.3">
      <c r="A591" s="140" t="s">
        <v>4271</v>
      </c>
      <c r="B591" s="140" t="s">
        <v>4090</v>
      </c>
      <c r="C591" s="549">
        <f>+EOMONTH(Tabla18[[#This Row],[Fecha Asiento]],-1)+1</f>
        <v>45992</v>
      </c>
      <c r="D591" s="136">
        <v>53017</v>
      </c>
      <c r="E591" s="136" t="s">
        <v>4677</v>
      </c>
      <c r="F591" s="141">
        <v>45996</v>
      </c>
      <c r="G591" s="136">
        <v>421</v>
      </c>
      <c r="H591" s="136" t="s">
        <v>4734</v>
      </c>
      <c r="I591" s="136" t="s">
        <v>4489</v>
      </c>
      <c r="J591" s="136" t="s">
        <v>4439</v>
      </c>
      <c r="K591" s="136">
        <v>300006565</v>
      </c>
      <c r="L591" s="138">
        <v>16280.99</v>
      </c>
      <c r="M591" s="138">
        <v>0</v>
      </c>
      <c r="N591" s="136" t="s">
        <v>4425</v>
      </c>
      <c r="O591" s="136" t="s">
        <v>4426</v>
      </c>
      <c r="P591" s="136" t="s">
        <v>4427</v>
      </c>
      <c r="Q591" s="136" t="s">
        <v>4428</v>
      </c>
      <c r="R591" s="136">
        <v>0</v>
      </c>
      <c r="S591" s="142">
        <f>(Tabla18[[#This Row],[Debe]]-Tabla18[[#This Row],[Haber]])*
SUMIF('0_Indice_CAC'!$A:$A,Tabla18[[#This Row],[Mes]],'0_Indice_CAC'!$D:$D)</f>
        <v>13163.042290469341</v>
      </c>
      <c r="T591" s="142">
        <f>Tabla18[[#This Row],[Debe]]-Tabla18[[#This Row],[Haber]]</f>
        <v>16280.99</v>
      </c>
      <c r="U591" s="322"/>
      <c r="V591" s="323"/>
      <c r="W591" s="142">
        <f t="shared" si="11"/>
        <v>16280.99</v>
      </c>
      <c r="X591" s="142" t="b">
        <f>ISNUMBER(MATCH(A591,'3_Control_Ppto'!$A$4:$A$70,0))</f>
        <v>1</v>
      </c>
      <c r="Y591" s="136"/>
    </row>
    <row r="592" spans="1:25" ht="12" customHeight="1" x14ac:dyDescent="0.3">
      <c r="A592" s="140" t="s">
        <v>4271</v>
      </c>
      <c r="B592" s="140" t="s">
        <v>4090</v>
      </c>
      <c r="C592" s="549">
        <f>+EOMONTH(Tabla18[[#This Row],[Fecha Asiento]],-1)+1</f>
        <v>45992</v>
      </c>
      <c r="D592" s="136">
        <v>53017</v>
      </c>
      <c r="E592" s="136" t="s">
        <v>4677</v>
      </c>
      <c r="F592" s="141">
        <v>45996</v>
      </c>
      <c r="G592" s="136">
        <v>422</v>
      </c>
      <c r="H592" s="136" t="s">
        <v>4734</v>
      </c>
      <c r="I592" s="136" t="s">
        <v>4489</v>
      </c>
      <c r="J592" s="136" t="s">
        <v>4439</v>
      </c>
      <c r="K592" s="136">
        <v>300006566</v>
      </c>
      <c r="L592" s="138">
        <v>6446.28</v>
      </c>
      <c r="M592" s="138">
        <v>0</v>
      </c>
      <c r="N592" s="136" t="s">
        <v>4425</v>
      </c>
      <c r="O592" s="136" t="s">
        <v>4426</v>
      </c>
      <c r="P592" s="136" t="s">
        <v>4427</v>
      </c>
      <c r="Q592" s="136" t="s">
        <v>4428</v>
      </c>
      <c r="R592" s="136">
        <v>0</v>
      </c>
      <c r="S592" s="142">
        <f>(Tabla18[[#This Row],[Debe]]-Tabla18[[#This Row],[Haber]])*
SUMIF('0_Indice_CAC'!$A:$A,Tabla18[[#This Row],[Mes]],'0_Indice_CAC'!$D:$D)</f>
        <v>5211.7626911021198</v>
      </c>
      <c r="T592" s="142">
        <f>Tabla18[[#This Row],[Debe]]-Tabla18[[#This Row],[Haber]]</f>
        <v>6446.28</v>
      </c>
      <c r="U592" s="322"/>
      <c r="V592" s="323"/>
      <c r="W592" s="142">
        <f t="shared" si="11"/>
        <v>6446.28</v>
      </c>
      <c r="X592" s="142" t="b">
        <f>ISNUMBER(MATCH(A592,'3_Control_Ppto'!$A$4:$A$70,0))</f>
        <v>1</v>
      </c>
      <c r="Y592" s="136"/>
    </row>
    <row r="593" spans="1:25" ht="12" customHeight="1" x14ac:dyDescent="0.3">
      <c r="A593" s="140" t="s">
        <v>4271</v>
      </c>
      <c r="B593" s="140" t="s">
        <v>56</v>
      </c>
      <c r="C593" s="549">
        <f>+EOMONTH(Tabla18[[#This Row],[Fecha Asiento]],-1)+1</f>
        <v>45992</v>
      </c>
      <c r="D593" s="136">
        <v>53018</v>
      </c>
      <c r="E593" s="136" t="s">
        <v>4798</v>
      </c>
      <c r="F593" s="141">
        <v>45996</v>
      </c>
      <c r="G593" s="136">
        <v>137</v>
      </c>
      <c r="H593" s="136" t="s">
        <v>4799</v>
      </c>
      <c r="I593" s="136" t="s">
        <v>4423</v>
      </c>
      <c r="J593" s="136" t="s">
        <v>4424</v>
      </c>
      <c r="K593" s="136">
        <v>8156</v>
      </c>
      <c r="L593" s="138">
        <v>390000</v>
      </c>
      <c r="M593" s="138">
        <v>0</v>
      </c>
      <c r="N593" s="136" t="s">
        <v>4425</v>
      </c>
      <c r="O593" s="136" t="s">
        <v>4426</v>
      </c>
      <c r="P593" s="136" t="s">
        <v>4427</v>
      </c>
      <c r="Q593" s="136" t="s">
        <v>4428</v>
      </c>
      <c r="R593" s="136">
        <v>0</v>
      </c>
      <c r="S593" s="142">
        <f>(Tabla18[[#This Row],[Debe]]-Tabla18[[#This Row],[Haber]])*
SUMIF('0_Indice_CAC'!$A:$A,Tabla18[[#This Row],[Mes]],'0_Indice_CAC'!$D:$D)</f>
        <v>315311.6913211692</v>
      </c>
      <c r="T593" s="142">
        <f>Tabla18[[#This Row],[Debe]]-Tabla18[[#This Row],[Haber]]</f>
        <v>390000</v>
      </c>
      <c r="U593" s="322"/>
      <c r="V593" s="323"/>
      <c r="W593" s="142">
        <f t="shared" si="11"/>
        <v>390000</v>
      </c>
      <c r="X593" s="142" t="b">
        <f>ISNUMBER(MATCH(A593,'3_Control_Ppto'!$A$4:$A$70,0))</f>
        <v>1</v>
      </c>
      <c r="Y593" s="136"/>
    </row>
    <row r="594" spans="1:25" ht="12" customHeight="1" x14ac:dyDescent="0.3">
      <c r="A594" s="140" t="s">
        <v>4317</v>
      </c>
      <c r="B594" s="140" t="s">
        <v>56</v>
      </c>
      <c r="C594" s="549">
        <f>+EOMONTH(Tabla18[[#This Row],[Fecha Asiento]],-1)+1</f>
        <v>45992</v>
      </c>
      <c r="D594" s="136">
        <v>52103</v>
      </c>
      <c r="E594" s="136" t="s">
        <v>4477</v>
      </c>
      <c r="F594" s="141">
        <v>46000</v>
      </c>
      <c r="G594" s="136">
        <v>424</v>
      </c>
      <c r="H594" s="136" t="s">
        <v>4479</v>
      </c>
      <c r="I594" s="136" t="s">
        <v>4480</v>
      </c>
      <c r="J594" s="136" t="s">
        <v>4455</v>
      </c>
      <c r="K594" s="136">
        <v>1165500001529</v>
      </c>
      <c r="L594" s="138">
        <v>4684.26</v>
      </c>
      <c r="M594" s="138">
        <v>0</v>
      </c>
      <c r="N594" s="136" t="s">
        <v>4425</v>
      </c>
      <c r="O594" s="136" t="s">
        <v>4426</v>
      </c>
      <c r="P594" s="136" t="s">
        <v>4427</v>
      </c>
      <c r="Q594" s="136" t="s">
        <v>4428</v>
      </c>
      <c r="R594" s="136">
        <v>0</v>
      </c>
      <c r="S594" s="142">
        <f>(Tabla18[[#This Row],[Debe]]-Tabla18[[#This Row],[Haber]])*
SUMIF('0_Indice_CAC'!$A:$A,Tabla18[[#This Row],[Mes]],'0_Indice_CAC'!$D:$D)</f>
        <v>3787.1844697130773</v>
      </c>
      <c r="T594" s="142">
        <f>Tabla18[[#This Row],[Debe]]-Tabla18[[#This Row],[Haber]]</f>
        <v>4684.26</v>
      </c>
      <c r="U594" s="322"/>
      <c r="V594" s="323"/>
      <c r="W594" s="142">
        <f t="shared" si="11"/>
        <v>4684.26</v>
      </c>
      <c r="X594" s="142" t="b">
        <f>ISNUMBER(MATCH(A594,'3_Control_Ppto'!$A$4:$A$70,0))</f>
        <v>1</v>
      </c>
      <c r="Y594" s="136"/>
    </row>
    <row r="595" spans="1:25" ht="12" customHeight="1" x14ac:dyDescent="0.3">
      <c r="A595" s="140" t="s">
        <v>25</v>
      </c>
      <c r="B595" s="140" t="s">
        <v>25</v>
      </c>
      <c r="C595" s="549">
        <f>+EOMONTH(Tabla18[[#This Row],[Fecha Asiento]],-1)+1</f>
        <v>45992</v>
      </c>
      <c r="D595" s="136">
        <v>52405</v>
      </c>
      <c r="E595" s="136" t="s">
        <v>4493</v>
      </c>
      <c r="F595" s="141">
        <v>46000</v>
      </c>
      <c r="G595" s="136">
        <v>424</v>
      </c>
      <c r="H595" s="136" t="s">
        <v>4564</v>
      </c>
      <c r="I595" s="136" t="s">
        <v>4480</v>
      </c>
      <c r="J595" s="136" t="s">
        <v>4455</v>
      </c>
      <c r="K595" s="136">
        <v>1165500001529</v>
      </c>
      <c r="L595" s="138">
        <v>0.01</v>
      </c>
      <c r="M595" s="138">
        <v>0</v>
      </c>
      <c r="N595" s="136" t="s">
        <v>4425</v>
      </c>
      <c r="O595" s="136" t="s">
        <v>4426</v>
      </c>
      <c r="P595" s="136" t="s">
        <v>4427</v>
      </c>
      <c r="Q595" s="136" t="s">
        <v>4428</v>
      </c>
      <c r="R595" s="136">
        <v>0</v>
      </c>
      <c r="S595" s="142">
        <f>(Tabla18[[#This Row],[Debe]]-Tabla18[[#This Row],[Haber]])*
SUMIF('0_Indice_CAC'!$A:$A,Tabla18[[#This Row],[Mes]],'0_Indice_CAC'!$D:$D)</f>
        <v>8.0849151620812614E-3</v>
      </c>
      <c r="T595" s="142">
        <f>Tabla18[[#This Row],[Debe]]-Tabla18[[#This Row],[Haber]]</f>
        <v>0.01</v>
      </c>
      <c r="U595" s="322"/>
      <c r="V595" s="323"/>
      <c r="W595" s="142">
        <f t="shared" si="11"/>
        <v>0.01</v>
      </c>
      <c r="X595" s="142" t="b">
        <f>ISNUMBER(MATCH(A595,'3_Control_Ppto'!$A$4:$A$70,0))</f>
        <v>0</v>
      </c>
      <c r="Y595" s="136"/>
    </row>
    <row r="596" spans="1:25" ht="12" customHeight="1" x14ac:dyDescent="0.3">
      <c r="A596" s="140" t="s">
        <v>106</v>
      </c>
      <c r="B596" s="140" t="s">
        <v>4090</v>
      </c>
      <c r="C596" s="549">
        <f>+EOMONTH(Tabla18[[#This Row],[Fecha Asiento]],-1)+1</f>
        <v>45992</v>
      </c>
      <c r="D596" s="136">
        <v>53023</v>
      </c>
      <c r="E596" s="136" t="s">
        <v>4467</v>
      </c>
      <c r="F596" s="141">
        <v>46000</v>
      </c>
      <c r="G596" s="136">
        <v>391</v>
      </c>
      <c r="H596" s="136" t="s">
        <v>4475</v>
      </c>
      <c r="I596" s="136" t="s">
        <v>4471</v>
      </c>
      <c r="J596" s="136" t="s">
        <v>4455</v>
      </c>
      <c r="K596" s="136">
        <v>1000215005</v>
      </c>
      <c r="L596" s="138">
        <v>326795.68</v>
      </c>
      <c r="M596" s="138">
        <v>0</v>
      </c>
      <c r="N596" s="136" t="s">
        <v>4425</v>
      </c>
      <c r="O596" s="136" t="s">
        <v>4426</v>
      </c>
      <c r="P596" s="136" t="s">
        <v>4427</v>
      </c>
      <c r="Q596" s="136" t="s">
        <v>4428</v>
      </c>
      <c r="R596" s="136">
        <v>0</v>
      </c>
      <c r="S596" s="142">
        <f>(Tabla18[[#This Row],[Debe]]-Tabla18[[#This Row],[Haber]])*
SUMIF('0_Indice_CAC'!$A:$A,Tabla18[[#This Row],[Mes]],'0_Indice_CAC'!$D:$D)</f>
        <v>264211.53481346561</v>
      </c>
      <c r="T596" s="142">
        <f>Tabla18[[#This Row],[Debe]]-Tabla18[[#This Row],[Haber]]</f>
        <v>326795.68</v>
      </c>
      <c r="U596" s="322"/>
      <c r="V596" s="323"/>
      <c r="W596" s="142">
        <f t="shared" si="11"/>
        <v>326795.68</v>
      </c>
      <c r="X596" s="142" t="b">
        <f>ISNUMBER(MATCH(A596,'3_Control_Ppto'!$A$4:$A$70,0))</f>
        <v>1</v>
      </c>
      <c r="Y596" s="136"/>
    </row>
    <row r="597" spans="1:25" ht="12" customHeight="1" x14ac:dyDescent="0.3">
      <c r="A597" s="140" t="s">
        <v>106</v>
      </c>
      <c r="B597" s="140" t="s">
        <v>4090</v>
      </c>
      <c r="C597" s="549">
        <f>+EOMONTH(Tabla18[[#This Row],[Fecha Asiento]],-1)+1</f>
        <v>45992</v>
      </c>
      <c r="D597" s="136">
        <v>53023</v>
      </c>
      <c r="E597" s="136" t="s">
        <v>4467</v>
      </c>
      <c r="F597" s="141">
        <v>46000</v>
      </c>
      <c r="G597" s="136">
        <v>425</v>
      </c>
      <c r="H597" s="136" t="s">
        <v>4674</v>
      </c>
      <c r="I597" s="136" t="s">
        <v>4675</v>
      </c>
      <c r="J597" s="136" t="s">
        <v>4455</v>
      </c>
      <c r="K597" s="136">
        <v>600004662</v>
      </c>
      <c r="L597" s="138">
        <v>12396.69</v>
      </c>
      <c r="M597" s="138">
        <v>0</v>
      </c>
      <c r="N597" s="136" t="s">
        <v>4425</v>
      </c>
      <c r="O597" s="136" t="s">
        <v>4426</v>
      </c>
      <c r="P597" s="136" t="s">
        <v>4427</v>
      </c>
      <c r="Q597" s="136" t="s">
        <v>4428</v>
      </c>
      <c r="R597" s="136">
        <v>0</v>
      </c>
      <c r="S597" s="142">
        <f>(Tabla18[[#This Row],[Debe]]-Tabla18[[#This Row],[Haber]])*
SUMIF('0_Indice_CAC'!$A:$A,Tabla18[[#This Row],[Mes]],'0_Indice_CAC'!$D:$D)</f>
        <v>10022.618694062116</v>
      </c>
      <c r="T597" s="142">
        <f>Tabla18[[#This Row],[Debe]]-Tabla18[[#This Row],[Haber]]</f>
        <v>12396.69</v>
      </c>
      <c r="U597" s="322"/>
      <c r="V597" s="323"/>
      <c r="W597" s="142">
        <f t="shared" si="11"/>
        <v>12396.69</v>
      </c>
      <c r="X597" s="142" t="b">
        <f>ISNUMBER(MATCH(A597,'3_Control_Ppto'!$A$4:$A$70,0))</f>
        <v>1</v>
      </c>
      <c r="Y597" s="136"/>
    </row>
    <row r="598" spans="1:25" ht="12" customHeight="1" x14ac:dyDescent="0.3">
      <c r="A598" s="140" t="s">
        <v>1478</v>
      </c>
      <c r="B598" s="140" t="s">
        <v>56</v>
      </c>
      <c r="C598" s="549">
        <f>+EOMONTH(Tabla18[[#This Row],[Fecha Asiento]],-1)+1</f>
        <v>45992</v>
      </c>
      <c r="D598" s="136">
        <v>53005</v>
      </c>
      <c r="E598" s="136" t="s">
        <v>4472</v>
      </c>
      <c r="F598" s="141">
        <v>46001</v>
      </c>
      <c r="G598" s="136">
        <v>144</v>
      </c>
      <c r="H598" s="136" t="s">
        <v>4800</v>
      </c>
      <c r="I598" s="136" t="s">
        <v>4423</v>
      </c>
      <c r="J598" s="136" t="s">
        <v>4424</v>
      </c>
      <c r="K598" s="136">
        <v>8163</v>
      </c>
      <c r="L598" s="138">
        <v>1923300</v>
      </c>
      <c r="M598" s="138">
        <v>0</v>
      </c>
      <c r="N598" s="136" t="s">
        <v>4425</v>
      </c>
      <c r="O598" s="136" t="s">
        <v>4426</v>
      </c>
      <c r="P598" s="136" t="s">
        <v>4427</v>
      </c>
      <c r="Q598" s="136" t="s">
        <v>4428</v>
      </c>
      <c r="R598" s="136">
        <v>0</v>
      </c>
      <c r="S598" s="142">
        <f>(Tabla18[[#This Row],[Debe]]-Tabla18[[#This Row],[Haber]])*
SUMIF('0_Indice_CAC'!$A:$A,Tabla18[[#This Row],[Mes]],'0_Indice_CAC'!$D:$D)</f>
        <v>1554971.7331230892</v>
      </c>
      <c r="T598" s="142">
        <f>Tabla18[[#This Row],[Debe]]-Tabla18[[#This Row],[Haber]]</f>
        <v>1923300</v>
      </c>
      <c r="U598" s="322" t="s">
        <v>4668</v>
      </c>
      <c r="V598" s="323"/>
      <c r="W598" s="142">
        <f t="shared" si="11"/>
        <v>1923300</v>
      </c>
      <c r="X598" s="142" t="b">
        <f>ISNUMBER(MATCH(A598,'3_Control_Ppto'!$A$4:$A$70,0))</f>
        <v>1</v>
      </c>
      <c r="Y598" s="136"/>
    </row>
    <row r="599" spans="1:25" ht="12" customHeight="1" x14ac:dyDescent="0.3">
      <c r="A599" s="140" t="s">
        <v>4119</v>
      </c>
      <c r="B599" s="140" t="s">
        <v>56</v>
      </c>
      <c r="C599" s="549">
        <f>+EOMONTH(Tabla18[[#This Row],[Fecha Asiento]],-1)+1</f>
        <v>45992</v>
      </c>
      <c r="D599" s="136">
        <v>53022</v>
      </c>
      <c r="E599" s="136" t="s">
        <v>4429</v>
      </c>
      <c r="F599" s="141">
        <v>46001</v>
      </c>
      <c r="G599" s="136">
        <v>462</v>
      </c>
      <c r="H599" s="136" t="s">
        <v>4701</v>
      </c>
      <c r="I599" s="136" t="s">
        <v>4459</v>
      </c>
      <c r="J599" s="136" t="s">
        <v>4455</v>
      </c>
      <c r="K599" s="136">
        <v>300024655</v>
      </c>
      <c r="L599" s="138">
        <v>85000</v>
      </c>
      <c r="M599" s="138">
        <v>0</v>
      </c>
      <c r="N599" s="136" t="s">
        <v>4425</v>
      </c>
      <c r="O599" s="136" t="s">
        <v>4426</v>
      </c>
      <c r="P599" s="136" t="s">
        <v>4427</v>
      </c>
      <c r="Q599" s="136" t="s">
        <v>4428</v>
      </c>
      <c r="R599" s="136">
        <v>0</v>
      </c>
      <c r="S599" s="142">
        <f>(Tabla18[[#This Row],[Debe]]-Tabla18[[#This Row],[Haber]])*
SUMIF('0_Indice_CAC'!$A:$A,Tabla18[[#This Row],[Mes]],'0_Indice_CAC'!$D:$D)</f>
        <v>68721.778877690725</v>
      </c>
      <c r="T599" s="142">
        <f>Tabla18[[#This Row],[Debe]]-Tabla18[[#This Row],[Haber]]</f>
        <v>85000</v>
      </c>
      <c r="U599" s="322"/>
      <c r="V599" s="323"/>
      <c r="W599" s="142">
        <f t="shared" si="11"/>
        <v>85000</v>
      </c>
      <c r="X599" s="142" t="b">
        <f>ISNUMBER(MATCH(A599,'3_Control_Ppto'!$A$4:$A$70,0))</f>
        <v>1</v>
      </c>
      <c r="Y599" s="136"/>
    </row>
    <row r="600" spans="1:25" ht="12" customHeight="1" x14ac:dyDescent="0.3">
      <c r="A600" s="140" t="s">
        <v>4271</v>
      </c>
      <c r="B600" s="140" t="s">
        <v>4090</v>
      </c>
      <c r="C600" s="549">
        <f>+EOMONTH(Tabla18[[#This Row],[Fecha Asiento]],-1)+1</f>
        <v>45992</v>
      </c>
      <c r="D600" s="136">
        <v>53017</v>
      </c>
      <c r="E600" s="136" t="s">
        <v>4677</v>
      </c>
      <c r="F600" s="141">
        <v>46003</v>
      </c>
      <c r="G600" s="136">
        <v>519</v>
      </c>
      <c r="H600" s="136" t="s">
        <v>4801</v>
      </c>
      <c r="I600" s="136" t="s">
        <v>4794</v>
      </c>
      <c r="J600" s="136" t="s">
        <v>4455</v>
      </c>
      <c r="K600" s="136">
        <v>900002406</v>
      </c>
      <c r="L600" s="138">
        <v>874917.55</v>
      </c>
      <c r="M600" s="138">
        <v>0</v>
      </c>
      <c r="N600" s="136" t="s">
        <v>4425</v>
      </c>
      <c r="O600" s="136" t="s">
        <v>4426</v>
      </c>
      <c r="P600" s="136" t="s">
        <v>4427</v>
      </c>
      <c r="Q600" s="136" t="s">
        <v>4428</v>
      </c>
      <c r="R600" s="136">
        <v>0</v>
      </c>
      <c r="S600" s="142">
        <f>(Tabla18[[#This Row],[Debe]]-Tabla18[[#This Row],[Haber]])*
SUMIF('0_Indice_CAC'!$A:$A,Tabla18[[#This Row],[Mes]],'0_Indice_CAC'!$D:$D)</f>
        <v>707363.41655659908</v>
      </c>
      <c r="T600" s="142">
        <f>Tabla18[[#This Row],[Debe]]-Tabla18[[#This Row],[Haber]]</f>
        <v>874917.55</v>
      </c>
      <c r="U600" s="322"/>
      <c r="V600" s="323"/>
      <c r="W600" s="142">
        <f t="shared" si="11"/>
        <v>874917.55</v>
      </c>
      <c r="X600" s="142" t="b">
        <f>ISNUMBER(MATCH(A600,'3_Control_Ppto'!$A$4:$A$70,0))</f>
        <v>1</v>
      </c>
      <c r="Y600" s="136"/>
    </row>
    <row r="601" spans="1:25" ht="12" customHeight="1" x14ac:dyDescent="0.3">
      <c r="A601" s="140" t="s">
        <v>4271</v>
      </c>
      <c r="B601" s="140" t="s">
        <v>4090</v>
      </c>
      <c r="C601" s="549">
        <f>+EOMONTH(Tabla18[[#This Row],[Fecha Asiento]],-1)+1</f>
        <v>45992</v>
      </c>
      <c r="D601" s="136">
        <v>53017</v>
      </c>
      <c r="E601" s="136" t="s">
        <v>4677</v>
      </c>
      <c r="F601" s="141">
        <v>46003</v>
      </c>
      <c r="G601" s="136">
        <v>520</v>
      </c>
      <c r="H601" s="136" t="s">
        <v>4801</v>
      </c>
      <c r="I601" s="136" t="s">
        <v>4794</v>
      </c>
      <c r="J601" s="136" t="s">
        <v>4455</v>
      </c>
      <c r="K601" s="136">
        <v>900002405</v>
      </c>
      <c r="L601" s="138">
        <v>1577941.23</v>
      </c>
      <c r="M601" s="138">
        <v>0</v>
      </c>
      <c r="N601" s="136" t="s">
        <v>4425</v>
      </c>
      <c r="O601" s="136" t="s">
        <v>4426</v>
      </c>
      <c r="P601" s="136" t="s">
        <v>4427</v>
      </c>
      <c r="Q601" s="136" t="s">
        <v>4428</v>
      </c>
      <c r="R601" s="136">
        <v>0</v>
      </c>
      <c r="S601" s="142">
        <f>(Tabla18[[#This Row],[Debe]]-Tabla18[[#This Row],[Haber]])*
SUMIF('0_Indice_CAC'!$A:$A,Tabla18[[#This Row],[Mes]],'0_Indice_CAC'!$D:$D)</f>
        <v>1275752.0975300155</v>
      </c>
      <c r="T601" s="142">
        <f>Tabla18[[#This Row],[Debe]]-Tabla18[[#This Row],[Haber]]</f>
        <v>1577941.23</v>
      </c>
      <c r="U601" s="322"/>
      <c r="V601" s="323"/>
      <c r="W601" s="142">
        <f t="shared" si="11"/>
        <v>1577941.23</v>
      </c>
      <c r="X601" s="142" t="b">
        <f>ISNUMBER(MATCH(A601,'3_Control_Ppto'!$A$4:$A$70,0))</f>
        <v>1</v>
      </c>
      <c r="Y601" s="136"/>
    </row>
    <row r="602" spans="1:25" ht="12" customHeight="1" x14ac:dyDescent="0.3">
      <c r="A602" s="140" t="s">
        <v>4271</v>
      </c>
      <c r="B602" s="140" t="s">
        <v>4090</v>
      </c>
      <c r="C602" s="549">
        <f>+EOMONTH(Tabla18[[#This Row],[Fecha Asiento]],-1)+1</f>
        <v>45992</v>
      </c>
      <c r="D602" s="136">
        <v>53017</v>
      </c>
      <c r="E602" s="136" t="s">
        <v>4677</v>
      </c>
      <c r="F602" s="141">
        <v>46003</v>
      </c>
      <c r="G602" s="136">
        <v>575</v>
      </c>
      <c r="H602" s="136" t="s">
        <v>4734</v>
      </c>
      <c r="I602" s="136" t="s">
        <v>4489</v>
      </c>
      <c r="J602" s="136" t="s">
        <v>4439</v>
      </c>
      <c r="K602" s="136">
        <v>300006574</v>
      </c>
      <c r="L602" s="138">
        <v>30826.45</v>
      </c>
      <c r="M602" s="138">
        <v>0</v>
      </c>
      <c r="N602" s="136" t="s">
        <v>4425</v>
      </c>
      <c r="O602" s="136" t="s">
        <v>4426</v>
      </c>
      <c r="P602" s="136" t="s">
        <v>4427</v>
      </c>
      <c r="Q602" s="136" t="s">
        <v>4428</v>
      </c>
      <c r="R602" s="136">
        <v>0</v>
      </c>
      <c r="S602" s="142">
        <f>(Tabla18[[#This Row],[Debe]]-Tabla18[[#This Row],[Haber]])*
SUMIF('0_Indice_CAC'!$A:$A,Tabla18[[#This Row],[Mes]],'0_Indice_CAC'!$D:$D)</f>
        <v>24922.923299813992</v>
      </c>
      <c r="T602" s="142">
        <f>Tabla18[[#This Row],[Debe]]-Tabla18[[#This Row],[Haber]]</f>
        <v>30826.45</v>
      </c>
      <c r="U602" s="322"/>
      <c r="V602" s="323"/>
      <c r="W602" s="142">
        <f t="shared" si="11"/>
        <v>30826.45</v>
      </c>
      <c r="X602" s="142" t="b">
        <f>ISNUMBER(MATCH(A602,'3_Control_Ppto'!$A$4:$A$70,0))</f>
        <v>1</v>
      </c>
      <c r="Y602" s="136"/>
    </row>
    <row r="603" spans="1:25" ht="12" customHeight="1" x14ac:dyDescent="0.3">
      <c r="A603" s="140" t="s">
        <v>4271</v>
      </c>
      <c r="B603" s="140" t="s">
        <v>4090</v>
      </c>
      <c r="C603" s="549">
        <f>+EOMONTH(Tabla18[[#This Row],[Fecha Asiento]],-1)+1</f>
        <v>45992</v>
      </c>
      <c r="D603" s="136">
        <v>53017</v>
      </c>
      <c r="E603" s="136" t="s">
        <v>4677</v>
      </c>
      <c r="F603" s="141">
        <v>46004</v>
      </c>
      <c r="G603" s="136">
        <v>192</v>
      </c>
      <c r="H603" s="136" t="s">
        <v>4802</v>
      </c>
      <c r="I603" s="136" t="s">
        <v>4423</v>
      </c>
      <c r="J603" s="136" t="s">
        <v>4424</v>
      </c>
      <c r="K603" s="136">
        <v>8219</v>
      </c>
      <c r="L603" s="138">
        <v>6600</v>
      </c>
      <c r="M603" s="138">
        <v>0</v>
      </c>
      <c r="N603" s="136" t="s">
        <v>4425</v>
      </c>
      <c r="O603" s="136" t="s">
        <v>4426</v>
      </c>
      <c r="P603" s="136" t="s">
        <v>4427</v>
      </c>
      <c r="Q603" s="136" t="s">
        <v>4428</v>
      </c>
      <c r="R603" s="136">
        <v>0</v>
      </c>
      <c r="S603" s="142">
        <f>(Tabla18[[#This Row],[Debe]]-Tabla18[[#This Row],[Haber]])*
SUMIF('0_Indice_CAC'!$A:$A,Tabla18[[#This Row],[Mes]],'0_Indice_CAC'!$D:$D)</f>
        <v>5336.0440069736333</v>
      </c>
      <c r="T603" s="142">
        <f>Tabla18[[#This Row],[Debe]]-Tabla18[[#This Row],[Haber]]</f>
        <v>6600</v>
      </c>
      <c r="U603" s="322"/>
      <c r="V603" s="323"/>
      <c r="W603" s="142">
        <f t="shared" si="11"/>
        <v>6600</v>
      </c>
      <c r="X603" s="142" t="b">
        <f>ISNUMBER(MATCH(A603,'3_Control_Ppto'!$A$4:$A$70,0))</f>
        <v>1</v>
      </c>
      <c r="Y603" s="136"/>
    </row>
    <row r="604" spans="1:25" ht="12" customHeight="1" x14ac:dyDescent="0.3">
      <c r="A604" s="140" t="s">
        <v>106</v>
      </c>
      <c r="B604" s="140" t="s">
        <v>4090</v>
      </c>
      <c r="C604" s="549">
        <f>+EOMONTH(Tabla18[[#This Row],[Fecha Asiento]],-1)+1</f>
        <v>45992</v>
      </c>
      <c r="D604" s="136">
        <v>53023</v>
      </c>
      <c r="E604" s="136" t="s">
        <v>4467</v>
      </c>
      <c r="F604" s="141">
        <v>46004</v>
      </c>
      <c r="G604" s="136">
        <v>470</v>
      </c>
      <c r="H604" s="136" t="s">
        <v>4475</v>
      </c>
      <c r="I604" s="136" t="s">
        <v>4471</v>
      </c>
      <c r="J604" s="136" t="s">
        <v>4455</v>
      </c>
      <c r="K604" s="136">
        <v>1000215379</v>
      </c>
      <c r="L604" s="138">
        <v>54110.7</v>
      </c>
      <c r="M604" s="138">
        <v>0</v>
      </c>
      <c r="N604" s="136" t="s">
        <v>4425</v>
      </c>
      <c r="O604" s="136" t="s">
        <v>4426</v>
      </c>
      <c r="P604" s="136" t="s">
        <v>4427</v>
      </c>
      <c r="Q604" s="136" t="s">
        <v>4428</v>
      </c>
      <c r="R604" s="136">
        <v>0</v>
      </c>
      <c r="S604" s="142">
        <f>(Tabla18[[#This Row],[Debe]]-Tabla18[[#This Row],[Haber]])*
SUMIF('0_Indice_CAC'!$A:$A,Tabla18[[#This Row],[Mes]],'0_Indice_CAC'!$D:$D)</f>
        <v>43748.041886083054</v>
      </c>
      <c r="T604" s="142">
        <f>Tabla18[[#This Row],[Debe]]-Tabla18[[#This Row],[Haber]]</f>
        <v>54110.7</v>
      </c>
      <c r="U604" s="322"/>
      <c r="V604" s="323"/>
      <c r="W604" s="142">
        <f t="shared" si="11"/>
        <v>54110.7</v>
      </c>
      <c r="X604" s="142" t="b">
        <f>ISNUMBER(MATCH(A604,'3_Control_Ppto'!$A$4:$A$70,0))</f>
        <v>1</v>
      </c>
      <c r="Y604" s="136"/>
    </row>
    <row r="605" spans="1:25" ht="12" customHeight="1" x14ac:dyDescent="0.3">
      <c r="A605" s="140" t="s">
        <v>4317</v>
      </c>
      <c r="B605" s="140" t="s">
        <v>56</v>
      </c>
      <c r="C605" s="549">
        <f>+EOMONTH(Tabla18[[#This Row],[Fecha Asiento]],-1)+1</f>
        <v>45992</v>
      </c>
      <c r="D605" s="136">
        <v>52302</v>
      </c>
      <c r="E605" s="136" t="s">
        <v>4444</v>
      </c>
      <c r="F605" s="141">
        <v>46006</v>
      </c>
      <c r="G605" s="136">
        <v>685</v>
      </c>
      <c r="H605" s="136" t="s">
        <v>4791</v>
      </c>
      <c r="I605" s="136" t="s">
        <v>4532</v>
      </c>
      <c r="J605" s="136" t="s">
        <v>4455</v>
      </c>
      <c r="K605" s="136">
        <v>217201931277</v>
      </c>
      <c r="L605" s="138">
        <v>49751.23</v>
      </c>
      <c r="M605" s="138">
        <v>0</v>
      </c>
      <c r="N605" s="136" t="s">
        <v>4425</v>
      </c>
      <c r="O605" s="136" t="s">
        <v>4426</v>
      </c>
      <c r="P605" s="136" t="s">
        <v>4427</v>
      </c>
      <c r="Q605" s="136" t="s">
        <v>4428</v>
      </c>
      <c r="R605" s="136">
        <v>0</v>
      </c>
      <c r="S605" s="142">
        <f>(Tabla18[[#This Row],[Debe]]-Tabla18[[#This Row],[Haber]])*
SUMIF('0_Indice_CAC'!$A:$A,Tabla18[[#This Row],[Mes]],'0_Indice_CAC'!$D:$D)</f>
        <v>40223.447375919219</v>
      </c>
      <c r="T605" s="142">
        <f>Tabla18[[#This Row],[Debe]]-Tabla18[[#This Row],[Haber]]</f>
        <v>49751.23</v>
      </c>
      <c r="U605" s="322"/>
      <c r="V605" s="323"/>
      <c r="W605" s="142">
        <f t="shared" si="11"/>
        <v>49751.23</v>
      </c>
      <c r="X605" s="142" t="b">
        <f>ISNUMBER(MATCH(A605,'3_Control_Ppto'!$A$4:$A$70,0))</f>
        <v>1</v>
      </c>
      <c r="Y605" s="136"/>
    </row>
    <row r="606" spans="1:25" ht="12" customHeight="1" x14ac:dyDescent="0.3">
      <c r="A606" s="140" t="s">
        <v>4317</v>
      </c>
      <c r="B606" s="140" t="s">
        <v>56</v>
      </c>
      <c r="C606" s="549">
        <f>+EOMONTH(Tabla18[[#This Row],[Fecha Asiento]],-1)+1</f>
        <v>45992</v>
      </c>
      <c r="D606" s="136">
        <v>52302</v>
      </c>
      <c r="E606" s="136" t="s">
        <v>4444</v>
      </c>
      <c r="F606" s="141">
        <v>46006</v>
      </c>
      <c r="G606" s="136">
        <v>685</v>
      </c>
      <c r="H606" s="136" t="s">
        <v>4533</v>
      </c>
      <c r="I606" s="136" t="s">
        <v>4532</v>
      </c>
      <c r="J606" s="136" t="s">
        <v>4455</v>
      </c>
      <c r="K606" s="136">
        <v>217201931277</v>
      </c>
      <c r="L606" s="138">
        <v>1277.3699999999999</v>
      </c>
      <c r="M606" s="138">
        <v>0</v>
      </c>
      <c r="N606" s="136" t="s">
        <v>4425</v>
      </c>
      <c r="O606" s="136" t="s">
        <v>4426</v>
      </c>
      <c r="P606" s="136" t="s">
        <v>4427</v>
      </c>
      <c r="Q606" s="136" t="s">
        <v>4428</v>
      </c>
      <c r="R606" s="136">
        <v>0</v>
      </c>
      <c r="S606" s="142">
        <f>(Tabla18[[#This Row],[Debe]]-Tabla18[[#This Row],[Haber]])*
SUMIF('0_Indice_CAC'!$A:$A,Tabla18[[#This Row],[Mes]],'0_Indice_CAC'!$D:$D)</f>
        <v>1032.742808058774</v>
      </c>
      <c r="T606" s="142">
        <f>Tabla18[[#This Row],[Debe]]-Tabla18[[#This Row],[Haber]]</f>
        <v>1277.3699999999999</v>
      </c>
      <c r="U606" s="322"/>
      <c r="V606" s="323"/>
      <c r="W606" s="142">
        <f t="shared" si="11"/>
        <v>1277.3699999999999</v>
      </c>
      <c r="X606" s="142" t="b">
        <f>ISNUMBER(MATCH(A606,'3_Control_Ppto'!$A$4:$A$70,0))</f>
        <v>1</v>
      </c>
      <c r="Y606" s="136"/>
    </row>
    <row r="607" spans="1:25" ht="12" customHeight="1" x14ac:dyDescent="0.3">
      <c r="A607" s="140" t="s">
        <v>4317</v>
      </c>
      <c r="B607" s="140" t="s">
        <v>56</v>
      </c>
      <c r="C607" s="549">
        <f>+EOMONTH(Tabla18[[#This Row],[Fecha Asiento]],-1)+1</f>
        <v>45992</v>
      </c>
      <c r="D607" s="136">
        <v>52302</v>
      </c>
      <c r="E607" s="136" t="s">
        <v>4444</v>
      </c>
      <c r="F607" s="141">
        <v>46006</v>
      </c>
      <c r="G607" s="136">
        <v>685</v>
      </c>
      <c r="H607" s="136" t="s">
        <v>4803</v>
      </c>
      <c r="I607" s="136" t="s">
        <v>4532</v>
      </c>
      <c r="J607" s="136" t="s">
        <v>4455</v>
      </c>
      <c r="K607" s="136">
        <v>217201931277</v>
      </c>
      <c r="L607" s="138">
        <v>41716.04</v>
      </c>
      <c r="M607" s="138">
        <v>0</v>
      </c>
      <c r="N607" s="136" t="s">
        <v>4425</v>
      </c>
      <c r="O607" s="136" t="s">
        <v>4426</v>
      </c>
      <c r="P607" s="136" t="s">
        <v>4427</v>
      </c>
      <c r="Q607" s="136" t="s">
        <v>4428</v>
      </c>
      <c r="R607" s="136">
        <v>0</v>
      </c>
      <c r="S607" s="142">
        <f>(Tabla18[[#This Row],[Debe]]-Tabla18[[#This Row],[Haber]])*
SUMIF('0_Indice_CAC'!$A:$A,Tabla18[[#This Row],[Mes]],'0_Indice_CAC'!$D:$D)</f>
        <v>33727.06442979884</v>
      </c>
      <c r="T607" s="142">
        <f>Tabla18[[#This Row],[Debe]]-Tabla18[[#This Row],[Haber]]</f>
        <v>41716.04</v>
      </c>
      <c r="U607" s="322"/>
      <c r="V607" s="323"/>
      <c r="W607" s="142">
        <f t="shared" si="11"/>
        <v>41716.04</v>
      </c>
      <c r="X607" s="142" t="b">
        <f>ISNUMBER(MATCH(A607,'3_Control_Ppto'!$A$4:$A$70,0))</f>
        <v>1</v>
      </c>
      <c r="Y607" s="136"/>
    </row>
    <row r="608" spans="1:25" ht="12" customHeight="1" x14ac:dyDescent="0.3">
      <c r="A608" s="140" t="s">
        <v>4317</v>
      </c>
      <c r="B608" s="140" t="s">
        <v>56</v>
      </c>
      <c r="C608" s="549">
        <f>+EOMONTH(Tabla18[[#This Row],[Fecha Asiento]],-1)+1</f>
        <v>45992</v>
      </c>
      <c r="D608" s="136">
        <v>52302</v>
      </c>
      <c r="E608" s="136" t="s">
        <v>4444</v>
      </c>
      <c r="F608" s="141">
        <v>46006</v>
      </c>
      <c r="G608" s="136">
        <v>685</v>
      </c>
      <c r="H608" s="136" t="s">
        <v>4534</v>
      </c>
      <c r="I608" s="136" t="s">
        <v>4532</v>
      </c>
      <c r="J608" s="136" t="s">
        <v>4455</v>
      </c>
      <c r="K608" s="136">
        <v>217201931277</v>
      </c>
      <c r="L608" s="138">
        <v>17272.150000000001</v>
      </c>
      <c r="M608" s="138">
        <v>0</v>
      </c>
      <c r="N608" s="136" t="s">
        <v>4425</v>
      </c>
      <c r="O608" s="136" t="s">
        <v>4426</v>
      </c>
      <c r="P608" s="136" t="s">
        <v>4427</v>
      </c>
      <c r="Q608" s="136" t="s">
        <v>4428</v>
      </c>
      <c r="R608" s="136">
        <v>0</v>
      </c>
      <c r="S608" s="142">
        <f>(Tabla18[[#This Row],[Debe]]-Tabla18[[#This Row],[Haber]])*
SUMIF('0_Indice_CAC'!$A:$A,Tabla18[[#This Row],[Mes]],'0_Indice_CAC'!$D:$D)</f>
        <v>13964.386741674189</v>
      </c>
      <c r="T608" s="142">
        <f>Tabla18[[#This Row],[Debe]]-Tabla18[[#This Row],[Haber]]</f>
        <v>17272.150000000001</v>
      </c>
      <c r="U608" s="322"/>
      <c r="V608" s="323"/>
      <c r="W608" s="142">
        <f t="shared" ref="W608:W671" si="12">IFERROR(T608-IF(V608="",0,V608),0)</f>
        <v>17272.150000000001</v>
      </c>
      <c r="X608" s="142" t="b">
        <f>ISNUMBER(MATCH(A608,'3_Control_Ppto'!$A$4:$A$70,0))</f>
        <v>1</v>
      </c>
      <c r="Y608" s="136"/>
    </row>
    <row r="609" spans="1:25" ht="12" customHeight="1" x14ac:dyDescent="0.3">
      <c r="A609" s="140" t="s">
        <v>106</v>
      </c>
      <c r="B609" s="140" t="s">
        <v>4090</v>
      </c>
      <c r="C609" s="549">
        <f>+EOMONTH(Tabla18[[#This Row],[Fecha Asiento]],-1)+1</f>
        <v>45992</v>
      </c>
      <c r="D609" s="136">
        <v>53023</v>
      </c>
      <c r="E609" s="136" t="s">
        <v>4467</v>
      </c>
      <c r="F609" s="141">
        <v>46006</v>
      </c>
      <c r="G609" s="136">
        <v>576</v>
      </c>
      <c r="H609" s="136" t="s">
        <v>4705</v>
      </c>
      <c r="I609" s="136" t="s">
        <v>4482</v>
      </c>
      <c r="J609" s="136" t="s">
        <v>4455</v>
      </c>
      <c r="K609" s="136">
        <v>500000650</v>
      </c>
      <c r="L609" s="138">
        <v>4962</v>
      </c>
      <c r="M609" s="138">
        <v>0</v>
      </c>
      <c r="N609" s="136" t="s">
        <v>4425</v>
      </c>
      <c r="O609" s="136" t="s">
        <v>4426</v>
      </c>
      <c r="P609" s="136" t="s">
        <v>4427</v>
      </c>
      <c r="Q609" s="136" t="s">
        <v>4428</v>
      </c>
      <c r="R609" s="136">
        <v>0</v>
      </c>
      <c r="S609" s="142">
        <f>(Tabla18[[#This Row],[Debe]]-Tabla18[[#This Row],[Haber]])*
SUMIF('0_Indice_CAC'!$A:$A,Tabla18[[#This Row],[Mes]],'0_Indice_CAC'!$D:$D)</f>
        <v>4011.7349034247222</v>
      </c>
      <c r="T609" s="142">
        <f>Tabla18[[#This Row],[Debe]]-Tabla18[[#This Row],[Haber]]</f>
        <v>4962</v>
      </c>
      <c r="U609" s="322"/>
      <c r="V609" s="323"/>
      <c r="W609" s="142">
        <f t="shared" si="12"/>
        <v>4962</v>
      </c>
      <c r="X609" s="142" t="b">
        <f>ISNUMBER(MATCH(A609,'3_Control_Ppto'!$A$4:$A$70,0))</f>
        <v>1</v>
      </c>
      <c r="Y609" s="136"/>
    </row>
    <row r="610" spans="1:25" ht="12" customHeight="1" x14ac:dyDescent="0.3">
      <c r="A610" s="140" t="s">
        <v>4271</v>
      </c>
      <c r="B610" s="140" t="s">
        <v>4090</v>
      </c>
      <c r="C610" s="549">
        <f>+EOMONTH(Tabla18[[#This Row],[Fecha Asiento]],-1)+1</f>
        <v>45992</v>
      </c>
      <c r="D610" s="136">
        <v>53017</v>
      </c>
      <c r="E610" s="136" t="s">
        <v>4677</v>
      </c>
      <c r="F610" s="141">
        <v>46007</v>
      </c>
      <c r="G610" s="136">
        <v>577</v>
      </c>
      <c r="H610" s="136" t="s">
        <v>4734</v>
      </c>
      <c r="I610" s="136" t="s">
        <v>4489</v>
      </c>
      <c r="J610" s="136" t="s">
        <v>4455</v>
      </c>
      <c r="K610" s="136">
        <v>300006580</v>
      </c>
      <c r="L610" s="138">
        <v>11570.25</v>
      </c>
      <c r="M610" s="138">
        <v>0</v>
      </c>
      <c r="N610" s="136" t="s">
        <v>4425</v>
      </c>
      <c r="O610" s="136" t="s">
        <v>4426</v>
      </c>
      <c r="P610" s="136" t="s">
        <v>4427</v>
      </c>
      <c r="Q610" s="136" t="s">
        <v>4428</v>
      </c>
      <c r="R610" s="136">
        <v>0</v>
      </c>
      <c r="S610" s="142">
        <f>(Tabla18[[#This Row],[Debe]]-Tabla18[[#This Row],[Haber]])*
SUMIF('0_Indice_CAC'!$A:$A,Tabla18[[#This Row],[Mes]],'0_Indice_CAC'!$D:$D)</f>
        <v>9354.448965407073</v>
      </c>
      <c r="T610" s="142">
        <f>Tabla18[[#This Row],[Debe]]-Tabla18[[#This Row],[Haber]]</f>
        <v>11570.25</v>
      </c>
      <c r="U610" s="322"/>
      <c r="V610" s="323"/>
      <c r="W610" s="142">
        <f t="shared" si="12"/>
        <v>11570.25</v>
      </c>
      <c r="X610" s="142" t="b">
        <f>ISNUMBER(MATCH(A610,'3_Control_Ppto'!$A$4:$A$70,0))</f>
        <v>1</v>
      </c>
      <c r="Y610" s="136"/>
    </row>
    <row r="611" spans="1:25" ht="12" customHeight="1" x14ac:dyDescent="0.3">
      <c r="A611" s="140" t="s">
        <v>25</v>
      </c>
      <c r="B611" s="140" t="s">
        <v>25</v>
      </c>
      <c r="C611" s="549">
        <f>+EOMONTH(Tabla18[[#This Row],[Fecha Asiento]],-1)+1</f>
        <v>45992</v>
      </c>
      <c r="D611" s="136">
        <v>410222</v>
      </c>
      <c r="E611" s="136" t="s">
        <v>4605</v>
      </c>
      <c r="F611" s="141">
        <v>46009</v>
      </c>
      <c r="G611" s="136">
        <v>490</v>
      </c>
      <c r="H611" s="136" t="s">
        <v>4606</v>
      </c>
      <c r="I611" s="136" t="s">
        <v>4607</v>
      </c>
      <c r="J611" s="136" t="s">
        <v>4608</v>
      </c>
      <c r="K611" s="136">
        <v>300000784</v>
      </c>
      <c r="L611" s="138">
        <v>0</v>
      </c>
      <c r="M611" s="138">
        <v>33776391.350000001</v>
      </c>
      <c r="N611" s="136" t="s">
        <v>4425</v>
      </c>
      <c r="O611" s="136" t="s">
        <v>4426</v>
      </c>
      <c r="P611" s="136" t="s">
        <v>4427</v>
      </c>
      <c r="Q611" s="136" t="s">
        <v>4428</v>
      </c>
      <c r="R611" s="136">
        <v>0</v>
      </c>
      <c r="S611" s="142">
        <f>(Tabla18[[#This Row],[Debe]]-Tabla18[[#This Row],[Haber]])*
SUMIF('0_Indice_CAC'!$A:$A,Tabla18[[#This Row],[Mes]],'0_Indice_CAC'!$D:$D)</f>
        <v>-27307925.854600541</v>
      </c>
      <c r="T611" s="142">
        <f>Tabla18[[#This Row],[Debe]]-Tabla18[[#This Row],[Haber]]</f>
        <v>-33776391.350000001</v>
      </c>
      <c r="U611" s="322"/>
      <c r="V611" s="323"/>
      <c r="W611" s="142">
        <f t="shared" si="12"/>
        <v>-33776391.350000001</v>
      </c>
      <c r="X611" s="142" t="b">
        <f>ISNUMBER(MATCH(A611,'3_Control_Ppto'!$A$4:$A$70,0))</f>
        <v>0</v>
      </c>
      <c r="Y611" s="136"/>
    </row>
    <row r="612" spans="1:25" ht="12" customHeight="1" x14ac:dyDescent="0.3">
      <c r="A612" s="140" t="s">
        <v>1478</v>
      </c>
      <c r="B612" s="140" t="s">
        <v>4090</v>
      </c>
      <c r="C612" s="549">
        <f>+EOMONTH(Tabla18[[#This Row],[Fecha Asiento]],-1)+1</f>
        <v>45992</v>
      </c>
      <c r="D612" s="136">
        <v>53004</v>
      </c>
      <c r="E612" s="136" t="s">
        <v>4496</v>
      </c>
      <c r="F612" s="141">
        <v>46009</v>
      </c>
      <c r="G612" s="136">
        <v>687</v>
      </c>
      <c r="H612" s="136" t="s">
        <v>4804</v>
      </c>
      <c r="I612" s="136" t="s">
        <v>4558</v>
      </c>
      <c r="J612" s="136" t="s">
        <v>4455</v>
      </c>
      <c r="K612" s="136">
        <v>1700047718</v>
      </c>
      <c r="L612" s="138">
        <v>961200</v>
      </c>
      <c r="M612" s="138">
        <v>0</v>
      </c>
      <c r="N612" s="136" t="s">
        <v>4425</v>
      </c>
      <c r="O612" s="136" t="s">
        <v>4426</v>
      </c>
      <c r="P612" s="136" t="s">
        <v>4427</v>
      </c>
      <c r="Q612" s="136" t="s">
        <v>4428</v>
      </c>
      <c r="R612" s="136">
        <v>0</v>
      </c>
      <c r="S612" s="142">
        <f>(Tabla18[[#This Row],[Debe]]-Tabla18[[#This Row],[Haber]])*
SUMIF('0_Indice_CAC'!$A:$A,Tabla18[[#This Row],[Mes]],'0_Indice_CAC'!$D:$D)</f>
        <v>777122.04537925089</v>
      </c>
      <c r="T612" s="142">
        <f>Tabla18[[#This Row],[Debe]]-Tabla18[[#This Row],[Haber]]</f>
        <v>961200</v>
      </c>
      <c r="U612" s="322"/>
      <c r="V612" s="323"/>
      <c r="W612" s="142">
        <f t="shared" si="12"/>
        <v>961200</v>
      </c>
      <c r="X612" s="142" t="b">
        <f>ISNUMBER(MATCH(A612,'3_Control_Ppto'!$A$4:$A$70,0))</f>
        <v>1</v>
      </c>
      <c r="Y612" s="136"/>
    </row>
    <row r="613" spans="1:25" ht="12" customHeight="1" x14ac:dyDescent="0.3">
      <c r="A613" s="140" t="s">
        <v>106</v>
      </c>
      <c r="B613" s="140" t="s">
        <v>25</v>
      </c>
      <c r="C613" s="549">
        <f>+EOMONTH(Tabla18[[#This Row],[Fecha Asiento]],-1)+1</f>
        <v>45992</v>
      </c>
      <c r="D613" s="136">
        <v>53009</v>
      </c>
      <c r="E613" s="136" t="s">
        <v>4446</v>
      </c>
      <c r="F613" s="141">
        <v>46010</v>
      </c>
      <c r="G613" s="136">
        <v>201</v>
      </c>
      <c r="H613" s="136" t="s">
        <v>4805</v>
      </c>
      <c r="I613" s="136" t="s">
        <v>4423</v>
      </c>
      <c r="J613" s="136" t="s">
        <v>4424</v>
      </c>
      <c r="K613" s="136">
        <v>8228</v>
      </c>
      <c r="L613" s="138">
        <v>220000</v>
      </c>
      <c r="M613" s="138">
        <v>0</v>
      </c>
      <c r="N613" s="136" t="s">
        <v>4425</v>
      </c>
      <c r="O613" s="136" t="s">
        <v>4426</v>
      </c>
      <c r="P613" s="136" t="s">
        <v>4427</v>
      </c>
      <c r="Q613" s="136" t="s">
        <v>4428</v>
      </c>
      <c r="R613" s="136">
        <v>0</v>
      </c>
      <c r="S613" s="142">
        <f>(Tabla18[[#This Row],[Debe]]-Tabla18[[#This Row],[Haber]])*
SUMIF('0_Indice_CAC'!$A:$A,Tabla18[[#This Row],[Mes]],'0_Indice_CAC'!$D:$D)</f>
        <v>177868.13356578778</v>
      </c>
      <c r="T613" s="142">
        <f>Tabla18[[#This Row],[Debe]]-Tabla18[[#This Row],[Haber]]</f>
        <v>220000</v>
      </c>
      <c r="U613" s="322"/>
      <c r="V613" s="323"/>
      <c r="W613" s="142">
        <f t="shared" si="12"/>
        <v>220000</v>
      </c>
      <c r="X613" s="142" t="b">
        <f>ISNUMBER(MATCH(A613,'3_Control_Ppto'!$A$4:$A$70,0))</f>
        <v>1</v>
      </c>
      <c r="Y613" s="136"/>
    </row>
    <row r="614" spans="1:25" ht="12" customHeight="1" x14ac:dyDescent="0.3">
      <c r="A614" s="140" t="s">
        <v>106</v>
      </c>
      <c r="B614" s="140" t="s">
        <v>25</v>
      </c>
      <c r="C614" s="549">
        <f>+EOMONTH(Tabla18[[#This Row],[Fecha Asiento]],-1)+1</f>
        <v>45992</v>
      </c>
      <c r="D614" s="136">
        <v>53009</v>
      </c>
      <c r="E614" s="136" t="s">
        <v>4446</v>
      </c>
      <c r="F614" s="141">
        <v>46010</v>
      </c>
      <c r="G614" s="136">
        <v>208</v>
      </c>
      <c r="H614" s="136" t="s">
        <v>4806</v>
      </c>
      <c r="I614" s="136" t="s">
        <v>4423</v>
      </c>
      <c r="J614" s="136" t="s">
        <v>4424</v>
      </c>
      <c r="K614" s="136">
        <v>8235</v>
      </c>
      <c r="L614" s="138">
        <v>2213500</v>
      </c>
      <c r="M614" s="138">
        <v>0</v>
      </c>
      <c r="N614" s="136" t="s">
        <v>4425</v>
      </c>
      <c r="O614" s="136" t="s">
        <v>4426</v>
      </c>
      <c r="P614" s="136" t="s">
        <v>4427</v>
      </c>
      <c r="Q614" s="136" t="s">
        <v>4428</v>
      </c>
      <c r="R614" s="136">
        <v>0</v>
      </c>
      <c r="S614" s="142">
        <f>(Tabla18[[#This Row],[Debe]]-Tabla18[[#This Row],[Haber]])*
SUMIF('0_Indice_CAC'!$A:$A,Tabla18[[#This Row],[Mes]],'0_Indice_CAC'!$D:$D)</f>
        <v>1789595.9711266872</v>
      </c>
      <c r="T614" s="142">
        <f>Tabla18[[#This Row],[Debe]]-Tabla18[[#This Row],[Haber]]</f>
        <v>2213500</v>
      </c>
      <c r="U614" s="322"/>
      <c r="V614" s="323"/>
      <c r="W614" s="142">
        <f t="shared" si="12"/>
        <v>2213500</v>
      </c>
      <c r="X614" s="142" t="b">
        <f>ISNUMBER(MATCH(A614,'3_Control_Ppto'!$A$4:$A$70,0))</f>
        <v>1</v>
      </c>
      <c r="Y614" s="136"/>
    </row>
    <row r="615" spans="1:25" ht="12" customHeight="1" x14ac:dyDescent="0.3">
      <c r="A615" s="140" t="s">
        <v>3219</v>
      </c>
      <c r="B615" s="140" t="s">
        <v>4090</v>
      </c>
      <c r="C615" s="549">
        <f>+EOMONTH(Tabla18[[#This Row],[Fecha Asiento]],-1)+1</f>
        <v>45992</v>
      </c>
      <c r="D615" s="136">
        <v>53019</v>
      </c>
      <c r="E615" s="136" t="s">
        <v>4461</v>
      </c>
      <c r="F615" s="141">
        <v>46010</v>
      </c>
      <c r="G615" s="136">
        <v>530</v>
      </c>
      <c r="H615" s="136" t="s">
        <v>4462</v>
      </c>
      <c r="I615" s="136" t="s">
        <v>4463</v>
      </c>
      <c r="J615" s="136" t="s">
        <v>4455</v>
      </c>
      <c r="K615" s="136">
        <v>300010152</v>
      </c>
      <c r="L615" s="138">
        <v>139378.68</v>
      </c>
      <c r="M615" s="138">
        <v>0</v>
      </c>
      <c r="N615" s="136" t="s">
        <v>4425</v>
      </c>
      <c r="O615" s="136" t="s">
        <v>4426</v>
      </c>
      <c r="P615" s="136" t="s">
        <v>4427</v>
      </c>
      <c r="Q615" s="136" t="s">
        <v>4428</v>
      </c>
      <c r="R615" s="136">
        <v>0</v>
      </c>
      <c r="S615" s="142">
        <f>(Tabla18[[#This Row],[Debe]]-Tabla18[[#This Row],[Haber]])*
SUMIF('0_Indice_CAC'!$A:$A,Tabla18[[#This Row],[Mes]],'0_Indice_CAC'!$D:$D)</f>
        <v>112686.48032028723</v>
      </c>
      <c r="T615" s="142">
        <f>Tabla18[[#This Row],[Debe]]-Tabla18[[#This Row],[Haber]]</f>
        <v>139378.68</v>
      </c>
      <c r="U615" s="322"/>
      <c r="V615" s="323"/>
      <c r="W615" s="142">
        <f t="shared" si="12"/>
        <v>139378.68</v>
      </c>
      <c r="X615" s="142" t="b">
        <f>ISNUMBER(MATCH(A615,'3_Control_Ppto'!$A$4:$A$70,0))</f>
        <v>1</v>
      </c>
      <c r="Y615" s="136"/>
    </row>
    <row r="616" spans="1:25" ht="12" customHeight="1" x14ac:dyDescent="0.3">
      <c r="A616" s="140" t="s">
        <v>3219</v>
      </c>
      <c r="B616" s="140" t="s">
        <v>4090</v>
      </c>
      <c r="C616" s="549">
        <f>+EOMONTH(Tabla18[[#This Row],[Fecha Asiento]],-1)+1</f>
        <v>45992</v>
      </c>
      <c r="D616" s="136">
        <v>53019</v>
      </c>
      <c r="E616" s="136" t="s">
        <v>4461</v>
      </c>
      <c r="F616" s="141">
        <v>46010</v>
      </c>
      <c r="G616" s="136">
        <v>690</v>
      </c>
      <c r="H616" s="136" t="s">
        <v>4462</v>
      </c>
      <c r="I616" s="136" t="s">
        <v>4463</v>
      </c>
      <c r="J616" s="136" t="s">
        <v>4455</v>
      </c>
      <c r="K616" s="136">
        <v>300010151</v>
      </c>
      <c r="L616" s="138">
        <v>772007.51</v>
      </c>
      <c r="M616" s="138">
        <v>0</v>
      </c>
      <c r="N616" s="136" t="s">
        <v>4425</v>
      </c>
      <c r="O616" s="136" t="s">
        <v>4426</v>
      </c>
      <c r="P616" s="136" t="s">
        <v>4427</v>
      </c>
      <c r="Q616" s="136" t="s">
        <v>4428</v>
      </c>
      <c r="R616" s="136">
        <v>0</v>
      </c>
      <c r="S616" s="142">
        <f>(Tabla18[[#This Row],[Debe]]-Tabla18[[#This Row],[Haber]])*
SUMIF('0_Indice_CAC'!$A:$A,Tabla18[[#This Row],[Mes]],'0_Indice_CAC'!$D:$D)</f>
        <v>624161.52228396013</v>
      </c>
      <c r="T616" s="142">
        <f>Tabla18[[#This Row],[Debe]]-Tabla18[[#This Row],[Haber]]</f>
        <v>772007.51</v>
      </c>
      <c r="U616" s="322"/>
      <c r="V616" s="323"/>
      <c r="W616" s="142">
        <f t="shared" si="12"/>
        <v>772007.51</v>
      </c>
      <c r="X616" s="142" t="b">
        <f>ISNUMBER(MATCH(A616,'3_Control_Ppto'!$A$4:$A$70,0))</f>
        <v>1</v>
      </c>
      <c r="Y616" s="136"/>
    </row>
    <row r="617" spans="1:25" ht="12" customHeight="1" x14ac:dyDescent="0.3">
      <c r="A617" s="140" t="s">
        <v>3219</v>
      </c>
      <c r="B617" s="140" t="s">
        <v>56</v>
      </c>
      <c r="C617" s="549">
        <f>+EOMONTH(Tabla18[[#This Row],[Fecha Asiento]],-1)+1</f>
        <v>45992</v>
      </c>
      <c r="D617" s="136">
        <v>53020</v>
      </c>
      <c r="E617" s="136" t="s">
        <v>4680</v>
      </c>
      <c r="F617" s="141">
        <v>46010</v>
      </c>
      <c r="G617" s="136">
        <v>203</v>
      </c>
      <c r="H617" s="136" t="s">
        <v>4807</v>
      </c>
      <c r="I617" s="136" t="s">
        <v>4423</v>
      </c>
      <c r="J617" s="136" t="s">
        <v>4424</v>
      </c>
      <c r="K617" s="136">
        <v>8230</v>
      </c>
      <c r="L617" s="138">
        <v>300000</v>
      </c>
      <c r="M617" s="138">
        <v>0</v>
      </c>
      <c r="N617" s="136" t="s">
        <v>4425</v>
      </c>
      <c r="O617" s="136" t="s">
        <v>4426</v>
      </c>
      <c r="P617" s="136" t="s">
        <v>4427</v>
      </c>
      <c r="Q617" s="136" t="s">
        <v>4428</v>
      </c>
      <c r="R617" s="136">
        <v>0</v>
      </c>
      <c r="S617" s="142">
        <f>(Tabla18[[#This Row],[Debe]]-Tabla18[[#This Row],[Haber]])*
SUMIF('0_Indice_CAC'!$A:$A,Tabla18[[#This Row],[Mes]],'0_Indice_CAC'!$D:$D)</f>
        <v>242547.45486243785</v>
      </c>
      <c r="T617" s="142">
        <f>Tabla18[[#This Row],[Debe]]-Tabla18[[#This Row],[Haber]]</f>
        <v>300000</v>
      </c>
      <c r="U617" s="322"/>
      <c r="V617" s="323"/>
      <c r="W617" s="142">
        <f t="shared" si="12"/>
        <v>300000</v>
      </c>
      <c r="X617" s="142" t="b">
        <f>ISNUMBER(MATCH(A617,'3_Control_Ppto'!$A$4:$A$70,0))</f>
        <v>1</v>
      </c>
      <c r="Y617" s="136"/>
    </row>
    <row r="618" spans="1:25" ht="12" customHeight="1" x14ac:dyDescent="0.3">
      <c r="A618" s="140" t="s">
        <v>4271</v>
      </c>
      <c r="B618" s="140" t="s">
        <v>4090</v>
      </c>
      <c r="C618" s="549">
        <f>+EOMONTH(Tabla18[[#This Row],[Fecha Asiento]],-1)+1</f>
        <v>45992</v>
      </c>
      <c r="D618" s="136">
        <v>53017</v>
      </c>
      <c r="E618" s="136" t="s">
        <v>4677</v>
      </c>
      <c r="F618" s="141">
        <v>46011</v>
      </c>
      <c r="G618" s="136">
        <v>581</v>
      </c>
      <c r="H618" s="136" t="s">
        <v>4734</v>
      </c>
      <c r="I618" s="136" t="s">
        <v>4489</v>
      </c>
      <c r="J618" s="136" t="s">
        <v>4439</v>
      </c>
      <c r="K618" s="136">
        <v>300006596</v>
      </c>
      <c r="L618" s="138">
        <v>29338.84</v>
      </c>
      <c r="M618" s="138">
        <v>0</v>
      </c>
      <c r="N618" s="136" t="s">
        <v>4425</v>
      </c>
      <c r="O618" s="136" t="s">
        <v>4426</v>
      </c>
      <c r="P618" s="136" t="s">
        <v>4427</v>
      </c>
      <c r="Q618" s="136" t="s">
        <v>4428</v>
      </c>
      <c r="R618" s="136">
        <v>0</v>
      </c>
      <c r="S618" s="142">
        <f>(Tabla18[[#This Row],[Debe]]-Tabla18[[#This Row],[Haber]])*
SUMIF('0_Indice_CAC'!$A:$A,Tabla18[[#This Row],[Mes]],'0_Indice_CAC'!$D:$D)</f>
        <v>23720.20323538762</v>
      </c>
      <c r="T618" s="142">
        <f>Tabla18[[#This Row],[Debe]]-Tabla18[[#This Row],[Haber]]</f>
        <v>29338.84</v>
      </c>
      <c r="U618" s="322"/>
      <c r="V618" s="323"/>
      <c r="W618" s="142">
        <f t="shared" si="12"/>
        <v>29338.84</v>
      </c>
      <c r="X618" s="142" t="b">
        <f>ISNUMBER(MATCH(A618,'3_Control_Ppto'!$A$4:$A$70,0))</f>
        <v>1</v>
      </c>
      <c r="Y618" s="136"/>
    </row>
    <row r="619" spans="1:25" ht="12" customHeight="1" x14ac:dyDescent="0.3">
      <c r="A619" s="140" t="s">
        <v>4317</v>
      </c>
      <c r="B619" s="140" t="s">
        <v>56</v>
      </c>
      <c r="C619" s="549">
        <f>+EOMONTH(Tabla18[[#This Row],[Fecha Asiento]],-1)+1</f>
        <v>45992</v>
      </c>
      <c r="D619" s="136">
        <v>52101</v>
      </c>
      <c r="E619" s="136" t="s">
        <v>4709</v>
      </c>
      <c r="F619" s="141">
        <v>46013</v>
      </c>
      <c r="G619" s="136">
        <v>586</v>
      </c>
      <c r="H619" s="136" t="s">
        <v>4808</v>
      </c>
      <c r="I619" s="136" t="s">
        <v>4809</v>
      </c>
      <c r="J619" s="136" t="s">
        <v>4455</v>
      </c>
      <c r="K619" s="136">
        <v>400010860</v>
      </c>
      <c r="L619" s="138">
        <v>12892.56</v>
      </c>
      <c r="M619" s="138">
        <v>0</v>
      </c>
      <c r="N619" s="136" t="s">
        <v>4425</v>
      </c>
      <c r="O619" s="136" t="s">
        <v>4426</v>
      </c>
      <c r="P619" s="136" t="s">
        <v>4427</v>
      </c>
      <c r="Q619" s="136" t="s">
        <v>4428</v>
      </c>
      <c r="R619" s="136">
        <v>0</v>
      </c>
      <c r="S619" s="142">
        <f>(Tabla18[[#This Row],[Debe]]-Tabla18[[#This Row],[Haber]])*
SUMIF('0_Indice_CAC'!$A:$A,Tabla18[[#This Row],[Mes]],'0_Indice_CAC'!$D:$D)</f>
        <v>10423.52538220424</v>
      </c>
      <c r="T619" s="142">
        <f>Tabla18[[#This Row],[Debe]]-Tabla18[[#This Row],[Haber]]</f>
        <v>12892.56</v>
      </c>
      <c r="U619" s="322"/>
      <c r="V619" s="323"/>
      <c r="W619" s="142">
        <f t="shared" si="12"/>
        <v>12892.56</v>
      </c>
      <c r="X619" s="142" t="b">
        <f>ISNUMBER(MATCH(A619,'3_Control_Ppto'!$A$4:$A$70,0))</f>
        <v>1</v>
      </c>
      <c r="Y619" s="136"/>
    </row>
    <row r="620" spans="1:25" ht="12" customHeight="1" x14ac:dyDescent="0.3">
      <c r="A620" s="140" t="s">
        <v>4317</v>
      </c>
      <c r="B620" s="140" t="s">
        <v>56</v>
      </c>
      <c r="C620" s="549">
        <f>+EOMONTH(Tabla18[[#This Row],[Fecha Asiento]],-1)+1</f>
        <v>45992</v>
      </c>
      <c r="D620" s="136">
        <v>52103</v>
      </c>
      <c r="E620" s="136" t="s">
        <v>4477</v>
      </c>
      <c r="F620" s="141">
        <v>46013</v>
      </c>
      <c r="G620" s="136">
        <v>193</v>
      </c>
      <c r="H620" s="136" t="s">
        <v>4478</v>
      </c>
      <c r="I620" s="136" t="s">
        <v>4423</v>
      </c>
      <c r="J620" s="136" t="s">
        <v>4424</v>
      </c>
      <c r="K620" s="136">
        <v>8220</v>
      </c>
      <c r="L620" s="138">
        <v>2505</v>
      </c>
      <c r="M620" s="138">
        <v>0</v>
      </c>
      <c r="N620" s="136" t="s">
        <v>4425</v>
      </c>
      <c r="O620" s="136" t="s">
        <v>4426</v>
      </c>
      <c r="P620" s="136" t="s">
        <v>4427</v>
      </c>
      <c r="Q620" s="136" t="s">
        <v>4428</v>
      </c>
      <c r="R620" s="136">
        <v>0</v>
      </c>
      <c r="S620" s="142">
        <f>(Tabla18[[#This Row],[Debe]]-Tabla18[[#This Row],[Haber]])*
SUMIF('0_Indice_CAC'!$A:$A,Tabla18[[#This Row],[Mes]],'0_Indice_CAC'!$D:$D)</f>
        <v>2025.2712481013562</v>
      </c>
      <c r="T620" s="142">
        <f>Tabla18[[#This Row],[Debe]]-Tabla18[[#This Row],[Haber]]</f>
        <v>2505</v>
      </c>
      <c r="U620" s="322"/>
      <c r="V620" s="323"/>
      <c r="W620" s="142">
        <f t="shared" si="12"/>
        <v>2505</v>
      </c>
      <c r="X620" s="142" t="b">
        <f>ISNUMBER(MATCH(A620,'3_Control_Ppto'!$A$4:$A$70,0))</f>
        <v>1</v>
      </c>
      <c r="Y620" s="136"/>
    </row>
    <row r="621" spans="1:25" ht="12" customHeight="1" x14ac:dyDescent="0.3">
      <c r="A621" s="140" t="s">
        <v>4317</v>
      </c>
      <c r="B621" s="140" t="s">
        <v>56</v>
      </c>
      <c r="C621" s="549">
        <f>+EOMONTH(Tabla18[[#This Row],[Fecha Asiento]],-1)+1</f>
        <v>45992</v>
      </c>
      <c r="D621" s="136">
        <v>52302</v>
      </c>
      <c r="E621" s="136" t="s">
        <v>4444</v>
      </c>
      <c r="F621" s="141">
        <v>46014</v>
      </c>
      <c r="G621" s="136">
        <v>350</v>
      </c>
      <c r="H621" s="136" t="s">
        <v>4810</v>
      </c>
      <c r="I621" s="136" t="s">
        <v>4423</v>
      </c>
      <c r="J621" s="136" t="s">
        <v>4424</v>
      </c>
      <c r="K621" s="136">
        <v>8374</v>
      </c>
      <c r="L621" s="138">
        <v>17230</v>
      </c>
      <c r="M621" s="138">
        <v>0</v>
      </c>
      <c r="N621" s="136" t="s">
        <v>4425</v>
      </c>
      <c r="O621" s="136" t="s">
        <v>4426</v>
      </c>
      <c r="P621" s="136" t="s">
        <v>4427</v>
      </c>
      <c r="Q621" s="136" t="s">
        <v>4428</v>
      </c>
      <c r="R621" s="136">
        <v>0</v>
      </c>
      <c r="S621" s="142">
        <f>(Tabla18[[#This Row],[Debe]]-Tabla18[[#This Row],[Haber]])*
SUMIF('0_Indice_CAC'!$A:$A,Tabla18[[#This Row],[Mes]],'0_Indice_CAC'!$D:$D)</f>
        <v>13930.308824266014</v>
      </c>
      <c r="T621" s="142">
        <f>Tabla18[[#This Row],[Debe]]-Tabla18[[#This Row],[Haber]]</f>
        <v>17230</v>
      </c>
      <c r="U621" s="322"/>
      <c r="V621" s="323"/>
      <c r="W621" s="142">
        <f t="shared" si="12"/>
        <v>17230</v>
      </c>
      <c r="X621" s="142" t="b">
        <f>ISNUMBER(MATCH(A621,'3_Control_Ppto'!$A$4:$A$70,0))</f>
        <v>1</v>
      </c>
      <c r="Y621" s="136"/>
    </row>
    <row r="622" spans="1:25" ht="12" customHeight="1" x14ac:dyDescent="0.3">
      <c r="A622" s="140" t="s">
        <v>4317</v>
      </c>
      <c r="B622" s="140" t="s">
        <v>56</v>
      </c>
      <c r="C622" s="549">
        <f>+EOMONTH(Tabla18[[#This Row],[Fecha Asiento]],-1)+1</f>
        <v>45992</v>
      </c>
      <c r="D622" s="136">
        <v>52302</v>
      </c>
      <c r="E622" s="136" t="s">
        <v>4444</v>
      </c>
      <c r="F622" s="141">
        <v>46014</v>
      </c>
      <c r="G622" s="136">
        <v>351</v>
      </c>
      <c r="H622" s="136" t="s">
        <v>4810</v>
      </c>
      <c r="I622" s="136" t="s">
        <v>4423</v>
      </c>
      <c r="J622" s="136" t="s">
        <v>4424</v>
      </c>
      <c r="K622" s="136">
        <v>8375</v>
      </c>
      <c r="L622" s="138">
        <v>13890</v>
      </c>
      <c r="M622" s="138">
        <v>0</v>
      </c>
      <c r="N622" s="136" t="s">
        <v>4425</v>
      </c>
      <c r="O622" s="136" t="s">
        <v>4426</v>
      </c>
      <c r="P622" s="136" t="s">
        <v>4427</v>
      </c>
      <c r="Q622" s="136" t="s">
        <v>4428</v>
      </c>
      <c r="R622" s="136">
        <v>0</v>
      </c>
      <c r="S622" s="142">
        <f>(Tabla18[[#This Row],[Debe]]-Tabla18[[#This Row],[Haber]])*
SUMIF('0_Indice_CAC'!$A:$A,Tabla18[[#This Row],[Mes]],'0_Indice_CAC'!$D:$D)</f>
        <v>11229.947160130872</v>
      </c>
      <c r="T622" s="142">
        <f>Tabla18[[#This Row],[Debe]]-Tabla18[[#This Row],[Haber]]</f>
        <v>13890</v>
      </c>
      <c r="U622" s="322"/>
      <c r="V622" s="323"/>
      <c r="W622" s="142">
        <f t="shared" si="12"/>
        <v>13890</v>
      </c>
      <c r="X622" s="142" t="b">
        <f>ISNUMBER(MATCH(A622,'3_Control_Ppto'!$A$4:$A$70,0))</f>
        <v>1</v>
      </c>
      <c r="Y622" s="136"/>
    </row>
    <row r="623" spans="1:25" ht="12" customHeight="1" x14ac:dyDescent="0.3">
      <c r="A623" s="140" t="s">
        <v>106</v>
      </c>
      <c r="B623" s="140" t="s">
        <v>4090</v>
      </c>
      <c r="C623" s="549">
        <f>+EOMONTH(Tabla18[[#This Row],[Fecha Asiento]],-1)+1</f>
        <v>45992</v>
      </c>
      <c r="D623" s="136">
        <v>53023</v>
      </c>
      <c r="E623" s="136" t="s">
        <v>4467</v>
      </c>
      <c r="F623" s="141">
        <v>46014</v>
      </c>
      <c r="G623" s="136">
        <v>587</v>
      </c>
      <c r="H623" s="136" t="s">
        <v>4498</v>
      </c>
      <c r="I623" s="136" t="s">
        <v>4466</v>
      </c>
      <c r="J623" s="136" t="s">
        <v>4455</v>
      </c>
      <c r="K623" s="136">
        <v>600012980</v>
      </c>
      <c r="L623" s="138">
        <v>4132.24</v>
      </c>
      <c r="M623" s="138">
        <v>0</v>
      </c>
      <c r="N623" s="136" t="s">
        <v>4425</v>
      </c>
      <c r="O623" s="136" t="s">
        <v>4426</v>
      </c>
      <c r="P623" s="136" t="s">
        <v>4427</v>
      </c>
      <c r="Q623" s="136" t="s">
        <v>4428</v>
      </c>
      <c r="R623" s="136">
        <v>0</v>
      </c>
      <c r="S623" s="142">
        <f>(Tabla18[[#This Row],[Debe]]-Tabla18[[#This Row],[Haber]])*
SUMIF('0_Indice_CAC'!$A:$A,Tabla18[[#This Row],[Mes]],'0_Indice_CAC'!$D:$D)</f>
        <v>3340.8809829358675</v>
      </c>
      <c r="T623" s="142">
        <f>Tabla18[[#This Row],[Debe]]-Tabla18[[#This Row],[Haber]]</f>
        <v>4132.24</v>
      </c>
      <c r="U623" s="322"/>
      <c r="V623" s="323"/>
      <c r="W623" s="142">
        <f t="shared" si="12"/>
        <v>4132.24</v>
      </c>
      <c r="X623" s="142" t="b">
        <f>ISNUMBER(MATCH(A623,'3_Control_Ppto'!$A$4:$A$70,0))</f>
        <v>1</v>
      </c>
      <c r="Y623" s="136"/>
    </row>
    <row r="624" spans="1:25" ht="12" customHeight="1" x14ac:dyDescent="0.3">
      <c r="A624" s="140" t="s">
        <v>4317</v>
      </c>
      <c r="B624" s="140" t="s">
        <v>56</v>
      </c>
      <c r="C624" s="549">
        <f>+EOMONTH(Tabla18[[#This Row],[Fecha Asiento]],-1)+1</f>
        <v>45992</v>
      </c>
      <c r="D624" s="136">
        <v>52103</v>
      </c>
      <c r="E624" s="136" t="s">
        <v>4477</v>
      </c>
      <c r="F624" s="141">
        <v>46015</v>
      </c>
      <c r="G624" s="136">
        <v>902</v>
      </c>
      <c r="H624" s="136" t="s">
        <v>4569</v>
      </c>
      <c r="I624" s="136" t="s">
        <v>4570</v>
      </c>
      <c r="J624" s="136" t="s">
        <v>4455</v>
      </c>
      <c r="K624" s="136">
        <v>418100144858</v>
      </c>
      <c r="L624" s="138">
        <v>7933.78</v>
      </c>
      <c r="M624" s="138">
        <v>0</v>
      </c>
      <c r="N624" s="136" t="s">
        <v>4425</v>
      </c>
      <c r="O624" s="136" t="s">
        <v>4426</v>
      </c>
      <c r="P624" s="136" t="s">
        <v>4427</v>
      </c>
      <c r="Q624" s="136" t="s">
        <v>4428</v>
      </c>
      <c r="R624" s="136">
        <v>0</v>
      </c>
      <c r="S624" s="142">
        <f>(Tabla18[[#This Row],[Debe]]-Tabla18[[#This Row],[Haber]])*
SUMIF('0_Indice_CAC'!$A:$A,Tabla18[[#This Row],[Mes]],'0_Indice_CAC'!$D:$D)</f>
        <v>6414.3938214617074</v>
      </c>
      <c r="T624" s="142">
        <f>Tabla18[[#This Row],[Debe]]-Tabla18[[#This Row],[Haber]]</f>
        <v>7933.78</v>
      </c>
      <c r="U624" s="322"/>
      <c r="V624" s="323"/>
      <c r="W624" s="142">
        <f t="shared" si="12"/>
        <v>7933.78</v>
      </c>
      <c r="X624" s="142" t="b">
        <f>ISNUMBER(MATCH(A624,'3_Control_Ppto'!$A$4:$A$70,0))</f>
        <v>1</v>
      </c>
      <c r="Y624" s="136"/>
    </row>
    <row r="625" spans="1:25" ht="12" customHeight="1" x14ac:dyDescent="0.3">
      <c r="A625" s="140" t="s">
        <v>4317</v>
      </c>
      <c r="B625" s="140" t="s">
        <v>56</v>
      </c>
      <c r="C625" s="549">
        <f>+EOMONTH(Tabla18[[#This Row],[Fecha Asiento]],-1)+1</f>
        <v>45992</v>
      </c>
      <c r="D625" s="136">
        <v>52302</v>
      </c>
      <c r="E625" s="136" t="s">
        <v>4444</v>
      </c>
      <c r="F625" s="141">
        <v>46020</v>
      </c>
      <c r="G625" s="136">
        <v>693</v>
      </c>
      <c r="H625" s="136" t="s">
        <v>4811</v>
      </c>
      <c r="I625" s="136" t="s">
        <v>4812</v>
      </c>
      <c r="J625" s="136" t="s">
        <v>4455</v>
      </c>
      <c r="K625" s="136">
        <v>200000046</v>
      </c>
      <c r="L625" s="138">
        <v>300000</v>
      </c>
      <c r="M625" s="138">
        <v>0</v>
      </c>
      <c r="N625" s="136" t="s">
        <v>4425</v>
      </c>
      <c r="O625" s="136" t="s">
        <v>4426</v>
      </c>
      <c r="P625" s="136" t="s">
        <v>4427</v>
      </c>
      <c r="Q625" s="136" t="s">
        <v>4428</v>
      </c>
      <c r="R625" s="136">
        <v>0</v>
      </c>
      <c r="S625" s="142">
        <f>(Tabla18[[#This Row],[Debe]]-Tabla18[[#This Row],[Haber]])*
SUMIF('0_Indice_CAC'!$A:$A,Tabla18[[#This Row],[Mes]],'0_Indice_CAC'!$D:$D)</f>
        <v>242547.45486243785</v>
      </c>
      <c r="T625" s="142">
        <f>Tabla18[[#This Row],[Debe]]-Tabla18[[#This Row],[Haber]]</f>
        <v>300000</v>
      </c>
      <c r="U625" s="322"/>
      <c r="V625" s="323"/>
      <c r="W625" s="142">
        <f t="shared" si="12"/>
        <v>300000</v>
      </c>
      <c r="X625" s="142" t="b">
        <f>ISNUMBER(MATCH(A625,'3_Control_Ppto'!$A$4:$A$70,0))</f>
        <v>1</v>
      </c>
      <c r="Y625" s="136"/>
    </row>
    <row r="626" spans="1:25" ht="12" customHeight="1" x14ac:dyDescent="0.3">
      <c r="A626" s="140" t="s">
        <v>4317</v>
      </c>
      <c r="B626" s="140" t="s">
        <v>56</v>
      </c>
      <c r="C626" s="549">
        <f>+EOMONTH(Tabla18[[#This Row],[Fecha Asiento]],-1)+1</f>
        <v>45992</v>
      </c>
      <c r="D626" s="136">
        <v>52102</v>
      </c>
      <c r="E626" s="136" t="s">
        <v>4535</v>
      </c>
      <c r="F626" s="141">
        <v>46021</v>
      </c>
      <c r="G626" s="136">
        <v>903</v>
      </c>
      <c r="H626" s="136" t="s">
        <v>4633</v>
      </c>
      <c r="I626" s="136" t="s">
        <v>4634</v>
      </c>
      <c r="J626" s="136" t="s">
        <v>4542</v>
      </c>
      <c r="K626" s="136">
        <v>400007646</v>
      </c>
      <c r="L626" s="138">
        <v>32200</v>
      </c>
      <c r="M626" s="138">
        <v>0</v>
      </c>
      <c r="N626" s="136" t="s">
        <v>4425</v>
      </c>
      <c r="O626" s="136" t="s">
        <v>4426</v>
      </c>
      <c r="P626" s="136" t="s">
        <v>4427</v>
      </c>
      <c r="Q626" s="136" t="s">
        <v>4428</v>
      </c>
      <c r="R626" s="136">
        <v>0</v>
      </c>
      <c r="S626" s="142">
        <f>(Tabla18[[#This Row],[Debe]]-Tabla18[[#This Row],[Haber]])*
SUMIF('0_Indice_CAC'!$A:$A,Tabla18[[#This Row],[Mes]],'0_Indice_CAC'!$D:$D)</f>
        <v>26033.426821901663</v>
      </c>
      <c r="T626" s="142">
        <f>Tabla18[[#This Row],[Debe]]-Tabla18[[#This Row],[Haber]]</f>
        <v>32200</v>
      </c>
      <c r="U626" s="322"/>
      <c r="V626" s="323"/>
      <c r="W626" s="142">
        <f t="shared" si="12"/>
        <v>32200</v>
      </c>
      <c r="X626" s="142" t="b">
        <f>ISNUMBER(MATCH(A626,'3_Control_Ppto'!$A$4:$A$70,0))</f>
        <v>1</v>
      </c>
      <c r="Y626" s="136"/>
    </row>
    <row r="627" spans="1:25" ht="12" customHeight="1" x14ac:dyDescent="0.3">
      <c r="A627" s="140" t="s">
        <v>4317</v>
      </c>
      <c r="B627" s="140" t="s">
        <v>56</v>
      </c>
      <c r="C627" s="549">
        <f>+EOMONTH(Tabla18[[#This Row],[Fecha Asiento]],-1)+1</f>
        <v>45992</v>
      </c>
      <c r="D627" s="136">
        <v>52302</v>
      </c>
      <c r="E627" s="136" t="s">
        <v>4444</v>
      </c>
      <c r="F627" s="141">
        <v>46022</v>
      </c>
      <c r="G627" s="136">
        <v>695</v>
      </c>
      <c r="H627" s="136" t="s">
        <v>4813</v>
      </c>
      <c r="I627" s="136" t="s">
        <v>4532</v>
      </c>
      <c r="J627" s="136" t="s">
        <v>4455</v>
      </c>
      <c r="K627" s="136">
        <v>217201945178</v>
      </c>
      <c r="L627" s="138">
        <v>39470.15</v>
      </c>
      <c r="M627" s="138">
        <v>0</v>
      </c>
      <c r="N627" s="136" t="s">
        <v>4425</v>
      </c>
      <c r="O627" s="136" t="s">
        <v>4426</v>
      </c>
      <c r="P627" s="136" t="s">
        <v>4427</v>
      </c>
      <c r="Q627" s="136" t="s">
        <v>4428</v>
      </c>
      <c r="R627" s="136">
        <v>0</v>
      </c>
      <c r="S627" s="142">
        <f>(Tabla18[[#This Row],[Debe]]-Tabla18[[#This Row],[Haber]])*
SUMIF('0_Indice_CAC'!$A:$A,Tabla18[[#This Row],[Mes]],'0_Indice_CAC'!$D:$D)</f>
        <v>31911.281418462175</v>
      </c>
      <c r="T627" s="142">
        <f>Tabla18[[#This Row],[Debe]]-Tabla18[[#This Row],[Haber]]</f>
        <v>39470.15</v>
      </c>
      <c r="U627" s="322"/>
      <c r="V627" s="323"/>
      <c r="W627" s="142">
        <f t="shared" si="12"/>
        <v>39470.15</v>
      </c>
      <c r="X627" s="142" t="b">
        <f>ISNUMBER(MATCH(A627,'3_Control_Ppto'!$A$4:$A$70,0))</f>
        <v>1</v>
      </c>
      <c r="Y627" s="136"/>
    </row>
    <row r="628" spans="1:25" ht="12" customHeight="1" x14ac:dyDescent="0.3">
      <c r="A628" s="140" t="s">
        <v>4317</v>
      </c>
      <c r="B628" s="140" t="s">
        <v>56</v>
      </c>
      <c r="C628" s="549">
        <f>+EOMONTH(Tabla18[[#This Row],[Fecha Asiento]],-1)+1</f>
        <v>45992</v>
      </c>
      <c r="D628" s="136">
        <v>52302</v>
      </c>
      <c r="E628" s="136" t="s">
        <v>4444</v>
      </c>
      <c r="F628" s="141">
        <v>46022</v>
      </c>
      <c r="G628" s="136">
        <v>695</v>
      </c>
      <c r="H628" s="136" t="s">
        <v>4533</v>
      </c>
      <c r="I628" s="136" t="s">
        <v>4532</v>
      </c>
      <c r="J628" s="136" t="s">
        <v>4455</v>
      </c>
      <c r="K628" s="136">
        <v>217201945178</v>
      </c>
      <c r="L628" s="138">
        <v>1171.8800000000001</v>
      </c>
      <c r="M628" s="138">
        <v>0</v>
      </c>
      <c r="N628" s="136" t="s">
        <v>4425</v>
      </c>
      <c r="O628" s="136" t="s">
        <v>4426</v>
      </c>
      <c r="P628" s="136" t="s">
        <v>4427</v>
      </c>
      <c r="Q628" s="136" t="s">
        <v>4428</v>
      </c>
      <c r="R628" s="136">
        <v>0</v>
      </c>
      <c r="S628" s="142">
        <f>(Tabla18[[#This Row],[Debe]]-Tabla18[[#This Row],[Haber]])*
SUMIF('0_Indice_CAC'!$A:$A,Tabla18[[#This Row],[Mes]],'0_Indice_CAC'!$D:$D)</f>
        <v>947.45503801397899</v>
      </c>
      <c r="T628" s="142">
        <f>Tabla18[[#This Row],[Debe]]-Tabla18[[#This Row],[Haber]]</f>
        <v>1171.8800000000001</v>
      </c>
      <c r="U628" s="322"/>
      <c r="V628" s="323"/>
      <c r="W628" s="142">
        <f t="shared" si="12"/>
        <v>1171.8800000000001</v>
      </c>
      <c r="X628" s="142" t="b">
        <f>ISNUMBER(MATCH(A628,'3_Control_Ppto'!$A$4:$A$70,0))</f>
        <v>1</v>
      </c>
      <c r="Y628" s="136"/>
    </row>
    <row r="629" spans="1:25" ht="12" customHeight="1" x14ac:dyDescent="0.3">
      <c r="A629" s="140" t="s">
        <v>4317</v>
      </c>
      <c r="B629" s="140" t="s">
        <v>56</v>
      </c>
      <c r="C629" s="549">
        <f>+EOMONTH(Tabla18[[#This Row],[Fecha Asiento]],-1)+1</f>
        <v>45992</v>
      </c>
      <c r="D629" s="136">
        <v>52302</v>
      </c>
      <c r="E629" s="136" t="s">
        <v>4444</v>
      </c>
      <c r="F629" s="141">
        <v>46022</v>
      </c>
      <c r="G629" s="136">
        <v>695</v>
      </c>
      <c r="H629" s="136" t="s">
        <v>4772</v>
      </c>
      <c r="I629" s="136" t="s">
        <v>4532</v>
      </c>
      <c r="J629" s="136" t="s">
        <v>4455</v>
      </c>
      <c r="K629" s="136">
        <v>217201945178</v>
      </c>
      <c r="L629" s="138">
        <v>46747.16</v>
      </c>
      <c r="M629" s="138">
        <v>0</v>
      </c>
      <c r="N629" s="136" t="s">
        <v>4425</v>
      </c>
      <c r="O629" s="136" t="s">
        <v>4426</v>
      </c>
      <c r="P629" s="136" t="s">
        <v>4427</v>
      </c>
      <c r="Q629" s="136" t="s">
        <v>4428</v>
      </c>
      <c r="R629" s="136">
        <v>0</v>
      </c>
      <c r="S629" s="142">
        <f>(Tabla18[[#This Row],[Debe]]-Tabla18[[#This Row],[Haber]])*
SUMIF('0_Indice_CAC'!$A:$A,Tabla18[[#This Row],[Mes]],'0_Indice_CAC'!$D:$D)</f>
        <v>37794.682266823875</v>
      </c>
      <c r="T629" s="142">
        <f>Tabla18[[#This Row],[Debe]]-Tabla18[[#This Row],[Haber]]</f>
        <v>46747.16</v>
      </c>
      <c r="U629" s="322"/>
      <c r="V629" s="323"/>
      <c r="W629" s="142">
        <f t="shared" si="12"/>
        <v>46747.16</v>
      </c>
      <c r="X629" s="142" t="b">
        <f>ISNUMBER(MATCH(A629,'3_Control_Ppto'!$A$4:$A$70,0))</f>
        <v>1</v>
      </c>
      <c r="Y629" s="136"/>
    </row>
    <row r="630" spans="1:25" ht="12" customHeight="1" x14ac:dyDescent="0.3">
      <c r="A630" s="140" t="s">
        <v>4317</v>
      </c>
      <c r="B630" s="140" t="s">
        <v>56</v>
      </c>
      <c r="C630" s="549">
        <f>+EOMONTH(Tabla18[[#This Row],[Fecha Asiento]],-1)+1</f>
        <v>45992</v>
      </c>
      <c r="D630" s="136">
        <v>52302</v>
      </c>
      <c r="E630" s="136" t="s">
        <v>4444</v>
      </c>
      <c r="F630" s="141">
        <v>46022</v>
      </c>
      <c r="G630" s="136">
        <v>695</v>
      </c>
      <c r="H630" s="136" t="s">
        <v>4534</v>
      </c>
      <c r="I630" s="136" t="s">
        <v>4532</v>
      </c>
      <c r="J630" s="136" t="s">
        <v>4455</v>
      </c>
      <c r="K630" s="136">
        <v>217201945178</v>
      </c>
      <c r="L630" s="138">
        <v>15667.77</v>
      </c>
      <c r="M630" s="138">
        <v>0</v>
      </c>
      <c r="N630" s="136" t="s">
        <v>4425</v>
      </c>
      <c r="O630" s="136" t="s">
        <v>4426</v>
      </c>
      <c r="P630" s="136" t="s">
        <v>4427</v>
      </c>
      <c r="Q630" s="136" t="s">
        <v>4428</v>
      </c>
      <c r="R630" s="136">
        <v>0</v>
      </c>
      <c r="S630" s="142">
        <f>(Tabla18[[#This Row],[Debe]]-Tabla18[[#This Row],[Haber]])*
SUMIF('0_Indice_CAC'!$A:$A,Tabla18[[#This Row],[Mes]],'0_Indice_CAC'!$D:$D)</f>
        <v>12667.259122900194</v>
      </c>
      <c r="T630" s="142">
        <f>Tabla18[[#This Row],[Debe]]-Tabla18[[#This Row],[Haber]]</f>
        <v>15667.77</v>
      </c>
      <c r="U630" s="322"/>
      <c r="V630" s="323"/>
      <c r="W630" s="142">
        <f t="shared" si="12"/>
        <v>15667.77</v>
      </c>
      <c r="X630" s="142" t="b">
        <f>ISNUMBER(MATCH(A630,'3_Control_Ppto'!$A$4:$A$70,0))</f>
        <v>1</v>
      </c>
      <c r="Y630" s="136"/>
    </row>
    <row r="631" spans="1:25" ht="12" customHeight="1" x14ac:dyDescent="0.3">
      <c r="A631" s="140" t="s">
        <v>4119</v>
      </c>
      <c r="B631" s="140" t="s">
        <v>56</v>
      </c>
      <c r="C631" s="549">
        <f>+EOMONTH(Tabla18[[#This Row],[Fecha Asiento]],-1)+1</f>
        <v>46023</v>
      </c>
      <c r="D631" s="136">
        <v>52104</v>
      </c>
      <c r="E631" s="136" t="s">
        <v>4528</v>
      </c>
      <c r="F631" s="141">
        <v>46023</v>
      </c>
      <c r="G631" s="136">
        <v>751</v>
      </c>
      <c r="H631" s="136" t="s">
        <v>4655</v>
      </c>
      <c r="I631" s="136" t="s">
        <v>4656</v>
      </c>
      <c r="J631" s="136" t="s">
        <v>4455</v>
      </c>
      <c r="K631" s="136">
        <v>1100002286</v>
      </c>
      <c r="L631" s="138">
        <v>240000</v>
      </c>
      <c r="M631" s="138">
        <v>0</v>
      </c>
      <c r="N631" s="136" t="s">
        <v>4425</v>
      </c>
      <c r="O631" s="136" t="s">
        <v>4426</v>
      </c>
      <c r="P631" s="136" t="s">
        <v>4427</v>
      </c>
      <c r="Q631" s="136" t="s">
        <v>4428</v>
      </c>
      <c r="R631" s="136">
        <v>0</v>
      </c>
      <c r="S631" s="142">
        <f>(Tabla18[[#This Row],[Debe]]-Tabla18[[#This Row],[Haber]])*
SUMIF('0_Indice_CAC'!$A:$A,Tabla18[[#This Row],[Mes]],'0_Indice_CAC'!$D:$D)</f>
        <v>190649.90061181967</v>
      </c>
      <c r="T631" s="142">
        <f>Tabla18[[#This Row],[Debe]]-Tabla18[[#This Row],[Haber]]</f>
        <v>240000</v>
      </c>
      <c r="U631" s="322"/>
      <c r="V631" s="323"/>
      <c r="W631" s="142">
        <f t="shared" si="12"/>
        <v>240000</v>
      </c>
      <c r="X631" s="142" t="b">
        <f>ISNUMBER(MATCH(A631,'3_Control_Ppto'!$A$4:$A$70,0))</f>
        <v>1</v>
      </c>
      <c r="Y631" s="136"/>
    </row>
    <row r="632" spans="1:25" ht="12" customHeight="1" x14ac:dyDescent="0.3">
      <c r="A632" s="140" t="s">
        <v>4310</v>
      </c>
      <c r="B632" s="140" t="s">
        <v>56</v>
      </c>
      <c r="C632" s="549">
        <f>+EOMONTH(Tabla18[[#This Row],[Fecha Asiento]],-1)+1</f>
        <v>46023</v>
      </c>
      <c r="D632" s="136">
        <v>52204</v>
      </c>
      <c r="E632" s="136" t="s">
        <v>4452</v>
      </c>
      <c r="F632" s="141">
        <v>46024</v>
      </c>
      <c r="G632" s="136">
        <v>704</v>
      </c>
      <c r="H632" s="136" t="s">
        <v>4453</v>
      </c>
      <c r="I632" s="136" t="s">
        <v>4454</v>
      </c>
      <c r="J632" s="136" t="s">
        <v>4455</v>
      </c>
      <c r="K632" s="136">
        <v>300001392</v>
      </c>
      <c r="L632" s="138">
        <v>348178</v>
      </c>
      <c r="M632" s="138">
        <v>0</v>
      </c>
      <c r="N632" s="136" t="s">
        <v>4425</v>
      </c>
      <c r="O632" s="136" t="s">
        <v>4426</v>
      </c>
      <c r="P632" s="136" t="s">
        <v>4427</v>
      </c>
      <c r="Q632" s="136" t="s">
        <v>4428</v>
      </c>
      <c r="R632" s="136">
        <v>0</v>
      </c>
      <c r="S632" s="142">
        <f>(Tabla18[[#This Row],[Debe]]-Tabla18[[#This Row],[Haber]])*
SUMIF('0_Indice_CAC'!$A:$A,Tabla18[[#This Row],[Mes]],'0_Indice_CAC'!$D:$D)</f>
        <v>276583.75456342561</v>
      </c>
      <c r="T632" s="142">
        <f>Tabla18[[#This Row],[Debe]]-Tabla18[[#This Row],[Haber]]</f>
        <v>348178</v>
      </c>
      <c r="U632" s="322"/>
      <c r="V632" s="323"/>
      <c r="W632" s="142">
        <f t="shared" si="12"/>
        <v>348178</v>
      </c>
      <c r="X632" s="142" t="b">
        <f>ISNUMBER(MATCH(A632,'3_Control_Ppto'!$A$4:$A$70,0))</f>
        <v>1</v>
      </c>
      <c r="Y632" s="136"/>
    </row>
    <row r="633" spans="1:25" ht="12" customHeight="1" x14ac:dyDescent="0.3">
      <c r="A633" s="140" t="s">
        <v>4271</v>
      </c>
      <c r="B633" s="140" t="s">
        <v>4090</v>
      </c>
      <c r="C633" s="549">
        <f>+EOMONTH(Tabla18[[#This Row],[Fecha Asiento]],-1)+1</f>
        <v>46023</v>
      </c>
      <c r="D633" s="136">
        <v>53017</v>
      </c>
      <c r="E633" s="136" t="s">
        <v>4677</v>
      </c>
      <c r="F633" s="141">
        <v>46024</v>
      </c>
      <c r="G633" s="136">
        <v>907</v>
      </c>
      <c r="H633" s="136" t="s">
        <v>4734</v>
      </c>
      <c r="I633" s="136" t="s">
        <v>4489</v>
      </c>
      <c r="J633" s="136" t="s">
        <v>4439</v>
      </c>
      <c r="K633" s="136">
        <v>300006640</v>
      </c>
      <c r="L633" s="138">
        <v>14256.2</v>
      </c>
      <c r="M633" s="138">
        <v>0</v>
      </c>
      <c r="N633" s="136" t="s">
        <v>4425</v>
      </c>
      <c r="O633" s="136" t="s">
        <v>4426</v>
      </c>
      <c r="P633" s="136" t="s">
        <v>4427</v>
      </c>
      <c r="Q633" s="136" t="s">
        <v>4428</v>
      </c>
      <c r="R633" s="136">
        <v>0</v>
      </c>
      <c r="S633" s="142">
        <f>(Tabla18[[#This Row],[Debe]]-Tabla18[[#This Row],[Haber]])*
SUMIF('0_Indice_CAC'!$A:$A,Tabla18[[#This Row],[Mes]],'0_Indice_CAC'!$D:$D)</f>
        <v>11324.762971259264</v>
      </c>
      <c r="T633" s="142">
        <f>Tabla18[[#This Row],[Debe]]-Tabla18[[#This Row],[Haber]]</f>
        <v>14256.2</v>
      </c>
      <c r="U633" s="322"/>
      <c r="V633" s="323"/>
      <c r="W633" s="142">
        <f t="shared" si="12"/>
        <v>14256.2</v>
      </c>
      <c r="X633" s="142" t="b">
        <f>ISNUMBER(MATCH(A633,'3_Control_Ppto'!$A$4:$A$70,0))</f>
        <v>1</v>
      </c>
      <c r="Y633" s="136"/>
    </row>
    <row r="634" spans="1:25" ht="12" customHeight="1" x14ac:dyDescent="0.3">
      <c r="A634" s="140" t="s">
        <v>3219</v>
      </c>
      <c r="B634" s="140" t="s">
        <v>4090</v>
      </c>
      <c r="C634" s="549">
        <f>+EOMONTH(Tabla18[[#This Row],[Fecha Asiento]],-1)+1</f>
        <v>46023</v>
      </c>
      <c r="D634" s="136">
        <v>53019</v>
      </c>
      <c r="E634" s="136" t="s">
        <v>4461</v>
      </c>
      <c r="F634" s="141">
        <v>46024</v>
      </c>
      <c r="G634" s="136">
        <v>752</v>
      </c>
      <c r="H634" s="136" t="s">
        <v>4748</v>
      </c>
      <c r="I634" s="136" t="s">
        <v>4749</v>
      </c>
      <c r="J634" s="136" t="s">
        <v>4455</v>
      </c>
      <c r="K634" s="136">
        <v>1800099152</v>
      </c>
      <c r="L634" s="138">
        <v>179080</v>
      </c>
      <c r="M634" s="138">
        <v>0</v>
      </c>
      <c r="N634" s="136" t="s">
        <v>4425</v>
      </c>
      <c r="O634" s="136" t="s">
        <v>4426</v>
      </c>
      <c r="P634" s="136" t="s">
        <v>4427</v>
      </c>
      <c r="Q634" s="136" t="s">
        <v>4428</v>
      </c>
      <c r="R634" s="136">
        <v>0</v>
      </c>
      <c r="S634" s="142">
        <f>(Tabla18[[#This Row],[Debe]]-Tabla18[[#This Row],[Haber]])*
SUMIF('0_Indice_CAC'!$A:$A,Tabla18[[#This Row],[Mes]],'0_Indice_CAC'!$D:$D)</f>
        <v>142256.60083985276</v>
      </c>
      <c r="T634" s="142">
        <f>Tabla18[[#This Row],[Debe]]-Tabla18[[#This Row],[Haber]]</f>
        <v>179080</v>
      </c>
      <c r="U634" s="322"/>
      <c r="V634" s="323"/>
      <c r="W634" s="142">
        <f t="shared" si="12"/>
        <v>179080</v>
      </c>
      <c r="X634" s="142" t="b">
        <f>ISNUMBER(MATCH(A634,'3_Control_Ppto'!$A$4:$A$70,0))</f>
        <v>1</v>
      </c>
      <c r="Y634" s="136"/>
    </row>
    <row r="635" spans="1:25" ht="12" customHeight="1" x14ac:dyDescent="0.3">
      <c r="A635" s="140" t="s">
        <v>106</v>
      </c>
      <c r="B635" s="140" t="s">
        <v>4090</v>
      </c>
      <c r="C635" s="549">
        <f>+EOMONTH(Tabla18[[#This Row],[Fecha Asiento]],-1)+1</f>
        <v>46023</v>
      </c>
      <c r="D635" s="136">
        <v>53023</v>
      </c>
      <c r="E635" s="136" t="s">
        <v>4467</v>
      </c>
      <c r="F635" s="141">
        <v>46024</v>
      </c>
      <c r="G635" s="136">
        <v>706</v>
      </c>
      <c r="H635" s="136" t="s">
        <v>4475</v>
      </c>
      <c r="I635" s="136" t="s">
        <v>4471</v>
      </c>
      <c r="J635" s="136" t="s">
        <v>4455</v>
      </c>
      <c r="K635" s="136">
        <v>1000216483</v>
      </c>
      <c r="L635" s="138">
        <v>362616.65</v>
      </c>
      <c r="M635" s="138">
        <v>0</v>
      </c>
      <c r="N635" s="136" t="s">
        <v>4425</v>
      </c>
      <c r="O635" s="136" t="s">
        <v>4426</v>
      </c>
      <c r="P635" s="136" t="s">
        <v>4427</v>
      </c>
      <c r="Q635" s="136" t="s">
        <v>4428</v>
      </c>
      <c r="R635" s="136">
        <v>0</v>
      </c>
      <c r="S635" s="142">
        <f>(Tabla18[[#This Row],[Debe]]-Tabla18[[#This Row],[Haber]])*
SUMIF('0_Indice_CAC'!$A:$A,Tabla18[[#This Row],[Mes]],'0_Indice_CAC'!$D:$D)</f>
        <v>288053.45117787918</v>
      </c>
      <c r="T635" s="142">
        <f>Tabla18[[#This Row],[Debe]]-Tabla18[[#This Row],[Haber]]</f>
        <v>362616.65</v>
      </c>
      <c r="U635" s="322"/>
      <c r="V635" s="323"/>
      <c r="W635" s="142">
        <f t="shared" si="12"/>
        <v>362616.65</v>
      </c>
      <c r="X635" s="142" t="b">
        <f>ISNUMBER(MATCH(A635,'3_Control_Ppto'!$A$4:$A$70,0))</f>
        <v>1</v>
      </c>
      <c r="Y635" s="136"/>
    </row>
    <row r="636" spans="1:25" ht="12" customHeight="1" x14ac:dyDescent="0.3">
      <c r="A636" s="140" t="s">
        <v>3219</v>
      </c>
      <c r="B636" s="140" t="s">
        <v>4090</v>
      </c>
      <c r="C636" s="549">
        <f>+EOMONTH(Tabla18[[#This Row],[Fecha Asiento]],-1)+1</f>
        <v>46023</v>
      </c>
      <c r="D636" s="136">
        <v>53019</v>
      </c>
      <c r="E636" s="136" t="s">
        <v>4461</v>
      </c>
      <c r="F636" s="141">
        <v>46027</v>
      </c>
      <c r="G636" s="136">
        <v>908</v>
      </c>
      <c r="H636" s="136" t="s">
        <v>4462</v>
      </c>
      <c r="I636" s="136" t="s">
        <v>4463</v>
      </c>
      <c r="J636" s="136" t="s">
        <v>4455</v>
      </c>
      <c r="K636" s="136">
        <v>300010291</v>
      </c>
      <c r="L636" s="138">
        <v>201012.98</v>
      </c>
      <c r="M636" s="138">
        <v>0</v>
      </c>
      <c r="N636" s="136" t="s">
        <v>4425</v>
      </c>
      <c r="O636" s="136" t="s">
        <v>4426</v>
      </c>
      <c r="P636" s="136" t="s">
        <v>4427</v>
      </c>
      <c r="Q636" s="136" t="s">
        <v>4428</v>
      </c>
      <c r="R636" s="136">
        <v>0</v>
      </c>
      <c r="S636" s="142">
        <f>(Tabla18[[#This Row],[Debe]]-Tabla18[[#This Row],[Haber]])*
SUMIF('0_Indice_CAC'!$A:$A,Tabla18[[#This Row],[Mes]],'0_Indice_CAC'!$D:$D)</f>
        <v>159679.60274452373</v>
      </c>
      <c r="T636" s="142">
        <f>Tabla18[[#This Row],[Debe]]-Tabla18[[#This Row],[Haber]]</f>
        <v>201012.98</v>
      </c>
      <c r="U636" s="322"/>
      <c r="V636" s="323"/>
      <c r="W636" s="142">
        <f t="shared" si="12"/>
        <v>201012.98</v>
      </c>
      <c r="X636" s="142" t="b">
        <f>ISNUMBER(MATCH(A636,'3_Control_Ppto'!$A$4:$A$70,0))</f>
        <v>1</v>
      </c>
      <c r="Y636" s="136"/>
    </row>
    <row r="637" spans="1:25" ht="12" customHeight="1" x14ac:dyDescent="0.3">
      <c r="A637" s="140" t="s">
        <v>4271</v>
      </c>
      <c r="B637" s="140" t="s">
        <v>4090</v>
      </c>
      <c r="C637" s="549">
        <f>+EOMONTH(Tabla18[[#This Row],[Fecha Asiento]],-1)+1</f>
        <v>46023</v>
      </c>
      <c r="D637" s="136">
        <v>53017</v>
      </c>
      <c r="E637" s="136" t="s">
        <v>4677</v>
      </c>
      <c r="F637" s="141">
        <v>46028</v>
      </c>
      <c r="G637" s="136">
        <v>911</v>
      </c>
      <c r="H637" s="136" t="s">
        <v>4734</v>
      </c>
      <c r="I637" s="136" t="s">
        <v>4489</v>
      </c>
      <c r="J637" s="136" t="s">
        <v>4439</v>
      </c>
      <c r="K637" s="136">
        <v>300006651</v>
      </c>
      <c r="L637" s="138">
        <v>10330.58</v>
      </c>
      <c r="M637" s="138">
        <v>0</v>
      </c>
      <c r="N637" s="136" t="s">
        <v>4425</v>
      </c>
      <c r="O637" s="136" t="s">
        <v>4426</v>
      </c>
      <c r="P637" s="136" t="s">
        <v>4427</v>
      </c>
      <c r="Q637" s="136" t="s">
        <v>4428</v>
      </c>
      <c r="R637" s="136">
        <v>0</v>
      </c>
      <c r="S637" s="142">
        <f>(Tabla18[[#This Row],[Debe]]-Tabla18[[#This Row],[Haber]])*
SUMIF('0_Indice_CAC'!$A:$A,Tabla18[[#This Row],[Mes]],'0_Indice_CAC'!$D:$D)</f>
        <v>8206.3502094268824</v>
      </c>
      <c r="T637" s="142">
        <f>Tabla18[[#This Row],[Debe]]-Tabla18[[#This Row],[Haber]]</f>
        <v>10330.58</v>
      </c>
      <c r="U637" s="322"/>
      <c r="V637" s="323"/>
      <c r="W637" s="142">
        <f t="shared" si="12"/>
        <v>10330.58</v>
      </c>
      <c r="X637" s="142" t="b">
        <f>ISNUMBER(MATCH(A637,'3_Control_Ppto'!$A$4:$A$70,0))</f>
        <v>1</v>
      </c>
      <c r="Y637" s="136"/>
    </row>
    <row r="638" spans="1:25" ht="12" customHeight="1" x14ac:dyDescent="0.3">
      <c r="A638" s="140" t="s">
        <v>4165</v>
      </c>
      <c r="B638" s="140" t="s">
        <v>4090</v>
      </c>
      <c r="C638" s="549">
        <f>+EOMONTH(Tabla18[[#This Row],[Fecha Asiento]],-1)+1</f>
        <v>46023</v>
      </c>
      <c r="D638" s="136">
        <v>53010</v>
      </c>
      <c r="E638" s="136" t="s">
        <v>4507</v>
      </c>
      <c r="F638" s="141">
        <v>46029</v>
      </c>
      <c r="G638" s="136">
        <v>766</v>
      </c>
      <c r="H638" s="136" t="s">
        <v>4814</v>
      </c>
      <c r="I638" s="136" t="s">
        <v>4544</v>
      </c>
      <c r="J638" s="136" t="s">
        <v>4455</v>
      </c>
      <c r="K638" s="136">
        <v>1400008617</v>
      </c>
      <c r="L638" s="138">
        <v>6890433.5800000001</v>
      </c>
      <c r="M638" s="138">
        <v>0</v>
      </c>
      <c r="N638" s="136" t="s">
        <v>4425</v>
      </c>
      <c r="O638" s="136" t="s">
        <v>4426</v>
      </c>
      <c r="P638" s="136" t="s">
        <v>4427</v>
      </c>
      <c r="Q638" s="136" t="s">
        <v>4428</v>
      </c>
      <c r="R638" s="136">
        <v>0</v>
      </c>
      <c r="S638" s="142">
        <f>(Tabla18[[#This Row],[Debe]]-Tabla18[[#This Row],[Haber]])*
SUMIF('0_Indice_CAC'!$A:$A,Tabla18[[#This Row],[Mes]],'0_Indice_CAC'!$D:$D)</f>
        <v>5473585.3216639366</v>
      </c>
      <c r="T638" s="142">
        <f>Tabla18[[#This Row],[Debe]]-Tabla18[[#This Row],[Haber]]</f>
        <v>6890433.5800000001</v>
      </c>
      <c r="U638" s="322"/>
      <c r="V638" s="323"/>
      <c r="W638" s="142">
        <f t="shared" si="12"/>
        <v>6890433.5800000001</v>
      </c>
      <c r="X638" s="142" t="b">
        <f>ISNUMBER(MATCH(A638,'3_Control_Ppto'!$A$4:$A$70,0))</f>
        <v>1</v>
      </c>
      <c r="Y638" s="136"/>
    </row>
    <row r="639" spans="1:25" ht="12" customHeight="1" x14ac:dyDescent="0.3">
      <c r="A639" s="140" t="s">
        <v>106</v>
      </c>
      <c r="B639" s="140" t="s">
        <v>25</v>
      </c>
      <c r="C639" s="549">
        <f>+EOMONTH(Tabla18[[#This Row],[Fecha Asiento]],-1)+1</f>
        <v>46023</v>
      </c>
      <c r="D639" s="136">
        <v>53009</v>
      </c>
      <c r="E639" s="136" t="s">
        <v>4446</v>
      </c>
      <c r="F639" s="141">
        <v>46030</v>
      </c>
      <c r="G639" s="136">
        <v>303</v>
      </c>
      <c r="H639" s="136" t="s">
        <v>4815</v>
      </c>
      <c r="I639" s="136" t="s">
        <v>4423</v>
      </c>
      <c r="J639" s="136" t="s">
        <v>4424</v>
      </c>
      <c r="K639" s="136">
        <v>8326</v>
      </c>
      <c r="L639" s="138">
        <v>2029000</v>
      </c>
      <c r="M639" s="138">
        <v>0</v>
      </c>
      <c r="N639" s="136" t="s">
        <v>4425</v>
      </c>
      <c r="O639" s="136" t="s">
        <v>4426</v>
      </c>
      <c r="P639" s="136" t="s">
        <v>4427</v>
      </c>
      <c r="Q639" s="136" t="s">
        <v>4428</v>
      </c>
      <c r="R639" s="136">
        <v>0</v>
      </c>
      <c r="S639" s="142">
        <f>(Tabla18[[#This Row],[Debe]]-Tabla18[[#This Row],[Haber]])*
SUMIF('0_Indice_CAC'!$A:$A,Tabla18[[#This Row],[Mes]],'0_Indice_CAC'!$D:$D)</f>
        <v>1611786.0347557587</v>
      </c>
      <c r="T639" s="142">
        <f>Tabla18[[#This Row],[Debe]]-Tabla18[[#This Row],[Haber]]</f>
        <v>2029000</v>
      </c>
      <c r="U639" s="322"/>
      <c r="V639" s="323"/>
      <c r="W639" s="142">
        <f t="shared" si="12"/>
        <v>2029000</v>
      </c>
      <c r="X639" s="142" t="b">
        <f>ISNUMBER(MATCH(A639,'3_Control_Ppto'!$A$4:$A$70,0))</f>
        <v>1</v>
      </c>
      <c r="Y639" s="136"/>
    </row>
    <row r="640" spans="1:25" ht="12" customHeight="1" x14ac:dyDescent="0.3">
      <c r="A640" s="140" t="s">
        <v>3219</v>
      </c>
      <c r="B640" s="140" t="s">
        <v>4090</v>
      </c>
      <c r="C640" s="549">
        <f>+EOMONTH(Tabla18[[#This Row],[Fecha Asiento]],-1)+1</f>
        <v>46023</v>
      </c>
      <c r="D640" s="136">
        <v>53019</v>
      </c>
      <c r="E640" s="136" t="s">
        <v>4461</v>
      </c>
      <c r="F640" s="141">
        <v>46030</v>
      </c>
      <c r="G640" s="136">
        <v>769</v>
      </c>
      <c r="H640" s="136" t="s">
        <v>4748</v>
      </c>
      <c r="I640" s="136" t="s">
        <v>4749</v>
      </c>
      <c r="J640" s="136" t="s">
        <v>4455</v>
      </c>
      <c r="K640" s="136">
        <v>2200052640</v>
      </c>
      <c r="L640" s="138">
        <v>64300.5</v>
      </c>
      <c r="M640" s="138">
        <v>0</v>
      </c>
      <c r="N640" s="136" t="s">
        <v>4425</v>
      </c>
      <c r="O640" s="136" t="s">
        <v>4426</v>
      </c>
      <c r="P640" s="136" t="s">
        <v>4427</v>
      </c>
      <c r="Q640" s="136" t="s">
        <v>4428</v>
      </c>
      <c r="R640" s="136">
        <v>0</v>
      </c>
      <c r="S640" s="142">
        <f>(Tabla18[[#This Row],[Debe]]-Tabla18[[#This Row],[Haber]])*
SUMIF('0_Indice_CAC'!$A:$A,Tabla18[[#This Row],[Mes]],'0_Indice_CAC'!$D:$D)</f>
        <v>51078.683059542956</v>
      </c>
      <c r="T640" s="142">
        <f>Tabla18[[#This Row],[Debe]]-Tabla18[[#This Row],[Haber]]</f>
        <v>64300.5</v>
      </c>
      <c r="U640" s="322"/>
      <c r="V640" s="323"/>
      <c r="W640" s="142">
        <f t="shared" si="12"/>
        <v>64300.5</v>
      </c>
      <c r="X640" s="142" t="b">
        <f>ISNUMBER(MATCH(A640,'3_Control_Ppto'!$A$4:$A$70,0))</f>
        <v>1</v>
      </c>
      <c r="Y640" s="136"/>
    </row>
    <row r="641" spans="1:25" ht="12" customHeight="1" x14ac:dyDescent="0.3">
      <c r="A641" s="140" t="s">
        <v>3219</v>
      </c>
      <c r="B641" s="140" t="s">
        <v>4090</v>
      </c>
      <c r="C641" s="549">
        <f>+EOMONTH(Tabla18[[#This Row],[Fecha Asiento]],-1)+1</f>
        <v>46023</v>
      </c>
      <c r="D641" s="136">
        <v>53019</v>
      </c>
      <c r="E641" s="136" t="s">
        <v>4461</v>
      </c>
      <c r="F641" s="141">
        <v>46030</v>
      </c>
      <c r="G641" s="136">
        <v>770</v>
      </c>
      <c r="H641" s="136" t="s">
        <v>4748</v>
      </c>
      <c r="I641" s="136" t="s">
        <v>4749</v>
      </c>
      <c r="J641" s="136" t="s">
        <v>4455</v>
      </c>
      <c r="K641" s="136">
        <v>2200052641</v>
      </c>
      <c r="L641" s="138">
        <v>283122.68</v>
      </c>
      <c r="M641" s="138">
        <v>0</v>
      </c>
      <c r="N641" s="136" t="s">
        <v>4425</v>
      </c>
      <c r="O641" s="136" t="s">
        <v>4426</v>
      </c>
      <c r="P641" s="136" t="s">
        <v>4427</v>
      </c>
      <c r="Q641" s="136" t="s">
        <v>4428</v>
      </c>
      <c r="R641" s="136">
        <v>0</v>
      </c>
      <c r="S641" s="142">
        <f>(Tabla18[[#This Row],[Debe]]-Tabla18[[#This Row],[Haber]])*
SUMIF('0_Indice_CAC'!$A:$A,Tabla18[[#This Row],[Mes]],'0_Indice_CAC'!$D:$D)</f>
        <v>224905.46167896676</v>
      </c>
      <c r="T641" s="142">
        <f>Tabla18[[#This Row],[Debe]]-Tabla18[[#This Row],[Haber]]</f>
        <v>283122.68</v>
      </c>
      <c r="U641" s="322"/>
      <c r="V641" s="323"/>
      <c r="W641" s="142">
        <f t="shared" si="12"/>
        <v>283122.68</v>
      </c>
      <c r="X641" s="142" t="b">
        <f>ISNUMBER(MATCH(A641,'3_Control_Ppto'!$A$4:$A$70,0))</f>
        <v>1</v>
      </c>
      <c r="Y641" s="136"/>
    </row>
    <row r="642" spans="1:25" ht="12" customHeight="1" x14ac:dyDescent="0.3">
      <c r="A642" s="140" t="s">
        <v>3219</v>
      </c>
      <c r="B642" s="140" t="s">
        <v>4090</v>
      </c>
      <c r="C642" s="549">
        <f>+EOMONTH(Tabla18[[#This Row],[Fecha Asiento]],-1)+1</f>
        <v>46023</v>
      </c>
      <c r="D642" s="136">
        <v>53019</v>
      </c>
      <c r="E642" s="136" t="s">
        <v>4461</v>
      </c>
      <c r="F642" s="141">
        <v>46030</v>
      </c>
      <c r="G642" s="136">
        <v>2559</v>
      </c>
      <c r="H642" s="136" t="s">
        <v>4748</v>
      </c>
      <c r="I642" s="136" t="s">
        <v>4749</v>
      </c>
      <c r="J642" s="136" t="s">
        <v>4455</v>
      </c>
      <c r="K642" s="136">
        <v>1800099324</v>
      </c>
      <c r="L642" s="138">
        <v>283122.68</v>
      </c>
      <c r="M642" s="138">
        <v>0</v>
      </c>
      <c r="N642" s="136" t="s">
        <v>4425</v>
      </c>
      <c r="O642" s="136" t="s">
        <v>4426</v>
      </c>
      <c r="P642" s="136" t="s">
        <v>4427</v>
      </c>
      <c r="Q642" s="136" t="s">
        <v>4428</v>
      </c>
      <c r="R642" s="136">
        <v>0</v>
      </c>
      <c r="S642" s="142">
        <f>(Tabla18[[#This Row],[Debe]]-Tabla18[[#This Row],[Haber]])*
SUMIF('0_Indice_CAC'!$A:$A,Tabla18[[#This Row],[Mes]],'0_Indice_CAC'!$D:$D)</f>
        <v>224905.46167896676</v>
      </c>
      <c r="T642" s="142">
        <f>Tabla18[[#This Row],[Debe]]-Tabla18[[#This Row],[Haber]]</f>
        <v>283122.68</v>
      </c>
      <c r="U642" s="322"/>
      <c r="V642" s="323"/>
      <c r="W642" s="142">
        <f t="shared" si="12"/>
        <v>283122.68</v>
      </c>
      <c r="X642" s="142" t="b">
        <f>ISNUMBER(MATCH(A642,'3_Control_Ppto'!$A$4:$A$70,0))</f>
        <v>1</v>
      </c>
      <c r="Y642" s="136"/>
    </row>
    <row r="643" spans="1:25" ht="12" customHeight="1" x14ac:dyDescent="0.3">
      <c r="A643" s="140" t="s">
        <v>4317</v>
      </c>
      <c r="B643" s="140" t="s">
        <v>56</v>
      </c>
      <c r="C643" s="549">
        <f>+EOMONTH(Tabla18[[#This Row],[Fecha Asiento]],-1)+1</f>
        <v>46023</v>
      </c>
      <c r="D643" s="136">
        <v>52103</v>
      </c>
      <c r="E643" s="136" t="s">
        <v>4477</v>
      </c>
      <c r="F643" s="141">
        <v>46031</v>
      </c>
      <c r="G643" s="136">
        <v>349</v>
      </c>
      <c r="H643" s="136" t="s">
        <v>4478</v>
      </c>
      <c r="I643" s="136" t="s">
        <v>4423</v>
      </c>
      <c r="J643" s="136" t="s">
        <v>4424</v>
      </c>
      <c r="K643" s="136">
        <v>8373</v>
      </c>
      <c r="L643" s="138">
        <v>7220</v>
      </c>
      <c r="M643" s="138">
        <v>0</v>
      </c>
      <c r="N643" s="136" t="s">
        <v>4425</v>
      </c>
      <c r="O643" s="136" t="s">
        <v>4426</v>
      </c>
      <c r="P643" s="136" t="s">
        <v>4427</v>
      </c>
      <c r="Q643" s="136" t="s">
        <v>4428</v>
      </c>
      <c r="R643" s="136">
        <v>0</v>
      </c>
      <c r="S643" s="142">
        <f>(Tabla18[[#This Row],[Debe]]-Tabla18[[#This Row],[Haber]])*
SUMIF('0_Indice_CAC'!$A:$A,Tabla18[[#This Row],[Mes]],'0_Indice_CAC'!$D:$D)</f>
        <v>5735.384510072241</v>
      </c>
      <c r="T643" s="142">
        <f>Tabla18[[#This Row],[Debe]]-Tabla18[[#This Row],[Haber]]</f>
        <v>7220</v>
      </c>
      <c r="U643" s="322"/>
      <c r="V643" s="323"/>
      <c r="W643" s="142">
        <f t="shared" si="12"/>
        <v>7220</v>
      </c>
      <c r="X643" s="142" t="b">
        <f>ISNUMBER(MATCH(A643,'3_Control_Ppto'!$A$4:$A$70,0))</f>
        <v>1</v>
      </c>
      <c r="Y643" s="136"/>
    </row>
    <row r="644" spans="1:25" ht="12" customHeight="1" x14ac:dyDescent="0.3">
      <c r="A644" s="140" t="s">
        <v>4317</v>
      </c>
      <c r="B644" s="140" t="s">
        <v>56</v>
      </c>
      <c r="C644" s="549">
        <f>+EOMONTH(Tabla18[[#This Row],[Fecha Asiento]],-1)+1</f>
        <v>46023</v>
      </c>
      <c r="D644" s="136">
        <v>52302</v>
      </c>
      <c r="E644" s="136" t="s">
        <v>4444</v>
      </c>
      <c r="F644" s="141">
        <v>46031</v>
      </c>
      <c r="G644" s="136">
        <v>328</v>
      </c>
      <c r="H644" s="136" t="s">
        <v>4816</v>
      </c>
      <c r="I644" s="136" t="s">
        <v>4423</v>
      </c>
      <c r="J644" s="136" t="s">
        <v>4424</v>
      </c>
      <c r="K644" s="136">
        <v>8349</v>
      </c>
      <c r="L644" s="138">
        <v>450000</v>
      </c>
      <c r="M644" s="138">
        <v>0</v>
      </c>
      <c r="N644" s="136" t="s">
        <v>4425</v>
      </c>
      <c r="O644" s="136" t="s">
        <v>4426</v>
      </c>
      <c r="P644" s="136" t="s">
        <v>4427</v>
      </c>
      <c r="Q644" s="136" t="s">
        <v>4428</v>
      </c>
      <c r="R644" s="136">
        <v>0</v>
      </c>
      <c r="S644" s="142">
        <f>(Tabla18[[#This Row],[Debe]]-Tabla18[[#This Row],[Haber]])*
SUMIF('0_Indice_CAC'!$A:$A,Tabla18[[#This Row],[Mes]],'0_Indice_CAC'!$D:$D)</f>
        <v>357468.56364716188</v>
      </c>
      <c r="T644" s="142">
        <f>Tabla18[[#This Row],[Debe]]-Tabla18[[#This Row],[Haber]]</f>
        <v>450000</v>
      </c>
      <c r="U644" s="322"/>
      <c r="V644" s="323"/>
      <c r="W644" s="142">
        <f t="shared" si="12"/>
        <v>450000</v>
      </c>
      <c r="X644" s="142" t="b">
        <f>ISNUMBER(MATCH(A644,'3_Control_Ppto'!$A$4:$A$70,0))</f>
        <v>1</v>
      </c>
      <c r="Y644" s="136"/>
    </row>
    <row r="645" spans="1:25" ht="12" customHeight="1" x14ac:dyDescent="0.3">
      <c r="A645" s="140" t="s">
        <v>4317</v>
      </c>
      <c r="B645" s="140" t="s">
        <v>56</v>
      </c>
      <c r="C645" s="549">
        <f>+EOMONTH(Tabla18[[#This Row],[Fecha Asiento]],-1)+1</f>
        <v>46023</v>
      </c>
      <c r="D645" s="136">
        <v>52302</v>
      </c>
      <c r="E645" s="136" t="s">
        <v>4444</v>
      </c>
      <c r="F645" s="141">
        <v>46031</v>
      </c>
      <c r="G645" s="136">
        <v>772</v>
      </c>
      <c r="H645" s="136" t="s">
        <v>4811</v>
      </c>
      <c r="I645" s="136" t="s">
        <v>4812</v>
      </c>
      <c r="J645" s="136" t="s">
        <v>4455</v>
      </c>
      <c r="K645" s="136">
        <v>200000049</v>
      </c>
      <c r="L645" s="138">
        <v>680000</v>
      </c>
      <c r="M645" s="138">
        <v>0</v>
      </c>
      <c r="N645" s="136" t="s">
        <v>4425</v>
      </c>
      <c r="O645" s="136" t="s">
        <v>4426</v>
      </c>
      <c r="P645" s="136" t="s">
        <v>4427</v>
      </c>
      <c r="Q645" s="136" t="s">
        <v>4428</v>
      </c>
      <c r="R645" s="136">
        <v>0</v>
      </c>
      <c r="S645" s="142">
        <f>(Tabla18[[#This Row],[Debe]]-Tabla18[[#This Row],[Haber]])*
SUMIF('0_Indice_CAC'!$A:$A,Tabla18[[#This Row],[Mes]],'0_Indice_CAC'!$D:$D)</f>
        <v>540174.71840015566</v>
      </c>
      <c r="T645" s="142">
        <f>Tabla18[[#This Row],[Debe]]-Tabla18[[#This Row],[Haber]]</f>
        <v>680000</v>
      </c>
      <c r="U645" s="322"/>
      <c r="V645" s="323"/>
      <c r="W645" s="142">
        <f t="shared" si="12"/>
        <v>680000</v>
      </c>
      <c r="X645" s="142" t="b">
        <f>ISNUMBER(MATCH(A645,'3_Control_Ppto'!$A$4:$A$70,0))</f>
        <v>1</v>
      </c>
      <c r="Y645" s="136"/>
    </row>
    <row r="646" spans="1:25" ht="12" customHeight="1" x14ac:dyDescent="0.3">
      <c r="A646" s="140" t="s">
        <v>106</v>
      </c>
      <c r="B646" s="140" t="s">
        <v>25</v>
      </c>
      <c r="C646" s="549">
        <f>+EOMONTH(Tabla18[[#This Row],[Fecha Asiento]],-1)+1</f>
        <v>46023</v>
      </c>
      <c r="D646" s="136">
        <v>53009</v>
      </c>
      <c r="E646" s="136" t="s">
        <v>4446</v>
      </c>
      <c r="F646" s="141">
        <v>46031</v>
      </c>
      <c r="G646" s="136">
        <v>308</v>
      </c>
      <c r="H646" s="136" t="s">
        <v>4817</v>
      </c>
      <c r="I646" s="136" t="s">
        <v>4423</v>
      </c>
      <c r="J646" s="136" t="s">
        <v>4424</v>
      </c>
      <c r="K646" s="136">
        <v>8331</v>
      </c>
      <c r="L646" s="138">
        <v>220000</v>
      </c>
      <c r="M646" s="138">
        <v>0</v>
      </c>
      <c r="N646" s="136" t="s">
        <v>4425</v>
      </c>
      <c r="O646" s="136" t="s">
        <v>4426</v>
      </c>
      <c r="P646" s="136" t="s">
        <v>4427</v>
      </c>
      <c r="Q646" s="136" t="s">
        <v>4428</v>
      </c>
      <c r="R646" s="136">
        <v>0</v>
      </c>
      <c r="S646" s="142">
        <f>(Tabla18[[#This Row],[Debe]]-Tabla18[[#This Row],[Haber]])*
SUMIF('0_Indice_CAC'!$A:$A,Tabla18[[#This Row],[Mes]],'0_Indice_CAC'!$D:$D)</f>
        <v>174762.40889416801</v>
      </c>
      <c r="T646" s="142">
        <f>Tabla18[[#This Row],[Debe]]-Tabla18[[#This Row],[Haber]]</f>
        <v>220000</v>
      </c>
      <c r="U646" s="322"/>
      <c r="V646" s="323"/>
      <c r="W646" s="142">
        <f t="shared" si="12"/>
        <v>220000</v>
      </c>
      <c r="X646" s="142" t="b">
        <f>ISNUMBER(MATCH(A646,'3_Control_Ppto'!$A$4:$A$70,0))</f>
        <v>1</v>
      </c>
      <c r="Y646" s="136"/>
    </row>
    <row r="647" spans="1:25" ht="12" customHeight="1" x14ac:dyDescent="0.3">
      <c r="A647" s="140" t="s">
        <v>106</v>
      </c>
      <c r="B647" s="140" t="s">
        <v>25</v>
      </c>
      <c r="C647" s="549">
        <f>+EOMONTH(Tabla18[[#This Row],[Fecha Asiento]],-1)+1</f>
        <v>46023</v>
      </c>
      <c r="D647" s="136">
        <v>53009</v>
      </c>
      <c r="E647" s="136" t="s">
        <v>4446</v>
      </c>
      <c r="F647" s="141">
        <v>46031</v>
      </c>
      <c r="G647" s="136">
        <v>317</v>
      </c>
      <c r="H647" s="136" t="s">
        <v>4818</v>
      </c>
      <c r="I647" s="136" t="s">
        <v>4423</v>
      </c>
      <c r="J647" s="136" t="s">
        <v>4424</v>
      </c>
      <c r="K647" s="136">
        <v>8340</v>
      </c>
      <c r="L647" s="138">
        <v>139500</v>
      </c>
      <c r="M647" s="138">
        <v>0</v>
      </c>
      <c r="N647" s="136" t="s">
        <v>4425</v>
      </c>
      <c r="O647" s="136" t="s">
        <v>4426</v>
      </c>
      <c r="P647" s="136" t="s">
        <v>4427</v>
      </c>
      <c r="Q647" s="136" t="s">
        <v>4428</v>
      </c>
      <c r="R647" s="136">
        <v>0</v>
      </c>
      <c r="S647" s="142">
        <f>(Tabla18[[#This Row],[Debe]]-Tabla18[[#This Row],[Haber]])*
SUMIF('0_Indice_CAC'!$A:$A,Tabla18[[#This Row],[Mes]],'0_Indice_CAC'!$D:$D)</f>
        <v>110815.25473062017</v>
      </c>
      <c r="T647" s="142">
        <f>Tabla18[[#This Row],[Debe]]-Tabla18[[#This Row],[Haber]]</f>
        <v>139500</v>
      </c>
      <c r="U647" s="322"/>
      <c r="V647" s="323"/>
      <c r="W647" s="142">
        <f t="shared" si="12"/>
        <v>139500</v>
      </c>
      <c r="X647" s="142" t="b">
        <f>ISNUMBER(MATCH(A647,'3_Control_Ppto'!$A$4:$A$70,0))</f>
        <v>1</v>
      </c>
      <c r="Y647" s="136"/>
    </row>
    <row r="648" spans="1:25" ht="12" customHeight="1" x14ac:dyDescent="0.3">
      <c r="A648" s="140" t="s">
        <v>106</v>
      </c>
      <c r="B648" s="140" t="s">
        <v>4090</v>
      </c>
      <c r="C648" s="549">
        <f>+EOMONTH(Tabla18[[#This Row],[Fecha Asiento]],-1)+1</f>
        <v>46023</v>
      </c>
      <c r="D648" s="136">
        <v>53023</v>
      </c>
      <c r="E648" s="136" t="s">
        <v>4467</v>
      </c>
      <c r="F648" s="141">
        <v>46031</v>
      </c>
      <c r="G648" s="136">
        <v>806</v>
      </c>
      <c r="H648" s="136" t="s">
        <v>4475</v>
      </c>
      <c r="I648" s="136" t="s">
        <v>4471</v>
      </c>
      <c r="J648" s="136" t="s">
        <v>4455</v>
      </c>
      <c r="K648" s="136">
        <v>1000216991</v>
      </c>
      <c r="L648" s="138">
        <v>96438.64</v>
      </c>
      <c r="M648" s="138">
        <v>0</v>
      </c>
      <c r="N648" s="136" t="s">
        <v>4425</v>
      </c>
      <c r="O648" s="136" t="s">
        <v>4426</v>
      </c>
      <c r="P648" s="136" t="s">
        <v>4427</v>
      </c>
      <c r="Q648" s="136" t="s">
        <v>4428</v>
      </c>
      <c r="R648" s="136">
        <v>0</v>
      </c>
      <c r="S648" s="142">
        <f>(Tabla18[[#This Row],[Debe]]-Tabla18[[#This Row],[Haber]])*
SUMIF('0_Indice_CAC'!$A:$A,Tabla18[[#This Row],[Mes]],'0_Indice_CAC'!$D:$D)</f>
        <v>76608.404713079406</v>
      </c>
      <c r="T648" s="142">
        <f>Tabla18[[#This Row],[Debe]]-Tabla18[[#This Row],[Haber]]</f>
        <v>96438.64</v>
      </c>
      <c r="U648" s="322"/>
      <c r="V648" s="323"/>
      <c r="W648" s="142">
        <f t="shared" si="12"/>
        <v>96438.64</v>
      </c>
      <c r="X648" s="142" t="b">
        <f>ISNUMBER(MATCH(A648,'3_Control_Ppto'!$A$4:$A$70,0))</f>
        <v>1</v>
      </c>
      <c r="Y648" s="136"/>
    </row>
    <row r="649" spans="1:25" ht="12" customHeight="1" x14ac:dyDescent="0.3">
      <c r="A649" s="140" t="s">
        <v>4317</v>
      </c>
      <c r="B649" s="140" t="s">
        <v>56</v>
      </c>
      <c r="C649" s="549">
        <f>+EOMONTH(Tabla18[[#This Row],[Fecha Asiento]],-1)+1</f>
        <v>46023</v>
      </c>
      <c r="D649" s="136">
        <v>52302</v>
      </c>
      <c r="E649" s="136" t="s">
        <v>4444</v>
      </c>
      <c r="F649" s="141">
        <v>46034</v>
      </c>
      <c r="G649" s="136">
        <v>810</v>
      </c>
      <c r="H649" s="136" t="s">
        <v>4819</v>
      </c>
      <c r="I649" s="136" t="s">
        <v>4812</v>
      </c>
      <c r="J649" s="136" t="s">
        <v>4455</v>
      </c>
      <c r="K649" s="136">
        <v>200000050</v>
      </c>
      <c r="L649" s="138">
        <v>340000</v>
      </c>
      <c r="M649" s="138">
        <v>0</v>
      </c>
      <c r="N649" s="136" t="s">
        <v>4425</v>
      </c>
      <c r="O649" s="136" t="s">
        <v>4426</v>
      </c>
      <c r="P649" s="136" t="s">
        <v>4427</v>
      </c>
      <c r="Q649" s="136" t="s">
        <v>4428</v>
      </c>
      <c r="R649" s="136">
        <v>0</v>
      </c>
      <c r="S649" s="142">
        <f>(Tabla18[[#This Row],[Debe]]-Tabla18[[#This Row],[Haber]])*
SUMIF('0_Indice_CAC'!$A:$A,Tabla18[[#This Row],[Mes]],'0_Indice_CAC'!$D:$D)</f>
        <v>270087.35920007783</v>
      </c>
      <c r="T649" s="142">
        <f>Tabla18[[#This Row],[Debe]]-Tabla18[[#This Row],[Haber]]</f>
        <v>340000</v>
      </c>
      <c r="U649" s="322"/>
      <c r="V649" s="323"/>
      <c r="W649" s="142">
        <f t="shared" si="12"/>
        <v>340000</v>
      </c>
      <c r="X649" s="142" t="b">
        <f>ISNUMBER(MATCH(A649,'3_Control_Ppto'!$A$4:$A$70,0))</f>
        <v>1</v>
      </c>
      <c r="Y649" s="136"/>
    </row>
    <row r="650" spans="1:25" ht="12" customHeight="1" x14ac:dyDescent="0.3">
      <c r="A650" s="140" t="s">
        <v>4271</v>
      </c>
      <c r="B650" s="140" t="s">
        <v>56</v>
      </c>
      <c r="C650" s="549">
        <f>+EOMONTH(Tabla18[[#This Row],[Fecha Asiento]],-1)+1</f>
        <v>46023</v>
      </c>
      <c r="D650" s="136">
        <v>53018</v>
      </c>
      <c r="E650" s="136" t="s">
        <v>4798</v>
      </c>
      <c r="F650" s="141">
        <v>46036</v>
      </c>
      <c r="G650" s="136">
        <v>330</v>
      </c>
      <c r="H650" s="136" t="s">
        <v>4820</v>
      </c>
      <c r="I650" s="136" t="s">
        <v>4423</v>
      </c>
      <c r="J650" s="136" t="s">
        <v>4424</v>
      </c>
      <c r="K650" s="136">
        <v>8351</v>
      </c>
      <c r="L650" s="138">
        <v>260000</v>
      </c>
      <c r="M650" s="138">
        <v>0</v>
      </c>
      <c r="N650" s="136" t="s">
        <v>4425</v>
      </c>
      <c r="O650" s="136" t="s">
        <v>4426</v>
      </c>
      <c r="P650" s="136" t="s">
        <v>4427</v>
      </c>
      <c r="Q650" s="136" t="s">
        <v>4428</v>
      </c>
      <c r="R650" s="136">
        <v>0</v>
      </c>
      <c r="S650" s="142">
        <f>(Tabla18[[#This Row],[Debe]]-Tabla18[[#This Row],[Haber]])*
SUMIF('0_Indice_CAC'!$A:$A,Tabla18[[#This Row],[Mes]],'0_Indice_CAC'!$D:$D)</f>
        <v>206537.3923294713</v>
      </c>
      <c r="T650" s="142">
        <f>Tabla18[[#This Row],[Debe]]-Tabla18[[#This Row],[Haber]]</f>
        <v>260000</v>
      </c>
      <c r="U650" s="322"/>
      <c r="V650" s="323"/>
      <c r="W650" s="142">
        <f t="shared" si="12"/>
        <v>260000</v>
      </c>
      <c r="X650" s="142" t="b">
        <f>ISNUMBER(MATCH(A650,'3_Control_Ppto'!$A$4:$A$70,0))</f>
        <v>1</v>
      </c>
      <c r="Y650" s="136"/>
    </row>
    <row r="651" spans="1:25" ht="12" customHeight="1" x14ac:dyDescent="0.3">
      <c r="A651" s="140" t="s">
        <v>2779</v>
      </c>
      <c r="B651" s="140" t="s">
        <v>4090</v>
      </c>
      <c r="C651" s="549">
        <f>+EOMONTH(Tabla18[[#This Row],[Fecha Asiento]],-1)+1</f>
        <v>46023</v>
      </c>
      <c r="D651" s="136">
        <v>53015</v>
      </c>
      <c r="E651" s="136" t="s">
        <v>4821</v>
      </c>
      <c r="F651" s="141">
        <v>46037</v>
      </c>
      <c r="G651" s="136">
        <v>860</v>
      </c>
      <c r="H651" s="136" t="s">
        <v>4822</v>
      </c>
      <c r="I651" s="136" t="s">
        <v>4823</v>
      </c>
      <c r="J651" s="136" t="s">
        <v>4455</v>
      </c>
      <c r="K651" s="136">
        <v>126000002156</v>
      </c>
      <c r="L651" s="138">
        <v>116399.22</v>
      </c>
      <c r="M651" s="138">
        <v>0</v>
      </c>
      <c r="N651" s="136" t="s">
        <v>4425</v>
      </c>
      <c r="O651" s="136" t="s">
        <v>4426</v>
      </c>
      <c r="P651" s="136" t="s">
        <v>4427</v>
      </c>
      <c r="Q651" s="136" t="s">
        <v>4428</v>
      </c>
      <c r="R651" s="136">
        <v>0</v>
      </c>
      <c r="S651" s="142">
        <f>(Tabla18[[#This Row],[Debe]]-Tabla18[[#This Row],[Haber]])*
SUMIF('0_Indice_CAC'!$A:$A,Tabla18[[#This Row],[Mes]],'0_Indice_CAC'!$D:$D)</f>
        <v>92464.582184555547</v>
      </c>
      <c r="T651" s="142">
        <f>Tabla18[[#This Row],[Debe]]-Tabla18[[#This Row],[Haber]]</f>
        <v>116399.22</v>
      </c>
      <c r="U651" s="322"/>
      <c r="V651" s="323"/>
      <c r="W651" s="142">
        <f t="shared" si="12"/>
        <v>116399.22</v>
      </c>
      <c r="X651" s="142" t="b">
        <f>ISNUMBER(MATCH(A651,'3_Control_Ppto'!$A$4:$A$70,0))</f>
        <v>1</v>
      </c>
      <c r="Y651" s="136"/>
    </row>
    <row r="652" spans="1:25" ht="12" customHeight="1" x14ac:dyDescent="0.3">
      <c r="A652" s="140" t="s">
        <v>106</v>
      </c>
      <c r="B652" s="140" t="s">
        <v>4090</v>
      </c>
      <c r="C652" s="549">
        <f>+EOMONTH(Tabla18[[#This Row],[Fecha Asiento]],-1)+1</f>
        <v>46023</v>
      </c>
      <c r="D652" s="136">
        <v>53023</v>
      </c>
      <c r="E652" s="136" t="s">
        <v>4467</v>
      </c>
      <c r="F652" s="141">
        <v>46037</v>
      </c>
      <c r="G652" s="136">
        <v>2579</v>
      </c>
      <c r="H652" s="136" t="s">
        <v>4475</v>
      </c>
      <c r="I652" s="136" t="s">
        <v>4471</v>
      </c>
      <c r="J652" s="136" t="s">
        <v>4455</v>
      </c>
      <c r="K652" s="136">
        <v>1000217286</v>
      </c>
      <c r="L652" s="138">
        <v>244520.29</v>
      </c>
      <c r="M652" s="138">
        <v>0</v>
      </c>
      <c r="N652" s="136" t="s">
        <v>4425</v>
      </c>
      <c r="O652" s="136" t="s">
        <v>4426</v>
      </c>
      <c r="P652" s="136" t="s">
        <v>4427</v>
      </c>
      <c r="Q652" s="136" t="s">
        <v>4428</v>
      </c>
      <c r="R652" s="136">
        <v>0</v>
      </c>
      <c r="S652" s="142">
        <f>(Tabla18[[#This Row],[Debe]]-Tabla18[[#This Row],[Haber]])*
SUMIF('0_Indice_CAC'!$A:$A,Tabla18[[#This Row],[Mes]],'0_Indice_CAC'!$D:$D)</f>
        <v>194240.70410863883</v>
      </c>
      <c r="T652" s="142">
        <f>Tabla18[[#This Row],[Debe]]-Tabla18[[#This Row],[Haber]]</f>
        <v>244520.29</v>
      </c>
      <c r="U652" s="322"/>
      <c r="V652" s="323"/>
      <c r="W652" s="142">
        <f t="shared" si="12"/>
        <v>244520.29</v>
      </c>
      <c r="X652" s="142" t="b">
        <f>ISNUMBER(MATCH(A652,'3_Control_Ppto'!$A$4:$A$70,0))</f>
        <v>1</v>
      </c>
      <c r="Y652" s="136"/>
    </row>
    <row r="653" spans="1:25" ht="12" customHeight="1" x14ac:dyDescent="0.3">
      <c r="A653" s="140" t="s">
        <v>106</v>
      </c>
      <c r="B653" s="140" t="s">
        <v>4090</v>
      </c>
      <c r="C653" s="549">
        <f>+EOMONTH(Tabla18[[#This Row],[Fecha Asiento]],-1)+1</f>
        <v>46023</v>
      </c>
      <c r="D653" s="136">
        <v>53023</v>
      </c>
      <c r="E653" s="136" t="s">
        <v>4467</v>
      </c>
      <c r="F653" s="141">
        <v>46038</v>
      </c>
      <c r="G653" s="136">
        <v>917</v>
      </c>
      <c r="H653" s="136" t="s">
        <v>4705</v>
      </c>
      <c r="I653" s="136" t="s">
        <v>4482</v>
      </c>
      <c r="J653" s="136" t="s">
        <v>4455</v>
      </c>
      <c r="K653" s="136">
        <v>1000000212</v>
      </c>
      <c r="L653" s="138">
        <v>6612</v>
      </c>
      <c r="M653" s="138">
        <v>0</v>
      </c>
      <c r="N653" s="136" t="s">
        <v>4425</v>
      </c>
      <c r="O653" s="136" t="s">
        <v>4426</v>
      </c>
      <c r="P653" s="136" t="s">
        <v>4427</v>
      </c>
      <c r="Q653" s="136" t="s">
        <v>4428</v>
      </c>
      <c r="R653" s="136">
        <v>0</v>
      </c>
      <c r="S653" s="142">
        <f>(Tabla18[[#This Row],[Debe]]-Tabla18[[#This Row],[Haber]])*
SUMIF('0_Indice_CAC'!$A:$A,Tabla18[[#This Row],[Mes]],'0_Indice_CAC'!$D:$D)</f>
        <v>5252.4047618556315</v>
      </c>
      <c r="T653" s="142">
        <f>Tabla18[[#This Row],[Debe]]-Tabla18[[#This Row],[Haber]]</f>
        <v>6612</v>
      </c>
      <c r="U653" s="322"/>
      <c r="V653" s="323"/>
      <c r="W653" s="142">
        <f t="shared" si="12"/>
        <v>6612</v>
      </c>
      <c r="X653" s="142" t="b">
        <f>ISNUMBER(MATCH(A653,'3_Control_Ppto'!$A$4:$A$70,0))</f>
        <v>1</v>
      </c>
      <c r="Y653" s="136"/>
    </row>
    <row r="654" spans="1:25" ht="12" customHeight="1" x14ac:dyDescent="0.3">
      <c r="A654" s="140" t="s">
        <v>25</v>
      </c>
      <c r="B654" s="140" t="s">
        <v>25</v>
      </c>
      <c r="C654" s="549">
        <f>+EOMONTH(Tabla18[[#This Row],[Fecha Asiento]],-1)+1</f>
        <v>46023</v>
      </c>
      <c r="D654" s="136">
        <v>53021</v>
      </c>
      <c r="E654" s="136" t="s">
        <v>4824</v>
      </c>
      <c r="F654" s="141">
        <v>46039</v>
      </c>
      <c r="G654" s="136">
        <v>1147</v>
      </c>
      <c r="H654" s="136" t="s">
        <v>4825</v>
      </c>
      <c r="I654" s="136" t="s">
        <v>4471</v>
      </c>
      <c r="J654" s="136" t="s">
        <v>4455</v>
      </c>
      <c r="K654" s="136">
        <v>1000217463</v>
      </c>
      <c r="L654" s="138">
        <v>62749.05</v>
      </c>
      <c r="M654" s="138">
        <v>0</v>
      </c>
      <c r="N654" s="136" t="s">
        <v>4425</v>
      </c>
      <c r="O654" s="136" t="s">
        <v>4426</v>
      </c>
      <c r="P654" s="136" t="s">
        <v>4427</v>
      </c>
      <c r="Q654" s="136" t="s">
        <v>4428</v>
      </c>
      <c r="R654" s="136">
        <v>0</v>
      </c>
      <c r="S654" s="142">
        <f>(Tabla18[[#This Row],[Debe]]-Tabla18[[#This Row],[Haber]])*
SUMIF('0_Indice_CAC'!$A:$A,Tabla18[[#This Row],[Mes]],'0_Indice_CAC'!$D:$D)</f>
        <v>49846.250608275426</v>
      </c>
      <c r="T654" s="142">
        <f>Tabla18[[#This Row],[Debe]]-Tabla18[[#This Row],[Haber]]</f>
        <v>62749.05</v>
      </c>
      <c r="U654" s="322"/>
      <c r="V654" s="323"/>
      <c r="W654" s="142">
        <f t="shared" si="12"/>
        <v>62749.05</v>
      </c>
      <c r="X654" s="142" t="b">
        <f>ISNUMBER(MATCH(A654,'3_Control_Ppto'!$A$4:$A$70,0))</f>
        <v>0</v>
      </c>
      <c r="Y654" s="136"/>
    </row>
    <row r="655" spans="1:25" ht="12" customHeight="1" x14ac:dyDescent="0.3">
      <c r="A655" s="140" t="s">
        <v>25</v>
      </c>
      <c r="B655" s="140" t="s">
        <v>25</v>
      </c>
      <c r="C655" s="549">
        <f>+EOMONTH(Tabla18[[#This Row],[Fecha Asiento]],-1)+1</f>
        <v>46023</v>
      </c>
      <c r="D655" s="136">
        <v>53021</v>
      </c>
      <c r="E655" s="136" t="s">
        <v>4824</v>
      </c>
      <c r="F655" s="141">
        <v>46039</v>
      </c>
      <c r="G655" s="136">
        <v>1147</v>
      </c>
      <c r="H655" s="136" t="s">
        <v>4826</v>
      </c>
      <c r="I655" s="136" t="s">
        <v>4471</v>
      </c>
      <c r="J655" s="136" t="s">
        <v>4455</v>
      </c>
      <c r="K655" s="136">
        <v>1000217463</v>
      </c>
      <c r="L655" s="138">
        <v>4711.05</v>
      </c>
      <c r="M655" s="138">
        <v>0</v>
      </c>
      <c r="N655" s="136" t="s">
        <v>4425</v>
      </c>
      <c r="O655" s="136" t="s">
        <v>4426</v>
      </c>
      <c r="P655" s="136" t="s">
        <v>4427</v>
      </c>
      <c r="Q655" s="136" t="s">
        <v>4428</v>
      </c>
      <c r="R655" s="136">
        <v>0</v>
      </c>
      <c r="S655" s="142">
        <f>(Tabla18[[#This Row],[Debe]]-Tabla18[[#This Row],[Haber]])*
SUMIF('0_Indice_CAC'!$A:$A,Tabla18[[#This Row],[Mes]],'0_Indice_CAC'!$D:$D)</f>
        <v>3742.3383928221378</v>
      </c>
      <c r="T655" s="142">
        <f>Tabla18[[#This Row],[Debe]]-Tabla18[[#This Row],[Haber]]</f>
        <v>4711.05</v>
      </c>
      <c r="U655" s="322"/>
      <c r="V655" s="323"/>
      <c r="W655" s="142">
        <f t="shared" si="12"/>
        <v>4711.05</v>
      </c>
      <c r="X655" s="142" t="b">
        <f>ISNUMBER(MATCH(A655,'3_Control_Ppto'!$A$4:$A$70,0))</f>
        <v>0</v>
      </c>
      <c r="Y655" s="136"/>
    </row>
    <row r="656" spans="1:25" ht="12" customHeight="1" x14ac:dyDescent="0.3">
      <c r="A656" s="140" t="s">
        <v>106</v>
      </c>
      <c r="B656" s="140" t="s">
        <v>4090</v>
      </c>
      <c r="C656" s="549">
        <f>+EOMONTH(Tabla18[[#This Row],[Fecha Asiento]],-1)+1</f>
        <v>46023</v>
      </c>
      <c r="D656" s="136">
        <v>53023</v>
      </c>
      <c r="E656" s="136" t="s">
        <v>4467</v>
      </c>
      <c r="F656" s="141">
        <v>46039</v>
      </c>
      <c r="G656" s="136">
        <v>1147</v>
      </c>
      <c r="H656" s="136" t="s">
        <v>4475</v>
      </c>
      <c r="I656" s="136" t="s">
        <v>4471</v>
      </c>
      <c r="J656" s="136" t="s">
        <v>4455</v>
      </c>
      <c r="K656" s="136">
        <v>1000217463</v>
      </c>
      <c r="L656" s="138">
        <v>11080.8</v>
      </c>
      <c r="M656" s="138">
        <v>0</v>
      </c>
      <c r="N656" s="136" t="s">
        <v>4425</v>
      </c>
      <c r="O656" s="136" t="s">
        <v>4426</v>
      </c>
      <c r="P656" s="136" t="s">
        <v>4427</v>
      </c>
      <c r="Q656" s="136" t="s">
        <v>4428</v>
      </c>
      <c r="R656" s="136">
        <v>0</v>
      </c>
      <c r="S656" s="142">
        <f>(Tabla18[[#This Row],[Debe]]-Tabla18[[#This Row],[Haber]])*
SUMIF('0_Indice_CAC'!$A:$A,Tabla18[[#This Row],[Mes]],'0_Indice_CAC'!$D:$D)</f>
        <v>8802.3059112477131</v>
      </c>
      <c r="T656" s="142">
        <f>Tabla18[[#This Row],[Debe]]-Tabla18[[#This Row],[Haber]]</f>
        <v>11080.8</v>
      </c>
      <c r="U656" s="322"/>
      <c r="V656" s="323"/>
      <c r="W656" s="142">
        <f t="shared" si="12"/>
        <v>11080.8</v>
      </c>
      <c r="X656" s="142" t="b">
        <f>ISNUMBER(MATCH(A656,'3_Control_Ppto'!$A$4:$A$70,0))</f>
        <v>1</v>
      </c>
      <c r="Y656" s="136"/>
    </row>
    <row r="657" spans="1:25" ht="12" customHeight="1" x14ac:dyDescent="0.3">
      <c r="A657" s="140" t="s">
        <v>4317</v>
      </c>
      <c r="B657" s="140" t="s">
        <v>56</v>
      </c>
      <c r="C657" s="549">
        <f>+EOMONTH(Tabla18[[#This Row],[Fecha Asiento]],-1)+1</f>
        <v>46023</v>
      </c>
      <c r="D657" s="136">
        <v>52302</v>
      </c>
      <c r="E657" s="136" t="s">
        <v>4444</v>
      </c>
      <c r="F657" s="141">
        <v>46040</v>
      </c>
      <c r="G657" s="136">
        <v>919</v>
      </c>
      <c r="H657" s="136" t="s">
        <v>4827</v>
      </c>
      <c r="I657" s="136" t="s">
        <v>4532</v>
      </c>
      <c r="J657" s="136" t="s">
        <v>4455</v>
      </c>
      <c r="K657" s="136">
        <v>142000009935</v>
      </c>
      <c r="L657" s="138">
        <v>14310.76</v>
      </c>
      <c r="M657" s="138">
        <v>0</v>
      </c>
      <c r="N657" s="136" t="s">
        <v>4425</v>
      </c>
      <c r="O657" s="136" t="s">
        <v>4426</v>
      </c>
      <c r="P657" s="136" t="s">
        <v>4427</v>
      </c>
      <c r="Q657" s="136" t="s">
        <v>4428</v>
      </c>
      <c r="R657" s="136">
        <v>0</v>
      </c>
      <c r="S657" s="142">
        <f>(Tabla18[[#This Row],[Debe]]-Tabla18[[#This Row],[Haber]])*
SUMIF('0_Indice_CAC'!$A:$A,Tabla18[[#This Row],[Mes]],'0_Indice_CAC'!$D:$D)</f>
        <v>11368.104048665018</v>
      </c>
      <c r="T657" s="142">
        <f>Tabla18[[#This Row],[Debe]]-Tabla18[[#This Row],[Haber]]</f>
        <v>14310.76</v>
      </c>
      <c r="U657" s="322"/>
      <c r="V657" s="323"/>
      <c r="W657" s="142">
        <f t="shared" si="12"/>
        <v>14310.76</v>
      </c>
      <c r="X657" s="142" t="b">
        <f>ISNUMBER(MATCH(A657,'3_Control_Ppto'!$A$4:$A$70,0))</f>
        <v>1</v>
      </c>
      <c r="Y657" s="136"/>
    </row>
    <row r="658" spans="1:25" ht="12" customHeight="1" x14ac:dyDescent="0.3">
      <c r="A658" s="140" t="s">
        <v>4317</v>
      </c>
      <c r="B658" s="140" t="s">
        <v>56</v>
      </c>
      <c r="C658" s="549">
        <f>+EOMONTH(Tabla18[[#This Row],[Fecha Asiento]],-1)+1</f>
        <v>46023</v>
      </c>
      <c r="D658" s="136">
        <v>52302</v>
      </c>
      <c r="E658" s="136" t="s">
        <v>4444</v>
      </c>
      <c r="F658" s="141">
        <v>46040</v>
      </c>
      <c r="G658" s="136">
        <v>919</v>
      </c>
      <c r="H658" s="136" t="s">
        <v>4827</v>
      </c>
      <c r="I658" s="136" t="s">
        <v>4532</v>
      </c>
      <c r="J658" s="136" t="s">
        <v>4455</v>
      </c>
      <c r="K658" s="136">
        <v>142000009935</v>
      </c>
      <c r="L658" s="138">
        <v>15394.57</v>
      </c>
      <c r="M658" s="138">
        <v>0</v>
      </c>
      <c r="N658" s="136" t="s">
        <v>4425</v>
      </c>
      <c r="O658" s="136" t="s">
        <v>4426</v>
      </c>
      <c r="P658" s="136" t="s">
        <v>4427</v>
      </c>
      <c r="Q658" s="136" t="s">
        <v>4428</v>
      </c>
      <c r="R658" s="136">
        <v>0</v>
      </c>
      <c r="S658" s="142">
        <f>(Tabla18[[#This Row],[Debe]]-Tabla18[[#This Row],[Haber]])*
SUMIF('0_Indice_CAC'!$A:$A,Tabla18[[#This Row],[Mes]],'0_Indice_CAC'!$D:$D)</f>
        <v>12229.055168590419</v>
      </c>
      <c r="T658" s="142">
        <f>Tabla18[[#This Row],[Debe]]-Tabla18[[#This Row],[Haber]]</f>
        <v>15394.57</v>
      </c>
      <c r="U658" s="322"/>
      <c r="V658" s="323"/>
      <c r="W658" s="142">
        <f t="shared" si="12"/>
        <v>15394.57</v>
      </c>
      <c r="X658" s="142" t="b">
        <f>ISNUMBER(MATCH(A658,'3_Control_Ppto'!$A$4:$A$70,0))</f>
        <v>1</v>
      </c>
      <c r="Y658" s="136"/>
    </row>
    <row r="659" spans="1:25" ht="12" customHeight="1" x14ac:dyDescent="0.3">
      <c r="A659" s="140" t="s">
        <v>4317</v>
      </c>
      <c r="B659" s="140" t="s">
        <v>56</v>
      </c>
      <c r="C659" s="549">
        <f>+EOMONTH(Tabla18[[#This Row],[Fecha Asiento]],-1)+1</f>
        <v>46023</v>
      </c>
      <c r="D659" s="136">
        <v>52302</v>
      </c>
      <c r="E659" s="136" t="s">
        <v>4444</v>
      </c>
      <c r="F659" s="141">
        <v>46040</v>
      </c>
      <c r="G659" s="136">
        <v>919</v>
      </c>
      <c r="H659" s="136" t="s">
        <v>4828</v>
      </c>
      <c r="I659" s="136" t="s">
        <v>4532</v>
      </c>
      <c r="J659" s="136" t="s">
        <v>4455</v>
      </c>
      <c r="K659" s="136">
        <v>142000009935</v>
      </c>
      <c r="L659" s="138">
        <v>6440.08</v>
      </c>
      <c r="M659" s="138">
        <v>0</v>
      </c>
      <c r="N659" s="136" t="s">
        <v>4425</v>
      </c>
      <c r="O659" s="136" t="s">
        <v>4426</v>
      </c>
      <c r="P659" s="136" t="s">
        <v>4427</v>
      </c>
      <c r="Q659" s="136" t="s">
        <v>4428</v>
      </c>
      <c r="R659" s="136">
        <v>0</v>
      </c>
      <c r="S659" s="142">
        <f>(Tabla18[[#This Row],[Debe]]-Tabla18[[#This Row],[Haber]])*
SUMIF('0_Indice_CAC'!$A:$A,Tabla18[[#This Row],[Mes]],'0_Indice_CAC'!$D:$D)</f>
        <v>5115.8358830506977</v>
      </c>
      <c r="T659" s="142">
        <f>Tabla18[[#This Row],[Debe]]-Tabla18[[#This Row],[Haber]]</f>
        <v>6440.08</v>
      </c>
      <c r="U659" s="322"/>
      <c r="V659" s="323"/>
      <c r="W659" s="142">
        <f t="shared" si="12"/>
        <v>6440.08</v>
      </c>
      <c r="X659" s="142" t="b">
        <f>ISNUMBER(MATCH(A659,'3_Control_Ppto'!$A$4:$A$70,0))</f>
        <v>1</v>
      </c>
      <c r="Y659" s="136"/>
    </row>
    <row r="660" spans="1:25" ht="12" customHeight="1" x14ac:dyDescent="0.3">
      <c r="A660" s="140" t="s">
        <v>4317</v>
      </c>
      <c r="B660" s="140" t="s">
        <v>56</v>
      </c>
      <c r="C660" s="549">
        <f>+EOMONTH(Tabla18[[#This Row],[Fecha Asiento]],-1)+1</f>
        <v>46023</v>
      </c>
      <c r="D660" s="136">
        <v>52302</v>
      </c>
      <c r="E660" s="136" t="s">
        <v>4444</v>
      </c>
      <c r="F660" s="141">
        <v>46040</v>
      </c>
      <c r="G660" s="136">
        <v>919</v>
      </c>
      <c r="H660" s="136" t="s">
        <v>4829</v>
      </c>
      <c r="I660" s="136" t="s">
        <v>4532</v>
      </c>
      <c r="J660" s="136" t="s">
        <v>4455</v>
      </c>
      <c r="K660" s="136">
        <v>142000009935</v>
      </c>
      <c r="L660" s="138">
        <v>394.49</v>
      </c>
      <c r="M660" s="138">
        <v>0</v>
      </c>
      <c r="N660" s="136" t="s">
        <v>4425</v>
      </c>
      <c r="O660" s="136" t="s">
        <v>4426</v>
      </c>
      <c r="P660" s="136" t="s">
        <v>4427</v>
      </c>
      <c r="Q660" s="136" t="s">
        <v>4428</v>
      </c>
      <c r="R660" s="136">
        <v>0</v>
      </c>
      <c r="S660" s="142">
        <f>(Tabla18[[#This Row],[Debe]]-Tabla18[[#This Row],[Haber]])*
SUMIF('0_Indice_CAC'!$A:$A,Tabla18[[#This Row],[Mes]],'0_Indice_CAC'!$D:$D)</f>
        <v>313.37283038481974</v>
      </c>
      <c r="T660" s="142">
        <f>Tabla18[[#This Row],[Debe]]-Tabla18[[#This Row],[Haber]]</f>
        <v>394.49</v>
      </c>
      <c r="U660" s="322"/>
      <c r="V660" s="323"/>
      <c r="W660" s="142">
        <f t="shared" si="12"/>
        <v>394.49</v>
      </c>
      <c r="X660" s="142" t="b">
        <f>ISNUMBER(MATCH(A660,'3_Control_Ppto'!$A$4:$A$70,0))</f>
        <v>1</v>
      </c>
      <c r="Y660" s="136"/>
    </row>
    <row r="661" spans="1:25" ht="12" customHeight="1" x14ac:dyDescent="0.3">
      <c r="A661" s="140" t="s">
        <v>4317</v>
      </c>
      <c r="B661" s="140" t="s">
        <v>56</v>
      </c>
      <c r="C661" s="549">
        <f>+EOMONTH(Tabla18[[#This Row],[Fecha Asiento]],-1)+1</f>
        <v>46023</v>
      </c>
      <c r="D661" s="136">
        <v>52302</v>
      </c>
      <c r="E661" s="136" t="s">
        <v>4444</v>
      </c>
      <c r="F661" s="141">
        <v>46040</v>
      </c>
      <c r="G661" s="136">
        <v>919</v>
      </c>
      <c r="H661" s="136" t="s">
        <v>4830</v>
      </c>
      <c r="I661" s="136" t="s">
        <v>4532</v>
      </c>
      <c r="J661" s="136" t="s">
        <v>4455</v>
      </c>
      <c r="K661" s="136">
        <v>142000009935</v>
      </c>
      <c r="L661" s="138">
        <v>131.49</v>
      </c>
      <c r="M661" s="138">
        <v>0</v>
      </c>
      <c r="N661" s="136" t="s">
        <v>4425</v>
      </c>
      <c r="O661" s="136" t="s">
        <v>4426</v>
      </c>
      <c r="P661" s="136" t="s">
        <v>4427</v>
      </c>
      <c r="Q661" s="136" t="s">
        <v>4428</v>
      </c>
      <c r="R661" s="136">
        <v>0</v>
      </c>
      <c r="S661" s="142">
        <f>(Tabla18[[#This Row],[Debe]]-Tabla18[[#This Row],[Haber]])*
SUMIF('0_Indice_CAC'!$A:$A,Tabla18[[#This Row],[Mes]],'0_Indice_CAC'!$D:$D)</f>
        <v>104.45231429770071</v>
      </c>
      <c r="T661" s="142">
        <f>Tabla18[[#This Row],[Debe]]-Tabla18[[#This Row],[Haber]]</f>
        <v>131.49</v>
      </c>
      <c r="U661" s="322"/>
      <c r="V661" s="323"/>
      <c r="W661" s="142">
        <f t="shared" si="12"/>
        <v>131.49</v>
      </c>
      <c r="X661" s="142" t="b">
        <f>ISNUMBER(MATCH(A661,'3_Control_Ppto'!$A$4:$A$70,0))</f>
        <v>1</v>
      </c>
      <c r="Y661" s="136"/>
    </row>
    <row r="662" spans="1:25" ht="12" customHeight="1" x14ac:dyDescent="0.3">
      <c r="A662" s="140" t="s">
        <v>25</v>
      </c>
      <c r="B662" s="140" t="s">
        <v>25</v>
      </c>
      <c r="C662" s="549">
        <f>+EOMONTH(Tabla18[[#This Row],[Fecha Asiento]],-1)+1</f>
        <v>46023</v>
      </c>
      <c r="D662" s="136">
        <v>410222</v>
      </c>
      <c r="E662" s="136" t="s">
        <v>4605</v>
      </c>
      <c r="F662" s="141">
        <v>46041</v>
      </c>
      <c r="G662" s="136">
        <v>988</v>
      </c>
      <c r="H662" s="136" t="s">
        <v>4606</v>
      </c>
      <c r="I662" s="136" t="s">
        <v>4607</v>
      </c>
      <c r="J662" s="136" t="s">
        <v>4608</v>
      </c>
      <c r="K662" s="136">
        <v>300000800</v>
      </c>
      <c r="L662" s="138">
        <v>0</v>
      </c>
      <c r="M662" s="138">
        <v>25136092.59</v>
      </c>
      <c r="N662" s="136" t="s">
        <v>4425</v>
      </c>
      <c r="O662" s="136" t="s">
        <v>4426</v>
      </c>
      <c r="P662" s="136" t="s">
        <v>4427</v>
      </c>
      <c r="Q662" s="136" t="s">
        <v>4428</v>
      </c>
      <c r="R662" s="136">
        <v>0</v>
      </c>
      <c r="S662" s="142">
        <f>(Tabla18[[#This Row],[Debe]]-Tabla18[[#This Row],[Haber]])*
SUMIF('0_Indice_CAC'!$A:$A,Tabla18[[#This Row],[Mes]],'0_Indice_CAC'!$D:$D)</f>
        <v>-19967473.141887486</v>
      </c>
      <c r="T662" s="142">
        <f>Tabla18[[#This Row],[Debe]]-Tabla18[[#This Row],[Haber]]</f>
        <v>-25136092.59</v>
      </c>
      <c r="U662" s="322"/>
      <c r="V662" s="323"/>
      <c r="W662" s="142">
        <f t="shared" si="12"/>
        <v>-25136092.59</v>
      </c>
      <c r="X662" s="142" t="b">
        <f>ISNUMBER(MATCH(A662,'3_Control_Ppto'!$A$4:$A$70,0))</f>
        <v>0</v>
      </c>
      <c r="Y662" s="136"/>
    </row>
    <row r="663" spans="1:25" ht="12" customHeight="1" x14ac:dyDescent="0.3">
      <c r="A663" s="140" t="s">
        <v>25</v>
      </c>
      <c r="B663" s="140" t="s">
        <v>25</v>
      </c>
      <c r="C663" s="549">
        <f>+EOMONTH(Tabla18[[#This Row],[Fecha Asiento]],-1)+1</f>
        <v>46023</v>
      </c>
      <c r="D663" s="136">
        <v>410222</v>
      </c>
      <c r="E663" s="136" t="s">
        <v>4605</v>
      </c>
      <c r="F663" s="141">
        <v>46041</v>
      </c>
      <c r="G663" s="136">
        <v>989</v>
      </c>
      <c r="H663" s="136" t="s">
        <v>4606</v>
      </c>
      <c r="I663" s="136" t="s">
        <v>4607</v>
      </c>
      <c r="J663" s="136" t="s">
        <v>4608</v>
      </c>
      <c r="K663" s="136">
        <v>300000801</v>
      </c>
      <c r="L663" s="138">
        <v>0</v>
      </c>
      <c r="M663" s="138">
        <v>1971028</v>
      </c>
      <c r="N663" s="136" t="s">
        <v>4425</v>
      </c>
      <c r="O663" s="136" t="s">
        <v>4426</v>
      </c>
      <c r="P663" s="136" t="s">
        <v>4427</v>
      </c>
      <c r="Q663" s="136" t="s">
        <v>4428</v>
      </c>
      <c r="R663" s="136">
        <v>0</v>
      </c>
      <c r="S663" s="142">
        <f>(Tabla18[[#This Row],[Debe]]-Tabla18[[#This Row],[Haber]])*
SUMIF('0_Indice_CAC'!$A:$A,Tabla18[[#This Row],[Mes]],'0_Indice_CAC'!$D:$D)</f>
        <v>-1565734.5512629736</v>
      </c>
      <c r="T663" s="142">
        <f>Tabla18[[#This Row],[Debe]]-Tabla18[[#This Row],[Haber]]</f>
        <v>-1971028</v>
      </c>
      <c r="U663" s="322"/>
      <c r="V663" s="323"/>
      <c r="W663" s="142">
        <f t="shared" si="12"/>
        <v>-1971028</v>
      </c>
      <c r="X663" s="142" t="b">
        <f>ISNUMBER(MATCH(A663,'3_Control_Ppto'!$A$4:$A$70,0))</f>
        <v>0</v>
      </c>
      <c r="Y663" s="136"/>
    </row>
    <row r="664" spans="1:25" ht="12" customHeight="1" x14ac:dyDescent="0.3">
      <c r="A664" s="140" t="s">
        <v>25</v>
      </c>
      <c r="B664" s="140" t="s">
        <v>25</v>
      </c>
      <c r="C664" s="549">
        <f>+EOMONTH(Tabla18[[#This Row],[Fecha Asiento]],-1)+1</f>
        <v>46023</v>
      </c>
      <c r="D664" s="136">
        <v>410222</v>
      </c>
      <c r="E664" s="136" t="s">
        <v>4605</v>
      </c>
      <c r="F664" s="141">
        <v>46041</v>
      </c>
      <c r="G664" s="136">
        <v>990</v>
      </c>
      <c r="H664" s="136" t="s">
        <v>4606</v>
      </c>
      <c r="I664" s="136" t="s">
        <v>4607</v>
      </c>
      <c r="J664" s="136" t="s">
        <v>4608</v>
      </c>
      <c r="K664" s="136">
        <v>300000802</v>
      </c>
      <c r="L664" s="138">
        <v>0</v>
      </c>
      <c r="M664" s="138">
        <v>17739000</v>
      </c>
      <c r="N664" s="136" t="s">
        <v>4425</v>
      </c>
      <c r="O664" s="136" t="s">
        <v>4426</v>
      </c>
      <c r="P664" s="136" t="s">
        <v>4427</v>
      </c>
      <c r="Q664" s="136" t="s">
        <v>4428</v>
      </c>
      <c r="R664" s="136">
        <v>0</v>
      </c>
      <c r="S664" s="142">
        <f>(Tabla18[[#This Row],[Debe]]-Tabla18[[#This Row],[Haber]])*
SUMIF('0_Indice_CAC'!$A:$A,Tabla18[[#This Row],[Mes]],'0_Indice_CAC'!$D:$D)</f>
        <v>-14091410.778971121</v>
      </c>
      <c r="T664" s="142">
        <f>Tabla18[[#This Row],[Debe]]-Tabla18[[#This Row],[Haber]]</f>
        <v>-17739000</v>
      </c>
      <c r="U664" s="322"/>
      <c r="V664" s="323"/>
      <c r="W664" s="142">
        <f t="shared" si="12"/>
        <v>-17739000</v>
      </c>
      <c r="X664" s="142" t="b">
        <f>ISNUMBER(MATCH(A664,'3_Control_Ppto'!$A$4:$A$70,0))</f>
        <v>0</v>
      </c>
      <c r="Y664" s="136"/>
    </row>
    <row r="665" spans="1:25" ht="12" customHeight="1" x14ac:dyDescent="0.3">
      <c r="A665" s="140" t="s">
        <v>106</v>
      </c>
      <c r="B665" s="140" t="s">
        <v>4090</v>
      </c>
      <c r="C665" s="549">
        <f>+EOMONTH(Tabla18[[#This Row],[Fecha Asiento]],-1)+1</f>
        <v>46023</v>
      </c>
      <c r="D665" s="136">
        <v>53023</v>
      </c>
      <c r="E665" s="136" t="s">
        <v>4467</v>
      </c>
      <c r="F665" s="141">
        <v>46041</v>
      </c>
      <c r="G665" s="136">
        <v>921</v>
      </c>
      <c r="H665" s="136" t="s">
        <v>4475</v>
      </c>
      <c r="I665" s="136" t="s">
        <v>4471</v>
      </c>
      <c r="J665" s="136" t="s">
        <v>4519</v>
      </c>
      <c r="K665" s="136">
        <v>1000014282</v>
      </c>
      <c r="L665" s="138">
        <v>0</v>
      </c>
      <c r="M665" s="138">
        <v>104627.83</v>
      </c>
      <c r="N665" s="136" t="s">
        <v>4425</v>
      </c>
      <c r="O665" s="136" t="s">
        <v>4426</v>
      </c>
      <c r="P665" s="136" t="s">
        <v>4427</v>
      </c>
      <c r="Q665" s="136" t="s">
        <v>4428</v>
      </c>
      <c r="R665" s="136">
        <v>0</v>
      </c>
      <c r="S665" s="142">
        <f>(Tabla18[[#This Row],[Debe]]-Tabla18[[#This Row],[Haber]])*
SUMIF('0_Indice_CAC'!$A:$A,Tabla18[[#This Row],[Mes]],'0_Indice_CAC'!$D:$D)</f>
        <v>-83113.689128043188</v>
      </c>
      <c r="T665" s="142">
        <f>Tabla18[[#This Row],[Debe]]-Tabla18[[#This Row],[Haber]]</f>
        <v>-104627.83</v>
      </c>
      <c r="U665" s="322"/>
      <c r="V665" s="323"/>
      <c r="W665" s="142">
        <f t="shared" si="12"/>
        <v>-104627.83</v>
      </c>
      <c r="X665" s="142" t="b">
        <f>ISNUMBER(MATCH(A665,'3_Control_Ppto'!$A$4:$A$70,0))</f>
        <v>1</v>
      </c>
      <c r="Y665" s="136"/>
    </row>
    <row r="666" spans="1:25" ht="12" customHeight="1" x14ac:dyDescent="0.3">
      <c r="A666" s="140" t="s">
        <v>106</v>
      </c>
      <c r="B666" s="140" t="s">
        <v>4090</v>
      </c>
      <c r="C666" s="549">
        <f>+EOMONTH(Tabla18[[#This Row],[Fecha Asiento]],-1)+1</f>
        <v>46023</v>
      </c>
      <c r="D666" s="136">
        <v>53023</v>
      </c>
      <c r="E666" s="136" t="s">
        <v>4467</v>
      </c>
      <c r="F666" s="141">
        <v>46041</v>
      </c>
      <c r="G666" s="136">
        <v>2494</v>
      </c>
      <c r="H666" s="136" t="s">
        <v>4498</v>
      </c>
      <c r="I666" s="136" t="s">
        <v>4466</v>
      </c>
      <c r="J666" s="136" t="s">
        <v>4455</v>
      </c>
      <c r="K666" s="136">
        <v>600013147</v>
      </c>
      <c r="L666" s="138">
        <v>29752.080000000002</v>
      </c>
      <c r="M666" s="138">
        <v>0</v>
      </c>
      <c r="N666" s="136" t="s">
        <v>4425</v>
      </c>
      <c r="O666" s="136" t="s">
        <v>4426</v>
      </c>
      <c r="P666" s="136" t="s">
        <v>4427</v>
      </c>
      <c r="Q666" s="136" t="s">
        <v>4428</v>
      </c>
      <c r="R666" s="136">
        <v>0</v>
      </c>
      <c r="S666" s="142">
        <f>(Tabla18[[#This Row],[Debe]]-Tabla18[[#This Row],[Haber]])*
SUMIF('0_Indice_CAC'!$A:$A,Tabla18[[#This Row],[Mes]],'0_Indice_CAC'!$D:$D)</f>
        <v>23634.29622914545</v>
      </c>
      <c r="T666" s="142">
        <f>Tabla18[[#This Row],[Debe]]-Tabla18[[#This Row],[Haber]]</f>
        <v>29752.080000000002</v>
      </c>
      <c r="U666" s="322"/>
      <c r="V666" s="323"/>
      <c r="W666" s="142">
        <f t="shared" si="12"/>
        <v>29752.080000000002</v>
      </c>
      <c r="X666" s="142" t="b">
        <f>ISNUMBER(MATCH(A666,'3_Control_Ppto'!$A$4:$A$70,0))</f>
        <v>1</v>
      </c>
      <c r="Y666" s="136"/>
    </row>
    <row r="667" spans="1:25" ht="12" customHeight="1" x14ac:dyDescent="0.3">
      <c r="A667" s="140" t="s">
        <v>4271</v>
      </c>
      <c r="B667" s="140" t="s">
        <v>4090</v>
      </c>
      <c r="C667" s="549">
        <f>+EOMONTH(Tabla18[[#This Row],[Fecha Asiento]],-1)+1</f>
        <v>46023</v>
      </c>
      <c r="D667" s="136">
        <v>53017</v>
      </c>
      <c r="E667" s="136" t="s">
        <v>4677</v>
      </c>
      <c r="F667" s="141">
        <v>46042</v>
      </c>
      <c r="G667" s="136">
        <v>925</v>
      </c>
      <c r="H667" s="136" t="s">
        <v>4734</v>
      </c>
      <c r="I667" s="136" t="s">
        <v>4489</v>
      </c>
      <c r="J667" s="136" t="s">
        <v>4439</v>
      </c>
      <c r="K667" s="136">
        <v>300006695</v>
      </c>
      <c r="L667" s="138">
        <v>15702.48</v>
      </c>
      <c r="M667" s="138">
        <v>0</v>
      </c>
      <c r="N667" s="136" t="s">
        <v>4425</v>
      </c>
      <c r="O667" s="136" t="s">
        <v>4426</v>
      </c>
      <c r="P667" s="136" t="s">
        <v>4427</v>
      </c>
      <c r="Q667" s="136" t="s">
        <v>4428</v>
      </c>
      <c r="R667" s="136">
        <v>0</v>
      </c>
      <c r="S667" s="142">
        <f>(Tabla18[[#This Row],[Debe]]-Tabla18[[#This Row],[Haber]])*
SUMIF('0_Indice_CAC'!$A:$A,Tabla18[[#This Row],[Mes]],'0_Indice_CAC'!$D:$D)</f>
        <v>12473.651047329524</v>
      </c>
      <c r="T667" s="142">
        <f>Tabla18[[#This Row],[Debe]]-Tabla18[[#This Row],[Haber]]</f>
        <v>15702.48</v>
      </c>
      <c r="U667" s="322"/>
      <c r="V667" s="323"/>
      <c r="W667" s="142">
        <f t="shared" si="12"/>
        <v>15702.48</v>
      </c>
      <c r="X667" s="142" t="b">
        <f>ISNUMBER(MATCH(A667,'3_Control_Ppto'!$A$4:$A$70,0))</f>
        <v>1</v>
      </c>
      <c r="Y667" s="136"/>
    </row>
    <row r="668" spans="1:25" ht="12" customHeight="1" x14ac:dyDescent="0.3">
      <c r="A668" s="140" t="s">
        <v>4271</v>
      </c>
      <c r="B668" s="140" t="s">
        <v>4090</v>
      </c>
      <c r="C668" s="549">
        <f>+EOMONTH(Tabla18[[#This Row],[Fecha Asiento]],-1)+1</f>
        <v>46023</v>
      </c>
      <c r="D668" s="136">
        <v>53017</v>
      </c>
      <c r="E668" s="136" t="s">
        <v>4677</v>
      </c>
      <c r="F668" s="141">
        <v>46042</v>
      </c>
      <c r="G668" s="136">
        <v>926</v>
      </c>
      <c r="H668" s="136" t="s">
        <v>4734</v>
      </c>
      <c r="I668" s="136" t="s">
        <v>4489</v>
      </c>
      <c r="J668" s="136" t="s">
        <v>4439</v>
      </c>
      <c r="K668" s="136">
        <v>300006693</v>
      </c>
      <c r="L668" s="138">
        <v>68264.460000000006</v>
      </c>
      <c r="M668" s="138">
        <v>0</v>
      </c>
      <c r="N668" s="136" t="s">
        <v>4425</v>
      </c>
      <c r="O668" s="136" t="s">
        <v>4426</v>
      </c>
      <c r="P668" s="136" t="s">
        <v>4427</v>
      </c>
      <c r="Q668" s="136" t="s">
        <v>4428</v>
      </c>
      <c r="R668" s="136">
        <v>0</v>
      </c>
      <c r="S668" s="142">
        <f>(Tabla18[[#This Row],[Debe]]-Tabla18[[#This Row],[Haber]])*
SUMIF('0_Indice_CAC'!$A:$A,Tabla18[[#This Row],[Mes]],'0_Indice_CAC'!$D:$D)</f>
        <v>54227.55214299808</v>
      </c>
      <c r="T668" s="142">
        <f>Tabla18[[#This Row],[Debe]]-Tabla18[[#This Row],[Haber]]</f>
        <v>68264.460000000006</v>
      </c>
      <c r="U668" s="322"/>
      <c r="V668" s="323"/>
      <c r="W668" s="142">
        <f t="shared" si="12"/>
        <v>68264.460000000006</v>
      </c>
      <c r="X668" s="142" t="b">
        <f>ISNUMBER(MATCH(A668,'3_Control_Ppto'!$A$4:$A$70,0))</f>
        <v>1</v>
      </c>
      <c r="Y668" s="136"/>
    </row>
    <row r="669" spans="1:25" ht="12" customHeight="1" x14ac:dyDescent="0.3">
      <c r="A669" s="140" t="s">
        <v>4317</v>
      </c>
      <c r="B669" s="140" t="s">
        <v>56</v>
      </c>
      <c r="C669" s="549">
        <f>+EOMONTH(Tabla18[[#This Row],[Fecha Asiento]],-1)+1</f>
        <v>46023</v>
      </c>
      <c r="D669" s="136">
        <v>52005</v>
      </c>
      <c r="E669" s="136" t="s">
        <v>4357</v>
      </c>
      <c r="F669" s="141">
        <v>46043</v>
      </c>
      <c r="G669" s="136">
        <v>999</v>
      </c>
      <c r="H669" s="136" t="s">
        <v>4586</v>
      </c>
      <c r="I669" s="136" t="s">
        <v>4587</v>
      </c>
      <c r="J669" s="136" t="s">
        <v>4455</v>
      </c>
      <c r="K669" s="136">
        <v>395006029702</v>
      </c>
      <c r="L669" s="138">
        <v>17702.490000000002</v>
      </c>
      <c r="M669" s="138">
        <v>0</v>
      </c>
      <c r="N669" s="136" t="s">
        <v>4425</v>
      </c>
      <c r="O669" s="136" t="s">
        <v>4426</v>
      </c>
      <c r="P669" s="136" t="s">
        <v>4427</v>
      </c>
      <c r="Q669" s="136" t="s">
        <v>4428</v>
      </c>
      <c r="R669" s="136">
        <v>0</v>
      </c>
      <c r="S669" s="142">
        <f>(Tabla18[[#This Row],[Debe]]-Tabla18[[#This Row],[Haber]])*
SUMIF('0_Indice_CAC'!$A:$A,Tabla18[[#This Row],[Mes]],'0_Indice_CAC'!$D:$D)</f>
        <v>14062.408162840549</v>
      </c>
      <c r="T669" s="142">
        <f>Tabla18[[#This Row],[Debe]]-Tabla18[[#This Row],[Haber]]</f>
        <v>17702.490000000002</v>
      </c>
      <c r="U669" s="322"/>
      <c r="V669" s="323"/>
      <c r="W669" s="142">
        <f t="shared" si="12"/>
        <v>17702.490000000002</v>
      </c>
      <c r="X669" s="142" t="b">
        <f>ISNUMBER(MATCH(A669,'3_Control_Ppto'!$A$4:$A$70,0))</f>
        <v>1</v>
      </c>
      <c r="Y669" s="136"/>
    </row>
    <row r="670" spans="1:25" ht="12" customHeight="1" x14ac:dyDescent="0.3">
      <c r="A670" s="140" t="s">
        <v>4271</v>
      </c>
      <c r="B670" s="140" t="s">
        <v>4090</v>
      </c>
      <c r="C670" s="549">
        <f>+EOMONTH(Tabla18[[#This Row],[Fecha Asiento]],-1)+1</f>
        <v>46023</v>
      </c>
      <c r="D670" s="136">
        <v>53017</v>
      </c>
      <c r="E670" s="136" t="s">
        <v>4677</v>
      </c>
      <c r="F670" s="141">
        <v>46043</v>
      </c>
      <c r="G670" s="136">
        <v>998</v>
      </c>
      <c r="H670" s="136" t="s">
        <v>4801</v>
      </c>
      <c r="I670" s="136" t="s">
        <v>4794</v>
      </c>
      <c r="J670" s="136" t="s">
        <v>4455</v>
      </c>
      <c r="K670" s="136">
        <v>900002599</v>
      </c>
      <c r="L670" s="138">
        <v>252133.5</v>
      </c>
      <c r="M670" s="138">
        <v>0</v>
      </c>
      <c r="N670" s="136" t="s">
        <v>4425</v>
      </c>
      <c r="O670" s="136" t="s">
        <v>4426</v>
      </c>
      <c r="P670" s="136" t="s">
        <v>4427</v>
      </c>
      <c r="Q670" s="136" t="s">
        <v>4428</v>
      </c>
      <c r="R670" s="136">
        <v>0</v>
      </c>
      <c r="S670" s="142">
        <f>(Tabla18[[#This Row],[Debe]]-Tabla18[[#This Row],[Haber]])*
SUMIF('0_Indice_CAC'!$A:$A,Tabla18[[#This Row],[Mes]],'0_Indice_CAC'!$D:$D)</f>
        <v>200288.44464962598</v>
      </c>
      <c r="T670" s="142">
        <f>Tabla18[[#This Row],[Debe]]-Tabla18[[#This Row],[Haber]]</f>
        <v>252133.5</v>
      </c>
      <c r="U670" s="322"/>
      <c r="V670" s="323"/>
      <c r="W670" s="142">
        <f t="shared" si="12"/>
        <v>252133.5</v>
      </c>
      <c r="X670" s="142" t="b">
        <f>ISNUMBER(MATCH(A670,'3_Control_Ppto'!$A$4:$A$70,0))</f>
        <v>1</v>
      </c>
      <c r="Y670" s="136"/>
    </row>
    <row r="671" spans="1:25" ht="12" customHeight="1" x14ac:dyDescent="0.3">
      <c r="A671" s="140" t="s">
        <v>4271</v>
      </c>
      <c r="B671" s="140" t="s">
        <v>4090</v>
      </c>
      <c r="C671" s="549">
        <f>+EOMONTH(Tabla18[[#This Row],[Fecha Asiento]],-1)+1</f>
        <v>46023</v>
      </c>
      <c r="D671" s="136">
        <v>53017</v>
      </c>
      <c r="E671" s="136" t="s">
        <v>4677</v>
      </c>
      <c r="F671" s="141">
        <v>46043</v>
      </c>
      <c r="G671" s="136">
        <v>1148</v>
      </c>
      <c r="H671" s="136" t="s">
        <v>4801</v>
      </c>
      <c r="I671" s="136" t="s">
        <v>4794</v>
      </c>
      <c r="J671" s="136" t="s">
        <v>4455</v>
      </c>
      <c r="K671" s="136">
        <v>900002598</v>
      </c>
      <c r="L671" s="138">
        <v>359172.25</v>
      </c>
      <c r="M671" s="138">
        <v>0</v>
      </c>
      <c r="N671" s="136" t="s">
        <v>4425</v>
      </c>
      <c r="O671" s="136" t="s">
        <v>4426</v>
      </c>
      <c r="P671" s="136" t="s">
        <v>4427</v>
      </c>
      <c r="Q671" s="136" t="s">
        <v>4428</v>
      </c>
      <c r="R671" s="136">
        <v>0</v>
      </c>
      <c r="S671" s="142">
        <f>(Tabla18[[#This Row],[Debe]]-Tabla18[[#This Row],[Haber]])*
SUMIF('0_Indice_CAC'!$A:$A,Tabla18[[#This Row],[Mes]],'0_Indice_CAC'!$D:$D)</f>
        <v>285317.30735426518</v>
      </c>
      <c r="T671" s="142">
        <f>Tabla18[[#This Row],[Debe]]-Tabla18[[#This Row],[Haber]]</f>
        <v>359172.25</v>
      </c>
      <c r="U671" s="322"/>
      <c r="V671" s="323"/>
      <c r="W671" s="142">
        <f t="shared" si="12"/>
        <v>359172.25</v>
      </c>
      <c r="X671" s="142" t="b">
        <f>ISNUMBER(MATCH(A671,'3_Control_Ppto'!$A$4:$A$70,0))</f>
        <v>1</v>
      </c>
      <c r="Y671" s="136"/>
    </row>
    <row r="672" spans="1:25" ht="12" customHeight="1" x14ac:dyDescent="0.3">
      <c r="A672" s="140" t="s">
        <v>4119</v>
      </c>
      <c r="B672" s="140" t="s">
        <v>4090</v>
      </c>
      <c r="C672" s="549">
        <f>+EOMONTH(Tabla18[[#This Row],[Fecha Asiento]],-1)+1</f>
        <v>46023</v>
      </c>
      <c r="D672" s="136">
        <v>53022</v>
      </c>
      <c r="E672" s="136" t="s">
        <v>4429</v>
      </c>
      <c r="F672" s="141">
        <v>46043</v>
      </c>
      <c r="G672" s="136">
        <v>498</v>
      </c>
      <c r="H672" s="136" t="s">
        <v>4831</v>
      </c>
      <c r="I672" s="136" t="s">
        <v>4423</v>
      </c>
      <c r="J672" s="136" t="s">
        <v>4424</v>
      </c>
      <c r="K672" s="136">
        <v>8522</v>
      </c>
      <c r="L672" s="138">
        <v>261904.76</v>
      </c>
      <c r="M672" s="138">
        <v>0</v>
      </c>
      <c r="N672" s="136" t="s">
        <v>4425</v>
      </c>
      <c r="O672" s="136" t="s">
        <v>4426</v>
      </c>
      <c r="P672" s="136" t="s">
        <v>4427</v>
      </c>
      <c r="Q672" s="136" t="s">
        <v>4428</v>
      </c>
      <c r="R672" s="136">
        <v>0</v>
      </c>
      <c r="S672" s="142">
        <f>(Tabla18[[#This Row],[Debe]]-Tabla18[[#This Row],[Haber]])*
SUMIF('0_Indice_CAC'!$A:$A,Tabla18[[#This Row],[Mes]],'0_Indice_CAC'!$D:$D)</f>
        <v>208050.48526567701</v>
      </c>
      <c r="T672" s="142">
        <f>Tabla18[[#This Row],[Debe]]-Tabla18[[#This Row],[Haber]]</f>
        <v>261904.76</v>
      </c>
      <c r="U672" s="322"/>
      <c r="V672" s="323"/>
      <c r="W672" s="142">
        <f t="shared" ref="W672:W735" si="13">IFERROR(T672-IF(V672="",0,V672),0)</f>
        <v>261904.76</v>
      </c>
      <c r="X672" s="142" t="b">
        <f>ISNUMBER(MATCH(A672,'3_Control_Ppto'!$A$4:$A$70,0))</f>
        <v>1</v>
      </c>
      <c r="Y672" s="136"/>
    </row>
    <row r="673" spans="1:25" ht="12" customHeight="1" x14ac:dyDescent="0.3">
      <c r="A673" s="140" t="s">
        <v>106</v>
      </c>
      <c r="B673" s="140" t="s">
        <v>4090</v>
      </c>
      <c r="C673" s="549">
        <f>+EOMONTH(Tabla18[[#This Row],[Fecha Asiento]],-1)+1</f>
        <v>46023</v>
      </c>
      <c r="D673" s="136">
        <v>53023</v>
      </c>
      <c r="E673" s="136" t="s">
        <v>4467</v>
      </c>
      <c r="F673" s="141">
        <v>46043</v>
      </c>
      <c r="G673" s="136">
        <v>1182</v>
      </c>
      <c r="H673" s="136" t="s">
        <v>4498</v>
      </c>
      <c r="I673" s="136" t="s">
        <v>4466</v>
      </c>
      <c r="J673" s="136" t="s">
        <v>4455</v>
      </c>
      <c r="K673" s="136">
        <v>600013163</v>
      </c>
      <c r="L673" s="138">
        <v>36363.629999999997</v>
      </c>
      <c r="M673" s="138">
        <v>0</v>
      </c>
      <c r="N673" s="136" t="s">
        <v>4425</v>
      </c>
      <c r="O673" s="136" t="s">
        <v>4426</v>
      </c>
      <c r="P673" s="136" t="s">
        <v>4427</v>
      </c>
      <c r="Q673" s="136" t="s">
        <v>4428</v>
      </c>
      <c r="R673" s="136">
        <v>0</v>
      </c>
      <c r="S673" s="142">
        <f>(Tabla18[[#This Row],[Debe]]-Tabla18[[#This Row],[Haber]])*
SUMIF('0_Indice_CAC'!$A:$A,Tabla18[[#This Row],[Mes]],'0_Indice_CAC'!$D:$D)</f>
        <v>28886.34352243743</v>
      </c>
      <c r="T673" s="142">
        <f>Tabla18[[#This Row],[Debe]]-Tabla18[[#This Row],[Haber]]</f>
        <v>36363.629999999997</v>
      </c>
      <c r="U673" s="322"/>
      <c r="V673" s="323"/>
      <c r="W673" s="142">
        <f t="shared" si="13"/>
        <v>36363.629999999997</v>
      </c>
      <c r="X673" s="142" t="b">
        <f>ISNUMBER(MATCH(A673,'3_Control_Ppto'!$A$4:$A$70,0))</f>
        <v>1</v>
      </c>
      <c r="Y673" s="136"/>
    </row>
    <row r="674" spans="1:25" ht="12" customHeight="1" x14ac:dyDescent="0.3">
      <c r="A674" s="140" t="s">
        <v>106</v>
      </c>
      <c r="B674" s="140" t="s">
        <v>4090</v>
      </c>
      <c r="C674" s="549">
        <f>+EOMONTH(Tabla18[[#This Row],[Fecha Asiento]],-1)+1</f>
        <v>46023</v>
      </c>
      <c r="D674" s="136">
        <v>53023</v>
      </c>
      <c r="E674" s="136" t="s">
        <v>4467</v>
      </c>
      <c r="F674" s="141">
        <v>46043</v>
      </c>
      <c r="G674" s="136">
        <v>1183</v>
      </c>
      <c r="H674" s="136" t="s">
        <v>4705</v>
      </c>
      <c r="I674" s="136" t="s">
        <v>4482</v>
      </c>
      <c r="J674" s="136" t="s">
        <v>4455</v>
      </c>
      <c r="K674" s="136">
        <v>1000000216</v>
      </c>
      <c r="L674" s="138">
        <v>17852</v>
      </c>
      <c r="M674" s="138">
        <v>0</v>
      </c>
      <c r="N674" s="136" t="s">
        <v>4425</v>
      </c>
      <c r="O674" s="136" t="s">
        <v>4426</v>
      </c>
      <c r="P674" s="136" t="s">
        <v>4427</v>
      </c>
      <c r="Q674" s="136" t="s">
        <v>4428</v>
      </c>
      <c r="R674" s="136">
        <v>0</v>
      </c>
      <c r="S674" s="142">
        <f>(Tabla18[[#This Row],[Debe]]-Tabla18[[#This Row],[Haber]])*
SUMIF('0_Indice_CAC'!$A:$A,Tabla18[[#This Row],[Mes]],'0_Indice_CAC'!$D:$D)</f>
        <v>14181.175107175852</v>
      </c>
      <c r="T674" s="142">
        <f>Tabla18[[#This Row],[Debe]]-Tabla18[[#This Row],[Haber]]</f>
        <v>17852</v>
      </c>
      <c r="U674" s="322"/>
      <c r="V674" s="323"/>
      <c r="W674" s="142">
        <f t="shared" si="13"/>
        <v>17852</v>
      </c>
      <c r="X674" s="142" t="b">
        <f>ISNUMBER(MATCH(A674,'3_Control_Ppto'!$A$4:$A$70,0))</f>
        <v>1</v>
      </c>
      <c r="Y674" s="136"/>
    </row>
    <row r="675" spans="1:25" ht="12" customHeight="1" x14ac:dyDescent="0.3">
      <c r="A675" s="140" t="s">
        <v>106</v>
      </c>
      <c r="B675" s="140" t="s">
        <v>25</v>
      </c>
      <c r="C675" s="549">
        <f>+EOMONTH(Tabla18[[#This Row],[Fecha Asiento]],-1)+1</f>
        <v>46023</v>
      </c>
      <c r="D675" s="136">
        <v>53009</v>
      </c>
      <c r="E675" s="136" t="s">
        <v>4446</v>
      </c>
      <c r="F675" s="141">
        <v>46044</v>
      </c>
      <c r="G675" s="136">
        <v>413</v>
      </c>
      <c r="H675" s="136" t="s">
        <v>4832</v>
      </c>
      <c r="I675" s="136" t="s">
        <v>4423</v>
      </c>
      <c r="J675" s="136" t="s">
        <v>4424</v>
      </c>
      <c r="K675" s="136">
        <v>8437</v>
      </c>
      <c r="L675" s="138">
        <v>2783000</v>
      </c>
      <c r="M675" s="138">
        <v>0</v>
      </c>
      <c r="N675" s="136" t="s">
        <v>4425</v>
      </c>
      <c r="O675" s="136" t="s">
        <v>4426</v>
      </c>
      <c r="P675" s="136" t="s">
        <v>4427</v>
      </c>
      <c r="Q675" s="136" t="s">
        <v>4428</v>
      </c>
      <c r="R675" s="136">
        <v>0</v>
      </c>
      <c r="S675" s="142">
        <f>(Tabla18[[#This Row],[Debe]]-Tabla18[[#This Row],[Haber]])*
SUMIF('0_Indice_CAC'!$A:$A,Tabla18[[#This Row],[Mes]],'0_Indice_CAC'!$D:$D)</f>
        <v>2210744.4725112254</v>
      </c>
      <c r="T675" s="142">
        <f>Tabla18[[#This Row],[Debe]]-Tabla18[[#This Row],[Haber]]</f>
        <v>2783000</v>
      </c>
      <c r="U675" s="322"/>
      <c r="V675" s="323"/>
      <c r="W675" s="142">
        <f t="shared" si="13"/>
        <v>2783000</v>
      </c>
      <c r="X675" s="142" t="b">
        <f>ISNUMBER(MATCH(A675,'3_Control_Ppto'!$A$4:$A$70,0))</f>
        <v>1</v>
      </c>
      <c r="Y675" s="136"/>
    </row>
    <row r="676" spans="1:25" ht="12" customHeight="1" x14ac:dyDescent="0.3">
      <c r="A676" s="140" t="s">
        <v>106</v>
      </c>
      <c r="B676" s="140" t="s">
        <v>25</v>
      </c>
      <c r="C676" s="549">
        <f>+EOMONTH(Tabla18[[#This Row],[Fecha Asiento]],-1)+1</f>
        <v>46023</v>
      </c>
      <c r="D676" s="136">
        <v>53009</v>
      </c>
      <c r="E676" s="136" t="s">
        <v>4446</v>
      </c>
      <c r="F676" s="141">
        <v>46044</v>
      </c>
      <c r="G676" s="136">
        <v>419</v>
      </c>
      <c r="H676" s="136" t="s">
        <v>4833</v>
      </c>
      <c r="I676" s="136" t="s">
        <v>4423</v>
      </c>
      <c r="J676" s="136" t="s">
        <v>4424</v>
      </c>
      <c r="K676" s="136">
        <v>8443</v>
      </c>
      <c r="L676" s="138">
        <v>224500</v>
      </c>
      <c r="M676" s="138">
        <v>0</v>
      </c>
      <c r="N676" s="136" t="s">
        <v>4425</v>
      </c>
      <c r="O676" s="136" t="s">
        <v>4426</v>
      </c>
      <c r="P676" s="136" t="s">
        <v>4427</v>
      </c>
      <c r="Q676" s="136" t="s">
        <v>4428</v>
      </c>
      <c r="R676" s="136">
        <v>0</v>
      </c>
      <c r="S676" s="142">
        <f>(Tabla18[[#This Row],[Debe]]-Tabla18[[#This Row],[Haber]])*
SUMIF('0_Indice_CAC'!$A:$A,Tabla18[[#This Row],[Mes]],'0_Indice_CAC'!$D:$D)</f>
        <v>178337.09453063965</v>
      </c>
      <c r="T676" s="142">
        <f>Tabla18[[#This Row],[Debe]]-Tabla18[[#This Row],[Haber]]</f>
        <v>224500</v>
      </c>
      <c r="U676" s="322"/>
      <c r="V676" s="323"/>
      <c r="W676" s="142">
        <f t="shared" si="13"/>
        <v>224500</v>
      </c>
      <c r="X676" s="142" t="b">
        <f>ISNUMBER(MATCH(A676,'3_Control_Ppto'!$A$4:$A$70,0))</f>
        <v>1</v>
      </c>
      <c r="Y676" s="136"/>
    </row>
    <row r="677" spans="1:25" ht="12" customHeight="1" x14ac:dyDescent="0.3">
      <c r="A677" s="140" t="s">
        <v>4317</v>
      </c>
      <c r="B677" s="140" t="s">
        <v>56</v>
      </c>
      <c r="C677" s="549">
        <f>+EOMONTH(Tabla18[[#This Row],[Fecha Asiento]],-1)+1</f>
        <v>46023</v>
      </c>
      <c r="D677" s="136">
        <v>52102</v>
      </c>
      <c r="E677" s="136" t="s">
        <v>4535</v>
      </c>
      <c r="F677" s="141">
        <v>46045</v>
      </c>
      <c r="G677" s="136">
        <v>1184</v>
      </c>
      <c r="H677" s="136" t="s">
        <v>4633</v>
      </c>
      <c r="I677" s="136" t="s">
        <v>4634</v>
      </c>
      <c r="J677" s="136" t="s">
        <v>4542</v>
      </c>
      <c r="K677" s="136">
        <v>400007790</v>
      </c>
      <c r="L677" s="138">
        <v>27000</v>
      </c>
      <c r="M677" s="138">
        <v>0</v>
      </c>
      <c r="N677" s="136" t="s">
        <v>4425</v>
      </c>
      <c r="O677" s="136" t="s">
        <v>4426</v>
      </c>
      <c r="P677" s="136" t="s">
        <v>4427</v>
      </c>
      <c r="Q677" s="136" t="s">
        <v>4428</v>
      </c>
      <c r="R677" s="136">
        <v>0</v>
      </c>
      <c r="S677" s="142">
        <f>(Tabla18[[#This Row],[Debe]]-Tabla18[[#This Row],[Haber]])*
SUMIF('0_Indice_CAC'!$A:$A,Tabla18[[#This Row],[Mes]],'0_Indice_CAC'!$D:$D)</f>
        <v>21448.113818829712</v>
      </c>
      <c r="T677" s="142">
        <f>Tabla18[[#This Row],[Debe]]-Tabla18[[#This Row],[Haber]]</f>
        <v>27000</v>
      </c>
      <c r="U677" s="322"/>
      <c r="V677" s="323"/>
      <c r="W677" s="142">
        <f t="shared" si="13"/>
        <v>27000</v>
      </c>
      <c r="X677" s="142" t="b">
        <f>ISNUMBER(MATCH(A677,'3_Control_Ppto'!$A$4:$A$70,0))</f>
        <v>1</v>
      </c>
      <c r="Y677" s="136"/>
    </row>
    <row r="678" spans="1:25" ht="12" customHeight="1" x14ac:dyDescent="0.3">
      <c r="A678" s="140" t="s">
        <v>4310</v>
      </c>
      <c r="B678" s="140" t="s">
        <v>56</v>
      </c>
      <c r="C678" s="549">
        <f>+EOMONTH(Tabla18[[#This Row],[Fecha Asiento]],-1)+1</f>
        <v>46023</v>
      </c>
      <c r="D678" s="136">
        <v>52204</v>
      </c>
      <c r="E678" s="136" t="s">
        <v>4452</v>
      </c>
      <c r="F678" s="141">
        <v>46045</v>
      </c>
      <c r="G678" s="136">
        <v>392</v>
      </c>
      <c r="H678" s="136" t="s">
        <v>4717</v>
      </c>
      <c r="I678" s="136" t="s">
        <v>4423</v>
      </c>
      <c r="J678" s="136" t="s">
        <v>4424</v>
      </c>
      <c r="K678" s="136">
        <v>8416</v>
      </c>
      <c r="L678" s="138">
        <v>174100</v>
      </c>
      <c r="M678" s="138">
        <v>0</v>
      </c>
      <c r="N678" s="136" t="s">
        <v>4425</v>
      </c>
      <c r="O678" s="136" t="s">
        <v>4426</v>
      </c>
      <c r="P678" s="136" t="s">
        <v>4427</v>
      </c>
      <c r="Q678" s="136" t="s">
        <v>4428</v>
      </c>
      <c r="R678" s="136">
        <v>0</v>
      </c>
      <c r="S678" s="142">
        <f>(Tabla18[[#This Row],[Debe]]-Tabla18[[#This Row],[Haber]])*
SUMIF('0_Indice_CAC'!$A:$A,Tabla18[[#This Row],[Mes]],'0_Indice_CAC'!$D:$D)</f>
        <v>138300.61540215751</v>
      </c>
      <c r="T678" s="142">
        <f>Tabla18[[#This Row],[Debe]]-Tabla18[[#This Row],[Haber]]</f>
        <v>174100</v>
      </c>
      <c r="U678" s="322"/>
      <c r="V678" s="323"/>
      <c r="W678" s="142">
        <f t="shared" si="13"/>
        <v>174100</v>
      </c>
      <c r="X678" s="142" t="b">
        <f>ISNUMBER(MATCH(A678,'3_Control_Ppto'!$A$4:$A$70,0))</f>
        <v>1</v>
      </c>
      <c r="Y678" s="136"/>
    </row>
    <row r="679" spans="1:25" ht="12" customHeight="1" x14ac:dyDescent="0.3">
      <c r="A679" s="140" t="s">
        <v>4165</v>
      </c>
      <c r="B679" s="140" t="s">
        <v>4090</v>
      </c>
      <c r="C679" s="549">
        <f>+EOMONTH(Tabla18[[#This Row],[Fecha Asiento]],-1)+1</f>
        <v>46023</v>
      </c>
      <c r="D679" s="136">
        <v>53010</v>
      </c>
      <c r="E679" s="136" t="s">
        <v>4507</v>
      </c>
      <c r="F679" s="141">
        <v>46045</v>
      </c>
      <c r="G679" s="136">
        <v>984</v>
      </c>
      <c r="H679" s="136" t="s">
        <v>4834</v>
      </c>
      <c r="I679" s="136" t="s">
        <v>4630</v>
      </c>
      <c r="J679" s="136" t="s">
        <v>4455</v>
      </c>
      <c r="K679" s="136">
        <v>1500090202</v>
      </c>
      <c r="L679" s="138">
        <v>482477.82</v>
      </c>
      <c r="M679" s="138">
        <v>0</v>
      </c>
      <c r="N679" s="136" t="s">
        <v>4425</v>
      </c>
      <c r="O679" s="136" t="s">
        <v>4426</v>
      </c>
      <c r="P679" s="136" t="s">
        <v>4427</v>
      </c>
      <c r="Q679" s="136" t="s">
        <v>4428</v>
      </c>
      <c r="R679" s="136">
        <v>0</v>
      </c>
      <c r="S679" s="142">
        <f>(Tabla18[[#This Row],[Debe]]-Tabla18[[#This Row],[Haber]])*
SUMIF('0_Indice_CAC'!$A:$A,Tabla18[[#This Row],[Mes]],'0_Indice_CAC'!$D:$D)</f>
        <v>383268.11846003088</v>
      </c>
      <c r="T679" s="142">
        <f>Tabla18[[#This Row],[Debe]]-Tabla18[[#This Row],[Haber]]</f>
        <v>482477.82</v>
      </c>
      <c r="U679" s="322"/>
      <c r="V679" s="323"/>
      <c r="W679" s="142">
        <f t="shared" si="13"/>
        <v>482477.82</v>
      </c>
      <c r="X679" s="142" t="b">
        <f>ISNUMBER(MATCH(A679,'3_Control_Ppto'!$A$4:$A$70,0))</f>
        <v>1</v>
      </c>
      <c r="Y679" s="136"/>
    </row>
    <row r="680" spans="1:25" ht="12" customHeight="1" x14ac:dyDescent="0.3">
      <c r="A680" s="140" t="s">
        <v>3219</v>
      </c>
      <c r="B680" s="140" t="s">
        <v>4090</v>
      </c>
      <c r="C680" s="549">
        <f>+EOMONTH(Tabla18[[#This Row],[Fecha Asiento]],-1)+1</f>
        <v>46023</v>
      </c>
      <c r="D680" s="136">
        <v>53019</v>
      </c>
      <c r="E680" s="136" t="s">
        <v>4461</v>
      </c>
      <c r="F680" s="141">
        <v>46045</v>
      </c>
      <c r="G680" s="136">
        <v>987</v>
      </c>
      <c r="H680" s="136" t="s">
        <v>4462</v>
      </c>
      <c r="I680" s="136" t="s">
        <v>4463</v>
      </c>
      <c r="J680" s="136" t="s">
        <v>4455</v>
      </c>
      <c r="K680" s="136">
        <v>300010612</v>
      </c>
      <c r="L680" s="138">
        <v>248602.26</v>
      </c>
      <c r="M680" s="138">
        <v>0</v>
      </c>
      <c r="N680" s="136" t="s">
        <v>4425</v>
      </c>
      <c r="O680" s="136" t="s">
        <v>4426</v>
      </c>
      <c r="P680" s="136" t="s">
        <v>4427</v>
      </c>
      <c r="Q680" s="136" t="s">
        <v>4428</v>
      </c>
      <c r="R680" s="136">
        <v>0</v>
      </c>
      <c r="S680" s="142">
        <f>(Tabla18[[#This Row],[Debe]]-Tabla18[[#This Row],[Haber]])*
SUMIF('0_Indice_CAC'!$A:$A,Tabla18[[#This Row],[Mes]],'0_Indice_CAC'!$D:$D)</f>
        <v>197483.31733697397</v>
      </c>
      <c r="T680" s="142">
        <f>Tabla18[[#This Row],[Debe]]-Tabla18[[#This Row],[Haber]]</f>
        <v>248602.26</v>
      </c>
      <c r="U680" s="322"/>
      <c r="V680" s="323"/>
      <c r="W680" s="142">
        <f t="shared" si="13"/>
        <v>248602.26</v>
      </c>
      <c r="X680" s="142" t="b">
        <f>ISNUMBER(MATCH(A680,'3_Control_Ppto'!$A$4:$A$70,0))</f>
        <v>1</v>
      </c>
      <c r="Y680" s="136"/>
    </row>
    <row r="681" spans="1:25" ht="12" customHeight="1" x14ac:dyDescent="0.3">
      <c r="A681" s="140" t="s">
        <v>106</v>
      </c>
      <c r="B681" s="140" t="s">
        <v>4090</v>
      </c>
      <c r="C681" s="549">
        <f>+EOMONTH(Tabla18[[#This Row],[Fecha Asiento]],-1)+1</f>
        <v>46023</v>
      </c>
      <c r="D681" s="136">
        <v>53023</v>
      </c>
      <c r="E681" s="136" t="s">
        <v>4467</v>
      </c>
      <c r="F681" s="141">
        <v>46045</v>
      </c>
      <c r="G681" s="136">
        <v>524</v>
      </c>
      <c r="H681" s="136" t="s">
        <v>4468</v>
      </c>
      <c r="I681" s="136" t="s">
        <v>4423</v>
      </c>
      <c r="J681" s="136" t="s">
        <v>4424</v>
      </c>
      <c r="K681" s="136">
        <v>8548</v>
      </c>
      <c r="L681" s="138">
        <v>4000</v>
      </c>
      <c r="M681" s="138">
        <v>0</v>
      </c>
      <c r="N681" s="136" t="s">
        <v>4425</v>
      </c>
      <c r="O681" s="136" t="s">
        <v>4426</v>
      </c>
      <c r="P681" s="136" t="s">
        <v>4427</v>
      </c>
      <c r="Q681" s="136" t="s">
        <v>4428</v>
      </c>
      <c r="R681" s="136">
        <v>0</v>
      </c>
      <c r="S681" s="142">
        <f>(Tabla18[[#This Row],[Debe]]-Tabla18[[#This Row],[Haber]])*
SUMIF('0_Indice_CAC'!$A:$A,Tabla18[[#This Row],[Mes]],'0_Indice_CAC'!$D:$D)</f>
        <v>3177.4983435303275</v>
      </c>
      <c r="T681" s="142">
        <f>Tabla18[[#This Row],[Debe]]-Tabla18[[#This Row],[Haber]]</f>
        <v>4000</v>
      </c>
      <c r="U681" s="322"/>
      <c r="V681" s="323"/>
      <c r="W681" s="142">
        <f t="shared" si="13"/>
        <v>4000</v>
      </c>
      <c r="X681" s="142" t="b">
        <f>ISNUMBER(MATCH(A681,'3_Control_Ppto'!$A$4:$A$70,0))</f>
        <v>1</v>
      </c>
      <c r="Y681" s="136"/>
    </row>
    <row r="682" spans="1:25" ht="12" customHeight="1" x14ac:dyDescent="0.3">
      <c r="A682" s="140" t="s">
        <v>4310</v>
      </c>
      <c r="B682" s="140" t="s">
        <v>56</v>
      </c>
      <c r="C682" s="549">
        <f>+EOMONTH(Tabla18[[#This Row],[Fecha Asiento]],-1)+1</f>
        <v>46023</v>
      </c>
      <c r="D682" s="136">
        <v>52204</v>
      </c>
      <c r="E682" s="136" t="s">
        <v>4452</v>
      </c>
      <c r="F682" s="141">
        <v>46047</v>
      </c>
      <c r="G682" s="136">
        <v>1007</v>
      </c>
      <c r="H682" s="136" t="s">
        <v>4453</v>
      </c>
      <c r="I682" s="136" t="s">
        <v>4835</v>
      </c>
      <c r="J682" s="136" t="s">
        <v>4542</v>
      </c>
      <c r="K682" s="136">
        <v>300000843</v>
      </c>
      <c r="L682" s="138">
        <v>380000</v>
      </c>
      <c r="M682" s="138">
        <v>0</v>
      </c>
      <c r="N682" s="136" t="s">
        <v>4425</v>
      </c>
      <c r="O682" s="136" t="s">
        <v>4426</v>
      </c>
      <c r="P682" s="136" t="s">
        <v>4427</v>
      </c>
      <c r="Q682" s="136" t="s">
        <v>4428</v>
      </c>
      <c r="R682" s="136">
        <v>0</v>
      </c>
      <c r="S682" s="142">
        <f>(Tabla18[[#This Row],[Debe]]-Tabla18[[#This Row],[Haber]])*
SUMIF('0_Indice_CAC'!$A:$A,Tabla18[[#This Row],[Mes]],'0_Indice_CAC'!$D:$D)</f>
        <v>301862.34263538115</v>
      </c>
      <c r="T682" s="142">
        <f>Tabla18[[#This Row],[Debe]]-Tabla18[[#This Row],[Haber]]</f>
        <v>380000</v>
      </c>
      <c r="U682" s="322"/>
      <c r="V682" s="323"/>
      <c r="W682" s="142">
        <f t="shared" si="13"/>
        <v>380000</v>
      </c>
      <c r="X682" s="142" t="b">
        <f>ISNUMBER(MATCH(A682,'3_Control_Ppto'!$A$4:$A$70,0))</f>
        <v>1</v>
      </c>
      <c r="Y682" s="136"/>
    </row>
    <row r="683" spans="1:25" ht="12" customHeight="1" x14ac:dyDescent="0.3">
      <c r="A683" s="140" t="s">
        <v>4271</v>
      </c>
      <c r="B683" s="140" t="s">
        <v>4090</v>
      </c>
      <c r="C683" s="549">
        <f>+EOMONTH(Tabla18[[#This Row],[Fecha Asiento]],-1)+1</f>
        <v>46023</v>
      </c>
      <c r="D683" s="136">
        <v>53017</v>
      </c>
      <c r="E683" s="136" t="s">
        <v>4677</v>
      </c>
      <c r="F683" s="141">
        <v>46048</v>
      </c>
      <c r="G683" s="136">
        <v>1008</v>
      </c>
      <c r="H683" s="136" t="s">
        <v>4795</v>
      </c>
      <c r="I683" s="136" t="s">
        <v>4752</v>
      </c>
      <c r="J683" s="136" t="s">
        <v>4455</v>
      </c>
      <c r="K683" s="136">
        <v>400032696</v>
      </c>
      <c r="L683" s="138">
        <v>1060440.6200000001</v>
      </c>
      <c r="M683" s="138">
        <v>0</v>
      </c>
      <c r="N683" s="136" t="s">
        <v>4425</v>
      </c>
      <c r="O683" s="136" t="s">
        <v>4426</v>
      </c>
      <c r="P683" s="136" t="s">
        <v>4427</v>
      </c>
      <c r="Q683" s="136" t="s">
        <v>4428</v>
      </c>
      <c r="R683" s="136">
        <v>0</v>
      </c>
      <c r="S683" s="142">
        <f>(Tabla18[[#This Row],[Debe]]-Tabla18[[#This Row],[Haber]])*
SUMIF('0_Indice_CAC'!$A:$A,Tabla18[[#This Row],[Mes]],'0_Indice_CAC'!$D:$D)</f>
        <v>842387.07836556854</v>
      </c>
      <c r="T683" s="142">
        <f>Tabla18[[#This Row],[Debe]]-Tabla18[[#This Row],[Haber]]</f>
        <v>1060440.6200000001</v>
      </c>
      <c r="U683" s="322"/>
      <c r="V683" s="323"/>
      <c r="W683" s="142">
        <f t="shared" si="13"/>
        <v>1060440.6200000001</v>
      </c>
      <c r="X683" s="142" t="b">
        <f>ISNUMBER(MATCH(A683,'3_Control_Ppto'!$A$4:$A$70,0))</f>
        <v>1</v>
      </c>
      <c r="Y683" s="136"/>
    </row>
    <row r="684" spans="1:25" ht="12" customHeight="1" x14ac:dyDescent="0.3">
      <c r="A684" s="140" t="s">
        <v>4119</v>
      </c>
      <c r="B684" s="140" t="s">
        <v>4090</v>
      </c>
      <c r="C684" s="549">
        <f>+EOMONTH(Tabla18[[#This Row],[Fecha Asiento]],-1)+1</f>
        <v>46023</v>
      </c>
      <c r="D684" s="136">
        <v>53022</v>
      </c>
      <c r="E684" s="136" t="s">
        <v>4429</v>
      </c>
      <c r="F684" s="141">
        <v>46048</v>
      </c>
      <c r="G684" s="136">
        <v>499</v>
      </c>
      <c r="H684" s="136" t="s">
        <v>4831</v>
      </c>
      <c r="I684" s="136" t="s">
        <v>4423</v>
      </c>
      <c r="J684" s="136" t="s">
        <v>4424</v>
      </c>
      <c r="K684" s="136">
        <v>8523</v>
      </c>
      <c r="L684" s="138">
        <v>523809.53</v>
      </c>
      <c r="M684" s="138">
        <v>0</v>
      </c>
      <c r="N684" s="136" t="s">
        <v>4425</v>
      </c>
      <c r="O684" s="136" t="s">
        <v>4426</v>
      </c>
      <c r="P684" s="136" t="s">
        <v>4427</v>
      </c>
      <c r="Q684" s="136" t="s">
        <v>4428</v>
      </c>
      <c r="R684" s="136">
        <v>0</v>
      </c>
      <c r="S684" s="142">
        <f>(Tabla18[[#This Row],[Debe]]-Tabla18[[#This Row],[Haber]])*
SUMIF('0_Indice_CAC'!$A:$A,Tabla18[[#This Row],[Mes]],'0_Indice_CAC'!$D:$D)</f>
        <v>416100.9784750999</v>
      </c>
      <c r="T684" s="142">
        <f>Tabla18[[#This Row],[Debe]]-Tabla18[[#This Row],[Haber]]</f>
        <v>523809.53</v>
      </c>
      <c r="U684" s="322"/>
      <c r="V684" s="323"/>
      <c r="W684" s="142">
        <f t="shared" si="13"/>
        <v>523809.53</v>
      </c>
      <c r="X684" s="142" t="b">
        <f>ISNUMBER(MATCH(A684,'3_Control_Ppto'!$A$4:$A$70,0))</f>
        <v>1</v>
      </c>
      <c r="Y684" s="136"/>
    </row>
    <row r="685" spans="1:25" ht="12" customHeight="1" x14ac:dyDescent="0.3">
      <c r="A685" s="140" t="s">
        <v>106</v>
      </c>
      <c r="B685" s="140" t="s">
        <v>4090</v>
      </c>
      <c r="C685" s="549">
        <f>+EOMONTH(Tabla18[[#This Row],[Fecha Asiento]],-1)+1</f>
        <v>46023</v>
      </c>
      <c r="D685" s="136">
        <v>53008</v>
      </c>
      <c r="E685" s="136" t="s">
        <v>4490</v>
      </c>
      <c r="F685" s="141">
        <v>46050</v>
      </c>
      <c r="G685" s="136">
        <v>1053</v>
      </c>
      <c r="H685" s="136" t="s">
        <v>4641</v>
      </c>
      <c r="I685" s="136" t="s">
        <v>4630</v>
      </c>
      <c r="J685" s="136" t="s">
        <v>4455</v>
      </c>
      <c r="K685" s="136">
        <v>1500090410</v>
      </c>
      <c r="L685" s="138">
        <v>2338455.54</v>
      </c>
      <c r="M685" s="138">
        <v>0</v>
      </c>
      <c r="N685" s="136" t="s">
        <v>4425</v>
      </c>
      <c r="O685" s="136" t="s">
        <v>4426</v>
      </c>
      <c r="P685" s="136" t="s">
        <v>4427</v>
      </c>
      <c r="Q685" s="136" t="s">
        <v>4428</v>
      </c>
      <c r="R685" s="136">
        <v>0</v>
      </c>
      <c r="S685" s="142">
        <f>(Tabla18[[#This Row],[Debe]]-Tabla18[[#This Row],[Haber]])*
SUMIF('0_Indice_CAC'!$A:$A,Tabla18[[#This Row],[Mes]],'0_Indice_CAC'!$D:$D)</f>
        <v>1857609.6511923296</v>
      </c>
      <c r="T685" s="142">
        <f>Tabla18[[#This Row],[Debe]]-Tabla18[[#This Row],[Haber]]</f>
        <v>2338455.54</v>
      </c>
      <c r="U685" s="322"/>
      <c r="V685" s="323"/>
      <c r="W685" s="142">
        <f t="shared" si="13"/>
        <v>2338455.54</v>
      </c>
      <c r="X685" s="142" t="b">
        <f>ISNUMBER(MATCH(A685,'3_Control_Ppto'!$A$4:$A$70,0))</f>
        <v>1</v>
      </c>
      <c r="Y685" s="136"/>
    </row>
    <row r="686" spans="1:25" ht="12" customHeight="1" x14ac:dyDescent="0.3">
      <c r="A686" s="140" t="s">
        <v>4271</v>
      </c>
      <c r="B686" s="140" t="s">
        <v>4090</v>
      </c>
      <c r="C686" s="549">
        <f>+EOMONTH(Tabla18[[#This Row],[Fecha Asiento]],-1)+1</f>
        <v>46023</v>
      </c>
      <c r="D686" s="136">
        <v>53017</v>
      </c>
      <c r="E686" s="136" t="s">
        <v>4677</v>
      </c>
      <c r="F686" s="141">
        <v>46051</v>
      </c>
      <c r="G686" s="136">
        <v>1185</v>
      </c>
      <c r="H686" s="136" t="s">
        <v>4734</v>
      </c>
      <c r="I686" s="136" t="s">
        <v>4489</v>
      </c>
      <c r="J686" s="136" t="s">
        <v>4439</v>
      </c>
      <c r="K686" s="136">
        <v>300006713</v>
      </c>
      <c r="L686" s="138">
        <v>7231.41</v>
      </c>
      <c r="M686" s="138">
        <v>0</v>
      </c>
      <c r="N686" s="136" t="s">
        <v>4425</v>
      </c>
      <c r="O686" s="136" t="s">
        <v>4426</v>
      </c>
      <c r="P686" s="136" t="s">
        <v>4427</v>
      </c>
      <c r="Q686" s="136" t="s">
        <v>4428</v>
      </c>
      <c r="R686" s="136">
        <v>0</v>
      </c>
      <c r="S686" s="142">
        <f>(Tabla18[[#This Row],[Debe]]-Tabla18[[#This Row],[Haber]])*
SUMIF('0_Indice_CAC'!$A:$A,Tabla18[[#This Row],[Mes]],'0_Indice_CAC'!$D:$D)</f>
        <v>5744.4483240971613</v>
      </c>
      <c r="T686" s="142">
        <f>Tabla18[[#This Row],[Debe]]-Tabla18[[#This Row],[Haber]]</f>
        <v>7231.41</v>
      </c>
      <c r="U686" s="322"/>
      <c r="V686" s="323"/>
      <c r="W686" s="142">
        <f t="shared" si="13"/>
        <v>7231.41</v>
      </c>
      <c r="X686" s="142" t="b">
        <f>ISNUMBER(MATCH(A686,'3_Control_Ppto'!$A$4:$A$70,0))</f>
        <v>1</v>
      </c>
      <c r="Y686" s="136"/>
    </row>
    <row r="687" spans="1:25" ht="12" customHeight="1" x14ac:dyDescent="0.3">
      <c r="A687" s="140" t="s">
        <v>4165</v>
      </c>
      <c r="B687" s="140" t="s">
        <v>4090</v>
      </c>
      <c r="C687" s="549">
        <f>+EOMONTH(Tabla18[[#This Row],[Fecha Asiento]],-1)+1</f>
        <v>46023</v>
      </c>
      <c r="D687" s="136">
        <v>53010</v>
      </c>
      <c r="E687" s="136" t="s">
        <v>4507</v>
      </c>
      <c r="F687" s="141">
        <v>46052</v>
      </c>
      <c r="G687" s="136">
        <v>1165</v>
      </c>
      <c r="H687" s="136" t="s">
        <v>4834</v>
      </c>
      <c r="I687" s="136" t="s">
        <v>4630</v>
      </c>
      <c r="J687" s="136" t="s">
        <v>4455</v>
      </c>
      <c r="K687" s="136">
        <v>1500090534</v>
      </c>
      <c r="L687" s="138">
        <v>410512.32</v>
      </c>
      <c r="M687" s="138">
        <v>0</v>
      </c>
      <c r="N687" s="136" t="s">
        <v>4425</v>
      </c>
      <c r="O687" s="136" t="s">
        <v>4426</v>
      </c>
      <c r="P687" s="136" t="s">
        <v>4427</v>
      </c>
      <c r="Q687" s="136" t="s">
        <v>4428</v>
      </c>
      <c r="R687" s="136">
        <v>0</v>
      </c>
      <c r="S687" s="142">
        <f>(Tabla18[[#This Row],[Debe]]-Tabla18[[#This Row],[Haber]])*
SUMIF('0_Indice_CAC'!$A:$A,Tabla18[[#This Row],[Mes]],'0_Indice_CAC'!$D:$D)</f>
        <v>326100.55419969797</v>
      </c>
      <c r="T687" s="142">
        <f>Tabla18[[#This Row],[Debe]]-Tabla18[[#This Row],[Haber]]</f>
        <v>410512.32</v>
      </c>
      <c r="U687" s="322"/>
      <c r="V687" s="323"/>
      <c r="W687" s="142">
        <f t="shared" si="13"/>
        <v>410512.32</v>
      </c>
      <c r="X687" s="142" t="b">
        <f>ISNUMBER(MATCH(A687,'3_Control_Ppto'!$A$4:$A$70,0))</f>
        <v>1</v>
      </c>
      <c r="Y687" s="136"/>
    </row>
    <row r="688" spans="1:25" ht="12" customHeight="1" x14ac:dyDescent="0.3">
      <c r="A688" s="140" t="s">
        <v>106</v>
      </c>
      <c r="B688" s="140" t="s">
        <v>4090</v>
      </c>
      <c r="C688" s="549">
        <f>+EOMONTH(Tabla18[[#This Row],[Fecha Asiento]],-1)+1</f>
        <v>46023</v>
      </c>
      <c r="D688" s="136">
        <v>53023</v>
      </c>
      <c r="E688" s="136" t="s">
        <v>4467</v>
      </c>
      <c r="F688" s="141">
        <v>46052</v>
      </c>
      <c r="G688" s="136">
        <v>1187</v>
      </c>
      <c r="H688" s="136" t="s">
        <v>4475</v>
      </c>
      <c r="I688" s="136" t="s">
        <v>4471</v>
      </c>
      <c r="J688" s="136" t="s">
        <v>4455</v>
      </c>
      <c r="K688" s="136">
        <v>1000218398</v>
      </c>
      <c r="L688" s="138">
        <v>95773.119999999995</v>
      </c>
      <c r="M688" s="138">
        <v>0</v>
      </c>
      <c r="N688" s="136" t="s">
        <v>4425</v>
      </c>
      <c r="O688" s="136" t="s">
        <v>4426</v>
      </c>
      <c r="P688" s="136" t="s">
        <v>4427</v>
      </c>
      <c r="Q688" s="136" t="s">
        <v>4428</v>
      </c>
      <c r="R688" s="136">
        <v>0</v>
      </c>
      <c r="S688" s="142">
        <f>(Tabla18[[#This Row],[Debe]]-Tabla18[[#This Row],[Haber]])*
SUMIF('0_Indice_CAC'!$A:$A,Tabla18[[#This Row],[Mes]],'0_Indice_CAC'!$D:$D)</f>
        <v>76079.732538682816</v>
      </c>
      <c r="T688" s="142">
        <f>Tabla18[[#This Row],[Debe]]-Tabla18[[#This Row],[Haber]]</f>
        <v>95773.119999999995</v>
      </c>
      <c r="U688" s="322"/>
      <c r="V688" s="323"/>
      <c r="W688" s="142">
        <f t="shared" si="13"/>
        <v>95773.119999999995</v>
      </c>
      <c r="X688" s="142" t="b">
        <f>ISNUMBER(MATCH(A688,'3_Control_Ppto'!$A$4:$A$70,0))</f>
        <v>1</v>
      </c>
      <c r="Y688" s="136"/>
    </row>
    <row r="689" spans="1:25" ht="12" customHeight="1" x14ac:dyDescent="0.3">
      <c r="A689" s="140" t="s">
        <v>4317</v>
      </c>
      <c r="B689" s="140" t="s">
        <v>56</v>
      </c>
      <c r="C689" s="549">
        <f>+EOMONTH(Tabla18[[#This Row],[Fecha Asiento]],-1)+1</f>
        <v>46023</v>
      </c>
      <c r="D689" s="136">
        <v>52302</v>
      </c>
      <c r="E689" s="136" t="s">
        <v>4444</v>
      </c>
      <c r="F689" s="141">
        <v>46053</v>
      </c>
      <c r="G689" s="136">
        <v>1323</v>
      </c>
      <c r="H689" s="136" t="s">
        <v>4827</v>
      </c>
      <c r="I689" s="136" t="s">
        <v>4532</v>
      </c>
      <c r="J689" s="136" t="s">
        <v>4455</v>
      </c>
      <c r="K689" s="136">
        <v>142000021052</v>
      </c>
      <c r="L689" s="138">
        <v>112609.95</v>
      </c>
      <c r="M689" s="138">
        <v>0</v>
      </c>
      <c r="N689" s="136" t="s">
        <v>4425</v>
      </c>
      <c r="O689" s="136" t="s">
        <v>4426</v>
      </c>
      <c r="P689" s="136" t="s">
        <v>4427</v>
      </c>
      <c r="Q689" s="136" t="s">
        <v>4428</v>
      </c>
      <c r="R689" s="136">
        <v>0</v>
      </c>
      <c r="S689" s="142">
        <f>(Tabla18[[#This Row],[Debe]]-Tabla18[[#This Row],[Haber]])*
SUMIF('0_Indice_CAC'!$A:$A,Tabla18[[#This Row],[Mes]],'0_Indice_CAC'!$D:$D)</f>
        <v>89454.482397508255</v>
      </c>
      <c r="T689" s="142">
        <f>Tabla18[[#This Row],[Debe]]-Tabla18[[#This Row],[Haber]]</f>
        <v>112609.95</v>
      </c>
      <c r="U689" s="322"/>
      <c r="V689" s="323"/>
      <c r="W689" s="142">
        <f t="shared" si="13"/>
        <v>112609.95</v>
      </c>
      <c r="X689" s="142" t="b">
        <f>ISNUMBER(MATCH(A689,'3_Control_Ppto'!$A$4:$A$70,0))</f>
        <v>1</v>
      </c>
      <c r="Y689" s="136"/>
    </row>
    <row r="690" spans="1:25" ht="12" customHeight="1" x14ac:dyDescent="0.3">
      <c r="A690" s="140" t="s">
        <v>4317</v>
      </c>
      <c r="B690" s="140" t="s">
        <v>56</v>
      </c>
      <c r="C690" s="549">
        <f>+EOMONTH(Tabla18[[#This Row],[Fecha Asiento]],-1)+1</f>
        <v>46023</v>
      </c>
      <c r="D690" s="136">
        <v>52302</v>
      </c>
      <c r="E690" s="136" t="s">
        <v>4444</v>
      </c>
      <c r="F690" s="141">
        <v>46053</v>
      </c>
      <c r="G690" s="136">
        <v>1323</v>
      </c>
      <c r="H690" s="136" t="s">
        <v>4828</v>
      </c>
      <c r="I690" s="136" t="s">
        <v>4532</v>
      </c>
      <c r="J690" s="136" t="s">
        <v>4455</v>
      </c>
      <c r="K690" s="136">
        <v>142000021052</v>
      </c>
      <c r="L690" s="138">
        <v>19802.5</v>
      </c>
      <c r="M690" s="138">
        <v>0</v>
      </c>
      <c r="N690" s="136" t="s">
        <v>4425</v>
      </c>
      <c r="O690" s="136" t="s">
        <v>4426</v>
      </c>
      <c r="P690" s="136" t="s">
        <v>4427</v>
      </c>
      <c r="Q690" s="136" t="s">
        <v>4428</v>
      </c>
      <c r="R690" s="136">
        <v>0</v>
      </c>
      <c r="S690" s="142">
        <f>(Tabla18[[#This Row],[Debe]]-Tabla18[[#This Row],[Haber]])*
SUMIF('0_Indice_CAC'!$A:$A,Tabla18[[#This Row],[Mes]],'0_Indice_CAC'!$D:$D)</f>
        <v>15730.602736939829</v>
      </c>
      <c r="T690" s="142">
        <f>Tabla18[[#This Row],[Debe]]-Tabla18[[#This Row],[Haber]]</f>
        <v>19802.5</v>
      </c>
      <c r="U690" s="322"/>
      <c r="V690" s="323"/>
      <c r="W690" s="142">
        <f t="shared" si="13"/>
        <v>19802.5</v>
      </c>
      <c r="X690" s="142" t="b">
        <f>ISNUMBER(MATCH(A690,'3_Control_Ppto'!$A$4:$A$70,0))</f>
        <v>1</v>
      </c>
      <c r="Y690" s="136"/>
    </row>
    <row r="691" spans="1:25" ht="12" customHeight="1" x14ac:dyDescent="0.3">
      <c r="A691" s="140" t="s">
        <v>4317</v>
      </c>
      <c r="B691" s="140" t="s">
        <v>56</v>
      </c>
      <c r="C691" s="549">
        <f>+EOMONTH(Tabla18[[#This Row],[Fecha Asiento]],-1)+1</f>
        <v>46023</v>
      </c>
      <c r="D691" s="136">
        <v>52302</v>
      </c>
      <c r="E691" s="136" t="s">
        <v>4444</v>
      </c>
      <c r="F691" s="141">
        <v>46053</v>
      </c>
      <c r="G691" s="136">
        <v>1323</v>
      </c>
      <c r="H691" s="136" t="s">
        <v>4829</v>
      </c>
      <c r="I691" s="136" t="s">
        <v>4532</v>
      </c>
      <c r="J691" s="136" t="s">
        <v>4455</v>
      </c>
      <c r="K691" s="136">
        <v>142000021052</v>
      </c>
      <c r="L691" s="138">
        <v>1595.28</v>
      </c>
      <c r="M691" s="138">
        <v>0</v>
      </c>
      <c r="N691" s="136" t="s">
        <v>4425</v>
      </c>
      <c r="O691" s="136" t="s">
        <v>4426</v>
      </c>
      <c r="P691" s="136" t="s">
        <v>4427</v>
      </c>
      <c r="Q691" s="136" t="s">
        <v>4428</v>
      </c>
      <c r="R691" s="136">
        <v>0</v>
      </c>
      <c r="S691" s="142">
        <f>(Tabla18[[#This Row],[Debe]]-Tabla18[[#This Row],[Haber]])*
SUMIF('0_Indice_CAC'!$A:$A,Tabla18[[#This Row],[Mes]],'0_Indice_CAC'!$D:$D)</f>
        <v>1267.2498893667653</v>
      </c>
      <c r="T691" s="142">
        <f>Tabla18[[#This Row],[Debe]]-Tabla18[[#This Row],[Haber]]</f>
        <v>1595.28</v>
      </c>
      <c r="U691" s="322"/>
      <c r="V691" s="323"/>
      <c r="W691" s="142">
        <f t="shared" si="13"/>
        <v>1595.28</v>
      </c>
      <c r="X691" s="142" t="b">
        <f>ISNUMBER(MATCH(A691,'3_Control_Ppto'!$A$4:$A$70,0))</f>
        <v>1</v>
      </c>
      <c r="Y691" s="136"/>
    </row>
    <row r="692" spans="1:25" ht="12" customHeight="1" x14ac:dyDescent="0.3">
      <c r="A692" s="140" t="s">
        <v>4310</v>
      </c>
      <c r="B692" s="140" t="s">
        <v>56</v>
      </c>
      <c r="C692" s="549">
        <f>+EOMONTH(Tabla18[[#This Row],[Fecha Asiento]],-1)+1</f>
        <v>46054</v>
      </c>
      <c r="D692" s="136">
        <v>52204</v>
      </c>
      <c r="E692" s="136" t="s">
        <v>4452</v>
      </c>
      <c r="F692" s="141">
        <v>46055</v>
      </c>
      <c r="G692" s="136">
        <v>1381</v>
      </c>
      <c r="H692" s="136" t="s">
        <v>4453</v>
      </c>
      <c r="I692" s="136" t="s">
        <v>4454</v>
      </c>
      <c r="J692" s="136" t="s">
        <v>4455</v>
      </c>
      <c r="K692" s="136">
        <v>300001414</v>
      </c>
      <c r="L692" s="138">
        <v>358083</v>
      </c>
      <c r="M692" s="138">
        <v>0</v>
      </c>
      <c r="N692" s="136" t="s">
        <v>4425</v>
      </c>
      <c r="O692" s="136" t="s">
        <v>4426</v>
      </c>
      <c r="P692" s="136" t="s">
        <v>4427</v>
      </c>
      <c r="Q692" s="136" t="s">
        <v>4428</v>
      </c>
      <c r="R692" s="136">
        <v>0</v>
      </c>
      <c r="S692" s="142">
        <f>(Tabla18[[#This Row],[Debe]]-Tabla18[[#This Row],[Haber]])*
SUMIF('0_Indice_CAC'!$A:$A,Tabla18[[#This Row],[Mes]],'0_Indice_CAC'!$D:$D)</f>
        <v>284452.03483659256</v>
      </c>
      <c r="T692" s="142">
        <f>Tabla18[[#This Row],[Debe]]-Tabla18[[#This Row],[Haber]]</f>
        <v>358083</v>
      </c>
      <c r="U692" s="322"/>
      <c r="V692" s="323"/>
      <c r="W692" s="142">
        <f t="shared" si="13"/>
        <v>358083</v>
      </c>
      <c r="X692" s="142" t="b">
        <f>ISNUMBER(MATCH(A692,'3_Control_Ppto'!$A$4:$A$70,0))</f>
        <v>1</v>
      </c>
      <c r="Y692" s="136"/>
    </row>
    <row r="693" spans="1:25" ht="12" customHeight="1" x14ac:dyDescent="0.3">
      <c r="A693" s="140" t="s">
        <v>4271</v>
      </c>
      <c r="B693" s="140" t="s">
        <v>4090</v>
      </c>
      <c r="C693" s="549">
        <f>+EOMONTH(Tabla18[[#This Row],[Fecha Asiento]],-1)+1</f>
        <v>46054</v>
      </c>
      <c r="D693" s="136">
        <v>53017</v>
      </c>
      <c r="E693" s="136" t="s">
        <v>4677</v>
      </c>
      <c r="F693" s="141">
        <v>46055</v>
      </c>
      <c r="G693" s="136">
        <v>1620</v>
      </c>
      <c r="H693" s="136" t="s">
        <v>4801</v>
      </c>
      <c r="I693" s="136" t="s">
        <v>4794</v>
      </c>
      <c r="J693" s="136" t="s">
        <v>4455</v>
      </c>
      <c r="K693" s="136">
        <v>900002668</v>
      </c>
      <c r="L693" s="138">
        <v>440883.6</v>
      </c>
      <c r="M693" s="138">
        <v>0</v>
      </c>
      <c r="N693" s="136" t="s">
        <v>4425</v>
      </c>
      <c r="O693" s="136" t="s">
        <v>4426</v>
      </c>
      <c r="P693" s="136" t="s">
        <v>4427</v>
      </c>
      <c r="Q693" s="136" t="s">
        <v>4428</v>
      </c>
      <c r="R693" s="136">
        <v>0</v>
      </c>
      <c r="S693" s="142">
        <f>(Tabla18[[#This Row],[Debe]]-Tabla18[[#This Row],[Haber]])*
SUMIF('0_Indice_CAC'!$A:$A,Tabla18[[#This Row],[Mes]],'0_Indice_CAC'!$D:$D)</f>
        <v>350226.72717242187</v>
      </c>
      <c r="T693" s="142">
        <f>Tabla18[[#This Row],[Debe]]-Tabla18[[#This Row],[Haber]]</f>
        <v>440883.6</v>
      </c>
      <c r="U693" s="322"/>
      <c r="V693" s="323"/>
      <c r="W693" s="142">
        <f t="shared" si="13"/>
        <v>440883.6</v>
      </c>
      <c r="X693" s="142" t="b">
        <f>ISNUMBER(MATCH(A693,'3_Control_Ppto'!$A$4:$A$70,0))</f>
        <v>1</v>
      </c>
      <c r="Y693" s="136"/>
    </row>
    <row r="694" spans="1:25" ht="12" customHeight="1" x14ac:dyDescent="0.3">
      <c r="A694" s="140" t="s">
        <v>4119</v>
      </c>
      <c r="B694" s="140" t="s">
        <v>56</v>
      </c>
      <c r="C694" s="549">
        <f>+EOMONTH(Tabla18[[#This Row],[Fecha Asiento]],-1)+1</f>
        <v>46054</v>
      </c>
      <c r="D694" s="136">
        <v>52104</v>
      </c>
      <c r="E694" s="136" t="s">
        <v>4528</v>
      </c>
      <c r="F694" s="141">
        <v>46056</v>
      </c>
      <c r="G694" s="136">
        <v>1204</v>
      </c>
      <c r="H694" s="136" t="s">
        <v>4655</v>
      </c>
      <c r="I694" s="136" t="s">
        <v>4656</v>
      </c>
      <c r="J694" s="136" t="s">
        <v>4455</v>
      </c>
      <c r="K694" s="136">
        <v>1100002558</v>
      </c>
      <c r="L694" s="138">
        <v>370000</v>
      </c>
      <c r="M694" s="138">
        <v>0</v>
      </c>
      <c r="N694" s="136" t="s">
        <v>4425</v>
      </c>
      <c r="O694" s="136" t="s">
        <v>4426</v>
      </c>
      <c r="P694" s="136" t="s">
        <v>4427</v>
      </c>
      <c r="Q694" s="136" t="s">
        <v>4428</v>
      </c>
      <c r="R694" s="136">
        <v>0</v>
      </c>
      <c r="S694" s="142">
        <f>(Tabla18[[#This Row],[Debe]]-Tabla18[[#This Row],[Haber]])*
SUMIF('0_Indice_CAC'!$A:$A,Tabla18[[#This Row],[Mes]],'0_Indice_CAC'!$D:$D)</f>
        <v>293918.59677655529</v>
      </c>
      <c r="T694" s="142">
        <f>Tabla18[[#This Row],[Debe]]-Tabla18[[#This Row],[Haber]]</f>
        <v>370000</v>
      </c>
      <c r="U694" s="322"/>
      <c r="V694" s="323"/>
      <c r="W694" s="142">
        <f t="shared" si="13"/>
        <v>370000</v>
      </c>
      <c r="X694" s="142" t="b">
        <f>ISNUMBER(MATCH(A694,'3_Control_Ppto'!$A$4:$A$70,0))</f>
        <v>1</v>
      </c>
      <c r="Y694" s="136"/>
    </row>
    <row r="695" spans="1:25" ht="12" customHeight="1" x14ac:dyDescent="0.3">
      <c r="A695" s="140" t="s">
        <v>4271</v>
      </c>
      <c r="B695" s="140" t="s">
        <v>4090</v>
      </c>
      <c r="C695" s="549">
        <f>+EOMONTH(Tabla18[[#This Row],[Fecha Asiento]],-1)+1</f>
        <v>46054</v>
      </c>
      <c r="D695" s="136">
        <v>53017</v>
      </c>
      <c r="E695" s="136" t="s">
        <v>4677</v>
      </c>
      <c r="F695" s="141">
        <v>46056</v>
      </c>
      <c r="G695" s="136">
        <v>1202</v>
      </c>
      <c r="H695" s="136" t="s">
        <v>4795</v>
      </c>
      <c r="I695" s="136" t="s">
        <v>4752</v>
      </c>
      <c r="J695" s="136" t="s">
        <v>4519</v>
      </c>
      <c r="K695" s="136">
        <v>400004145</v>
      </c>
      <c r="L695" s="138">
        <v>0</v>
      </c>
      <c r="M695" s="138">
        <v>61424.79</v>
      </c>
      <c r="N695" s="136" t="s">
        <v>4425</v>
      </c>
      <c r="O695" s="136" t="s">
        <v>4426</v>
      </c>
      <c r="P695" s="136" t="s">
        <v>4427</v>
      </c>
      <c r="Q695" s="136" t="s">
        <v>4428</v>
      </c>
      <c r="R695" s="136">
        <v>0</v>
      </c>
      <c r="S695" s="142">
        <f>(Tabla18[[#This Row],[Debe]]-Tabla18[[#This Row],[Haber]])*
SUMIF('0_Indice_CAC'!$A:$A,Tabla18[[#This Row],[Mes]],'0_Indice_CAC'!$D:$D)</f>
        <v>-48794.292119174563</v>
      </c>
      <c r="T695" s="142">
        <f>Tabla18[[#This Row],[Debe]]-Tabla18[[#This Row],[Haber]]</f>
        <v>-61424.79</v>
      </c>
      <c r="U695" s="322"/>
      <c r="V695" s="323"/>
      <c r="W695" s="142">
        <f t="shared" si="13"/>
        <v>-61424.79</v>
      </c>
      <c r="X695" s="142" t="b">
        <f>ISNUMBER(MATCH(A695,'3_Control_Ppto'!$A$4:$A$70,0))</f>
        <v>1</v>
      </c>
      <c r="Y695" s="136"/>
    </row>
    <row r="696" spans="1:25" ht="12" customHeight="1" x14ac:dyDescent="0.3">
      <c r="A696" s="140" t="s">
        <v>25</v>
      </c>
      <c r="B696" s="140" t="s">
        <v>25</v>
      </c>
      <c r="C696" s="549">
        <f>+EOMONTH(Tabla18[[#This Row],[Fecha Asiento]],-1)+1</f>
        <v>46054</v>
      </c>
      <c r="D696" s="136">
        <v>410222</v>
      </c>
      <c r="E696" s="136" t="s">
        <v>4605</v>
      </c>
      <c r="F696" s="141">
        <v>46057</v>
      </c>
      <c r="G696" s="136">
        <v>1180</v>
      </c>
      <c r="H696" s="136" t="s">
        <v>4606</v>
      </c>
      <c r="I696" s="136" t="s">
        <v>4607</v>
      </c>
      <c r="J696" s="136" t="s">
        <v>4608</v>
      </c>
      <c r="K696" s="136">
        <v>300000810</v>
      </c>
      <c r="L696" s="138">
        <v>0</v>
      </c>
      <c r="M696" s="138">
        <v>33279445.32</v>
      </c>
      <c r="N696" s="136" t="s">
        <v>4425</v>
      </c>
      <c r="O696" s="136" t="s">
        <v>4426</v>
      </c>
      <c r="P696" s="136" t="s">
        <v>4427</v>
      </c>
      <c r="Q696" s="136" t="s">
        <v>4428</v>
      </c>
      <c r="R696" s="136">
        <v>0</v>
      </c>
      <c r="S696" s="142">
        <f>(Tabla18[[#This Row],[Debe]]-Tabla18[[#This Row],[Haber]])*
SUMIF('0_Indice_CAC'!$A:$A,Tabla18[[#This Row],[Mes]],'0_Indice_CAC'!$D:$D)</f>
        <v>-26436345.594477028</v>
      </c>
      <c r="T696" s="142">
        <f>Tabla18[[#This Row],[Debe]]-Tabla18[[#This Row],[Haber]]</f>
        <v>-33279445.32</v>
      </c>
      <c r="U696" s="322"/>
      <c r="V696" s="323"/>
      <c r="W696" s="142">
        <f t="shared" si="13"/>
        <v>-33279445.32</v>
      </c>
      <c r="X696" s="142" t="b">
        <f>ISNUMBER(MATCH(A696,'3_Control_Ppto'!$A$4:$A$70,0))</f>
        <v>0</v>
      </c>
      <c r="Y696" s="136"/>
    </row>
    <row r="697" spans="1:25" ht="12" customHeight="1" x14ac:dyDescent="0.3">
      <c r="A697" s="140" t="s">
        <v>4165</v>
      </c>
      <c r="B697" s="140" t="s">
        <v>56</v>
      </c>
      <c r="C697" s="549">
        <f>+EOMONTH(Tabla18[[#This Row],[Fecha Asiento]],-1)+1</f>
        <v>46054</v>
      </c>
      <c r="D697" s="136">
        <v>53011</v>
      </c>
      <c r="E697" s="136" t="s">
        <v>4836</v>
      </c>
      <c r="F697" s="141">
        <v>46057</v>
      </c>
      <c r="G697" s="136">
        <v>542</v>
      </c>
      <c r="H697" s="136" t="s">
        <v>4837</v>
      </c>
      <c r="I697" s="136" t="s">
        <v>4423</v>
      </c>
      <c r="J697" s="136" t="s">
        <v>4424</v>
      </c>
      <c r="K697" s="136">
        <v>8563</v>
      </c>
      <c r="L697" s="138">
        <v>1000000</v>
      </c>
      <c r="M697" s="138">
        <v>0</v>
      </c>
      <c r="N697" s="136" t="s">
        <v>4425</v>
      </c>
      <c r="O697" s="136" t="s">
        <v>4426</v>
      </c>
      <c r="P697" s="136" t="s">
        <v>4427</v>
      </c>
      <c r="Q697" s="136" t="s">
        <v>4428</v>
      </c>
      <c r="R697" s="136">
        <v>0</v>
      </c>
      <c r="S697" s="142">
        <f>(Tabla18[[#This Row],[Debe]]-Tabla18[[#This Row],[Haber]])*
SUMIF('0_Indice_CAC'!$A:$A,Tabla18[[#This Row],[Mes]],'0_Indice_CAC'!$D:$D)</f>
        <v>794374.58588258189</v>
      </c>
      <c r="T697" s="142">
        <f>Tabla18[[#This Row],[Debe]]-Tabla18[[#This Row],[Haber]]</f>
        <v>1000000</v>
      </c>
      <c r="U697" s="322" t="s">
        <v>4838</v>
      </c>
      <c r="V697" s="323"/>
      <c r="W697" s="142">
        <f t="shared" si="13"/>
        <v>1000000</v>
      </c>
      <c r="X697" s="142" t="b">
        <f>ISNUMBER(MATCH(A697,'3_Control_Ppto'!$A$4:$A$70,0))</f>
        <v>1</v>
      </c>
      <c r="Y697" s="136"/>
    </row>
    <row r="698" spans="1:25" ht="12" customHeight="1" x14ac:dyDescent="0.3">
      <c r="A698" s="140" t="s">
        <v>4271</v>
      </c>
      <c r="B698" s="140" t="s">
        <v>4090</v>
      </c>
      <c r="C698" s="549">
        <f>+EOMONTH(Tabla18[[#This Row],[Fecha Asiento]],-1)+1</f>
        <v>46054</v>
      </c>
      <c r="D698" s="136">
        <v>53017</v>
      </c>
      <c r="E698" s="136" t="s">
        <v>4677</v>
      </c>
      <c r="F698" s="141">
        <v>46057</v>
      </c>
      <c r="G698" s="136">
        <v>1206</v>
      </c>
      <c r="H698" s="136" t="s">
        <v>4795</v>
      </c>
      <c r="I698" s="136" t="s">
        <v>4752</v>
      </c>
      <c r="J698" s="136" t="s">
        <v>4455</v>
      </c>
      <c r="K698" s="136">
        <v>400032896</v>
      </c>
      <c r="L698" s="138">
        <v>59114.05</v>
      </c>
      <c r="M698" s="138">
        <v>0</v>
      </c>
      <c r="N698" s="136" t="s">
        <v>4425</v>
      </c>
      <c r="O698" s="136" t="s">
        <v>4426</v>
      </c>
      <c r="P698" s="136" t="s">
        <v>4427</v>
      </c>
      <c r="Q698" s="136" t="s">
        <v>4428</v>
      </c>
      <c r="R698" s="136">
        <v>0</v>
      </c>
      <c r="S698" s="142">
        <f>(Tabla18[[#This Row],[Debe]]-Tabla18[[#This Row],[Haber]])*
SUMIF('0_Indice_CAC'!$A:$A,Tabla18[[#This Row],[Mes]],'0_Indice_CAC'!$D:$D)</f>
        <v>46958.698988592245</v>
      </c>
      <c r="T698" s="142">
        <f>Tabla18[[#This Row],[Debe]]-Tabla18[[#This Row],[Haber]]</f>
        <v>59114.05</v>
      </c>
      <c r="U698" s="322"/>
      <c r="V698" s="323"/>
      <c r="W698" s="142">
        <f t="shared" si="13"/>
        <v>59114.05</v>
      </c>
      <c r="X698" s="142" t="b">
        <f>ISNUMBER(MATCH(A698,'3_Control_Ppto'!$A$4:$A$70,0))</f>
        <v>1</v>
      </c>
      <c r="Y698" s="136"/>
    </row>
    <row r="699" spans="1:25" ht="12" customHeight="1" x14ac:dyDescent="0.3">
      <c r="A699" s="140" t="s">
        <v>4119</v>
      </c>
      <c r="B699" s="140" t="s">
        <v>25</v>
      </c>
      <c r="C699" s="549">
        <f>+EOMONTH(Tabla18[[#This Row],[Fecha Asiento]],-1)+1</f>
        <v>46054</v>
      </c>
      <c r="D699" s="136">
        <v>53022</v>
      </c>
      <c r="E699" s="136" t="s">
        <v>4429</v>
      </c>
      <c r="F699" s="141">
        <v>46057</v>
      </c>
      <c r="G699" s="136">
        <v>541</v>
      </c>
      <c r="H699" s="136" t="s">
        <v>4839</v>
      </c>
      <c r="I699" s="136" t="s">
        <v>4423</v>
      </c>
      <c r="J699" s="136" t="s">
        <v>4424</v>
      </c>
      <c r="K699" s="136">
        <v>8562</v>
      </c>
      <c r="L699" s="138">
        <v>500</v>
      </c>
      <c r="M699" s="138">
        <v>0</v>
      </c>
      <c r="N699" s="136" t="s">
        <v>4425</v>
      </c>
      <c r="O699" s="136" t="s">
        <v>4426</v>
      </c>
      <c r="P699" s="136" t="s">
        <v>4427</v>
      </c>
      <c r="Q699" s="136" t="s">
        <v>4428</v>
      </c>
      <c r="R699" s="136">
        <v>0</v>
      </c>
      <c r="S699" s="142">
        <f>(Tabla18[[#This Row],[Debe]]-Tabla18[[#This Row],[Haber]])*
SUMIF('0_Indice_CAC'!$A:$A,Tabla18[[#This Row],[Mes]],'0_Indice_CAC'!$D:$D)</f>
        <v>397.18729294129093</v>
      </c>
      <c r="T699" s="142">
        <f>Tabla18[[#This Row],[Debe]]-Tabla18[[#This Row],[Haber]]</f>
        <v>500</v>
      </c>
      <c r="U699" s="322"/>
      <c r="V699" s="323"/>
      <c r="W699" s="142">
        <f t="shared" si="13"/>
        <v>500</v>
      </c>
      <c r="X699" s="142" t="b">
        <f>ISNUMBER(MATCH(A699,'3_Control_Ppto'!$A$4:$A$70,0))</f>
        <v>1</v>
      </c>
      <c r="Y699" s="136"/>
    </row>
    <row r="700" spans="1:25" ht="12" customHeight="1" x14ac:dyDescent="0.3">
      <c r="A700" s="140" t="s">
        <v>106</v>
      </c>
      <c r="B700" s="140" t="s">
        <v>4090</v>
      </c>
      <c r="C700" s="549">
        <f>+EOMONTH(Tabla18[[#This Row],[Fecha Asiento]],-1)+1</f>
        <v>46054</v>
      </c>
      <c r="D700" s="136">
        <v>53008</v>
      </c>
      <c r="E700" s="136" t="s">
        <v>4490</v>
      </c>
      <c r="F700" s="141">
        <v>46059</v>
      </c>
      <c r="G700" s="136">
        <v>1661</v>
      </c>
      <c r="H700" s="136" t="s">
        <v>4641</v>
      </c>
      <c r="I700" s="136" t="s">
        <v>4630</v>
      </c>
      <c r="J700" s="136" t="s">
        <v>4455</v>
      </c>
      <c r="K700" s="136">
        <v>1500090793</v>
      </c>
      <c r="L700" s="138">
        <v>490042.13</v>
      </c>
      <c r="M700" s="138">
        <v>0</v>
      </c>
      <c r="N700" s="136" t="s">
        <v>4425</v>
      </c>
      <c r="O700" s="136" t="s">
        <v>4426</v>
      </c>
      <c r="P700" s="136" t="s">
        <v>4427</v>
      </c>
      <c r="Q700" s="136" t="s">
        <v>4428</v>
      </c>
      <c r="R700" s="136">
        <v>0</v>
      </c>
      <c r="S700" s="142">
        <f>(Tabla18[[#This Row],[Debe]]-Tabla18[[#This Row],[Haber]])*
SUMIF('0_Indice_CAC'!$A:$A,Tabla18[[#This Row],[Mes]],'0_Indice_CAC'!$D:$D)</f>
        <v>389277.01408376836</v>
      </c>
      <c r="T700" s="142">
        <f>Tabla18[[#This Row],[Debe]]-Tabla18[[#This Row],[Haber]]</f>
        <v>490042.13</v>
      </c>
      <c r="U700" s="322"/>
      <c r="V700" s="323"/>
      <c r="W700" s="142">
        <f t="shared" si="13"/>
        <v>490042.13</v>
      </c>
      <c r="X700" s="142" t="b">
        <f>ISNUMBER(MATCH(A700,'3_Control_Ppto'!$A$4:$A$70,0))</f>
        <v>1</v>
      </c>
      <c r="Y700" s="136"/>
    </row>
    <row r="701" spans="1:25" ht="12" customHeight="1" x14ac:dyDescent="0.3">
      <c r="A701" s="140" t="s">
        <v>106</v>
      </c>
      <c r="B701" s="140" t="s">
        <v>25</v>
      </c>
      <c r="C701" s="549">
        <f>+EOMONTH(Tabla18[[#This Row],[Fecha Asiento]],-1)+1</f>
        <v>46054</v>
      </c>
      <c r="D701" s="136">
        <v>53009</v>
      </c>
      <c r="E701" s="136" t="s">
        <v>4446</v>
      </c>
      <c r="F701" s="141">
        <v>46059</v>
      </c>
      <c r="G701" s="136">
        <v>546</v>
      </c>
      <c r="H701" s="136" t="s">
        <v>4840</v>
      </c>
      <c r="I701" s="136" t="s">
        <v>4423</v>
      </c>
      <c r="J701" s="136" t="s">
        <v>4424</v>
      </c>
      <c r="K701" s="136">
        <v>8567</v>
      </c>
      <c r="L701" s="138">
        <v>3128000</v>
      </c>
      <c r="M701" s="138">
        <v>0</v>
      </c>
      <c r="N701" s="136" t="s">
        <v>4425</v>
      </c>
      <c r="O701" s="136" t="s">
        <v>4426</v>
      </c>
      <c r="P701" s="136" t="s">
        <v>4427</v>
      </c>
      <c r="Q701" s="136" t="s">
        <v>4428</v>
      </c>
      <c r="R701" s="136">
        <v>0</v>
      </c>
      <c r="S701" s="142">
        <f>(Tabla18[[#This Row],[Debe]]-Tabla18[[#This Row],[Haber]])*
SUMIF('0_Indice_CAC'!$A:$A,Tabla18[[#This Row],[Mes]],'0_Indice_CAC'!$D:$D)</f>
        <v>2484803.7046407163</v>
      </c>
      <c r="T701" s="142">
        <f>Tabla18[[#This Row],[Debe]]-Tabla18[[#This Row],[Haber]]</f>
        <v>3128000</v>
      </c>
      <c r="U701" s="322"/>
      <c r="V701" s="323"/>
      <c r="W701" s="142">
        <f t="shared" si="13"/>
        <v>3128000</v>
      </c>
      <c r="X701" s="142" t="b">
        <f>ISNUMBER(MATCH(A701,'3_Control_Ppto'!$A$4:$A$70,0))</f>
        <v>1</v>
      </c>
      <c r="Y701" s="136"/>
    </row>
    <row r="702" spans="1:25" ht="12" customHeight="1" x14ac:dyDescent="0.3">
      <c r="A702" s="140" t="s">
        <v>106</v>
      </c>
      <c r="B702" s="140" t="s">
        <v>4090</v>
      </c>
      <c r="C702" s="549">
        <f>+EOMONTH(Tabla18[[#This Row],[Fecha Asiento]],-1)+1</f>
        <v>46054</v>
      </c>
      <c r="D702" s="136">
        <v>53023</v>
      </c>
      <c r="E702" s="136" t="s">
        <v>4467</v>
      </c>
      <c r="F702" s="141">
        <v>46059</v>
      </c>
      <c r="G702" s="136">
        <v>1245</v>
      </c>
      <c r="H702" s="136" t="s">
        <v>4475</v>
      </c>
      <c r="I702" s="136" t="s">
        <v>4471</v>
      </c>
      <c r="J702" s="136" t="s">
        <v>4455</v>
      </c>
      <c r="K702" s="136">
        <v>1000218852</v>
      </c>
      <c r="L702" s="138">
        <v>344186.83</v>
      </c>
      <c r="M702" s="138">
        <v>0</v>
      </c>
      <c r="N702" s="136" t="s">
        <v>4425</v>
      </c>
      <c r="O702" s="136" t="s">
        <v>4426</v>
      </c>
      <c r="P702" s="136" t="s">
        <v>4427</v>
      </c>
      <c r="Q702" s="136" t="s">
        <v>4428</v>
      </c>
      <c r="R702" s="136">
        <v>0</v>
      </c>
      <c r="S702" s="142">
        <f>(Tabla18[[#This Row],[Debe]]-Tabla18[[#This Row],[Haber]])*
SUMIF('0_Indice_CAC'!$A:$A,Tabla18[[#This Row],[Mes]],'0_Indice_CAC'!$D:$D)</f>
        <v>273413.27054748865</v>
      </c>
      <c r="T702" s="142">
        <f>Tabla18[[#This Row],[Debe]]-Tabla18[[#This Row],[Haber]]</f>
        <v>344186.83</v>
      </c>
      <c r="U702" s="322"/>
      <c r="V702" s="323"/>
      <c r="W702" s="142">
        <f t="shared" si="13"/>
        <v>344186.83</v>
      </c>
      <c r="X702" s="142" t="b">
        <f>ISNUMBER(MATCH(A702,'3_Control_Ppto'!$A$4:$A$70,0))</f>
        <v>1</v>
      </c>
      <c r="Y702" s="136"/>
    </row>
    <row r="703" spans="1:25" ht="12" customHeight="1" x14ac:dyDescent="0.3">
      <c r="A703" s="140" t="s">
        <v>4271</v>
      </c>
      <c r="B703" s="140" t="s">
        <v>4090</v>
      </c>
      <c r="C703" s="549">
        <f>+EOMONTH(Tabla18[[#This Row],[Fecha Asiento]],-1)+1</f>
        <v>46054</v>
      </c>
      <c r="D703" s="136">
        <v>53017</v>
      </c>
      <c r="E703" s="136" t="s">
        <v>4677</v>
      </c>
      <c r="F703" s="141">
        <v>46063</v>
      </c>
      <c r="G703" s="136">
        <v>1473</v>
      </c>
      <c r="H703" s="136" t="s">
        <v>4734</v>
      </c>
      <c r="I703" s="136" t="s">
        <v>4489</v>
      </c>
      <c r="J703" s="136" t="s">
        <v>4439</v>
      </c>
      <c r="K703" s="136">
        <v>300006743</v>
      </c>
      <c r="L703" s="138">
        <v>35041.32</v>
      </c>
      <c r="M703" s="138">
        <v>0</v>
      </c>
      <c r="N703" s="136" t="s">
        <v>4425</v>
      </c>
      <c r="O703" s="136" t="s">
        <v>4426</v>
      </c>
      <c r="P703" s="136" t="s">
        <v>4427</v>
      </c>
      <c r="Q703" s="136" t="s">
        <v>4428</v>
      </c>
      <c r="R703" s="136">
        <v>0</v>
      </c>
      <c r="S703" s="142">
        <f>(Tabla18[[#This Row],[Debe]]-Tabla18[[#This Row],[Haber]])*
SUMIF('0_Indice_CAC'!$A:$A,Tabla18[[#This Row],[Mes]],'0_Indice_CAC'!$D:$D)</f>
        <v>27835.934063779034</v>
      </c>
      <c r="T703" s="142">
        <f>Tabla18[[#This Row],[Debe]]-Tabla18[[#This Row],[Haber]]</f>
        <v>35041.32</v>
      </c>
      <c r="U703" s="322"/>
      <c r="V703" s="323"/>
      <c r="W703" s="142">
        <f t="shared" si="13"/>
        <v>35041.32</v>
      </c>
      <c r="X703" s="142" t="b">
        <f>ISNUMBER(MATCH(A703,'3_Control_Ppto'!$A$4:$A$70,0))</f>
        <v>1</v>
      </c>
      <c r="Y703" s="136"/>
    </row>
    <row r="704" spans="1:25" ht="12" customHeight="1" x14ac:dyDescent="0.3">
      <c r="A704" s="140" t="s">
        <v>106</v>
      </c>
      <c r="B704" s="140" t="s">
        <v>4090</v>
      </c>
      <c r="C704" s="549">
        <f>+EOMONTH(Tabla18[[#This Row],[Fecha Asiento]],-1)+1</f>
        <v>46054</v>
      </c>
      <c r="D704" s="136">
        <v>53008</v>
      </c>
      <c r="E704" s="136" t="s">
        <v>4490</v>
      </c>
      <c r="F704" s="141">
        <v>46066</v>
      </c>
      <c r="G704" s="136">
        <v>1663</v>
      </c>
      <c r="H704" s="136" t="s">
        <v>4641</v>
      </c>
      <c r="I704" s="136" t="s">
        <v>4630</v>
      </c>
      <c r="J704" s="136" t="s">
        <v>4455</v>
      </c>
      <c r="K704" s="136">
        <v>1500091168</v>
      </c>
      <c r="L704" s="138">
        <v>2033596.02</v>
      </c>
      <c r="M704" s="138">
        <v>0</v>
      </c>
      <c r="N704" s="136" t="s">
        <v>4425</v>
      </c>
      <c r="O704" s="136" t="s">
        <v>4426</v>
      </c>
      <c r="P704" s="136" t="s">
        <v>4427</v>
      </c>
      <c r="Q704" s="136" t="s">
        <v>4428</v>
      </c>
      <c r="R704" s="136">
        <v>0</v>
      </c>
      <c r="S704" s="142">
        <f>(Tabla18[[#This Row],[Debe]]-Tabla18[[#This Row],[Haber]])*
SUMIF('0_Indice_CAC'!$A:$A,Tabla18[[#This Row],[Mes]],'0_Indice_CAC'!$D:$D)</f>
        <v>1615436.9962399667</v>
      </c>
      <c r="T704" s="142">
        <f>Tabla18[[#This Row],[Debe]]-Tabla18[[#This Row],[Haber]]</f>
        <v>2033596.02</v>
      </c>
      <c r="U704" s="322"/>
      <c r="V704" s="323"/>
      <c r="W704" s="142">
        <f t="shared" si="13"/>
        <v>2033596.02</v>
      </c>
      <c r="X704" s="142" t="b">
        <f>ISNUMBER(MATCH(A704,'3_Control_Ppto'!$A$4:$A$70,0))</f>
        <v>1</v>
      </c>
      <c r="Y704" s="136"/>
    </row>
    <row r="705" spans="1:25" ht="12" customHeight="1" x14ac:dyDescent="0.3">
      <c r="A705" s="140" t="s">
        <v>4165</v>
      </c>
      <c r="B705" s="140" t="s">
        <v>56</v>
      </c>
      <c r="C705" s="549">
        <f>+EOMONTH(Tabla18[[#This Row],[Fecha Asiento]],-1)+1</f>
        <v>46054</v>
      </c>
      <c r="D705" s="136">
        <v>53011</v>
      </c>
      <c r="E705" s="136" t="s">
        <v>4836</v>
      </c>
      <c r="F705" s="141">
        <v>46066</v>
      </c>
      <c r="G705" s="136">
        <v>560</v>
      </c>
      <c r="H705" s="136" t="s">
        <v>4837</v>
      </c>
      <c r="I705" s="136" t="s">
        <v>4423</v>
      </c>
      <c r="J705" s="136" t="s">
        <v>4424</v>
      </c>
      <c r="K705" s="136">
        <v>8581</v>
      </c>
      <c r="L705" s="138">
        <v>1000000</v>
      </c>
      <c r="M705" s="138">
        <v>0</v>
      </c>
      <c r="N705" s="136" t="s">
        <v>4425</v>
      </c>
      <c r="O705" s="136" t="s">
        <v>4426</v>
      </c>
      <c r="P705" s="136" t="s">
        <v>4427</v>
      </c>
      <c r="Q705" s="136" t="s">
        <v>4428</v>
      </c>
      <c r="R705" s="136">
        <v>0</v>
      </c>
      <c r="S705" s="142">
        <f>(Tabla18[[#This Row],[Debe]]-Tabla18[[#This Row],[Haber]])*
SUMIF('0_Indice_CAC'!$A:$A,Tabla18[[#This Row],[Mes]],'0_Indice_CAC'!$D:$D)</f>
        <v>794374.58588258189</v>
      </c>
      <c r="T705" s="142">
        <f>Tabla18[[#This Row],[Debe]]-Tabla18[[#This Row],[Haber]]</f>
        <v>1000000</v>
      </c>
      <c r="U705" s="322" t="s">
        <v>4838</v>
      </c>
      <c r="V705" s="323"/>
      <c r="W705" s="142">
        <f t="shared" si="13"/>
        <v>1000000</v>
      </c>
      <c r="X705" s="142" t="b">
        <f>ISNUMBER(MATCH(A705,'3_Control_Ppto'!$A$4:$A$70,0))</f>
        <v>1</v>
      </c>
      <c r="Y705" s="136"/>
    </row>
    <row r="706" spans="1:25" ht="12" customHeight="1" x14ac:dyDescent="0.3">
      <c r="A706" s="140" t="s">
        <v>4317</v>
      </c>
      <c r="B706" s="140" t="s">
        <v>56</v>
      </c>
      <c r="C706" s="549">
        <f>+EOMONTH(Tabla18[[#This Row],[Fecha Asiento]],-1)+1</f>
        <v>46054</v>
      </c>
      <c r="D706" s="136">
        <v>52103</v>
      </c>
      <c r="E706" s="136" t="s">
        <v>4477</v>
      </c>
      <c r="F706" s="141">
        <v>46067</v>
      </c>
      <c r="G706" s="136">
        <v>1475</v>
      </c>
      <c r="H706" s="136" t="s">
        <v>4569</v>
      </c>
      <c r="I706" s="136" t="s">
        <v>4570</v>
      </c>
      <c r="J706" s="136" t="s">
        <v>4455</v>
      </c>
      <c r="K706" s="136">
        <v>418100147944</v>
      </c>
      <c r="L706" s="138">
        <v>6097.83</v>
      </c>
      <c r="M706" s="138">
        <v>0</v>
      </c>
      <c r="N706" s="136" t="s">
        <v>4425</v>
      </c>
      <c r="O706" s="136" t="s">
        <v>4426</v>
      </c>
      <c r="P706" s="136" t="s">
        <v>4427</v>
      </c>
      <c r="Q706" s="136" t="s">
        <v>4428</v>
      </c>
      <c r="R706" s="136">
        <v>0</v>
      </c>
      <c r="S706" s="142">
        <f>(Tabla18[[#This Row],[Debe]]-Tabla18[[#This Row],[Haber]])*
SUMIF('0_Indice_CAC'!$A:$A,Tabla18[[#This Row],[Mes]],'0_Indice_CAC'!$D:$D)</f>
        <v>4843.961181032384</v>
      </c>
      <c r="T706" s="142">
        <f>Tabla18[[#This Row],[Debe]]-Tabla18[[#This Row],[Haber]]</f>
        <v>6097.83</v>
      </c>
      <c r="U706" s="322"/>
      <c r="V706" s="323"/>
      <c r="W706" s="142">
        <f t="shared" si="13"/>
        <v>6097.83</v>
      </c>
      <c r="X706" s="142" t="b">
        <f>ISNUMBER(MATCH(A706,'3_Control_Ppto'!$A$4:$A$70,0))</f>
        <v>1</v>
      </c>
      <c r="Y706" s="136"/>
    </row>
    <row r="707" spans="1:25" ht="12" customHeight="1" x14ac:dyDescent="0.3">
      <c r="A707" s="140" t="s">
        <v>25</v>
      </c>
      <c r="B707" s="140" t="s">
        <v>25</v>
      </c>
      <c r="C707" s="549">
        <f>+EOMONTH(Tabla18[[#This Row],[Fecha Asiento]],-1)+1</f>
        <v>46054</v>
      </c>
      <c r="D707" s="136">
        <v>5101</v>
      </c>
      <c r="E707" s="136" t="s">
        <v>4661</v>
      </c>
      <c r="F707" s="141">
        <v>46073</v>
      </c>
      <c r="G707" s="136">
        <v>576</v>
      </c>
      <c r="H707" s="136" t="s">
        <v>4841</v>
      </c>
      <c r="I707" s="136" t="s">
        <v>4423</v>
      </c>
      <c r="J707" s="136" t="s">
        <v>4424</v>
      </c>
      <c r="K707" s="136">
        <v>8597</v>
      </c>
      <c r="L707" s="138">
        <v>2078000</v>
      </c>
      <c r="M707" s="138">
        <v>0</v>
      </c>
      <c r="N707" s="136" t="s">
        <v>4425</v>
      </c>
      <c r="O707" s="136" t="s">
        <v>4426</v>
      </c>
      <c r="P707" s="136" t="s">
        <v>4427</v>
      </c>
      <c r="Q707" s="136" t="s">
        <v>4428</v>
      </c>
      <c r="R707" s="136">
        <v>0</v>
      </c>
      <c r="S707" s="142">
        <f>(Tabla18[[#This Row],[Debe]]-Tabla18[[#This Row],[Haber]])*
SUMIF('0_Indice_CAC'!$A:$A,Tabla18[[#This Row],[Mes]],'0_Indice_CAC'!$D:$D)</f>
        <v>1650710.3894640051</v>
      </c>
      <c r="T707" s="142">
        <f>Tabla18[[#This Row],[Debe]]-Tabla18[[#This Row],[Haber]]</f>
        <v>2078000</v>
      </c>
      <c r="U707" s="322"/>
      <c r="V707" s="323"/>
      <c r="W707" s="142">
        <f t="shared" si="13"/>
        <v>2078000</v>
      </c>
      <c r="X707" s="142" t="b">
        <f>ISNUMBER(MATCH(A707,'3_Control_Ppto'!$A$4:$A$70,0))</f>
        <v>0</v>
      </c>
      <c r="Y707" s="136"/>
    </row>
    <row r="708" spans="1:25" ht="12" customHeight="1" x14ac:dyDescent="0.3">
      <c r="A708" s="140" t="s">
        <v>4317</v>
      </c>
      <c r="B708" s="140" t="s">
        <v>56</v>
      </c>
      <c r="C708" s="549">
        <f>+EOMONTH(Tabla18[[#This Row],[Fecha Asiento]],-1)+1</f>
        <v>46054</v>
      </c>
      <c r="D708" s="136">
        <v>52102</v>
      </c>
      <c r="E708" s="136" t="s">
        <v>4535</v>
      </c>
      <c r="F708" s="141">
        <v>46073</v>
      </c>
      <c r="G708" s="136">
        <v>633</v>
      </c>
      <c r="H708" s="136" t="s">
        <v>4686</v>
      </c>
      <c r="I708" s="136" t="s">
        <v>4423</v>
      </c>
      <c r="J708" s="136" t="s">
        <v>4424</v>
      </c>
      <c r="K708" s="136">
        <v>8651</v>
      </c>
      <c r="L708" s="138">
        <v>14800</v>
      </c>
      <c r="M708" s="138">
        <v>0</v>
      </c>
      <c r="N708" s="136" t="s">
        <v>4425</v>
      </c>
      <c r="O708" s="136" t="s">
        <v>4426</v>
      </c>
      <c r="P708" s="136" t="s">
        <v>4427</v>
      </c>
      <c r="Q708" s="136" t="s">
        <v>4428</v>
      </c>
      <c r="R708" s="136">
        <v>0</v>
      </c>
      <c r="S708" s="142">
        <f>(Tabla18[[#This Row],[Debe]]-Tabla18[[#This Row],[Haber]])*
SUMIF('0_Indice_CAC'!$A:$A,Tabla18[[#This Row],[Mes]],'0_Indice_CAC'!$D:$D)</f>
        <v>11756.743871062212</v>
      </c>
      <c r="T708" s="142">
        <f>Tabla18[[#This Row],[Debe]]-Tabla18[[#This Row],[Haber]]</f>
        <v>14800</v>
      </c>
      <c r="U708" s="322"/>
      <c r="V708" s="323"/>
      <c r="W708" s="142">
        <f t="shared" si="13"/>
        <v>14800</v>
      </c>
      <c r="X708" s="142" t="b">
        <f>ISNUMBER(MATCH(A708,'3_Control_Ppto'!$A$4:$A$70,0))</f>
        <v>1</v>
      </c>
      <c r="Y708" s="136"/>
    </row>
    <row r="709" spans="1:25" ht="12" customHeight="1" x14ac:dyDescent="0.3">
      <c r="A709" s="140" t="s">
        <v>4165</v>
      </c>
      <c r="B709" s="140" t="s">
        <v>56</v>
      </c>
      <c r="C709" s="549">
        <f>+EOMONTH(Tabla18[[#This Row],[Fecha Asiento]],-1)+1</f>
        <v>46054</v>
      </c>
      <c r="D709" s="136">
        <v>53011</v>
      </c>
      <c r="E709" s="136" t="s">
        <v>4836</v>
      </c>
      <c r="F709" s="141">
        <v>46073</v>
      </c>
      <c r="G709" s="136">
        <v>591</v>
      </c>
      <c r="H709" s="136" t="s">
        <v>4842</v>
      </c>
      <c r="I709" s="136" t="s">
        <v>4423</v>
      </c>
      <c r="J709" s="136" t="s">
        <v>4424</v>
      </c>
      <c r="K709" s="136">
        <v>8612</v>
      </c>
      <c r="L709" s="138">
        <v>400000</v>
      </c>
      <c r="M709" s="138">
        <v>0</v>
      </c>
      <c r="N709" s="136" t="s">
        <v>4425</v>
      </c>
      <c r="O709" s="136" t="s">
        <v>4426</v>
      </c>
      <c r="P709" s="136" t="s">
        <v>4427</v>
      </c>
      <c r="Q709" s="136" t="s">
        <v>4428</v>
      </c>
      <c r="R709" s="136">
        <v>0</v>
      </c>
      <c r="S709" s="142">
        <f>(Tabla18[[#This Row],[Debe]]-Tabla18[[#This Row],[Haber]])*
SUMIF('0_Indice_CAC'!$A:$A,Tabla18[[#This Row],[Mes]],'0_Indice_CAC'!$D:$D)</f>
        <v>317749.83435303275</v>
      </c>
      <c r="T709" s="142">
        <f>Tabla18[[#This Row],[Debe]]-Tabla18[[#This Row],[Haber]]</f>
        <v>400000</v>
      </c>
      <c r="U709" s="322" t="s">
        <v>4838</v>
      </c>
      <c r="V709" s="323"/>
      <c r="W709" s="142">
        <f t="shared" si="13"/>
        <v>400000</v>
      </c>
      <c r="X709" s="142" t="b">
        <f>ISNUMBER(MATCH(A709,'3_Control_Ppto'!$A$4:$A$70,0))</f>
        <v>1</v>
      </c>
      <c r="Y709" s="136"/>
    </row>
    <row r="710" spans="1:25" ht="12" customHeight="1" x14ac:dyDescent="0.3">
      <c r="A710" s="140" t="s">
        <v>3219</v>
      </c>
      <c r="B710" s="140" t="s">
        <v>4090</v>
      </c>
      <c r="C710" s="549">
        <f>+EOMONTH(Tabla18[[#This Row],[Fecha Asiento]],-1)+1</f>
        <v>46054</v>
      </c>
      <c r="D710" s="136">
        <v>53019</v>
      </c>
      <c r="E710" s="136" t="s">
        <v>4461</v>
      </c>
      <c r="F710" s="141">
        <v>46073</v>
      </c>
      <c r="G710" s="136">
        <v>1343</v>
      </c>
      <c r="H710" s="136" t="s">
        <v>4462</v>
      </c>
      <c r="I710" s="136" t="s">
        <v>4463</v>
      </c>
      <c r="J710" s="136" t="s">
        <v>4455</v>
      </c>
      <c r="K710" s="136">
        <v>300011075</v>
      </c>
      <c r="L710" s="138">
        <v>210250.83</v>
      </c>
      <c r="M710" s="138">
        <v>0</v>
      </c>
      <c r="N710" s="136" t="s">
        <v>4425</v>
      </c>
      <c r="O710" s="136" t="s">
        <v>4426</v>
      </c>
      <c r="P710" s="136" t="s">
        <v>4427</v>
      </c>
      <c r="Q710" s="136" t="s">
        <v>4428</v>
      </c>
      <c r="R710" s="136">
        <v>0</v>
      </c>
      <c r="S710" s="142">
        <f>(Tabla18[[#This Row],[Debe]]-Tabla18[[#This Row],[Haber]])*
SUMIF('0_Indice_CAC'!$A:$A,Tabla18[[#This Row],[Mes]],'0_Indice_CAC'!$D:$D)</f>
        <v>167017.91601271913</v>
      </c>
      <c r="T710" s="142">
        <f>Tabla18[[#This Row],[Debe]]-Tabla18[[#This Row],[Haber]]</f>
        <v>210250.83</v>
      </c>
      <c r="U710" s="322"/>
      <c r="V710" s="323"/>
      <c r="W710" s="142">
        <f t="shared" si="13"/>
        <v>210250.83</v>
      </c>
      <c r="X710" s="142" t="b">
        <f>ISNUMBER(MATCH(A710,'3_Control_Ppto'!$A$4:$A$70,0))</f>
        <v>1</v>
      </c>
      <c r="Y710" s="136"/>
    </row>
    <row r="711" spans="1:25" ht="12" customHeight="1" x14ac:dyDescent="0.3">
      <c r="A711" s="140" t="s">
        <v>4317</v>
      </c>
      <c r="B711" s="140" t="s">
        <v>56</v>
      </c>
      <c r="C711" s="549">
        <f>+EOMONTH(Tabla18[[#This Row],[Fecha Asiento]],-1)+1</f>
        <v>46054</v>
      </c>
      <c r="D711" s="136">
        <v>52005</v>
      </c>
      <c r="E711" s="136" t="s">
        <v>4357</v>
      </c>
      <c r="F711" s="141">
        <v>46074</v>
      </c>
      <c r="G711" s="136">
        <v>1385</v>
      </c>
      <c r="H711" s="136" t="s">
        <v>4586</v>
      </c>
      <c r="I711" s="136" t="s">
        <v>4587</v>
      </c>
      <c r="J711" s="136" t="s">
        <v>4455</v>
      </c>
      <c r="K711" s="136">
        <v>395006310943</v>
      </c>
      <c r="L711" s="138">
        <v>18231.41</v>
      </c>
      <c r="M711" s="138">
        <v>0</v>
      </c>
      <c r="N711" s="136" t="s">
        <v>4425</v>
      </c>
      <c r="O711" s="136" t="s">
        <v>4426</v>
      </c>
      <c r="P711" s="136" t="s">
        <v>4427</v>
      </c>
      <c r="Q711" s="136" t="s">
        <v>4428</v>
      </c>
      <c r="R711" s="136">
        <v>0</v>
      </c>
      <c r="S711" s="142">
        <f>(Tabla18[[#This Row],[Debe]]-Tabla18[[#This Row],[Haber]])*
SUMIF('0_Indice_CAC'!$A:$A,Tabla18[[#This Row],[Mes]],'0_Indice_CAC'!$D:$D)</f>
        <v>14482.568768805562</v>
      </c>
      <c r="T711" s="142">
        <f>Tabla18[[#This Row],[Debe]]-Tabla18[[#This Row],[Haber]]</f>
        <v>18231.41</v>
      </c>
      <c r="U711" s="322"/>
      <c r="V711" s="323"/>
      <c r="W711" s="142">
        <f t="shared" si="13"/>
        <v>18231.41</v>
      </c>
      <c r="X711" s="142" t="b">
        <f>ISNUMBER(MATCH(A711,'3_Control_Ppto'!$A$4:$A$70,0))</f>
        <v>1</v>
      </c>
      <c r="Y711" s="136"/>
    </row>
    <row r="712" spans="1:25" ht="12" customHeight="1" x14ac:dyDescent="0.3">
      <c r="A712" s="140" t="s">
        <v>4317</v>
      </c>
      <c r="B712" s="140" t="s">
        <v>56</v>
      </c>
      <c r="C712" s="549">
        <f>+EOMONTH(Tabla18[[#This Row],[Fecha Asiento]],-1)+1</f>
        <v>46054</v>
      </c>
      <c r="D712" s="136">
        <v>52302</v>
      </c>
      <c r="E712" s="136" t="s">
        <v>4444</v>
      </c>
      <c r="F712" s="141">
        <v>46074</v>
      </c>
      <c r="G712" s="136">
        <v>1345</v>
      </c>
      <c r="H712" s="136" t="s">
        <v>4827</v>
      </c>
      <c r="I712" s="136" t="s">
        <v>4532</v>
      </c>
      <c r="J712" s="136" t="s">
        <v>4455</v>
      </c>
      <c r="K712" s="136">
        <v>142000054718</v>
      </c>
      <c r="L712" s="138">
        <v>65692.990000000005</v>
      </c>
      <c r="M712" s="138">
        <v>0</v>
      </c>
      <c r="N712" s="136" t="s">
        <v>4425</v>
      </c>
      <c r="O712" s="136" t="s">
        <v>4426</v>
      </c>
      <c r="P712" s="136" t="s">
        <v>4427</v>
      </c>
      <c r="Q712" s="136" t="s">
        <v>4428</v>
      </c>
      <c r="R712" s="136">
        <v>0</v>
      </c>
      <c r="S712" s="142">
        <f>(Tabla18[[#This Row],[Debe]]-Tabla18[[#This Row],[Haber]])*
SUMIF('0_Indice_CAC'!$A:$A,Tabla18[[#This Row],[Mes]],'0_Indice_CAC'!$D:$D)</f>
        <v>52184.841726638602</v>
      </c>
      <c r="T712" s="142">
        <f>Tabla18[[#This Row],[Debe]]-Tabla18[[#This Row],[Haber]]</f>
        <v>65692.990000000005</v>
      </c>
      <c r="U712" s="322"/>
      <c r="V712" s="323"/>
      <c r="W712" s="142">
        <f t="shared" si="13"/>
        <v>65692.990000000005</v>
      </c>
      <c r="X712" s="142" t="b">
        <f>ISNUMBER(MATCH(A712,'3_Control_Ppto'!$A$4:$A$70,0))</f>
        <v>1</v>
      </c>
      <c r="Y712" s="136"/>
    </row>
    <row r="713" spans="1:25" ht="12" customHeight="1" x14ac:dyDescent="0.3">
      <c r="A713" s="140" t="s">
        <v>4317</v>
      </c>
      <c r="B713" s="140" t="s">
        <v>56</v>
      </c>
      <c r="C713" s="549">
        <f>+EOMONTH(Tabla18[[#This Row],[Fecha Asiento]],-1)+1</f>
        <v>46054</v>
      </c>
      <c r="D713" s="136">
        <v>52101</v>
      </c>
      <c r="E713" s="136" t="s">
        <v>4709</v>
      </c>
      <c r="F713" s="141">
        <v>46077</v>
      </c>
      <c r="G713" s="136">
        <v>631</v>
      </c>
      <c r="H713" s="136" t="s">
        <v>4710</v>
      </c>
      <c r="I713" s="136" t="s">
        <v>4423</v>
      </c>
      <c r="J713" s="136" t="s">
        <v>4424</v>
      </c>
      <c r="K713" s="136">
        <v>8649</v>
      </c>
      <c r="L713" s="138">
        <v>4300</v>
      </c>
      <c r="M713" s="138">
        <v>0</v>
      </c>
      <c r="N713" s="136" t="s">
        <v>4425</v>
      </c>
      <c r="O713" s="136" t="s">
        <v>4426</v>
      </c>
      <c r="P713" s="136" t="s">
        <v>4427</v>
      </c>
      <c r="Q713" s="136" t="s">
        <v>4428</v>
      </c>
      <c r="R713" s="136">
        <v>0</v>
      </c>
      <c r="S713" s="142">
        <f>(Tabla18[[#This Row],[Debe]]-Tabla18[[#This Row],[Haber]])*
SUMIF('0_Indice_CAC'!$A:$A,Tabla18[[#This Row],[Mes]],'0_Indice_CAC'!$D:$D)</f>
        <v>3415.8107192951024</v>
      </c>
      <c r="T713" s="142">
        <f>Tabla18[[#This Row],[Debe]]-Tabla18[[#This Row],[Haber]]</f>
        <v>4300</v>
      </c>
      <c r="U713" s="322"/>
      <c r="V713" s="323"/>
      <c r="W713" s="142">
        <f t="shared" si="13"/>
        <v>4300</v>
      </c>
      <c r="X713" s="142" t="b">
        <f>ISNUMBER(MATCH(A713,'3_Control_Ppto'!$A$4:$A$70,0))</f>
        <v>1</v>
      </c>
      <c r="Y713" s="136"/>
    </row>
    <row r="714" spans="1:25" ht="12" customHeight="1" x14ac:dyDescent="0.3">
      <c r="A714" s="140" t="s">
        <v>4119</v>
      </c>
      <c r="B714" s="140" t="s">
        <v>25</v>
      </c>
      <c r="C714" s="549">
        <f>+EOMONTH(Tabla18[[#This Row],[Fecha Asiento]],-1)+1</f>
        <v>46054</v>
      </c>
      <c r="D714" s="136">
        <v>53022</v>
      </c>
      <c r="E714" s="136" t="s">
        <v>4429</v>
      </c>
      <c r="F714" s="141">
        <v>46077</v>
      </c>
      <c r="G714" s="136">
        <v>930</v>
      </c>
      <c r="H714" s="136" t="s">
        <v>4843</v>
      </c>
      <c r="I714" s="136" t="s">
        <v>4423</v>
      </c>
      <c r="J714" s="136" t="s">
        <v>4424</v>
      </c>
      <c r="K714" s="136">
        <v>8962</v>
      </c>
      <c r="L714" s="138">
        <v>600000</v>
      </c>
      <c r="M714" s="138">
        <v>0</v>
      </c>
      <c r="N714" s="136" t="s">
        <v>4425</v>
      </c>
      <c r="O714" s="136" t="s">
        <v>4426</v>
      </c>
      <c r="P714" s="136" t="s">
        <v>4427</v>
      </c>
      <c r="Q714" s="136" t="s">
        <v>4428</v>
      </c>
      <c r="R714" s="136">
        <v>0</v>
      </c>
      <c r="S714" s="142">
        <f>(Tabla18[[#This Row],[Debe]]-Tabla18[[#This Row],[Haber]])*
SUMIF('0_Indice_CAC'!$A:$A,Tabla18[[#This Row],[Mes]],'0_Indice_CAC'!$D:$D)</f>
        <v>476624.75152954913</v>
      </c>
      <c r="T714" s="142">
        <f>Tabla18[[#This Row],[Debe]]-Tabla18[[#This Row],[Haber]]</f>
        <v>600000</v>
      </c>
      <c r="U714" s="322"/>
      <c r="V714" s="323"/>
      <c r="W714" s="142">
        <f t="shared" si="13"/>
        <v>600000</v>
      </c>
      <c r="X714" s="142" t="b">
        <f>ISNUMBER(MATCH(A714,'3_Control_Ppto'!$A$4:$A$70,0))</f>
        <v>1</v>
      </c>
      <c r="Y714" s="136"/>
    </row>
    <row r="715" spans="1:25" ht="12" customHeight="1" x14ac:dyDescent="0.3">
      <c r="A715" s="140" t="s">
        <v>106</v>
      </c>
      <c r="B715" s="140" t="s">
        <v>4090</v>
      </c>
      <c r="C715" s="549">
        <f>+EOMONTH(Tabla18[[#This Row],[Fecha Asiento]],-1)+1</f>
        <v>46054</v>
      </c>
      <c r="D715" s="136">
        <v>53023</v>
      </c>
      <c r="E715" s="136" t="s">
        <v>4467</v>
      </c>
      <c r="F715" s="141">
        <v>46077</v>
      </c>
      <c r="G715" s="136">
        <v>632</v>
      </c>
      <c r="H715" s="136" t="s">
        <v>4468</v>
      </c>
      <c r="I715" s="136" t="s">
        <v>4423</v>
      </c>
      <c r="J715" s="136" t="s">
        <v>4424</v>
      </c>
      <c r="K715" s="136">
        <v>8650</v>
      </c>
      <c r="L715" s="138">
        <v>7564.7</v>
      </c>
      <c r="M715" s="138">
        <v>0</v>
      </c>
      <c r="N715" s="136" t="s">
        <v>4425</v>
      </c>
      <c r="O715" s="136" t="s">
        <v>4426</v>
      </c>
      <c r="P715" s="136" t="s">
        <v>4427</v>
      </c>
      <c r="Q715" s="136" t="s">
        <v>4428</v>
      </c>
      <c r="R715" s="136">
        <v>0</v>
      </c>
      <c r="S715" s="142">
        <f>(Tabla18[[#This Row],[Debe]]-Tabla18[[#This Row],[Haber]])*
SUMIF('0_Indice_CAC'!$A:$A,Tabla18[[#This Row],[Mes]],'0_Indice_CAC'!$D:$D)</f>
        <v>6009.2054298259673</v>
      </c>
      <c r="T715" s="142">
        <f>Tabla18[[#This Row],[Debe]]-Tabla18[[#This Row],[Haber]]</f>
        <v>7564.7</v>
      </c>
      <c r="U715" s="322"/>
      <c r="V715" s="323"/>
      <c r="W715" s="142">
        <f t="shared" si="13"/>
        <v>7564.7</v>
      </c>
      <c r="X715" s="142" t="b">
        <f>ISNUMBER(MATCH(A715,'3_Control_Ppto'!$A$4:$A$70,0))</f>
        <v>1</v>
      </c>
      <c r="Y715" s="136"/>
    </row>
    <row r="716" spans="1:25" ht="12" customHeight="1" x14ac:dyDescent="0.3">
      <c r="A716" s="140" t="s">
        <v>106</v>
      </c>
      <c r="B716" s="140" t="s">
        <v>4090</v>
      </c>
      <c r="C716" s="549">
        <f>+EOMONTH(Tabla18[[#This Row],[Fecha Asiento]],-1)+1</f>
        <v>46054</v>
      </c>
      <c r="D716" s="136">
        <v>53008</v>
      </c>
      <c r="E716" s="136" t="s">
        <v>4490</v>
      </c>
      <c r="F716" s="141">
        <v>46078</v>
      </c>
      <c r="G716" s="136">
        <v>1392</v>
      </c>
      <c r="H716" s="136" t="s">
        <v>4641</v>
      </c>
      <c r="I716" s="136" t="s">
        <v>4630</v>
      </c>
      <c r="J716" s="136" t="s">
        <v>4455</v>
      </c>
      <c r="K716" s="136">
        <v>1500091445</v>
      </c>
      <c r="L716" s="138">
        <v>3429171.88</v>
      </c>
      <c r="M716" s="138">
        <v>0</v>
      </c>
      <c r="N716" s="136" t="s">
        <v>4425</v>
      </c>
      <c r="O716" s="136" t="s">
        <v>4426</v>
      </c>
      <c r="P716" s="136" t="s">
        <v>4427</v>
      </c>
      <c r="Q716" s="136" t="s">
        <v>4428</v>
      </c>
      <c r="R716" s="136">
        <v>0</v>
      </c>
      <c r="S716" s="142">
        <f>(Tabla18[[#This Row],[Debe]]-Tabla18[[#This Row],[Haber]])*
SUMIF('0_Indice_CAC'!$A:$A,Tabla18[[#This Row],[Mes]],'0_Indice_CAC'!$D:$D)</f>
        <v>2724046.9920951948</v>
      </c>
      <c r="T716" s="142">
        <f>Tabla18[[#This Row],[Debe]]-Tabla18[[#This Row],[Haber]]</f>
        <v>3429171.88</v>
      </c>
      <c r="U716" s="322"/>
      <c r="V716" s="323"/>
      <c r="W716" s="142">
        <f t="shared" si="13"/>
        <v>3429171.88</v>
      </c>
      <c r="X716" s="142" t="b">
        <f>ISNUMBER(MATCH(A716,'3_Control_Ppto'!$A$4:$A$70,0))</f>
        <v>1</v>
      </c>
      <c r="Y716" s="136"/>
    </row>
    <row r="717" spans="1:25" ht="12" customHeight="1" x14ac:dyDescent="0.3">
      <c r="A717" s="140" t="s">
        <v>4317</v>
      </c>
      <c r="B717" s="140" t="s">
        <v>56</v>
      </c>
      <c r="C717" s="549">
        <f>+EOMONTH(Tabla18[[#This Row],[Fecha Asiento]],-1)+1</f>
        <v>46054</v>
      </c>
      <c r="D717" s="136">
        <v>52102</v>
      </c>
      <c r="E717" s="136" t="s">
        <v>4535</v>
      </c>
      <c r="F717" s="141">
        <v>46079</v>
      </c>
      <c r="G717" s="136">
        <v>634</v>
      </c>
      <c r="H717" s="136" t="s">
        <v>4686</v>
      </c>
      <c r="I717" s="136" t="s">
        <v>4423</v>
      </c>
      <c r="J717" s="136" t="s">
        <v>4424</v>
      </c>
      <c r="K717" s="136">
        <v>8652</v>
      </c>
      <c r="L717" s="138">
        <v>15600</v>
      </c>
      <c r="M717" s="138">
        <v>0</v>
      </c>
      <c r="N717" s="136" t="s">
        <v>4425</v>
      </c>
      <c r="O717" s="136" t="s">
        <v>4426</v>
      </c>
      <c r="P717" s="136" t="s">
        <v>4427</v>
      </c>
      <c r="Q717" s="136" t="s">
        <v>4428</v>
      </c>
      <c r="R717" s="136">
        <v>0</v>
      </c>
      <c r="S717" s="142">
        <f>(Tabla18[[#This Row],[Debe]]-Tabla18[[#This Row],[Haber]])*
SUMIF('0_Indice_CAC'!$A:$A,Tabla18[[#This Row],[Mes]],'0_Indice_CAC'!$D:$D)</f>
        <v>12392.243539768278</v>
      </c>
      <c r="T717" s="142">
        <f>Tabla18[[#This Row],[Debe]]-Tabla18[[#This Row],[Haber]]</f>
        <v>15600</v>
      </c>
      <c r="U717" s="322"/>
      <c r="V717" s="323"/>
      <c r="W717" s="142">
        <f t="shared" si="13"/>
        <v>15600</v>
      </c>
      <c r="X717" s="142" t="b">
        <f>ISNUMBER(MATCH(A717,'3_Control_Ppto'!$A$4:$A$70,0))</f>
        <v>1</v>
      </c>
      <c r="Y717" s="136"/>
    </row>
    <row r="718" spans="1:25" ht="12" customHeight="1" x14ac:dyDescent="0.3">
      <c r="A718" s="140" t="s">
        <v>4310</v>
      </c>
      <c r="B718" s="140" t="s">
        <v>56</v>
      </c>
      <c r="C718" s="549">
        <f>+EOMONTH(Tabla18[[#This Row],[Fecha Asiento]],-1)+1</f>
        <v>46054</v>
      </c>
      <c r="D718" s="136">
        <v>52204</v>
      </c>
      <c r="E718" s="136" t="s">
        <v>4452</v>
      </c>
      <c r="F718" s="141">
        <v>46079</v>
      </c>
      <c r="G718" s="136">
        <v>607</v>
      </c>
      <c r="H718" s="136" t="s">
        <v>4785</v>
      </c>
      <c r="I718" s="136" t="s">
        <v>4423</v>
      </c>
      <c r="J718" s="136" t="s">
        <v>4424</v>
      </c>
      <c r="K718" s="136">
        <v>8625</v>
      </c>
      <c r="L718" s="138">
        <v>179041</v>
      </c>
      <c r="M718" s="138">
        <v>0</v>
      </c>
      <c r="N718" s="136" t="s">
        <v>4425</v>
      </c>
      <c r="O718" s="136" t="s">
        <v>4426</v>
      </c>
      <c r="P718" s="136" t="s">
        <v>4427</v>
      </c>
      <c r="Q718" s="136" t="s">
        <v>4428</v>
      </c>
      <c r="R718" s="136">
        <v>0</v>
      </c>
      <c r="S718" s="142">
        <f>(Tabla18[[#This Row],[Debe]]-Tabla18[[#This Row],[Haber]])*
SUMIF('0_Indice_CAC'!$A:$A,Tabla18[[#This Row],[Mes]],'0_Indice_CAC'!$D:$D)</f>
        <v>142225.62023100336</v>
      </c>
      <c r="T718" s="142">
        <f>Tabla18[[#This Row],[Debe]]-Tabla18[[#This Row],[Haber]]</f>
        <v>179041</v>
      </c>
      <c r="U718" s="322"/>
      <c r="V718" s="323"/>
      <c r="W718" s="142">
        <f t="shared" si="13"/>
        <v>179041</v>
      </c>
      <c r="X718" s="142" t="b">
        <f>ISNUMBER(MATCH(A718,'3_Control_Ppto'!$A$4:$A$70,0))</f>
        <v>1</v>
      </c>
      <c r="Y718" s="136"/>
    </row>
    <row r="719" spans="1:25" ht="12" customHeight="1" x14ac:dyDescent="0.3">
      <c r="A719" s="140" t="s">
        <v>476</v>
      </c>
      <c r="B719" s="140" t="s">
        <v>56</v>
      </c>
      <c r="C719" s="549">
        <f>+EOMONTH(Tabla18[[#This Row],[Fecha Asiento]],-1)+1</f>
        <v>46054</v>
      </c>
      <c r="D719" s="136">
        <v>53014</v>
      </c>
      <c r="E719" s="136" t="s">
        <v>4844</v>
      </c>
      <c r="F719" s="141">
        <v>46080</v>
      </c>
      <c r="G719" s="136">
        <v>609</v>
      </c>
      <c r="H719" s="136" t="s">
        <v>4845</v>
      </c>
      <c r="I719" s="136" t="s">
        <v>4423</v>
      </c>
      <c r="J719" s="136" t="s">
        <v>4424</v>
      </c>
      <c r="K719" s="136">
        <v>8627</v>
      </c>
      <c r="L719" s="138">
        <v>1940600</v>
      </c>
      <c r="M719" s="138">
        <v>0</v>
      </c>
      <c r="N719" s="136" t="s">
        <v>4425</v>
      </c>
      <c r="O719" s="136" t="s">
        <v>4426</v>
      </c>
      <c r="P719" s="136" t="s">
        <v>4427</v>
      </c>
      <c r="Q719" s="136" t="s">
        <v>4428</v>
      </c>
      <c r="R719" s="136">
        <v>0</v>
      </c>
      <c r="S719" s="142">
        <f>(Tabla18[[#This Row],[Debe]]-Tabla18[[#This Row],[Haber]])*
SUMIF('0_Indice_CAC'!$A:$A,Tabla18[[#This Row],[Mes]],'0_Indice_CAC'!$D:$D)</f>
        <v>1541563.3213637385</v>
      </c>
      <c r="T719" s="142">
        <f>Tabla18[[#This Row],[Debe]]-Tabla18[[#This Row],[Haber]]</f>
        <v>1940600</v>
      </c>
      <c r="U719" s="322" t="s">
        <v>4846</v>
      </c>
      <c r="V719" s="323"/>
      <c r="W719" s="142">
        <f t="shared" si="13"/>
        <v>1940600</v>
      </c>
      <c r="X719" s="142" t="b">
        <f>ISNUMBER(MATCH(A719,'3_Control_Ppto'!$A$4:$A$70,0))</f>
        <v>1</v>
      </c>
      <c r="Y719" s="136"/>
    </row>
    <row r="720" spans="1:25" ht="12" customHeight="1" x14ac:dyDescent="0.3">
      <c r="A720" s="140" t="s">
        <v>4271</v>
      </c>
      <c r="B720" s="140" t="s">
        <v>4090</v>
      </c>
      <c r="C720" s="549">
        <f>+EOMONTH(Tabla18[[#This Row],[Fecha Asiento]],-1)+1</f>
        <v>46054</v>
      </c>
      <c r="D720" s="136">
        <v>53017</v>
      </c>
      <c r="E720" s="136" t="s">
        <v>4677</v>
      </c>
      <c r="F720" s="141">
        <v>46080</v>
      </c>
      <c r="G720" s="136">
        <v>1629</v>
      </c>
      <c r="H720" s="136" t="s">
        <v>4801</v>
      </c>
      <c r="I720" s="136" t="s">
        <v>4794</v>
      </c>
      <c r="J720" s="136" t="s">
        <v>4455</v>
      </c>
      <c r="K720" s="136">
        <v>900002853</v>
      </c>
      <c r="L720" s="138">
        <v>202257.95</v>
      </c>
      <c r="M720" s="138">
        <v>0</v>
      </c>
      <c r="N720" s="136" t="s">
        <v>4425</v>
      </c>
      <c r="O720" s="136" t="s">
        <v>4426</v>
      </c>
      <c r="P720" s="136" t="s">
        <v>4427</v>
      </c>
      <c r="Q720" s="136" t="s">
        <v>4428</v>
      </c>
      <c r="R720" s="136">
        <v>0</v>
      </c>
      <c r="S720" s="142">
        <f>(Tabla18[[#This Row],[Debe]]-Tabla18[[#This Row],[Haber]])*
SUMIF('0_Indice_CAC'!$A:$A,Tabla18[[#This Row],[Mes]],'0_Indice_CAC'!$D:$D)</f>
        <v>160668.57527270998</v>
      </c>
      <c r="T720" s="142">
        <f>Tabla18[[#This Row],[Debe]]-Tabla18[[#This Row],[Haber]]</f>
        <v>202257.95</v>
      </c>
      <c r="U720" s="322"/>
      <c r="V720" s="323"/>
      <c r="W720" s="142">
        <f t="shared" si="13"/>
        <v>202257.95</v>
      </c>
      <c r="X720" s="142" t="b">
        <f>ISNUMBER(MATCH(A720,'3_Control_Ppto'!$A$4:$A$70,0))</f>
        <v>1</v>
      </c>
      <c r="Y720" s="136"/>
    </row>
    <row r="721" spans="1:25" ht="12" customHeight="1" x14ac:dyDescent="0.3">
      <c r="A721" s="140" t="s">
        <v>4317</v>
      </c>
      <c r="B721" s="140" t="s">
        <v>56</v>
      </c>
      <c r="C721" s="549">
        <f>+EOMONTH(Tabla18[[#This Row],[Fecha Asiento]],-1)+1</f>
        <v>46054</v>
      </c>
      <c r="D721" s="136">
        <v>52302</v>
      </c>
      <c r="E721" s="136" t="s">
        <v>4444</v>
      </c>
      <c r="F721" s="141">
        <v>46081</v>
      </c>
      <c r="G721" s="136">
        <v>1485</v>
      </c>
      <c r="H721" s="136" t="s">
        <v>4828</v>
      </c>
      <c r="I721" s="136" t="s">
        <v>4532</v>
      </c>
      <c r="J721" s="136" t="s">
        <v>4455</v>
      </c>
      <c r="K721" s="136">
        <v>142000071412</v>
      </c>
      <c r="L721" s="138">
        <v>13596</v>
      </c>
      <c r="M721" s="138">
        <v>0</v>
      </c>
      <c r="N721" s="136" t="s">
        <v>4425</v>
      </c>
      <c r="O721" s="136" t="s">
        <v>4426</v>
      </c>
      <c r="P721" s="136" t="s">
        <v>4427</v>
      </c>
      <c r="Q721" s="136" t="s">
        <v>4428</v>
      </c>
      <c r="R721" s="136">
        <v>0</v>
      </c>
      <c r="S721" s="142">
        <f>(Tabla18[[#This Row],[Debe]]-Tabla18[[#This Row],[Haber]])*
SUMIF('0_Indice_CAC'!$A:$A,Tabla18[[#This Row],[Mes]],'0_Indice_CAC'!$D:$D)</f>
        <v>10800.316869659584</v>
      </c>
      <c r="T721" s="142">
        <f>Tabla18[[#This Row],[Debe]]-Tabla18[[#This Row],[Haber]]</f>
        <v>13596</v>
      </c>
      <c r="U721" s="322"/>
      <c r="V721" s="323"/>
      <c r="W721" s="142">
        <f t="shared" si="13"/>
        <v>13596</v>
      </c>
      <c r="X721" s="142" t="b">
        <f>ISNUMBER(MATCH(A721,'3_Control_Ppto'!$A$4:$A$70,0))</f>
        <v>1</v>
      </c>
      <c r="Y721" s="136"/>
    </row>
    <row r="722" spans="1:25" ht="12" customHeight="1" x14ac:dyDescent="0.3">
      <c r="A722" s="140" t="s">
        <v>4317</v>
      </c>
      <c r="B722" s="140" t="s">
        <v>56</v>
      </c>
      <c r="C722" s="549">
        <f>+EOMONTH(Tabla18[[#This Row],[Fecha Asiento]],-1)+1</f>
        <v>46054</v>
      </c>
      <c r="D722" s="136">
        <v>52302</v>
      </c>
      <c r="E722" s="136" t="s">
        <v>4444</v>
      </c>
      <c r="F722" s="141">
        <v>46081</v>
      </c>
      <c r="G722" s="136">
        <v>1485</v>
      </c>
      <c r="H722" s="136" t="s">
        <v>4829</v>
      </c>
      <c r="I722" s="136" t="s">
        <v>4532</v>
      </c>
      <c r="J722" s="136" t="s">
        <v>4455</v>
      </c>
      <c r="K722" s="136">
        <v>142000071412</v>
      </c>
      <c r="L722" s="138">
        <v>1031.06</v>
      </c>
      <c r="M722" s="138">
        <v>0</v>
      </c>
      <c r="N722" s="136" t="s">
        <v>4425</v>
      </c>
      <c r="O722" s="136" t="s">
        <v>4426</v>
      </c>
      <c r="P722" s="136" t="s">
        <v>4427</v>
      </c>
      <c r="Q722" s="136" t="s">
        <v>4428</v>
      </c>
      <c r="R722" s="136">
        <v>0</v>
      </c>
      <c r="S722" s="142">
        <f>(Tabla18[[#This Row],[Debe]]-Tabla18[[#This Row],[Haber]])*
SUMIF('0_Indice_CAC'!$A:$A,Tabla18[[#This Row],[Mes]],'0_Indice_CAC'!$D:$D)</f>
        <v>819.0478605200949</v>
      </c>
      <c r="T722" s="142">
        <f>Tabla18[[#This Row],[Debe]]-Tabla18[[#This Row],[Haber]]</f>
        <v>1031.06</v>
      </c>
      <c r="U722" s="322"/>
      <c r="V722" s="323"/>
      <c r="W722" s="142">
        <f t="shared" si="13"/>
        <v>1031.06</v>
      </c>
      <c r="X722" s="142" t="b">
        <f>ISNUMBER(MATCH(A722,'3_Control_Ppto'!$A$4:$A$70,0))</f>
        <v>1</v>
      </c>
      <c r="Y722" s="136"/>
    </row>
    <row r="723" spans="1:25" ht="12" customHeight="1" x14ac:dyDescent="0.3">
      <c r="A723" s="140" t="s">
        <v>4317</v>
      </c>
      <c r="B723" s="140" t="s">
        <v>56</v>
      </c>
      <c r="C723" s="549">
        <f>+EOMONTH(Tabla18[[#This Row],[Fecha Asiento]],-1)+1</f>
        <v>46054</v>
      </c>
      <c r="D723" s="136">
        <v>52302</v>
      </c>
      <c r="E723" s="136" t="s">
        <v>4444</v>
      </c>
      <c r="F723" s="141">
        <v>46081</v>
      </c>
      <c r="G723" s="136">
        <v>1485</v>
      </c>
      <c r="H723" s="136" t="s">
        <v>4847</v>
      </c>
      <c r="I723" s="136" t="s">
        <v>4532</v>
      </c>
      <c r="J723" s="136" t="s">
        <v>4455</v>
      </c>
      <c r="K723" s="136">
        <v>142000071412</v>
      </c>
      <c r="L723" s="138">
        <v>32310.03</v>
      </c>
      <c r="M723" s="138">
        <v>0</v>
      </c>
      <c r="N723" s="136" t="s">
        <v>4425</v>
      </c>
      <c r="O723" s="136" t="s">
        <v>4426</v>
      </c>
      <c r="P723" s="136" t="s">
        <v>4427</v>
      </c>
      <c r="Q723" s="136" t="s">
        <v>4428</v>
      </c>
      <c r="R723" s="136">
        <v>0</v>
      </c>
      <c r="S723" s="142">
        <f>(Tabla18[[#This Row],[Debe]]-Tabla18[[#This Row],[Haber]])*
SUMIF('0_Indice_CAC'!$A:$A,Tabla18[[#This Row],[Mes]],'0_Indice_CAC'!$D:$D)</f>
        <v>25666.266701103796</v>
      </c>
      <c r="T723" s="142">
        <f>Tabla18[[#This Row],[Debe]]-Tabla18[[#This Row],[Haber]]</f>
        <v>32310.03</v>
      </c>
      <c r="U723" s="322"/>
      <c r="V723" s="323"/>
      <c r="W723" s="142">
        <f t="shared" si="13"/>
        <v>32310.03</v>
      </c>
      <c r="X723" s="142" t="b">
        <f>ISNUMBER(MATCH(A723,'3_Control_Ppto'!$A$4:$A$70,0))</f>
        <v>1</v>
      </c>
      <c r="Y723" s="136"/>
    </row>
    <row r="724" spans="1:25" ht="12" customHeight="1" x14ac:dyDescent="0.3">
      <c r="A724" s="140" t="s">
        <v>4317</v>
      </c>
      <c r="B724" s="140" t="s">
        <v>56</v>
      </c>
      <c r="C724" s="549">
        <f>+EOMONTH(Tabla18[[#This Row],[Fecha Asiento]],-1)+1</f>
        <v>46054</v>
      </c>
      <c r="D724" s="136">
        <v>52302</v>
      </c>
      <c r="E724" s="136" t="s">
        <v>4444</v>
      </c>
      <c r="F724" s="141">
        <v>46081</v>
      </c>
      <c r="G724" s="136">
        <v>1485</v>
      </c>
      <c r="H724" s="136" t="s">
        <v>4848</v>
      </c>
      <c r="I724" s="136" t="s">
        <v>4532</v>
      </c>
      <c r="J724" s="136" t="s">
        <v>4455</v>
      </c>
      <c r="K724" s="136">
        <v>142000071412</v>
      </c>
      <c r="L724" s="138">
        <v>38299.449999999997</v>
      </c>
      <c r="M724" s="138">
        <v>0</v>
      </c>
      <c r="N724" s="136" t="s">
        <v>4425</v>
      </c>
      <c r="O724" s="136" t="s">
        <v>4426</v>
      </c>
      <c r="P724" s="136" t="s">
        <v>4427</v>
      </c>
      <c r="Q724" s="136" t="s">
        <v>4428</v>
      </c>
      <c r="R724" s="136">
        <v>0</v>
      </c>
      <c r="S724" s="142">
        <f>(Tabla18[[#This Row],[Debe]]-Tabla18[[#This Row],[Haber]])*
SUMIF('0_Indice_CAC'!$A:$A,Tabla18[[#This Row],[Mes]],'0_Indice_CAC'!$D:$D)</f>
        <v>30424.109733280649</v>
      </c>
      <c r="T724" s="142">
        <f>Tabla18[[#This Row],[Debe]]-Tabla18[[#This Row],[Haber]]</f>
        <v>38299.449999999997</v>
      </c>
      <c r="U724" s="322"/>
      <c r="V724" s="323"/>
      <c r="W724" s="142">
        <f t="shared" si="13"/>
        <v>38299.449999999997</v>
      </c>
      <c r="X724" s="142" t="b">
        <f>ISNUMBER(MATCH(A724,'3_Control_Ppto'!$A$4:$A$70,0))</f>
        <v>1</v>
      </c>
      <c r="Y724" s="136"/>
    </row>
    <row r="725" spans="1:25" ht="12" customHeight="1" x14ac:dyDescent="0.3">
      <c r="A725" s="140" t="s">
        <v>4119</v>
      </c>
      <c r="B725" s="140" t="s">
        <v>56</v>
      </c>
      <c r="C725" s="549">
        <f>+EOMONTH(Tabla18[[#This Row],[Fecha Asiento]],-1)+1</f>
        <v>46082</v>
      </c>
      <c r="D725" s="136">
        <v>52104</v>
      </c>
      <c r="E725" s="136" t="s">
        <v>4528</v>
      </c>
      <c r="F725" s="141">
        <v>46083</v>
      </c>
      <c r="G725" s="136">
        <v>1630</v>
      </c>
      <c r="H725" s="136" t="s">
        <v>4655</v>
      </c>
      <c r="I725" s="136" t="s">
        <v>4656</v>
      </c>
      <c r="J725" s="136" t="s">
        <v>4455</v>
      </c>
      <c r="K725" s="136">
        <v>1100002825</v>
      </c>
      <c r="L725" s="138">
        <v>330000</v>
      </c>
      <c r="M725" s="138">
        <v>0</v>
      </c>
      <c r="N725" s="136" t="s">
        <v>4425</v>
      </c>
      <c r="O725" s="136" t="s">
        <v>4426</v>
      </c>
      <c r="P725" s="136" t="s">
        <v>4427</v>
      </c>
      <c r="Q725" s="136" t="s">
        <v>4428</v>
      </c>
      <c r="R725" s="136">
        <v>0</v>
      </c>
      <c r="S725" s="142">
        <f>(Tabla18[[#This Row],[Debe]]-Tabla18[[#This Row],[Haber]])*
SUMIF('0_Indice_CAC'!$A:$A,Tabla18[[#This Row],[Mes]],'0_Indice_CAC'!$D:$D)</f>
        <v>262143.61334125203</v>
      </c>
      <c r="T725" s="142">
        <f>Tabla18[[#This Row],[Debe]]-Tabla18[[#This Row],[Haber]]</f>
        <v>330000</v>
      </c>
      <c r="U725" s="322"/>
      <c r="V725" s="323"/>
      <c r="W725" s="142">
        <f t="shared" si="13"/>
        <v>330000</v>
      </c>
      <c r="X725" s="142" t="b">
        <f>ISNUMBER(MATCH(A725,'3_Control_Ppto'!$A$4:$A$70,0))</f>
        <v>1</v>
      </c>
      <c r="Y725" s="136"/>
    </row>
    <row r="726" spans="1:25" ht="12" customHeight="1" x14ac:dyDescent="0.3">
      <c r="A726" s="140" t="s">
        <v>4310</v>
      </c>
      <c r="B726" s="140" t="s">
        <v>56</v>
      </c>
      <c r="C726" s="549">
        <f>+EOMONTH(Tabla18[[#This Row],[Fecha Asiento]],-1)+1</f>
        <v>46082</v>
      </c>
      <c r="D726" s="136">
        <v>52204</v>
      </c>
      <c r="E726" s="136" t="s">
        <v>4452</v>
      </c>
      <c r="F726" s="141">
        <v>46083</v>
      </c>
      <c r="G726" s="136">
        <v>1490</v>
      </c>
      <c r="H726" s="136" t="s">
        <v>4453</v>
      </c>
      <c r="I726" s="136" t="s">
        <v>4835</v>
      </c>
      <c r="J726" s="136" t="s">
        <v>4542</v>
      </c>
      <c r="K726" s="136">
        <v>300000870</v>
      </c>
      <c r="L726" s="138">
        <v>470000</v>
      </c>
      <c r="M726" s="138">
        <v>0</v>
      </c>
      <c r="N726" s="136" t="s">
        <v>4425</v>
      </c>
      <c r="O726" s="136" t="s">
        <v>4426</v>
      </c>
      <c r="P726" s="136" t="s">
        <v>4427</v>
      </c>
      <c r="Q726" s="136" t="s">
        <v>4428</v>
      </c>
      <c r="R726" s="136">
        <v>0</v>
      </c>
      <c r="S726" s="142">
        <f>(Tabla18[[#This Row],[Debe]]-Tabla18[[#This Row],[Haber]])*
SUMIF('0_Indice_CAC'!$A:$A,Tabla18[[#This Row],[Mes]],'0_Indice_CAC'!$D:$D)</f>
        <v>373356.05536481348</v>
      </c>
      <c r="T726" s="142">
        <f>Tabla18[[#This Row],[Debe]]-Tabla18[[#This Row],[Haber]]</f>
        <v>470000</v>
      </c>
      <c r="U726" s="322"/>
      <c r="V726" s="323"/>
      <c r="W726" s="142">
        <f t="shared" si="13"/>
        <v>470000</v>
      </c>
      <c r="X726" s="142" t="b">
        <f>ISNUMBER(MATCH(A726,'3_Control_Ppto'!$A$4:$A$70,0))</f>
        <v>1</v>
      </c>
      <c r="Y726" s="136"/>
    </row>
    <row r="727" spans="1:25" ht="12" customHeight="1" x14ac:dyDescent="0.3">
      <c r="A727" s="140" t="s">
        <v>4271</v>
      </c>
      <c r="B727" s="140" t="s">
        <v>4090</v>
      </c>
      <c r="C727" s="549">
        <f>+EOMONTH(Tabla18[[#This Row],[Fecha Asiento]],-1)+1</f>
        <v>46082</v>
      </c>
      <c r="D727" s="136">
        <v>53017</v>
      </c>
      <c r="E727" s="136" t="s">
        <v>4677</v>
      </c>
      <c r="F727" s="141">
        <v>46083</v>
      </c>
      <c r="G727" s="136">
        <v>1488</v>
      </c>
      <c r="H727" s="136" t="s">
        <v>4734</v>
      </c>
      <c r="I727" s="136" t="s">
        <v>4489</v>
      </c>
      <c r="J727" s="136" t="s">
        <v>4439</v>
      </c>
      <c r="K727" s="136">
        <v>300006781</v>
      </c>
      <c r="L727" s="138">
        <v>6942.16</v>
      </c>
      <c r="M727" s="138">
        <v>0</v>
      </c>
      <c r="N727" s="136" t="s">
        <v>4425</v>
      </c>
      <c r="O727" s="136" t="s">
        <v>4426</v>
      </c>
      <c r="P727" s="136" t="s">
        <v>4427</v>
      </c>
      <c r="Q727" s="136" t="s">
        <v>4428</v>
      </c>
      <c r="R727" s="136">
        <v>0</v>
      </c>
      <c r="S727" s="142">
        <f>(Tabla18[[#This Row],[Debe]]-Tabla18[[#This Row],[Haber]])*
SUMIF('0_Indice_CAC'!$A:$A,Tabla18[[#This Row],[Mes]],'0_Indice_CAC'!$D:$D)</f>
        <v>5514.6754751306244</v>
      </c>
      <c r="T727" s="142">
        <f>Tabla18[[#This Row],[Debe]]-Tabla18[[#This Row],[Haber]]</f>
        <v>6942.16</v>
      </c>
      <c r="U727" s="322"/>
      <c r="V727" s="323"/>
      <c r="W727" s="142">
        <f t="shared" si="13"/>
        <v>6942.16</v>
      </c>
      <c r="X727" s="142" t="b">
        <f>ISNUMBER(MATCH(A727,'3_Control_Ppto'!$A$4:$A$70,0))</f>
        <v>1</v>
      </c>
      <c r="Y727" s="136"/>
    </row>
    <row r="728" spans="1:25" ht="12" customHeight="1" x14ac:dyDescent="0.3">
      <c r="A728" s="140" t="s">
        <v>4310</v>
      </c>
      <c r="B728" s="140" t="s">
        <v>56</v>
      </c>
      <c r="C728" s="549">
        <f>+EOMONTH(Tabla18[[#This Row],[Fecha Asiento]],-1)+1</f>
        <v>46082</v>
      </c>
      <c r="D728" s="136">
        <v>52204</v>
      </c>
      <c r="E728" s="136" t="s">
        <v>4452</v>
      </c>
      <c r="F728" s="141">
        <v>46084</v>
      </c>
      <c r="G728" s="136">
        <v>2072</v>
      </c>
      <c r="H728" s="136" t="s">
        <v>4453</v>
      </c>
      <c r="I728" s="136" t="s">
        <v>4454</v>
      </c>
      <c r="J728" s="136" t="s">
        <v>4455</v>
      </c>
      <c r="K728" s="136">
        <v>300001433</v>
      </c>
      <c r="L728" s="138">
        <v>370000</v>
      </c>
      <c r="M728" s="138">
        <v>0</v>
      </c>
      <c r="N728" s="136" t="s">
        <v>4425</v>
      </c>
      <c r="O728" s="136" t="s">
        <v>4426</v>
      </c>
      <c r="P728" s="136" t="s">
        <v>4427</v>
      </c>
      <c r="Q728" s="136" t="s">
        <v>4428</v>
      </c>
      <c r="R728" s="136">
        <v>0</v>
      </c>
      <c r="S728" s="142">
        <f>(Tabla18[[#This Row],[Debe]]-Tabla18[[#This Row],[Haber]])*
SUMIF('0_Indice_CAC'!$A:$A,Tabla18[[#This Row],[Mes]],'0_Indice_CAC'!$D:$D)</f>
        <v>293918.59677655529</v>
      </c>
      <c r="T728" s="142">
        <f>Tabla18[[#This Row],[Debe]]-Tabla18[[#This Row],[Haber]]</f>
        <v>370000</v>
      </c>
      <c r="U728" s="322"/>
      <c r="V728" s="323"/>
      <c r="W728" s="142">
        <f t="shared" si="13"/>
        <v>370000</v>
      </c>
      <c r="X728" s="142" t="b">
        <f>ISNUMBER(MATCH(A728,'3_Control_Ppto'!$A$4:$A$70,0))</f>
        <v>1</v>
      </c>
      <c r="Y728" s="136"/>
    </row>
    <row r="729" spans="1:25" ht="12" customHeight="1" x14ac:dyDescent="0.3">
      <c r="A729" s="140" t="s">
        <v>25</v>
      </c>
      <c r="B729" s="140" t="s">
        <v>25</v>
      </c>
      <c r="C729" s="549">
        <f>+EOMONTH(Tabla18[[#This Row],[Fecha Asiento]],-1)+1</f>
        <v>46082</v>
      </c>
      <c r="D729" s="136">
        <v>52405</v>
      </c>
      <c r="E729" s="136" t="s">
        <v>4493</v>
      </c>
      <c r="F729" s="141">
        <v>46085</v>
      </c>
      <c r="G729" s="136">
        <v>1496</v>
      </c>
      <c r="H729" s="136" t="s">
        <v>4849</v>
      </c>
      <c r="I729" s="136" t="s">
        <v>4850</v>
      </c>
      <c r="J729" s="136" t="s">
        <v>4455</v>
      </c>
      <c r="K729" s="136">
        <v>4300009261</v>
      </c>
      <c r="L729" s="138">
        <v>0.01</v>
      </c>
      <c r="M729" s="138">
        <v>0</v>
      </c>
      <c r="N729" s="136" t="s">
        <v>4425</v>
      </c>
      <c r="O729" s="136" t="s">
        <v>4426</v>
      </c>
      <c r="P729" s="136" t="s">
        <v>4427</v>
      </c>
      <c r="Q729" s="136" t="s">
        <v>4428</v>
      </c>
      <c r="R729" s="136">
        <v>0</v>
      </c>
      <c r="S729" s="142">
        <f>(Tabla18[[#This Row],[Debe]]-Tabla18[[#This Row],[Haber]])*
SUMIF('0_Indice_CAC'!$A:$A,Tabla18[[#This Row],[Mes]],'0_Indice_CAC'!$D:$D)</f>
        <v>7.9437458588258198E-3</v>
      </c>
      <c r="T729" s="142">
        <f>Tabla18[[#This Row],[Debe]]-Tabla18[[#This Row],[Haber]]</f>
        <v>0.01</v>
      </c>
      <c r="U729" s="322"/>
      <c r="V729" s="323"/>
      <c r="W729" s="142">
        <f t="shared" si="13"/>
        <v>0.01</v>
      </c>
      <c r="X729" s="142" t="b">
        <f>ISNUMBER(MATCH(A729,'3_Control_Ppto'!$A$4:$A$70,0))</f>
        <v>0</v>
      </c>
      <c r="Y729" s="136"/>
    </row>
    <row r="730" spans="1:25" ht="12" customHeight="1" x14ac:dyDescent="0.3">
      <c r="A730" s="140" t="s">
        <v>476</v>
      </c>
      <c r="B730" s="140" t="s">
        <v>4090</v>
      </c>
      <c r="C730" s="549">
        <f>+EOMONTH(Tabla18[[#This Row],[Fecha Asiento]],-1)+1</f>
        <v>46082</v>
      </c>
      <c r="D730" s="136">
        <v>53013</v>
      </c>
      <c r="E730" s="136" t="s">
        <v>4851</v>
      </c>
      <c r="F730" s="141">
        <v>46085</v>
      </c>
      <c r="G730" s="136">
        <v>1500</v>
      </c>
      <c r="H730" s="136" t="s">
        <v>4852</v>
      </c>
      <c r="I730" s="136" t="s">
        <v>4630</v>
      </c>
      <c r="J730" s="136" t="s">
        <v>4455</v>
      </c>
      <c r="K730" s="136">
        <v>1500091779</v>
      </c>
      <c r="L730" s="138">
        <v>2012146.6</v>
      </c>
      <c r="M730" s="138">
        <v>0</v>
      </c>
      <c r="N730" s="136" t="s">
        <v>4425</v>
      </c>
      <c r="O730" s="136" t="s">
        <v>4426</v>
      </c>
      <c r="P730" s="136" t="s">
        <v>4427</v>
      </c>
      <c r="Q730" s="136" t="s">
        <v>4428</v>
      </c>
      <c r="R730" s="136">
        <v>0</v>
      </c>
      <c r="S730" s="142">
        <f>(Tabla18[[#This Row],[Debe]]-Tabla18[[#This Row],[Haber]])*
SUMIF('0_Indice_CAC'!$A:$A,Tabla18[[#This Row],[Mes]],'0_Indice_CAC'!$D:$D)</f>
        <v>1598398.1221100453</v>
      </c>
      <c r="T730" s="142">
        <f>Tabla18[[#This Row],[Debe]]-Tabla18[[#This Row],[Haber]]</f>
        <v>2012146.6</v>
      </c>
      <c r="U730" s="322"/>
      <c r="V730" s="323"/>
      <c r="W730" s="142">
        <f t="shared" si="13"/>
        <v>2012146.6</v>
      </c>
      <c r="X730" s="142" t="b">
        <f>ISNUMBER(MATCH(A730,'3_Control_Ppto'!$A$4:$A$70,0))</f>
        <v>1</v>
      </c>
      <c r="Y730" s="136"/>
    </row>
    <row r="731" spans="1:25" ht="12" customHeight="1" x14ac:dyDescent="0.3">
      <c r="A731" s="140" t="s">
        <v>2779</v>
      </c>
      <c r="B731" s="140" t="s">
        <v>4090</v>
      </c>
      <c r="C731" s="549">
        <f>+EOMONTH(Tabla18[[#This Row],[Fecha Asiento]],-1)+1</f>
        <v>46082</v>
      </c>
      <c r="D731" s="136">
        <v>53015</v>
      </c>
      <c r="E731" s="136" t="s">
        <v>4821</v>
      </c>
      <c r="F731" s="141">
        <v>46085</v>
      </c>
      <c r="G731" s="136">
        <v>1496</v>
      </c>
      <c r="H731" s="136" t="s">
        <v>4853</v>
      </c>
      <c r="I731" s="136" t="s">
        <v>4850</v>
      </c>
      <c r="J731" s="136" t="s">
        <v>4455</v>
      </c>
      <c r="K731" s="136">
        <v>4300009261</v>
      </c>
      <c r="L731" s="138">
        <v>25503.3</v>
      </c>
      <c r="M731" s="138">
        <v>0</v>
      </c>
      <c r="N731" s="136" t="s">
        <v>4425</v>
      </c>
      <c r="O731" s="136" t="s">
        <v>4426</v>
      </c>
      <c r="P731" s="136" t="s">
        <v>4427</v>
      </c>
      <c r="Q731" s="136" t="s">
        <v>4428</v>
      </c>
      <c r="R731" s="136">
        <v>0</v>
      </c>
      <c r="S731" s="142">
        <f>(Tabla18[[#This Row],[Debe]]-Tabla18[[#This Row],[Haber]])*
SUMIF('0_Indice_CAC'!$A:$A,Tabla18[[#This Row],[Mes]],'0_Indice_CAC'!$D:$D)</f>
        <v>20259.17337613925</v>
      </c>
      <c r="T731" s="142">
        <f>Tabla18[[#This Row],[Debe]]-Tabla18[[#This Row],[Haber]]</f>
        <v>25503.3</v>
      </c>
      <c r="U731" s="322"/>
      <c r="V731" s="323"/>
      <c r="W731" s="142">
        <f t="shared" si="13"/>
        <v>25503.3</v>
      </c>
      <c r="X731" s="142" t="b">
        <f>ISNUMBER(MATCH(A731,'3_Control_Ppto'!$A$4:$A$70,0))</f>
        <v>1</v>
      </c>
      <c r="Y731" s="136"/>
    </row>
    <row r="732" spans="1:25" ht="12" customHeight="1" x14ac:dyDescent="0.3">
      <c r="A732" s="140" t="s">
        <v>4271</v>
      </c>
      <c r="B732" s="140" t="s">
        <v>4090</v>
      </c>
      <c r="C732" s="549">
        <f>+EOMONTH(Tabla18[[#This Row],[Fecha Asiento]],-1)+1</f>
        <v>46082</v>
      </c>
      <c r="D732" s="136">
        <v>53017</v>
      </c>
      <c r="E732" s="136" t="s">
        <v>4677</v>
      </c>
      <c r="F732" s="141">
        <v>46085</v>
      </c>
      <c r="G732" s="136">
        <v>1498</v>
      </c>
      <c r="H732" s="136" t="s">
        <v>4734</v>
      </c>
      <c r="I732" s="136" t="s">
        <v>4489</v>
      </c>
      <c r="J732" s="136" t="s">
        <v>4439</v>
      </c>
      <c r="K732" s="136">
        <v>300006789</v>
      </c>
      <c r="L732" s="138">
        <v>4958.68</v>
      </c>
      <c r="M732" s="138">
        <v>0</v>
      </c>
      <c r="N732" s="136" t="s">
        <v>4425</v>
      </c>
      <c r="O732" s="136" t="s">
        <v>4426</v>
      </c>
      <c r="P732" s="136" t="s">
        <v>4427</v>
      </c>
      <c r="Q732" s="136" t="s">
        <v>4428</v>
      </c>
      <c r="R732" s="136">
        <v>0</v>
      </c>
      <c r="S732" s="142">
        <f>(Tabla18[[#This Row],[Debe]]-Tabla18[[#This Row],[Haber]])*
SUMIF('0_Indice_CAC'!$A:$A,Tabla18[[#This Row],[Mes]],'0_Indice_CAC'!$D:$D)</f>
        <v>3939.0493715242415</v>
      </c>
      <c r="T732" s="142">
        <f>Tabla18[[#This Row],[Debe]]-Tabla18[[#This Row],[Haber]]</f>
        <v>4958.68</v>
      </c>
      <c r="U732" s="322"/>
      <c r="V732" s="323"/>
      <c r="W732" s="142">
        <f t="shared" si="13"/>
        <v>4958.68</v>
      </c>
      <c r="X732" s="142" t="b">
        <f>ISNUMBER(MATCH(A732,'3_Control_Ppto'!$A$4:$A$70,0))</f>
        <v>1</v>
      </c>
      <c r="Y732" s="136"/>
    </row>
    <row r="733" spans="1:25" ht="12" customHeight="1" x14ac:dyDescent="0.3">
      <c r="A733" s="140" t="s">
        <v>4317</v>
      </c>
      <c r="B733" s="140" t="s">
        <v>56</v>
      </c>
      <c r="C733" s="549">
        <f>+EOMONTH(Tabla18[[#This Row],[Fecha Asiento]],-1)+1</f>
        <v>46082</v>
      </c>
      <c r="D733" s="136">
        <v>52101</v>
      </c>
      <c r="E733" s="136" t="s">
        <v>4709</v>
      </c>
      <c r="F733" s="141">
        <v>46086</v>
      </c>
      <c r="G733" s="136">
        <v>1510</v>
      </c>
      <c r="H733" s="136" t="s">
        <v>4808</v>
      </c>
      <c r="I733" s="136" t="s">
        <v>4809</v>
      </c>
      <c r="J733" s="136" t="s">
        <v>4455</v>
      </c>
      <c r="K733" s="136">
        <v>400011113</v>
      </c>
      <c r="L733" s="138">
        <v>6446.28</v>
      </c>
      <c r="M733" s="138">
        <v>0</v>
      </c>
      <c r="N733" s="136" t="s">
        <v>4425</v>
      </c>
      <c r="O733" s="136" t="s">
        <v>4426</v>
      </c>
      <c r="P733" s="136" t="s">
        <v>4427</v>
      </c>
      <c r="Q733" s="136" t="s">
        <v>4428</v>
      </c>
      <c r="R733" s="136">
        <v>0</v>
      </c>
      <c r="S733" s="142">
        <f>(Tabla18[[#This Row],[Debe]]-Tabla18[[#This Row],[Haber]])*
SUMIF('0_Indice_CAC'!$A:$A,Tabla18[[#This Row],[Mes]],'0_Indice_CAC'!$D:$D)</f>
        <v>5120.7610054831703</v>
      </c>
      <c r="T733" s="142">
        <f>Tabla18[[#This Row],[Debe]]-Tabla18[[#This Row],[Haber]]</f>
        <v>6446.28</v>
      </c>
      <c r="U733" s="322"/>
      <c r="V733" s="323"/>
      <c r="W733" s="142">
        <f t="shared" si="13"/>
        <v>6446.28</v>
      </c>
      <c r="X733" s="142" t="b">
        <f>ISNUMBER(MATCH(A733,'3_Control_Ppto'!$A$4:$A$70,0))</f>
        <v>1</v>
      </c>
      <c r="Y733" s="136"/>
    </row>
    <row r="734" spans="1:25" ht="12" customHeight="1" x14ac:dyDescent="0.3">
      <c r="A734" s="140" t="s">
        <v>106</v>
      </c>
      <c r="B734" s="140" t="s">
        <v>25</v>
      </c>
      <c r="C734" s="549">
        <f>+EOMONTH(Tabla18[[#This Row],[Fecha Asiento]],-1)+1</f>
        <v>46082</v>
      </c>
      <c r="D734" s="136">
        <v>53009</v>
      </c>
      <c r="E734" s="136" t="s">
        <v>4446</v>
      </c>
      <c r="F734" s="141">
        <v>46087</v>
      </c>
      <c r="G734" s="136">
        <v>667</v>
      </c>
      <c r="H734" s="136" t="s">
        <v>4854</v>
      </c>
      <c r="I734" s="136" t="s">
        <v>4423</v>
      </c>
      <c r="J734" s="136" t="s">
        <v>4424</v>
      </c>
      <c r="K734" s="136">
        <v>8685</v>
      </c>
      <c r="L734" s="138">
        <v>2255000</v>
      </c>
      <c r="M734" s="138">
        <v>0</v>
      </c>
      <c r="N734" s="136" t="s">
        <v>4425</v>
      </c>
      <c r="O734" s="136" t="s">
        <v>4426</v>
      </c>
      <c r="P734" s="136" t="s">
        <v>4427</v>
      </c>
      <c r="Q734" s="136" t="s">
        <v>4428</v>
      </c>
      <c r="R734" s="136">
        <v>0</v>
      </c>
      <c r="S734" s="142">
        <f>(Tabla18[[#This Row],[Debe]]-Tabla18[[#This Row],[Haber]])*
SUMIF('0_Indice_CAC'!$A:$A,Tabla18[[#This Row],[Mes]],'0_Indice_CAC'!$D:$D)</f>
        <v>1791314.6911652223</v>
      </c>
      <c r="T734" s="142">
        <f>Tabla18[[#This Row],[Debe]]-Tabla18[[#This Row],[Haber]]</f>
        <v>2255000</v>
      </c>
      <c r="U734" s="322"/>
      <c r="V734" s="323"/>
      <c r="W734" s="142">
        <f t="shared" si="13"/>
        <v>2255000</v>
      </c>
      <c r="X734" s="142" t="b">
        <f>ISNUMBER(MATCH(A734,'3_Control_Ppto'!$A$4:$A$70,0))</f>
        <v>1</v>
      </c>
      <c r="Y734" s="136"/>
    </row>
    <row r="735" spans="1:25" ht="12" customHeight="1" x14ac:dyDescent="0.3">
      <c r="A735" s="140" t="s">
        <v>106</v>
      </c>
      <c r="B735" s="140" t="s">
        <v>25</v>
      </c>
      <c r="C735" s="549">
        <f>+EOMONTH(Tabla18[[#This Row],[Fecha Asiento]],-1)+1</f>
        <v>46082</v>
      </c>
      <c r="D735" s="136">
        <v>53009</v>
      </c>
      <c r="E735" s="136" t="s">
        <v>4446</v>
      </c>
      <c r="F735" s="141">
        <v>46087</v>
      </c>
      <c r="G735" s="136">
        <v>670</v>
      </c>
      <c r="H735" s="136" t="s">
        <v>4855</v>
      </c>
      <c r="I735" s="136" t="s">
        <v>4423</v>
      </c>
      <c r="J735" s="136" t="s">
        <v>4424</v>
      </c>
      <c r="K735" s="136">
        <v>8688</v>
      </c>
      <c r="L735" s="138">
        <v>228500</v>
      </c>
      <c r="M735" s="138">
        <v>0</v>
      </c>
      <c r="N735" s="136" t="s">
        <v>4425</v>
      </c>
      <c r="O735" s="136" t="s">
        <v>4426</v>
      </c>
      <c r="P735" s="136" t="s">
        <v>4427</v>
      </c>
      <c r="Q735" s="136" t="s">
        <v>4428</v>
      </c>
      <c r="R735" s="136">
        <v>0</v>
      </c>
      <c r="S735" s="142">
        <f>(Tabla18[[#This Row],[Debe]]-Tabla18[[#This Row],[Haber]])*
SUMIF('0_Indice_CAC'!$A:$A,Tabla18[[#This Row],[Mes]],'0_Indice_CAC'!$D:$D)</f>
        <v>181514.59287416996</v>
      </c>
      <c r="T735" s="142">
        <f>Tabla18[[#This Row],[Debe]]-Tabla18[[#This Row],[Haber]]</f>
        <v>228500</v>
      </c>
      <c r="U735" s="322"/>
      <c r="V735" s="323"/>
      <c r="W735" s="142">
        <f t="shared" si="13"/>
        <v>228500</v>
      </c>
      <c r="X735" s="142" t="b">
        <f>ISNUMBER(MATCH(A735,'3_Control_Ppto'!$A$4:$A$70,0))</f>
        <v>1</v>
      </c>
      <c r="Y735" s="136"/>
    </row>
    <row r="736" spans="1:25" ht="12" customHeight="1" x14ac:dyDescent="0.3">
      <c r="A736" s="140" t="s">
        <v>106</v>
      </c>
      <c r="B736" s="140" t="s">
        <v>25</v>
      </c>
      <c r="C736" s="549">
        <f>+EOMONTH(Tabla18[[#This Row],[Fecha Asiento]],-1)+1</f>
        <v>46082</v>
      </c>
      <c r="D736" s="136">
        <v>53009</v>
      </c>
      <c r="E736" s="136" t="s">
        <v>4446</v>
      </c>
      <c r="F736" s="141">
        <v>46087</v>
      </c>
      <c r="G736" s="136">
        <v>671</v>
      </c>
      <c r="H736" s="136" t="s">
        <v>4856</v>
      </c>
      <c r="I736" s="136" t="s">
        <v>4423</v>
      </c>
      <c r="J736" s="136" t="s">
        <v>4424</v>
      </c>
      <c r="K736" s="136">
        <v>8689</v>
      </c>
      <c r="L736" s="138">
        <v>267500</v>
      </c>
      <c r="M736" s="138">
        <v>0</v>
      </c>
      <c r="N736" s="136" t="s">
        <v>4425</v>
      </c>
      <c r="O736" s="136" t="s">
        <v>4426</v>
      </c>
      <c r="P736" s="136" t="s">
        <v>4427</v>
      </c>
      <c r="Q736" s="136" t="s">
        <v>4428</v>
      </c>
      <c r="R736" s="136">
        <v>0</v>
      </c>
      <c r="S736" s="142">
        <f>(Tabla18[[#This Row],[Debe]]-Tabla18[[#This Row],[Haber]])*
SUMIF('0_Indice_CAC'!$A:$A,Tabla18[[#This Row],[Mes]],'0_Indice_CAC'!$D:$D)</f>
        <v>212495.20172359067</v>
      </c>
      <c r="T736" s="142">
        <f>Tabla18[[#This Row],[Debe]]-Tabla18[[#This Row],[Haber]]</f>
        <v>267500</v>
      </c>
      <c r="U736" s="322"/>
      <c r="V736" s="323"/>
      <c r="W736" s="142">
        <f t="shared" ref="W736:W799" si="14">IFERROR(T736-IF(V736="",0,V736),0)</f>
        <v>267500</v>
      </c>
      <c r="X736" s="142" t="b">
        <f>ISNUMBER(MATCH(A736,'3_Control_Ppto'!$A$4:$A$70,0))</f>
        <v>1</v>
      </c>
      <c r="Y736" s="136"/>
    </row>
    <row r="737" spans="1:25" ht="12" customHeight="1" x14ac:dyDescent="0.3">
      <c r="A737" s="140" t="s">
        <v>4271</v>
      </c>
      <c r="B737" s="140" t="s">
        <v>4090</v>
      </c>
      <c r="C737" s="549">
        <f>+EOMONTH(Tabla18[[#This Row],[Fecha Asiento]],-1)+1</f>
        <v>46082</v>
      </c>
      <c r="D737" s="136">
        <v>53017</v>
      </c>
      <c r="E737" s="136" t="s">
        <v>4677</v>
      </c>
      <c r="F737" s="141">
        <v>46090</v>
      </c>
      <c r="G737" s="136">
        <v>1666</v>
      </c>
      <c r="H737" s="136" t="s">
        <v>4734</v>
      </c>
      <c r="I737" s="136" t="s">
        <v>4489</v>
      </c>
      <c r="J737" s="136" t="s">
        <v>4439</v>
      </c>
      <c r="K737" s="136">
        <v>300006800</v>
      </c>
      <c r="L737" s="138">
        <v>4132.2299999999996</v>
      </c>
      <c r="M737" s="138">
        <v>0</v>
      </c>
      <c r="N737" s="136" t="s">
        <v>4425</v>
      </c>
      <c r="O737" s="136" t="s">
        <v>4426</v>
      </c>
      <c r="P737" s="136" t="s">
        <v>4427</v>
      </c>
      <c r="Q737" s="136" t="s">
        <v>4428</v>
      </c>
      <c r="R737" s="136">
        <v>0</v>
      </c>
      <c r="S737" s="142">
        <f>(Tabla18[[#This Row],[Debe]]-Tabla18[[#This Row],[Haber]])*
SUMIF('0_Indice_CAC'!$A:$A,Tabla18[[#This Row],[Mes]],'0_Indice_CAC'!$D:$D)</f>
        <v>3282.5384950215812</v>
      </c>
      <c r="T737" s="142">
        <f>Tabla18[[#This Row],[Debe]]-Tabla18[[#This Row],[Haber]]</f>
        <v>4132.2299999999996</v>
      </c>
      <c r="U737" s="322"/>
      <c r="V737" s="323"/>
      <c r="W737" s="142">
        <f t="shared" si="14"/>
        <v>4132.2299999999996</v>
      </c>
      <c r="X737" s="142" t="b">
        <f>ISNUMBER(MATCH(A737,'3_Control_Ppto'!$A$4:$A$70,0))</f>
        <v>1</v>
      </c>
      <c r="Y737" s="136"/>
    </row>
    <row r="738" spans="1:25" ht="12" customHeight="1" x14ac:dyDescent="0.3">
      <c r="A738" s="140" t="s">
        <v>3219</v>
      </c>
      <c r="B738" s="140" t="s">
        <v>4090</v>
      </c>
      <c r="C738" s="549">
        <f>+EOMONTH(Tabla18[[#This Row],[Fecha Asiento]],-1)+1</f>
        <v>46082</v>
      </c>
      <c r="D738" s="136">
        <v>53019</v>
      </c>
      <c r="E738" s="136" t="s">
        <v>4461</v>
      </c>
      <c r="F738" s="141">
        <v>46090</v>
      </c>
      <c r="G738" s="136">
        <v>1639</v>
      </c>
      <c r="H738" s="136" t="s">
        <v>4462</v>
      </c>
      <c r="I738" s="136" t="s">
        <v>4463</v>
      </c>
      <c r="J738" s="136" t="s">
        <v>4455</v>
      </c>
      <c r="K738" s="136">
        <v>300011391</v>
      </c>
      <c r="L738" s="138">
        <v>51415.63</v>
      </c>
      <c r="M738" s="138">
        <v>0</v>
      </c>
      <c r="N738" s="136" t="s">
        <v>4425</v>
      </c>
      <c r="O738" s="136" t="s">
        <v>4426</v>
      </c>
      <c r="P738" s="136" t="s">
        <v>4427</v>
      </c>
      <c r="Q738" s="136" t="s">
        <v>4428</v>
      </c>
      <c r="R738" s="136">
        <v>0</v>
      </c>
      <c r="S738" s="142">
        <f>(Tabla18[[#This Row],[Debe]]-Tabla18[[#This Row],[Haber]])*
SUMIF('0_Indice_CAC'!$A:$A,Tabla18[[#This Row],[Mes]],'0_Indice_CAC'!$D:$D)</f>
        <v>40843.269789142054</v>
      </c>
      <c r="T738" s="142">
        <f>Tabla18[[#This Row],[Debe]]-Tabla18[[#This Row],[Haber]]</f>
        <v>51415.63</v>
      </c>
      <c r="U738" s="322"/>
      <c r="V738" s="323"/>
      <c r="W738" s="142">
        <f t="shared" si="14"/>
        <v>51415.63</v>
      </c>
      <c r="X738" s="142" t="b">
        <f>ISNUMBER(MATCH(A738,'3_Control_Ppto'!$A$4:$A$70,0))</f>
        <v>1</v>
      </c>
      <c r="Y738" s="136"/>
    </row>
    <row r="739" spans="1:25" ht="12" customHeight="1" x14ac:dyDescent="0.3">
      <c r="A739" s="140" t="s">
        <v>106</v>
      </c>
      <c r="B739" s="140" t="s">
        <v>4090</v>
      </c>
      <c r="C739" s="549">
        <f>+EOMONTH(Tabla18[[#This Row],[Fecha Asiento]],-1)+1</f>
        <v>46082</v>
      </c>
      <c r="D739" s="136">
        <v>53023</v>
      </c>
      <c r="E739" s="136" t="s">
        <v>4467</v>
      </c>
      <c r="F739" s="141">
        <v>46090</v>
      </c>
      <c r="G739" s="136">
        <v>1667</v>
      </c>
      <c r="H739" s="136" t="s">
        <v>4705</v>
      </c>
      <c r="I739" s="136" t="s">
        <v>4482</v>
      </c>
      <c r="J739" s="136" t="s">
        <v>4455</v>
      </c>
      <c r="K739" s="136">
        <v>1000000243</v>
      </c>
      <c r="L739" s="138">
        <v>13225</v>
      </c>
      <c r="M739" s="138">
        <v>0</v>
      </c>
      <c r="N739" s="136" t="s">
        <v>4425</v>
      </c>
      <c r="O739" s="136" t="s">
        <v>4426</v>
      </c>
      <c r="P739" s="136" t="s">
        <v>4427</v>
      </c>
      <c r="Q739" s="136" t="s">
        <v>4428</v>
      </c>
      <c r="R739" s="136">
        <v>0</v>
      </c>
      <c r="S739" s="142">
        <f>(Tabla18[[#This Row],[Debe]]-Tabla18[[#This Row],[Haber]])*
SUMIF('0_Indice_CAC'!$A:$A,Tabla18[[#This Row],[Mes]],'0_Indice_CAC'!$D:$D)</f>
        <v>10505.603898297146</v>
      </c>
      <c r="T739" s="142">
        <f>Tabla18[[#This Row],[Debe]]-Tabla18[[#This Row],[Haber]]</f>
        <v>13225</v>
      </c>
      <c r="U739" s="322"/>
      <c r="V739" s="323"/>
      <c r="W739" s="142">
        <f t="shared" si="14"/>
        <v>13225</v>
      </c>
      <c r="X739" s="142" t="b">
        <f>ISNUMBER(MATCH(A739,'3_Control_Ppto'!$A$4:$A$70,0))</f>
        <v>1</v>
      </c>
      <c r="Y739" s="136"/>
    </row>
    <row r="740" spans="1:25" ht="12" customHeight="1" x14ac:dyDescent="0.3">
      <c r="A740" s="140" t="s">
        <v>4271</v>
      </c>
      <c r="B740" s="140" t="s">
        <v>4090</v>
      </c>
      <c r="C740" s="549">
        <f>+EOMONTH(Tabla18[[#This Row],[Fecha Asiento]],-1)+1</f>
        <v>46082</v>
      </c>
      <c r="D740" s="136">
        <v>53017</v>
      </c>
      <c r="E740" s="136" t="s">
        <v>4677</v>
      </c>
      <c r="F740" s="141">
        <v>46091</v>
      </c>
      <c r="G740" s="136">
        <v>1669</v>
      </c>
      <c r="H740" s="136" t="s">
        <v>4734</v>
      </c>
      <c r="I740" s="136" t="s">
        <v>4489</v>
      </c>
      <c r="J740" s="136" t="s">
        <v>4439</v>
      </c>
      <c r="K740" s="136">
        <v>300006804</v>
      </c>
      <c r="L740" s="138">
        <v>49586.78</v>
      </c>
      <c r="M740" s="138">
        <v>0</v>
      </c>
      <c r="N740" s="136" t="s">
        <v>4425</v>
      </c>
      <c r="O740" s="136" t="s">
        <v>4426</v>
      </c>
      <c r="P740" s="136" t="s">
        <v>4427</v>
      </c>
      <c r="Q740" s="136" t="s">
        <v>4428</v>
      </c>
      <c r="R740" s="136">
        <v>0</v>
      </c>
      <c r="S740" s="142">
        <f>(Tabla18[[#This Row],[Debe]]-Tabla18[[#This Row],[Haber]])*
SUMIF('0_Indice_CAC'!$A:$A,Tabla18[[#This Row],[Mes]],'0_Indice_CAC'!$D:$D)</f>
        <v>39390.477827750692</v>
      </c>
      <c r="T740" s="142">
        <f>Tabla18[[#This Row],[Debe]]-Tabla18[[#This Row],[Haber]]</f>
        <v>49586.78</v>
      </c>
      <c r="U740" s="322"/>
      <c r="V740" s="323"/>
      <c r="W740" s="142">
        <f t="shared" si="14"/>
        <v>49586.78</v>
      </c>
      <c r="X740" s="142" t="b">
        <f>ISNUMBER(MATCH(A740,'3_Control_Ppto'!$A$4:$A$70,0))</f>
        <v>1</v>
      </c>
      <c r="Y740" s="136"/>
    </row>
    <row r="741" spans="1:25" ht="12" customHeight="1" x14ac:dyDescent="0.3">
      <c r="A741" s="140" t="s">
        <v>4119</v>
      </c>
      <c r="B741" s="140" t="s">
        <v>25</v>
      </c>
      <c r="C741" s="549">
        <f>+EOMONTH(Tabla18[[#This Row],[Fecha Asiento]],-1)+1</f>
        <v>46082</v>
      </c>
      <c r="D741" s="136">
        <v>53022</v>
      </c>
      <c r="E741" s="136" t="s">
        <v>4429</v>
      </c>
      <c r="F741" s="141">
        <v>46091</v>
      </c>
      <c r="G741" s="136">
        <v>693</v>
      </c>
      <c r="H741" s="136" t="s">
        <v>4857</v>
      </c>
      <c r="I741" s="136" t="s">
        <v>4423</v>
      </c>
      <c r="J741" s="136" t="s">
        <v>4424</v>
      </c>
      <c r="K741" s="136">
        <v>8713</v>
      </c>
      <c r="L741" s="138">
        <v>20000</v>
      </c>
      <c r="M741" s="138">
        <v>0</v>
      </c>
      <c r="N741" s="136" t="s">
        <v>4425</v>
      </c>
      <c r="O741" s="136" t="s">
        <v>4426</v>
      </c>
      <c r="P741" s="136" t="s">
        <v>4427</v>
      </c>
      <c r="Q741" s="136" t="s">
        <v>4428</v>
      </c>
      <c r="R741" s="136">
        <v>0</v>
      </c>
      <c r="S741" s="142">
        <f>(Tabla18[[#This Row],[Debe]]-Tabla18[[#This Row],[Haber]])*
SUMIF('0_Indice_CAC'!$A:$A,Tabla18[[#This Row],[Mes]],'0_Indice_CAC'!$D:$D)</f>
        <v>15887.491717651639</v>
      </c>
      <c r="T741" s="142">
        <f>Tabla18[[#This Row],[Debe]]-Tabla18[[#This Row],[Haber]]</f>
        <v>20000</v>
      </c>
      <c r="U741" s="322"/>
      <c r="V741" s="323"/>
      <c r="W741" s="142">
        <f t="shared" si="14"/>
        <v>20000</v>
      </c>
      <c r="X741" s="142" t="b">
        <f>ISNUMBER(MATCH(A741,'3_Control_Ppto'!$A$4:$A$70,0))</f>
        <v>1</v>
      </c>
      <c r="Y741" s="136"/>
    </row>
    <row r="742" spans="1:25" ht="12" customHeight="1" x14ac:dyDescent="0.3">
      <c r="A742" s="140" t="s">
        <v>106</v>
      </c>
      <c r="B742" s="140" t="s">
        <v>4090</v>
      </c>
      <c r="C742" s="549">
        <f>+EOMONTH(Tabla18[[#This Row],[Fecha Asiento]],-1)+1</f>
        <v>46082</v>
      </c>
      <c r="D742" s="136">
        <v>53023</v>
      </c>
      <c r="E742" s="136" t="s">
        <v>4467</v>
      </c>
      <c r="F742" s="141">
        <v>46091</v>
      </c>
      <c r="G742" s="136">
        <v>1668</v>
      </c>
      <c r="H742" s="136" t="s">
        <v>4674</v>
      </c>
      <c r="I742" s="136" t="s">
        <v>4675</v>
      </c>
      <c r="J742" s="136" t="s">
        <v>4455</v>
      </c>
      <c r="K742" s="136">
        <v>600004860</v>
      </c>
      <c r="L742" s="138">
        <v>14710.74</v>
      </c>
      <c r="M742" s="138">
        <v>0</v>
      </c>
      <c r="N742" s="136" t="s">
        <v>4425</v>
      </c>
      <c r="O742" s="136" t="s">
        <v>4426</v>
      </c>
      <c r="P742" s="136" t="s">
        <v>4427</v>
      </c>
      <c r="Q742" s="136" t="s">
        <v>4428</v>
      </c>
      <c r="R742" s="136">
        <v>0</v>
      </c>
      <c r="S742" s="142">
        <f>(Tabla18[[#This Row],[Debe]]-Tabla18[[#This Row],[Haber]])*
SUMIF('0_Indice_CAC'!$A:$A,Tabla18[[#This Row],[Mes]],'0_Indice_CAC'!$D:$D)</f>
        <v>11685.837995526334</v>
      </c>
      <c r="T742" s="142">
        <f>Tabla18[[#This Row],[Debe]]-Tabla18[[#This Row],[Haber]]</f>
        <v>14710.74</v>
      </c>
      <c r="U742" s="322"/>
      <c r="V742" s="323"/>
      <c r="W742" s="142">
        <f t="shared" si="14"/>
        <v>14710.74</v>
      </c>
      <c r="X742" s="142" t="b">
        <f>ISNUMBER(MATCH(A742,'3_Control_Ppto'!$A$4:$A$70,0))</f>
        <v>1</v>
      </c>
      <c r="Y742" s="136"/>
    </row>
    <row r="743" spans="1:25" ht="12" customHeight="1" x14ac:dyDescent="0.3">
      <c r="A743" s="140" t="s">
        <v>4317</v>
      </c>
      <c r="B743" s="140" t="s">
        <v>56</v>
      </c>
      <c r="C743" s="549">
        <f>+EOMONTH(Tabla18[[#This Row],[Fecha Asiento]],-1)+1</f>
        <v>46082</v>
      </c>
      <c r="D743" s="136">
        <v>52102</v>
      </c>
      <c r="E743" s="136" t="s">
        <v>4535</v>
      </c>
      <c r="F743" s="141">
        <v>46092</v>
      </c>
      <c r="G743" s="136">
        <v>1670</v>
      </c>
      <c r="H743" s="136" t="s">
        <v>4633</v>
      </c>
      <c r="I743" s="136" t="s">
        <v>4634</v>
      </c>
      <c r="J743" s="136" t="s">
        <v>4542</v>
      </c>
      <c r="K743" s="136">
        <v>400008126</v>
      </c>
      <c r="L743" s="138">
        <v>21600</v>
      </c>
      <c r="M743" s="138">
        <v>0</v>
      </c>
      <c r="N743" s="136" t="s">
        <v>4425</v>
      </c>
      <c r="O743" s="136" t="s">
        <v>4426</v>
      </c>
      <c r="P743" s="136" t="s">
        <v>4427</v>
      </c>
      <c r="Q743" s="136" t="s">
        <v>4428</v>
      </c>
      <c r="R743" s="136">
        <v>0</v>
      </c>
      <c r="S743" s="142">
        <f>(Tabla18[[#This Row],[Debe]]-Tabla18[[#This Row],[Haber]])*
SUMIF('0_Indice_CAC'!$A:$A,Tabla18[[#This Row],[Mes]],'0_Indice_CAC'!$D:$D)</f>
        <v>17158.491055063769</v>
      </c>
      <c r="T743" s="142">
        <f>Tabla18[[#This Row],[Debe]]-Tabla18[[#This Row],[Haber]]</f>
        <v>21600</v>
      </c>
      <c r="U743" s="322"/>
      <c r="V743" s="323"/>
      <c r="W743" s="142">
        <f t="shared" si="14"/>
        <v>21600</v>
      </c>
      <c r="X743" s="142" t="b">
        <f>ISNUMBER(MATCH(A743,'3_Control_Ppto'!$A$4:$A$70,0))</f>
        <v>1</v>
      </c>
      <c r="Y743" s="136"/>
    </row>
    <row r="744" spans="1:25" ht="12" customHeight="1" x14ac:dyDescent="0.3">
      <c r="A744" s="140" t="s">
        <v>4271</v>
      </c>
      <c r="B744" s="140" t="s">
        <v>4090</v>
      </c>
      <c r="C744" s="549">
        <f>+EOMONTH(Tabla18[[#This Row],[Fecha Asiento]],-1)+1</f>
        <v>46082</v>
      </c>
      <c r="D744" s="136">
        <v>53017</v>
      </c>
      <c r="E744" s="136" t="s">
        <v>4677</v>
      </c>
      <c r="F744" s="141">
        <v>46092</v>
      </c>
      <c r="G744" s="136">
        <v>690</v>
      </c>
      <c r="H744" s="136" t="s">
        <v>4802</v>
      </c>
      <c r="I744" s="136" t="s">
        <v>4423</v>
      </c>
      <c r="J744" s="136" t="s">
        <v>4424</v>
      </c>
      <c r="K744" s="136">
        <v>8710</v>
      </c>
      <c r="L744" s="138">
        <v>3814</v>
      </c>
      <c r="M744" s="138">
        <v>0</v>
      </c>
      <c r="N744" s="136" t="s">
        <v>4425</v>
      </c>
      <c r="O744" s="136" t="s">
        <v>4426</v>
      </c>
      <c r="P744" s="136" t="s">
        <v>4427</v>
      </c>
      <c r="Q744" s="136" t="s">
        <v>4428</v>
      </c>
      <c r="R744" s="136">
        <v>0</v>
      </c>
      <c r="S744" s="142">
        <f>(Tabla18[[#This Row],[Debe]]-Tabla18[[#This Row],[Haber]])*
SUMIF('0_Indice_CAC'!$A:$A,Tabla18[[#This Row],[Mes]],'0_Indice_CAC'!$D:$D)</f>
        <v>3029.7446705561674</v>
      </c>
      <c r="T744" s="142">
        <f>Tabla18[[#This Row],[Debe]]-Tabla18[[#This Row],[Haber]]</f>
        <v>3814</v>
      </c>
      <c r="U744" s="322"/>
      <c r="V744" s="323"/>
      <c r="W744" s="142">
        <f t="shared" si="14"/>
        <v>3814</v>
      </c>
      <c r="X744" s="142" t="b">
        <f>ISNUMBER(MATCH(A744,'3_Control_Ppto'!$A$4:$A$70,0))</f>
        <v>1</v>
      </c>
      <c r="Y744" s="136"/>
    </row>
    <row r="745" spans="1:25" ht="12" customHeight="1" x14ac:dyDescent="0.3">
      <c r="A745" s="140" t="s">
        <v>4271</v>
      </c>
      <c r="B745" s="140" t="s">
        <v>4090</v>
      </c>
      <c r="C745" s="549">
        <f>+EOMONTH(Tabla18[[#This Row],[Fecha Asiento]],-1)+1</f>
        <v>46082</v>
      </c>
      <c r="D745" s="136">
        <v>53017</v>
      </c>
      <c r="E745" s="136" t="s">
        <v>4677</v>
      </c>
      <c r="F745" s="141">
        <v>46092</v>
      </c>
      <c r="G745" s="136">
        <v>2583</v>
      </c>
      <c r="H745" s="136" t="s">
        <v>4801</v>
      </c>
      <c r="I745" s="136" t="s">
        <v>4794</v>
      </c>
      <c r="J745" s="136" t="s">
        <v>4455</v>
      </c>
      <c r="K745" s="136">
        <v>900002926</v>
      </c>
      <c r="L745" s="138">
        <v>10398.5</v>
      </c>
      <c r="M745" s="138">
        <v>0</v>
      </c>
      <c r="N745" s="136" t="s">
        <v>4425</v>
      </c>
      <c r="O745" s="136" t="s">
        <v>4426</v>
      </c>
      <c r="P745" s="136" t="s">
        <v>4427</v>
      </c>
      <c r="Q745" s="136" t="s">
        <v>4428</v>
      </c>
      <c r="R745" s="136">
        <v>0</v>
      </c>
      <c r="S745" s="142">
        <f>(Tabla18[[#This Row],[Debe]]-Tabla18[[#This Row],[Haber]])*
SUMIF('0_Indice_CAC'!$A:$A,Tabla18[[#This Row],[Mes]],'0_Indice_CAC'!$D:$D)</f>
        <v>8260.3041313000285</v>
      </c>
      <c r="T745" s="142">
        <f>Tabla18[[#This Row],[Debe]]-Tabla18[[#This Row],[Haber]]</f>
        <v>10398.5</v>
      </c>
      <c r="U745" s="322"/>
      <c r="V745" s="323"/>
      <c r="W745" s="142">
        <f t="shared" si="14"/>
        <v>10398.5</v>
      </c>
      <c r="X745" s="142" t="b">
        <f>ISNUMBER(MATCH(A745,'3_Control_Ppto'!$A$4:$A$70,0))</f>
        <v>1</v>
      </c>
      <c r="Y745" s="136"/>
    </row>
    <row r="746" spans="1:25" ht="12" customHeight="1" x14ac:dyDescent="0.3">
      <c r="A746" s="140" t="s">
        <v>106</v>
      </c>
      <c r="B746" s="140" t="s">
        <v>4090</v>
      </c>
      <c r="C746" s="549">
        <f>+EOMONTH(Tabla18[[#This Row],[Fecha Asiento]],-1)+1</f>
        <v>46082</v>
      </c>
      <c r="D746" s="136">
        <v>53023</v>
      </c>
      <c r="E746" s="136" t="s">
        <v>4467</v>
      </c>
      <c r="F746" s="141">
        <v>46092</v>
      </c>
      <c r="G746" s="136">
        <v>691</v>
      </c>
      <c r="H746" s="136" t="s">
        <v>4468</v>
      </c>
      <c r="I746" s="136" t="s">
        <v>4423</v>
      </c>
      <c r="J746" s="136" t="s">
        <v>4424</v>
      </c>
      <c r="K746" s="136">
        <v>8711</v>
      </c>
      <c r="L746" s="138">
        <v>6000</v>
      </c>
      <c r="M746" s="138">
        <v>0</v>
      </c>
      <c r="N746" s="136" t="s">
        <v>4425</v>
      </c>
      <c r="O746" s="136" t="s">
        <v>4426</v>
      </c>
      <c r="P746" s="136" t="s">
        <v>4427</v>
      </c>
      <c r="Q746" s="136" t="s">
        <v>4428</v>
      </c>
      <c r="R746" s="136">
        <v>0</v>
      </c>
      <c r="S746" s="142">
        <f>(Tabla18[[#This Row],[Debe]]-Tabla18[[#This Row],[Haber]])*
SUMIF('0_Indice_CAC'!$A:$A,Tabla18[[#This Row],[Mes]],'0_Indice_CAC'!$D:$D)</f>
        <v>4766.2475152954912</v>
      </c>
      <c r="T746" s="142">
        <f>Tabla18[[#This Row],[Debe]]-Tabla18[[#This Row],[Haber]]</f>
        <v>6000</v>
      </c>
      <c r="U746" s="322"/>
      <c r="V746" s="323"/>
      <c r="W746" s="142">
        <f t="shared" si="14"/>
        <v>6000</v>
      </c>
      <c r="X746" s="142" t="b">
        <f>ISNUMBER(MATCH(A746,'3_Control_Ppto'!$A$4:$A$70,0))</f>
        <v>1</v>
      </c>
      <c r="Y746" s="136"/>
    </row>
    <row r="747" spans="1:25" ht="12" customHeight="1" x14ac:dyDescent="0.3">
      <c r="A747" s="140" t="s">
        <v>4271</v>
      </c>
      <c r="B747" s="140" t="s">
        <v>4090</v>
      </c>
      <c r="C747" s="549">
        <f>+EOMONTH(Tabla18[[#This Row],[Fecha Asiento]],-1)+1</f>
        <v>46082</v>
      </c>
      <c r="D747" s="136">
        <v>53017</v>
      </c>
      <c r="E747" s="136" t="s">
        <v>4677</v>
      </c>
      <c r="F747" s="141">
        <v>46093</v>
      </c>
      <c r="G747" s="136">
        <v>1671</v>
      </c>
      <c r="H747" s="136" t="s">
        <v>4795</v>
      </c>
      <c r="I747" s="136" t="s">
        <v>4752</v>
      </c>
      <c r="J747" s="136" t="s">
        <v>4455</v>
      </c>
      <c r="K747" s="136">
        <v>400033773</v>
      </c>
      <c r="L747" s="138">
        <v>77099.17</v>
      </c>
      <c r="M747" s="138">
        <v>0</v>
      </c>
      <c r="N747" s="136" t="s">
        <v>4425</v>
      </c>
      <c r="O747" s="136" t="s">
        <v>4426</v>
      </c>
      <c r="P747" s="136" t="s">
        <v>4427</v>
      </c>
      <c r="Q747" s="136" t="s">
        <v>4428</v>
      </c>
      <c r="R747" s="136">
        <v>0</v>
      </c>
      <c r="S747" s="142">
        <f>(Tabla18[[#This Row],[Debe]]-Tabla18[[#This Row],[Haber]])*
SUMIF('0_Indice_CAC'!$A:$A,Tabla18[[#This Row],[Mes]],'0_Indice_CAC'!$D:$D)</f>
        <v>61245.621240640779</v>
      </c>
      <c r="T747" s="142">
        <f>Tabla18[[#This Row],[Debe]]-Tabla18[[#This Row],[Haber]]</f>
        <v>77099.17</v>
      </c>
      <c r="U747" s="322"/>
      <c r="V747" s="323"/>
      <c r="W747" s="142">
        <f t="shared" si="14"/>
        <v>77099.17</v>
      </c>
      <c r="X747" s="142" t="b">
        <f>ISNUMBER(MATCH(A747,'3_Control_Ppto'!$A$4:$A$70,0))</f>
        <v>1</v>
      </c>
      <c r="Y747" s="136"/>
    </row>
    <row r="748" spans="1:25" ht="12" customHeight="1" x14ac:dyDescent="0.3">
      <c r="A748" s="140" t="s">
        <v>106</v>
      </c>
      <c r="B748" s="140" t="s">
        <v>4090</v>
      </c>
      <c r="C748" s="549">
        <f>+EOMONTH(Tabla18[[#This Row],[Fecha Asiento]],-1)+1</f>
        <v>46082</v>
      </c>
      <c r="D748" s="136">
        <v>53008</v>
      </c>
      <c r="E748" s="136" t="s">
        <v>4490</v>
      </c>
      <c r="F748" s="141">
        <v>46094</v>
      </c>
      <c r="G748" s="136">
        <v>1678</v>
      </c>
      <c r="H748" s="136" t="s">
        <v>4641</v>
      </c>
      <c r="I748" s="136" t="s">
        <v>4630</v>
      </c>
      <c r="J748" s="136" t="s">
        <v>4455</v>
      </c>
      <c r="K748" s="136">
        <v>1500092217</v>
      </c>
      <c r="L748" s="138">
        <v>2012146.6</v>
      </c>
      <c r="M748" s="138">
        <v>0</v>
      </c>
      <c r="N748" s="136" t="s">
        <v>4425</v>
      </c>
      <c r="O748" s="136" t="s">
        <v>4426</v>
      </c>
      <c r="P748" s="136" t="s">
        <v>4427</v>
      </c>
      <c r="Q748" s="136" t="s">
        <v>4428</v>
      </c>
      <c r="R748" s="136">
        <v>0</v>
      </c>
      <c r="S748" s="142">
        <f>(Tabla18[[#This Row],[Debe]]-Tabla18[[#This Row],[Haber]])*
SUMIF('0_Indice_CAC'!$A:$A,Tabla18[[#This Row],[Mes]],'0_Indice_CAC'!$D:$D)</f>
        <v>1598398.1221100453</v>
      </c>
      <c r="T748" s="142">
        <f>Tabla18[[#This Row],[Debe]]-Tabla18[[#This Row],[Haber]]</f>
        <v>2012146.6</v>
      </c>
      <c r="U748" s="322"/>
      <c r="V748" s="323"/>
      <c r="W748" s="142">
        <f t="shared" si="14"/>
        <v>2012146.6</v>
      </c>
      <c r="X748" s="142" t="b">
        <f>ISNUMBER(MATCH(A748,'3_Control_Ppto'!$A$4:$A$70,0))</f>
        <v>1</v>
      </c>
      <c r="Y748" s="136"/>
    </row>
    <row r="749" spans="1:25" ht="12" customHeight="1" x14ac:dyDescent="0.3">
      <c r="A749" s="140" t="s">
        <v>106</v>
      </c>
      <c r="B749" s="140" t="s">
        <v>56</v>
      </c>
      <c r="C749" s="549">
        <f>+EOMONTH(Tabla18[[#This Row],[Fecha Asiento]],-1)+1</f>
        <v>46082</v>
      </c>
      <c r="D749" s="136">
        <v>53009</v>
      </c>
      <c r="E749" s="136" t="s">
        <v>4446</v>
      </c>
      <c r="F749" s="141">
        <v>46094</v>
      </c>
      <c r="G749" s="136">
        <v>687</v>
      </c>
      <c r="H749" s="136" t="s">
        <v>4858</v>
      </c>
      <c r="I749" s="136" t="s">
        <v>4423</v>
      </c>
      <c r="J749" s="136" t="s">
        <v>4424</v>
      </c>
      <c r="K749" s="136">
        <v>8701</v>
      </c>
      <c r="L749" s="138">
        <v>1552000</v>
      </c>
      <c r="M749" s="138">
        <v>0</v>
      </c>
      <c r="N749" s="136" t="s">
        <v>4425</v>
      </c>
      <c r="O749" s="136" t="s">
        <v>4426</v>
      </c>
      <c r="P749" s="136" t="s">
        <v>4427</v>
      </c>
      <c r="Q749" s="136" t="s">
        <v>4428</v>
      </c>
      <c r="R749" s="136">
        <v>0</v>
      </c>
      <c r="S749" s="142">
        <f>(Tabla18[[#This Row],[Debe]]-Tabla18[[#This Row],[Haber]])*
SUMIF('0_Indice_CAC'!$A:$A,Tabla18[[#This Row],[Mes]],'0_Indice_CAC'!$D:$D)</f>
        <v>1232869.3572897671</v>
      </c>
      <c r="T749" s="142">
        <f>Tabla18[[#This Row],[Debe]]-Tabla18[[#This Row],[Haber]]</f>
        <v>1552000</v>
      </c>
      <c r="U749" s="322" t="s">
        <v>4846</v>
      </c>
      <c r="V749" s="323"/>
      <c r="W749" s="142">
        <f t="shared" si="14"/>
        <v>1552000</v>
      </c>
      <c r="X749" s="142" t="b">
        <f>ISNUMBER(MATCH(A749,'3_Control_Ppto'!$A$4:$A$70,0))</f>
        <v>1</v>
      </c>
      <c r="Y749" s="136"/>
    </row>
    <row r="750" spans="1:25" ht="12" customHeight="1" x14ac:dyDescent="0.3">
      <c r="A750" s="140" t="s">
        <v>4165</v>
      </c>
      <c r="B750" s="140" t="s">
        <v>56</v>
      </c>
      <c r="C750" s="549">
        <f>+EOMONTH(Tabla18[[#This Row],[Fecha Asiento]],-1)+1</f>
        <v>46082</v>
      </c>
      <c r="D750" s="136">
        <v>53011</v>
      </c>
      <c r="E750" s="136" t="s">
        <v>4836</v>
      </c>
      <c r="F750" s="141">
        <v>46094</v>
      </c>
      <c r="G750" s="136">
        <v>688</v>
      </c>
      <c r="H750" s="136" t="s">
        <v>4858</v>
      </c>
      <c r="I750" s="136" t="s">
        <v>4423</v>
      </c>
      <c r="J750" s="136" t="s">
        <v>4424</v>
      </c>
      <c r="K750" s="136">
        <v>8702</v>
      </c>
      <c r="L750" s="138">
        <v>3000000</v>
      </c>
      <c r="M750" s="138">
        <v>0</v>
      </c>
      <c r="N750" s="136" t="s">
        <v>4425</v>
      </c>
      <c r="O750" s="136" t="s">
        <v>4426</v>
      </c>
      <c r="P750" s="136" t="s">
        <v>4427</v>
      </c>
      <c r="Q750" s="136" t="s">
        <v>4428</v>
      </c>
      <c r="R750" s="136">
        <v>0</v>
      </c>
      <c r="S750" s="142">
        <f>(Tabla18[[#This Row],[Debe]]-Tabla18[[#This Row],[Haber]])*
SUMIF('0_Indice_CAC'!$A:$A,Tabla18[[#This Row],[Mes]],'0_Indice_CAC'!$D:$D)</f>
        <v>2383123.7576477458</v>
      </c>
      <c r="T750" s="142">
        <f>Tabla18[[#This Row],[Debe]]-Tabla18[[#This Row],[Haber]]</f>
        <v>3000000</v>
      </c>
      <c r="U750" s="322" t="s">
        <v>4838</v>
      </c>
      <c r="V750" s="323"/>
      <c r="W750" s="142">
        <f t="shared" si="14"/>
        <v>3000000</v>
      </c>
      <c r="X750" s="142" t="b">
        <f>ISNUMBER(MATCH(A750,'3_Control_Ppto'!$A$4:$A$70,0))</f>
        <v>1</v>
      </c>
      <c r="Y750" s="136"/>
    </row>
    <row r="751" spans="1:25" ht="12" customHeight="1" x14ac:dyDescent="0.3">
      <c r="A751" s="140" t="s">
        <v>4271</v>
      </c>
      <c r="B751" s="140" t="s">
        <v>4090</v>
      </c>
      <c r="C751" s="549">
        <f>+EOMONTH(Tabla18[[#This Row],[Fecha Asiento]],-1)+1</f>
        <v>46082</v>
      </c>
      <c r="D751" s="136">
        <v>53017</v>
      </c>
      <c r="E751" s="136" t="s">
        <v>4677</v>
      </c>
      <c r="F751" s="141">
        <v>46094</v>
      </c>
      <c r="G751" s="136">
        <v>1680</v>
      </c>
      <c r="H751" s="136" t="s">
        <v>4734</v>
      </c>
      <c r="I751" s="136" t="s">
        <v>4489</v>
      </c>
      <c r="J751" s="136" t="s">
        <v>4439</v>
      </c>
      <c r="K751" s="136">
        <v>300006817</v>
      </c>
      <c r="L751" s="138">
        <v>63801.65</v>
      </c>
      <c r="M751" s="138">
        <v>0</v>
      </c>
      <c r="N751" s="136" t="s">
        <v>4425</v>
      </c>
      <c r="O751" s="136" t="s">
        <v>4426</v>
      </c>
      <c r="P751" s="136" t="s">
        <v>4427</v>
      </c>
      <c r="Q751" s="136" t="s">
        <v>4428</v>
      </c>
      <c r="R751" s="136">
        <v>0</v>
      </c>
      <c r="S751" s="142">
        <f>(Tabla18[[#This Row],[Debe]]-Tabla18[[#This Row],[Haber]])*
SUMIF('0_Indice_CAC'!$A:$A,Tabla18[[#This Row],[Mes]],'0_Indice_CAC'!$D:$D)</f>
        <v>50682.40929737543</v>
      </c>
      <c r="T751" s="142">
        <f>Tabla18[[#This Row],[Debe]]-Tabla18[[#This Row],[Haber]]</f>
        <v>63801.65</v>
      </c>
      <c r="U751" s="322"/>
      <c r="V751" s="323"/>
      <c r="W751" s="142">
        <f t="shared" si="14"/>
        <v>63801.65</v>
      </c>
      <c r="X751" s="142" t="b">
        <f>ISNUMBER(MATCH(A751,'3_Control_Ppto'!$A$4:$A$70,0))</f>
        <v>1</v>
      </c>
      <c r="Y751" s="136"/>
    </row>
    <row r="752" spans="1:25" ht="12" customHeight="1" x14ac:dyDescent="0.3">
      <c r="A752" s="140" t="s">
        <v>4119</v>
      </c>
      <c r="B752" s="140" t="s">
        <v>25</v>
      </c>
      <c r="C752" s="549">
        <f>+EOMONTH(Tabla18[[#This Row],[Fecha Asiento]],-1)+1</f>
        <v>46082</v>
      </c>
      <c r="D752" s="136">
        <v>53022</v>
      </c>
      <c r="E752" s="136" t="s">
        <v>4429</v>
      </c>
      <c r="F752" s="141">
        <v>46094</v>
      </c>
      <c r="G752" s="136">
        <v>692</v>
      </c>
      <c r="H752" s="136" t="s">
        <v>4859</v>
      </c>
      <c r="I752" s="136" t="s">
        <v>4423</v>
      </c>
      <c r="J752" s="136" t="s">
        <v>4424</v>
      </c>
      <c r="K752" s="136">
        <v>8712</v>
      </c>
      <c r="L752" s="138">
        <v>35000</v>
      </c>
      <c r="M752" s="138">
        <v>0</v>
      </c>
      <c r="N752" s="136" t="s">
        <v>4425</v>
      </c>
      <c r="O752" s="136" t="s">
        <v>4426</v>
      </c>
      <c r="P752" s="136" t="s">
        <v>4427</v>
      </c>
      <c r="Q752" s="136" t="s">
        <v>4428</v>
      </c>
      <c r="R752" s="136">
        <v>0</v>
      </c>
      <c r="S752" s="142">
        <f>(Tabla18[[#This Row],[Debe]]-Tabla18[[#This Row],[Haber]])*
SUMIF('0_Indice_CAC'!$A:$A,Tabla18[[#This Row],[Mes]],'0_Indice_CAC'!$D:$D)</f>
        <v>27803.110505890367</v>
      </c>
      <c r="T752" s="142">
        <f>Tabla18[[#This Row],[Debe]]-Tabla18[[#This Row],[Haber]]</f>
        <v>35000</v>
      </c>
      <c r="U752" s="322"/>
      <c r="V752" s="323"/>
      <c r="W752" s="142">
        <f t="shared" si="14"/>
        <v>35000</v>
      </c>
      <c r="X752" s="142" t="b">
        <f>ISNUMBER(MATCH(A752,'3_Control_Ppto'!$A$4:$A$70,0))</f>
        <v>1</v>
      </c>
      <c r="Y752" s="136"/>
    </row>
    <row r="753" spans="1:25" ht="12" customHeight="1" x14ac:dyDescent="0.3">
      <c r="A753" s="140" t="s">
        <v>106</v>
      </c>
      <c r="B753" s="140" t="s">
        <v>4090</v>
      </c>
      <c r="C753" s="549">
        <f>+EOMONTH(Tabla18[[#This Row],[Fecha Asiento]],-1)+1</f>
        <v>46082</v>
      </c>
      <c r="D753" s="136">
        <v>53023</v>
      </c>
      <c r="E753" s="136" t="s">
        <v>4467</v>
      </c>
      <c r="F753" s="141">
        <v>46095</v>
      </c>
      <c r="G753" s="136">
        <v>2079</v>
      </c>
      <c r="H753" s="136" t="s">
        <v>4674</v>
      </c>
      <c r="I753" s="136" t="s">
        <v>4675</v>
      </c>
      <c r="J753" s="136" t="s">
        <v>4455</v>
      </c>
      <c r="K753" s="136">
        <v>600004881</v>
      </c>
      <c r="L753" s="138">
        <v>13223.14</v>
      </c>
      <c r="M753" s="138">
        <v>0</v>
      </c>
      <c r="N753" s="136" t="s">
        <v>4425</v>
      </c>
      <c r="O753" s="136" t="s">
        <v>4426</v>
      </c>
      <c r="P753" s="136" t="s">
        <v>4427</v>
      </c>
      <c r="Q753" s="136" t="s">
        <v>4428</v>
      </c>
      <c r="R753" s="136">
        <v>0</v>
      </c>
      <c r="S753" s="142">
        <f>(Tabla18[[#This Row],[Debe]]-Tabla18[[#This Row],[Haber]])*
SUMIF('0_Indice_CAC'!$A:$A,Tabla18[[#This Row],[Mes]],'0_Indice_CAC'!$D:$D)</f>
        <v>10504.126361567403</v>
      </c>
      <c r="T753" s="142">
        <f>Tabla18[[#This Row],[Debe]]-Tabla18[[#This Row],[Haber]]</f>
        <v>13223.14</v>
      </c>
      <c r="U753" s="322"/>
      <c r="V753" s="323"/>
      <c r="W753" s="142">
        <f t="shared" si="14"/>
        <v>13223.14</v>
      </c>
      <c r="X753" s="142" t="b">
        <f>ISNUMBER(MATCH(A753,'3_Control_Ppto'!$A$4:$A$70,0))</f>
        <v>1</v>
      </c>
      <c r="Y753" s="136"/>
    </row>
    <row r="754" spans="1:25" ht="12" customHeight="1" x14ac:dyDescent="0.3">
      <c r="A754" s="140" t="s">
        <v>4317</v>
      </c>
      <c r="B754" s="140" t="s">
        <v>56</v>
      </c>
      <c r="C754" s="549">
        <f>+EOMONTH(Tabla18[[#This Row],[Fecha Asiento]],-1)+1</f>
        <v>46082</v>
      </c>
      <c r="D754" s="136">
        <v>52302</v>
      </c>
      <c r="E754" s="136" t="s">
        <v>4444</v>
      </c>
      <c r="F754" s="141">
        <v>46096</v>
      </c>
      <c r="G754" s="136">
        <v>1717</v>
      </c>
      <c r="H754" s="136" t="s">
        <v>4828</v>
      </c>
      <c r="I754" s="136" t="s">
        <v>4532</v>
      </c>
      <c r="J754" s="136" t="s">
        <v>4455</v>
      </c>
      <c r="K754" s="136">
        <v>142000092187</v>
      </c>
      <c r="L754" s="138">
        <v>17939.400000000001</v>
      </c>
      <c r="M754" s="138">
        <v>0</v>
      </c>
      <c r="N754" s="136" t="s">
        <v>4425</v>
      </c>
      <c r="O754" s="136" t="s">
        <v>4426</v>
      </c>
      <c r="P754" s="136" t="s">
        <v>4427</v>
      </c>
      <c r="Q754" s="136" t="s">
        <v>4428</v>
      </c>
      <c r="R754" s="136">
        <v>0</v>
      </c>
      <c r="S754" s="142">
        <f>(Tabla18[[#This Row],[Debe]]-Tabla18[[#This Row],[Haber]])*
SUMIF('0_Indice_CAC'!$A:$A,Tabla18[[#This Row],[Mes]],'0_Indice_CAC'!$D:$D)</f>
        <v>14250.603445981991</v>
      </c>
      <c r="T754" s="142">
        <f>Tabla18[[#This Row],[Debe]]-Tabla18[[#This Row],[Haber]]</f>
        <v>17939.400000000001</v>
      </c>
      <c r="U754" s="322"/>
      <c r="V754" s="323"/>
      <c r="W754" s="142">
        <f t="shared" si="14"/>
        <v>17939.400000000001</v>
      </c>
      <c r="X754" s="142" t="b">
        <f>ISNUMBER(MATCH(A754,'3_Control_Ppto'!$A$4:$A$70,0))</f>
        <v>1</v>
      </c>
      <c r="Y754" s="136"/>
    </row>
    <row r="755" spans="1:25" ht="12" customHeight="1" x14ac:dyDescent="0.3">
      <c r="A755" s="140" t="s">
        <v>4317</v>
      </c>
      <c r="B755" s="140" t="s">
        <v>56</v>
      </c>
      <c r="C755" s="549">
        <f>+EOMONTH(Tabla18[[#This Row],[Fecha Asiento]],-1)+1</f>
        <v>46082</v>
      </c>
      <c r="D755" s="136">
        <v>52302</v>
      </c>
      <c r="E755" s="136" t="s">
        <v>4444</v>
      </c>
      <c r="F755" s="141">
        <v>46096</v>
      </c>
      <c r="G755" s="136">
        <v>1717</v>
      </c>
      <c r="H755" s="136" t="s">
        <v>4829</v>
      </c>
      <c r="I755" s="136" t="s">
        <v>4532</v>
      </c>
      <c r="J755" s="136" t="s">
        <v>4455</v>
      </c>
      <c r="K755" s="136">
        <v>142000092187</v>
      </c>
      <c r="L755" s="138">
        <v>1286.4100000000001</v>
      </c>
      <c r="M755" s="138">
        <v>0</v>
      </c>
      <c r="N755" s="136" t="s">
        <v>4425</v>
      </c>
      <c r="O755" s="136" t="s">
        <v>4426</v>
      </c>
      <c r="P755" s="136" t="s">
        <v>4427</v>
      </c>
      <c r="Q755" s="136" t="s">
        <v>4428</v>
      </c>
      <c r="R755" s="136">
        <v>0</v>
      </c>
      <c r="S755" s="142">
        <f>(Tabla18[[#This Row],[Debe]]-Tabla18[[#This Row],[Haber]])*
SUMIF('0_Indice_CAC'!$A:$A,Tabla18[[#This Row],[Mes]],'0_Indice_CAC'!$D:$D)</f>
        <v>1021.8914110252123</v>
      </c>
      <c r="T755" s="142">
        <f>Tabla18[[#This Row],[Debe]]-Tabla18[[#This Row],[Haber]]</f>
        <v>1286.4100000000001</v>
      </c>
      <c r="U755" s="322"/>
      <c r="V755" s="323"/>
      <c r="W755" s="142">
        <f t="shared" si="14"/>
        <v>1286.4100000000001</v>
      </c>
      <c r="X755" s="142" t="b">
        <f>ISNUMBER(MATCH(A755,'3_Control_Ppto'!$A$4:$A$70,0))</f>
        <v>1</v>
      </c>
      <c r="Y755" s="136"/>
    </row>
    <row r="756" spans="1:25" ht="12" customHeight="1" x14ac:dyDescent="0.3">
      <c r="A756" s="140" t="s">
        <v>4317</v>
      </c>
      <c r="B756" s="140" t="s">
        <v>56</v>
      </c>
      <c r="C756" s="549">
        <f>+EOMONTH(Tabla18[[#This Row],[Fecha Asiento]],-1)+1</f>
        <v>46082</v>
      </c>
      <c r="D756" s="136">
        <v>52302</v>
      </c>
      <c r="E756" s="136" t="s">
        <v>4444</v>
      </c>
      <c r="F756" s="141">
        <v>46096</v>
      </c>
      <c r="G756" s="136">
        <v>1717</v>
      </c>
      <c r="H756" s="136" t="s">
        <v>4847</v>
      </c>
      <c r="I756" s="136" t="s">
        <v>4532</v>
      </c>
      <c r="J756" s="136" t="s">
        <v>4455</v>
      </c>
      <c r="K756" s="136">
        <v>142000092187</v>
      </c>
      <c r="L756" s="138">
        <v>50783.43</v>
      </c>
      <c r="M756" s="138">
        <v>0</v>
      </c>
      <c r="N756" s="136" t="s">
        <v>4425</v>
      </c>
      <c r="O756" s="136" t="s">
        <v>4426</v>
      </c>
      <c r="P756" s="136" t="s">
        <v>4427</v>
      </c>
      <c r="Q756" s="136" t="s">
        <v>4428</v>
      </c>
      <c r="R756" s="136">
        <v>0</v>
      </c>
      <c r="S756" s="142">
        <f>(Tabla18[[#This Row],[Debe]]-Tabla18[[#This Row],[Haber]])*
SUMIF('0_Indice_CAC'!$A:$A,Tabla18[[#This Row],[Mes]],'0_Indice_CAC'!$D:$D)</f>
        <v>40341.06617594709</v>
      </c>
      <c r="T756" s="142">
        <f>Tabla18[[#This Row],[Debe]]-Tabla18[[#This Row],[Haber]]</f>
        <v>50783.43</v>
      </c>
      <c r="U756" s="322"/>
      <c r="V756" s="323"/>
      <c r="W756" s="142">
        <f t="shared" si="14"/>
        <v>50783.43</v>
      </c>
      <c r="X756" s="142" t="b">
        <f>ISNUMBER(MATCH(A756,'3_Control_Ppto'!$A$4:$A$70,0))</f>
        <v>1</v>
      </c>
      <c r="Y756" s="136"/>
    </row>
    <row r="757" spans="1:25" ht="12" customHeight="1" x14ac:dyDescent="0.3">
      <c r="A757" s="140" t="s">
        <v>4317</v>
      </c>
      <c r="B757" s="140" t="s">
        <v>56</v>
      </c>
      <c r="C757" s="549">
        <f>+EOMONTH(Tabla18[[#This Row],[Fecha Asiento]],-1)+1</f>
        <v>46082</v>
      </c>
      <c r="D757" s="136">
        <v>52302</v>
      </c>
      <c r="E757" s="136" t="s">
        <v>4444</v>
      </c>
      <c r="F757" s="141">
        <v>46096</v>
      </c>
      <c r="G757" s="136">
        <v>1717</v>
      </c>
      <c r="H757" s="136" t="s">
        <v>4848</v>
      </c>
      <c r="I757" s="136" t="s">
        <v>4532</v>
      </c>
      <c r="J757" s="136" t="s">
        <v>4455</v>
      </c>
      <c r="K757" s="136">
        <v>142000092187</v>
      </c>
      <c r="L757" s="138">
        <v>35717.06</v>
      </c>
      <c r="M757" s="138">
        <v>0</v>
      </c>
      <c r="N757" s="136" t="s">
        <v>4425</v>
      </c>
      <c r="O757" s="136" t="s">
        <v>4426</v>
      </c>
      <c r="P757" s="136" t="s">
        <v>4427</v>
      </c>
      <c r="Q757" s="136" t="s">
        <v>4428</v>
      </c>
      <c r="R757" s="136">
        <v>0</v>
      </c>
      <c r="S757" s="142">
        <f>(Tabla18[[#This Row],[Debe]]-Tabla18[[#This Row],[Haber]])*
SUMIF('0_Indice_CAC'!$A:$A,Tabla18[[#This Row],[Mes]],'0_Indice_CAC'!$D:$D)</f>
        <v>28372.724746443331</v>
      </c>
      <c r="T757" s="142">
        <f>Tabla18[[#This Row],[Debe]]-Tabla18[[#This Row],[Haber]]</f>
        <v>35717.06</v>
      </c>
      <c r="U757" s="322"/>
      <c r="V757" s="323"/>
      <c r="W757" s="142">
        <f t="shared" si="14"/>
        <v>35717.06</v>
      </c>
      <c r="X757" s="142" t="b">
        <f>ISNUMBER(MATCH(A757,'3_Control_Ppto'!$A$4:$A$70,0))</f>
        <v>1</v>
      </c>
      <c r="Y757" s="136"/>
    </row>
    <row r="758" spans="1:25" ht="12" customHeight="1" x14ac:dyDescent="0.3">
      <c r="A758" s="140" t="s">
        <v>4271</v>
      </c>
      <c r="B758" s="140" t="s">
        <v>4090</v>
      </c>
      <c r="C758" s="549">
        <f>+EOMONTH(Tabla18[[#This Row],[Fecha Asiento]],-1)+1</f>
        <v>46082</v>
      </c>
      <c r="D758" s="136">
        <v>53017</v>
      </c>
      <c r="E758" s="136" t="s">
        <v>4677</v>
      </c>
      <c r="F758" s="141">
        <v>46097</v>
      </c>
      <c r="G758" s="136">
        <v>2081</v>
      </c>
      <c r="H758" s="136" t="s">
        <v>4734</v>
      </c>
      <c r="I758" s="136" t="s">
        <v>4489</v>
      </c>
      <c r="J758" s="136" t="s">
        <v>4439</v>
      </c>
      <c r="K758" s="136">
        <v>300006821</v>
      </c>
      <c r="L758" s="138">
        <v>18512.400000000001</v>
      </c>
      <c r="M758" s="138">
        <v>0</v>
      </c>
      <c r="N758" s="136" t="s">
        <v>4425</v>
      </c>
      <c r="O758" s="136" t="s">
        <v>4426</v>
      </c>
      <c r="P758" s="136" t="s">
        <v>4427</v>
      </c>
      <c r="Q758" s="136" t="s">
        <v>4428</v>
      </c>
      <c r="R758" s="136">
        <v>0</v>
      </c>
      <c r="S758" s="142">
        <f>(Tabla18[[#This Row],[Debe]]-Tabla18[[#This Row],[Haber]])*
SUMIF('0_Indice_CAC'!$A:$A,Tabla18[[#This Row],[Mes]],'0_Indice_CAC'!$D:$D)</f>
        <v>14705.780083692711</v>
      </c>
      <c r="T758" s="142">
        <f>Tabla18[[#This Row],[Debe]]-Tabla18[[#This Row],[Haber]]</f>
        <v>18512.400000000001</v>
      </c>
      <c r="U758" s="322"/>
      <c r="V758" s="323"/>
      <c r="W758" s="142">
        <f t="shared" si="14"/>
        <v>18512.400000000001</v>
      </c>
      <c r="X758" s="142" t="b">
        <f>ISNUMBER(MATCH(A758,'3_Control_Ppto'!$A$4:$A$70,0))</f>
        <v>1</v>
      </c>
      <c r="Y758" s="136"/>
    </row>
    <row r="759" spans="1:25" ht="12" customHeight="1" x14ac:dyDescent="0.3">
      <c r="A759" s="140" t="s">
        <v>4310</v>
      </c>
      <c r="B759" s="140" t="s">
        <v>56</v>
      </c>
      <c r="C759" s="549">
        <f>+EOMONTH(Tabla18[[#This Row],[Fecha Asiento]],-1)+1</f>
        <v>46082</v>
      </c>
      <c r="D759" s="136">
        <v>52204</v>
      </c>
      <c r="E759" s="136" t="s">
        <v>4452</v>
      </c>
      <c r="F759" s="141">
        <v>46098</v>
      </c>
      <c r="G759" s="136">
        <v>801</v>
      </c>
      <c r="H759" s="136" t="s">
        <v>4860</v>
      </c>
      <c r="I759" s="136" t="s">
        <v>4423</v>
      </c>
      <c r="J759" s="136" t="s">
        <v>4424</v>
      </c>
      <c r="K759" s="136">
        <v>8829</v>
      </c>
      <c r="L759" s="138">
        <v>185000</v>
      </c>
      <c r="M759" s="138">
        <v>0</v>
      </c>
      <c r="N759" s="136" t="s">
        <v>4425</v>
      </c>
      <c r="O759" s="136" t="s">
        <v>4426</v>
      </c>
      <c r="P759" s="136" t="s">
        <v>4427</v>
      </c>
      <c r="Q759" s="136" t="s">
        <v>4428</v>
      </c>
      <c r="R759" s="136">
        <v>0</v>
      </c>
      <c r="S759" s="142">
        <f>(Tabla18[[#This Row],[Debe]]-Tabla18[[#This Row],[Haber]])*
SUMIF('0_Indice_CAC'!$A:$A,Tabla18[[#This Row],[Mes]],'0_Indice_CAC'!$D:$D)</f>
        <v>146959.29838827765</v>
      </c>
      <c r="T759" s="142">
        <f>Tabla18[[#This Row],[Debe]]-Tabla18[[#This Row],[Haber]]</f>
        <v>185000</v>
      </c>
      <c r="U759" s="322"/>
      <c r="V759" s="323"/>
      <c r="W759" s="142">
        <f t="shared" si="14"/>
        <v>185000</v>
      </c>
      <c r="X759" s="142" t="b">
        <f>ISNUMBER(MATCH(A759,'3_Control_Ppto'!$A$4:$A$70,0))</f>
        <v>1</v>
      </c>
      <c r="Y759" s="136"/>
    </row>
    <row r="760" spans="1:25" ht="12" customHeight="1" x14ac:dyDescent="0.3">
      <c r="A760" s="140" t="s">
        <v>25</v>
      </c>
      <c r="B760" s="140" t="s">
        <v>25</v>
      </c>
      <c r="C760" s="549">
        <f>+EOMONTH(Tabla18[[#This Row],[Fecha Asiento]],-1)+1</f>
        <v>46082</v>
      </c>
      <c r="D760" s="136">
        <v>52405</v>
      </c>
      <c r="E760" s="136" t="s">
        <v>4493</v>
      </c>
      <c r="F760" s="141">
        <v>46098</v>
      </c>
      <c r="G760" s="136">
        <v>2082</v>
      </c>
      <c r="H760" s="136" t="s">
        <v>4849</v>
      </c>
      <c r="I760" s="136" t="s">
        <v>4850</v>
      </c>
      <c r="J760" s="136" t="s">
        <v>4455</v>
      </c>
      <c r="K760" s="136">
        <v>4300009314</v>
      </c>
      <c r="L760" s="138">
        <v>0.01</v>
      </c>
      <c r="M760" s="138">
        <v>0</v>
      </c>
      <c r="N760" s="136" t="s">
        <v>4425</v>
      </c>
      <c r="O760" s="136" t="s">
        <v>4426</v>
      </c>
      <c r="P760" s="136" t="s">
        <v>4427</v>
      </c>
      <c r="Q760" s="136" t="s">
        <v>4428</v>
      </c>
      <c r="R760" s="136">
        <v>0</v>
      </c>
      <c r="S760" s="142">
        <f>(Tabla18[[#This Row],[Debe]]-Tabla18[[#This Row],[Haber]])*
SUMIF('0_Indice_CAC'!$A:$A,Tabla18[[#This Row],[Mes]],'0_Indice_CAC'!$D:$D)</f>
        <v>7.9437458588258198E-3</v>
      </c>
      <c r="T760" s="142">
        <f>Tabla18[[#This Row],[Debe]]-Tabla18[[#This Row],[Haber]]</f>
        <v>0.01</v>
      </c>
      <c r="U760" s="322"/>
      <c r="V760" s="323"/>
      <c r="W760" s="142">
        <f t="shared" si="14"/>
        <v>0.01</v>
      </c>
      <c r="X760" s="142" t="b">
        <f>ISNUMBER(MATCH(A760,'3_Control_Ppto'!$A$4:$A$70,0))</f>
        <v>0</v>
      </c>
      <c r="Y760" s="136"/>
    </row>
    <row r="761" spans="1:25" ht="12" customHeight="1" x14ac:dyDescent="0.3">
      <c r="A761" s="140" t="s">
        <v>2779</v>
      </c>
      <c r="B761" s="140" t="s">
        <v>4090</v>
      </c>
      <c r="C761" s="549">
        <f>+EOMONTH(Tabla18[[#This Row],[Fecha Asiento]],-1)+1</f>
        <v>46082</v>
      </c>
      <c r="D761" s="136">
        <v>53015</v>
      </c>
      <c r="E761" s="136" t="s">
        <v>4821</v>
      </c>
      <c r="F761" s="141">
        <v>46098</v>
      </c>
      <c r="G761" s="136">
        <v>2082</v>
      </c>
      <c r="H761" s="136" t="s">
        <v>4853</v>
      </c>
      <c r="I761" s="136" t="s">
        <v>4850</v>
      </c>
      <c r="J761" s="136" t="s">
        <v>4455</v>
      </c>
      <c r="K761" s="136">
        <v>4300009314</v>
      </c>
      <c r="L761" s="138">
        <v>7013.54</v>
      </c>
      <c r="M761" s="138">
        <v>0</v>
      </c>
      <c r="N761" s="136" t="s">
        <v>4425</v>
      </c>
      <c r="O761" s="136" t="s">
        <v>4426</v>
      </c>
      <c r="P761" s="136" t="s">
        <v>4427</v>
      </c>
      <c r="Q761" s="136" t="s">
        <v>4428</v>
      </c>
      <c r="R761" s="136">
        <v>0</v>
      </c>
      <c r="S761" s="142">
        <f>(Tabla18[[#This Row],[Debe]]-Tabla18[[#This Row],[Haber]])*
SUMIF('0_Indice_CAC'!$A:$A,Tabla18[[#This Row],[Mes]],'0_Indice_CAC'!$D:$D)</f>
        <v>5571.377933070924</v>
      </c>
      <c r="T761" s="142">
        <f>Tabla18[[#This Row],[Debe]]-Tabla18[[#This Row],[Haber]]</f>
        <v>7013.54</v>
      </c>
      <c r="U761" s="322"/>
      <c r="V761" s="323"/>
      <c r="W761" s="142">
        <f t="shared" si="14"/>
        <v>7013.54</v>
      </c>
      <c r="X761" s="142" t="b">
        <f>ISNUMBER(MATCH(A761,'3_Control_Ppto'!$A$4:$A$70,0))</f>
        <v>1</v>
      </c>
      <c r="Y761" s="136"/>
    </row>
    <row r="762" spans="1:25" ht="12" customHeight="1" x14ac:dyDescent="0.3">
      <c r="A762" s="140" t="s">
        <v>4271</v>
      </c>
      <c r="B762" s="140" t="s">
        <v>4090</v>
      </c>
      <c r="C762" s="549">
        <f>+EOMONTH(Tabla18[[#This Row],[Fecha Asiento]],-1)+1</f>
        <v>46082</v>
      </c>
      <c r="D762" s="136">
        <v>53017</v>
      </c>
      <c r="E762" s="136" t="s">
        <v>4677</v>
      </c>
      <c r="F762" s="141">
        <v>46098</v>
      </c>
      <c r="G762" s="136">
        <v>2083</v>
      </c>
      <c r="H762" s="136" t="s">
        <v>4861</v>
      </c>
      <c r="I762" s="136" t="s">
        <v>4862</v>
      </c>
      <c r="J762" s="136" t="s">
        <v>4455</v>
      </c>
      <c r="K762" s="136">
        <v>900039966</v>
      </c>
      <c r="L762" s="138">
        <v>20910</v>
      </c>
      <c r="M762" s="138">
        <v>0</v>
      </c>
      <c r="N762" s="136" t="s">
        <v>4425</v>
      </c>
      <c r="O762" s="136" t="s">
        <v>4426</v>
      </c>
      <c r="P762" s="136" t="s">
        <v>4427</v>
      </c>
      <c r="Q762" s="136" t="s">
        <v>4428</v>
      </c>
      <c r="R762" s="136">
        <v>0</v>
      </c>
      <c r="S762" s="142">
        <f>(Tabla18[[#This Row],[Debe]]-Tabla18[[#This Row],[Haber]])*
SUMIF('0_Indice_CAC'!$A:$A,Tabla18[[#This Row],[Mes]],'0_Indice_CAC'!$D:$D)</f>
        <v>16610.372590804789</v>
      </c>
      <c r="T762" s="142">
        <f>Tabla18[[#This Row],[Debe]]-Tabla18[[#This Row],[Haber]]</f>
        <v>20910</v>
      </c>
      <c r="U762" s="322"/>
      <c r="V762" s="323"/>
      <c r="W762" s="142">
        <f t="shared" si="14"/>
        <v>20910</v>
      </c>
      <c r="X762" s="142" t="b">
        <f>ISNUMBER(MATCH(A762,'3_Control_Ppto'!$A$4:$A$70,0))</f>
        <v>1</v>
      </c>
      <c r="Y762" s="136"/>
    </row>
    <row r="763" spans="1:25" ht="12" customHeight="1" x14ac:dyDescent="0.3">
      <c r="A763" s="140" t="s">
        <v>3219</v>
      </c>
      <c r="B763" s="140" t="s">
        <v>4090</v>
      </c>
      <c r="C763" s="549">
        <f>+EOMONTH(Tabla18[[#This Row],[Fecha Asiento]],-1)+1</f>
        <v>46082</v>
      </c>
      <c r="D763" s="136">
        <v>53019</v>
      </c>
      <c r="E763" s="136" t="s">
        <v>4461</v>
      </c>
      <c r="F763" s="141">
        <v>46098</v>
      </c>
      <c r="G763" s="136">
        <v>1723</v>
      </c>
      <c r="H763" s="136" t="s">
        <v>4462</v>
      </c>
      <c r="I763" s="136" t="s">
        <v>4463</v>
      </c>
      <c r="J763" s="136" t="s">
        <v>4455</v>
      </c>
      <c r="K763" s="136">
        <v>300011571</v>
      </c>
      <c r="L763" s="138">
        <v>482300.13</v>
      </c>
      <c r="M763" s="138">
        <v>0</v>
      </c>
      <c r="N763" s="136" t="s">
        <v>4425</v>
      </c>
      <c r="O763" s="136" t="s">
        <v>4426</v>
      </c>
      <c r="P763" s="136" t="s">
        <v>4427</v>
      </c>
      <c r="Q763" s="136" t="s">
        <v>4428</v>
      </c>
      <c r="R763" s="136">
        <v>0</v>
      </c>
      <c r="S763" s="142">
        <f>(Tabla18[[#This Row],[Debe]]-Tabla18[[#This Row],[Haber]])*
SUMIF('0_Indice_CAC'!$A:$A,Tabla18[[#This Row],[Mes]],'0_Indice_CAC'!$D:$D)</f>
        <v>383126.96603986545</v>
      </c>
      <c r="T763" s="142">
        <f>Tabla18[[#This Row],[Debe]]-Tabla18[[#This Row],[Haber]]</f>
        <v>482300.13</v>
      </c>
      <c r="U763" s="322"/>
      <c r="V763" s="323"/>
      <c r="W763" s="142">
        <f t="shared" si="14"/>
        <v>482300.13</v>
      </c>
      <c r="X763" s="142" t="b">
        <f>ISNUMBER(MATCH(A763,'3_Control_Ppto'!$A$4:$A$70,0))</f>
        <v>1</v>
      </c>
      <c r="Y763" s="136"/>
    </row>
    <row r="764" spans="1:25" ht="12" customHeight="1" x14ac:dyDescent="0.3">
      <c r="A764" s="140" t="s">
        <v>4271</v>
      </c>
      <c r="B764" s="140" t="s">
        <v>4090</v>
      </c>
      <c r="C764" s="549">
        <f>+EOMONTH(Tabla18[[#This Row],[Fecha Asiento]],-1)+1</f>
        <v>46082</v>
      </c>
      <c r="D764" s="136">
        <v>53017</v>
      </c>
      <c r="E764" s="136" t="s">
        <v>4677</v>
      </c>
      <c r="F764" s="141">
        <v>46099</v>
      </c>
      <c r="G764" s="136">
        <v>2085</v>
      </c>
      <c r="H764" s="136" t="s">
        <v>4734</v>
      </c>
      <c r="I764" s="136" t="s">
        <v>4489</v>
      </c>
      <c r="J764" s="136" t="s">
        <v>4439</v>
      </c>
      <c r="K764" s="136">
        <v>300006826</v>
      </c>
      <c r="L764" s="138">
        <v>65702.48</v>
      </c>
      <c r="M764" s="138">
        <v>0</v>
      </c>
      <c r="N764" s="136" t="s">
        <v>4425</v>
      </c>
      <c r="O764" s="136" t="s">
        <v>4426</v>
      </c>
      <c r="P764" s="136" t="s">
        <v>4427</v>
      </c>
      <c r="Q764" s="136" t="s">
        <v>4428</v>
      </c>
      <c r="R764" s="136">
        <v>0</v>
      </c>
      <c r="S764" s="142">
        <f>(Tabla18[[#This Row],[Debe]]-Tabla18[[#This Row],[Haber]])*
SUMIF('0_Indice_CAC'!$A:$A,Tabla18[[#This Row],[Mes]],'0_Indice_CAC'!$D:$D)</f>
        <v>52192.380341458615</v>
      </c>
      <c r="T764" s="142">
        <f>Tabla18[[#This Row],[Debe]]-Tabla18[[#This Row],[Haber]]</f>
        <v>65702.48</v>
      </c>
      <c r="U764" s="322"/>
      <c r="V764" s="323"/>
      <c r="W764" s="142">
        <f t="shared" si="14"/>
        <v>65702.48</v>
      </c>
      <c r="X764" s="142" t="b">
        <f>ISNUMBER(MATCH(A764,'3_Control_Ppto'!$A$4:$A$70,0))</f>
        <v>1</v>
      </c>
      <c r="Y764" s="136"/>
    </row>
    <row r="765" spans="1:25" ht="12" customHeight="1" x14ac:dyDescent="0.3">
      <c r="A765" s="140" t="s">
        <v>106</v>
      </c>
      <c r="B765" s="140" t="s">
        <v>4090</v>
      </c>
      <c r="C765" s="549">
        <f>+EOMONTH(Tabla18[[#This Row],[Fecha Asiento]],-1)+1</f>
        <v>46082</v>
      </c>
      <c r="D765" s="136">
        <v>53023</v>
      </c>
      <c r="E765" s="136" t="s">
        <v>4467</v>
      </c>
      <c r="F765" s="141">
        <v>46099</v>
      </c>
      <c r="G765" s="136">
        <v>2087</v>
      </c>
      <c r="H765" s="136" t="s">
        <v>4705</v>
      </c>
      <c r="I765" s="136" t="s">
        <v>4482</v>
      </c>
      <c r="J765" s="136" t="s">
        <v>4455</v>
      </c>
      <c r="K765" s="136">
        <v>1000000252</v>
      </c>
      <c r="L765" s="138">
        <v>13888</v>
      </c>
      <c r="M765" s="138">
        <v>0</v>
      </c>
      <c r="N765" s="136" t="s">
        <v>4425</v>
      </c>
      <c r="O765" s="136" t="s">
        <v>4426</v>
      </c>
      <c r="P765" s="136" t="s">
        <v>4427</v>
      </c>
      <c r="Q765" s="136" t="s">
        <v>4428</v>
      </c>
      <c r="R765" s="136">
        <v>0</v>
      </c>
      <c r="S765" s="142">
        <f>(Tabla18[[#This Row],[Debe]]-Tabla18[[#This Row],[Haber]])*
SUMIF('0_Indice_CAC'!$A:$A,Tabla18[[#This Row],[Mes]],'0_Indice_CAC'!$D:$D)</f>
        <v>11032.274248737298</v>
      </c>
      <c r="T765" s="142">
        <f>Tabla18[[#This Row],[Debe]]-Tabla18[[#This Row],[Haber]]</f>
        <v>13888</v>
      </c>
      <c r="U765" s="322"/>
      <c r="V765" s="323"/>
      <c r="W765" s="142">
        <f t="shared" si="14"/>
        <v>13888</v>
      </c>
      <c r="X765" s="142" t="b">
        <f>ISNUMBER(MATCH(A765,'3_Control_Ppto'!$A$4:$A$70,0))</f>
        <v>1</v>
      </c>
      <c r="Y765" s="136"/>
    </row>
    <row r="766" spans="1:25" ht="12" customHeight="1" x14ac:dyDescent="0.3">
      <c r="A766" s="140" t="s">
        <v>25</v>
      </c>
      <c r="B766" s="140" t="s">
        <v>25</v>
      </c>
      <c r="C766" s="549">
        <f>+EOMONTH(Tabla18[[#This Row],[Fecha Asiento]],-1)+1</f>
        <v>46082</v>
      </c>
      <c r="D766" s="136">
        <v>410222</v>
      </c>
      <c r="E766" s="136" t="s">
        <v>4605</v>
      </c>
      <c r="F766" s="141">
        <v>46100</v>
      </c>
      <c r="G766" s="136">
        <v>1731</v>
      </c>
      <c r="H766" s="136" t="s">
        <v>4606</v>
      </c>
      <c r="I766" s="136" t="s">
        <v>4607</v>
      </c>
      <c r="J766" s="136" t="s">
        <v>4608</v>
      </c>
      <c r="K766" s="136">
        <v>300000832</v>
      </c>
      <c r="L766" s="138">
        <v>0</v>
      </c>
      <c r="M766" s="138">
        <v>23894376.559999999</v>
      </c>
      <c r="N766" s="136" t="s">
        <v>4425</v>
      </c>
      <c r="O766" s="136" t="s">
        <v>4426</v>
      </c>
      <c r="P766" s="136" t="s">
        <v>4427</v>
      </c>
      <c r="Q766" s="136" t="s">
        <v>4428</v>
      </c>
      <c r="R766" s="136">
        <v>0</v>
      </c>
      <c r="S766" s="142">
        <f>(Tabla18[[#This Row],[Debe]]-Tabla18[[#This Row],[Haber]])*
SUMIF('0_Indice_CAC'!$A:$A,Tabla18[[#This Row],[Mes]],'0_Indice_CAC'!$D:$D)</f>
        <v>-18981085.48477247</v>
      </c>
      <c r="T766" s="142">
        <f>Tabla18[[#This Row],[Debe]]-Tabla18[[#This Row],[Haber]]</f>
        <v>-23894376.559999999</v>
      </c>
      <c r="U766" s="322"/>
      <c r="V766" s="323"/>
      <c r="W766" s="142">
        <f t="shared" si="14"/>
        <v>-23894376.559999999</v>
      </c>
      <c r="X766" s="142" t="b">
        <f>ISNUMBER(MATCH(A766,'3_Control_Ppto'!$A$4:$A$70,0))</f>
        <v>0</v>
      </c>
      <c r="Y766" s="136"/>
    </row>
    <row r="767" spans="1:25" ht="12" customHeight="1" x14ac:dyDescent="0.3">
      <c r="A767" s="140" t="s">
        <v>106</v>
      </c>
      <c r="B767" s="140" t="s">
        <v>25</v>
      </c>
      <c r="C767" s="549">
        <f>+EOMONTH(Tabla18[[#This Row],[Fecha Asiento]],-1)+1</f>
        <v>46082</v>
      </c>
      <c r="D767" s="136">
        <v>53009</v>
      </c>
      <c r="E767" s="136" t="s">
        <v>4446</v>
      </c>
      <c r="F767" s="141">
        <v>46100</v>
      </c>
      <c r="G767" s="136">
        <v>814</v>
      </c>
      <c r="H767" s="136" t="s">
        <v>4863</v>
      </c>
      <c r="I767" s="136" t="s">
        <v>4423</v>
      </c>
      <c r="J767" s="136" t="s">
        <v>4424</v>
      </c>
      <c r="K767" s="136">
        <v>8842</v>
      </c>
      <c r="L767" s="138">
        <v>2627500</v>
      </c>
      <c r="M767" s="138">
        <v>0</v>
      </c>
      <c r="N767" s="136" t="s">
        <v>4425</v>
      </c>
      <c r="O767" s="136" t="s">
        <v>4426</v>
      </c>
      <c r="P767" s="136" t="s">
        <v>4427</v>
      </c>
      <c r="Q767" s="136" t="s">
        <v>4428</v>
      </c>
      <c r="R767" s="136">
        <v>0</v>
      </c>
      <c r="S767" s="142">
        <f>(Tabla18[[#This Row],[Debe]]-Tabla18[[#This Row],[Haber]])*
SUMIF('0_Indice_CAC'!$A:$A,Tabla18[[#This Row],[Mes]],'0_Indice_CAC'!$D:$D)</f>
        <v>2087219.224406484</v>
      </c>
      <c r="T767" s="142">
        <f>Tabla18[[#This Row],[Debe]]-Tabla18[[#This Row],[Haber]]</f>
        <v>2627500</v>
      </c>
      <c r="U767" s="322"/>
      <c r="V767" s="323"/>
      <c r="W767" s="142">
        <f t="shared" si="14"/>
        <v>2627500</v>
      </c>
      <c r="X767" s="142" t="b">
        <f>ISNUMBER(MATCH(A767,'3_Control_Ppto'!$A$4:$A$70,0))</f>
        <v>1</v>
      </c>
      <c r="Y767" s="136"/>
    </row>
    <row r="768" spans="1:25" ht="12" customHeight="1" x14ac:dyDescent="0.3">
      <c r="A768" s="140" t="s">
        <v>4271</v>
      </c>
      <c r="B768" s="140" t="s">
        <v>4090</v>
      </c>
      <c r="C768" s="549">
        <f>+EOMONTH(Tabla18[[#This Row],[Fecha Asiento]],-1)+1</f>
        <v>46082</v>
      </c>
      <c r="D768" s="136">
        <v>53017</v>
      </c>
      <c r="E768" s="136" t="s">
        <v>4677</v>
      </c>
      <c r="F768" s="141">
        <v>46100</v>
      </c>
      <c r="G768" s="136">
        <v>2089</v>
      </c>
      <c r="H768" s="136" t="s">
        <v>4734</v>
      </c>
      <c r="I768" s="136" t="s">
        <v>4489</v>
      </c>
      <c r="J768" s="136" t="s">
        <v>4439</v>
      </c>
      <c r="K768" s="136">
        <v>300006831</v>
      </c>
      <c r="L768" s="138">
        <v>35950.42</v>
      </c>
      <c r="M768" s="138">
        <v>0</v>
      </c>
      <c r="N768" s="136" t="s">
        <v>4425</v>
      </c>
      <c r="O768" s="136" t="s">
        <v>4426</v>
      </c>
      <c r="P768" s="136" t="s">
        <v>4427</v>
      </c>
      <c r="Q768" s="136" t="s">
        <v>4428</v>
      </c>
      <c r="R768" s="136">
        <v>0</v>
      </c>
      <c r="S768" s="142">
        <f>(Tabla18[[#This Row],[Debe]]-Tabla18[[#This Row],[Haber]])*
SUMIF('0_Indice_CAC'!$A:$A,Tabla18[[#This Row],[Mes]],'0_Indice_CAC'!$D:$D)</f>
        <v>28558.09999980489</v>
      </c>
      <c r="T768" s="142">
        <f>Tabla18[[#This Row],[Debe]]-Tabla18[[#This Row],[Haber]]</f>
        <v>35950.42</v>
      </c>
      <c r="U768" s="322"/>
      <c r="V768" s="323"/>
      <c r="W768" s="142">
        <f t="shared" si="14"/>
        <v>35950.42</v>
      </c>
      <c r="X768" s="142" t="b">
        <f>ISNUMBER(MATCH(A768,'3_Control_Ppto'!$A$4:$A$70,0))</f>
        <v>1</v>
      </c>
      <c r="Y768" s="136"/>
    </row>
    <row r="769" spans="1:25" ht="12" customHeight="1" x14ac:dyDescent="0.3">
      <c r="A769" s="140" t="s">
        <v>106</v>
      </c>
      <c r="B769" s="140" t="s">
        <v>4090</v>
      </c>
      <c r="C769" s="549">
        <f>+EOMONTH(Tabla18[[#This Row],[Fecha Asiento]],-1)+1</f>
        <v>46082</v>
      </c>
      <c r="D769" s="136">
        <v>53023</v>
      </c>
      <c r="E769" s="136" t="s">
        <v>4467</v>
      </c>
      <c r="F769" s="141">
        <v>46100</v>
      </c>
      <c r="G769" s="136">
        <v>1804</v>
      </c>
      <c r="H769" s="136" t="s">
        <v>4475</v>
      </c>
      <c r="I769" s="136" t="s">
        <v>4471</v>
      </c>
      <c r="J769" s="136" t="s">
        <v>4455</v>
      </c>
      <c r="K769" s="136">
        <v>1000221411</v>
      </c>
      <c r="L769" s="138">
        <v>200611.74</v>
      </c>
      <c r="M769" s="138">
        <v>0</v>
      </c>
      <c r="N769" s="136" t="s">
        <v>4425</v>
      </c>
      <c r="O769" s="136" t="s">
        <v>4426</v>
      </c>
      <c r="P769" s="136" t="s">
        <v>4427</v>
      </c>
      <c r="Q769" s="136" t="s">
        <v>4428</v>
      </c>
      <c r="R769" s="136">
        <v>0</v>
      </c>
      <c r="S769" s="142">
        <f>(Tabla18[[#This Row],[Debe]]-Tabla18[[#This Row],[Haber]])*
SUMIF('0_Indice_CAC'!$A:$A,Tabla18[[#This Row],[Mes]],'0_Indice_CAC'!$D:$D)</f>
        <v>159360.86788568419</v>
      </c>
      <c r="T769" s="142">
        <f>Tabla18[[#This Row],[Debe]]-Tabla18[[#This Row],[Haber]]</f>
        <v>200611.74</v>
      </c>
      <c r="U769" s="322"/>
      <c r="V769" s="323"/>
      <c r="W769" s="142">
        <f t="shared" si="14"/>
        <v>200611.74</v>
      </c>
      <c r="X769" s="142" t="b">
        <f>ISNUMBER(MATCH(A769,'3_Control_Ppto'!$A$4:$A$70,0))</f>
        <v>1</v>
      </c>
      <c r="Y769" s="136"/>
    </row>
    <row r="770" spans="1:25" ht="12" customHeight="1" x14ac:dyDescent="0.3">
      <c r="A770" s="140" t="s">
        <v>25</v>
      </c>
      <c r="B770" s="140" t="s">
        <v>25</v>
      </c>
      <c r="C770" s="549">
        <f>+EOMONTH(Tabla18[[#This Row],[Fecha Asiento]],-1)+1</f>
        <v>46082</v>
      </c>
      <c r="D770" s="136">
        <v>52202</v>
      </c>
      <c r="E770" s="136" t="s">
        <v>4773</v>
      </c>
      <c r="F770" s="141">
        <v>46101</v>
      </c>
      <c r="G770" s="136">
        <v>827</v>
      </c>
      <c r="H770" s="136" t="s">
        <v>4864</v>
      </c>
      <c r="I770" s="136" t="s">
        <v>4423</v>
      </c>
      <c r="J770" s="136" t="s">
        <v>4424</v>
      </c>
      <c r="K770" s="136">
        <v>8855</v>
      </c>
      <c r="L770" s="138">
        <v>3000000</v>
      </c>
      <c r="M770" s="138">
        <v>0</v>
      </c>
      <c r="N770" s="136" t="s">
        <v>4425</v>
      </c>
      <c r="O770" s="136" t="s">
        <v>4426</v>
      </c>
      <c r="P770" s="136" t="s">
        <v>4427</v>
      </c>
      <c r="Q770" s="136" t="s">
        <v>4428</v>
      </c>
      <c r="R770" s="136">
        <v>0</v>
      </c>
      <c r="S770" s="142">
        <f>(Tabla18[[#This Row],[Debe]]-Tabla18[[#This Row],[Haber]])*
SUMIF('0_Indice_CAC'!$A:$A,Tabla18[[#This Row],[Mes]],'0_Indice_CAC'!$D:$D)</f>
        <v>2383123.7576477458</v>
      </c>
      <c r="T770" s="142">
        <f>Tabla18[[#This Row],[Debe]]-Tabla18[[#This Row],[Haber]]</f>
        <v>3000000</v>
      </c>
      <c r="U770" s="322"/>
      <c r="V770" s="323"/>
      <c r="W770" s="142">
        <f t="shared" si="14"/>
        <v>3000000</v>
      </c>
      <c r="X770" s="142" t="b">
        <f>ISNUMBER(MATCH(A770,'3_Control_Ppto'!$A$4:$A$70,0))</f>
        <v>0</v>
      </c>
      <c r="Y770" s="136"/>
    </row>
    <row r="771" spans="1:25" ht="12" customHeight="1" x14ac:dyDescent="0.3">
      <c r="A771" s="140" t="s">
        <v>25</v>
      </c>
      <c r="B771" s="140" t="s">
        <v>25</v>
      </c>
      <c r="C771" s="549">
        <f>+EOMONTH(Tabla18[[#This Row],[Fecha Asiento]],-1)+1</f>
        <v>46082</v>
      </c>
      <c r="D771" s="136">
        <v>52405</v>
      </c>
      <c r="E771" s="136" t="s">
        <v>4493</v>
      </c>
      <c r="F771" s="141">
        <v>46101</v>
      </c>
      <c r="G771" s="136">
        <v>1811</v>
      </c>
      <c r="H771" s="136" t="s">
        <v>4865</v>
      </c>
      <c r="I771" s="136" t="s">
        <v>4544</v>
      </c>
      <c r="J771" s="136" t="s">
        <v>4455</v>
      </c>
      <c r="K771" s="136">
        <v>1400008956</v>
      </c>
      <c r="L771" s="138">
        <v>0.01</v>
      </c>
      <c r="M771" s="138">
        <v>0</v>
      </c>
      <c r="N771" s="136" t="s">
        <v>4425</v>
      </c>
      <c r="O771" s="136" t="s">
        <v>4426</v>
      </c>
      <c r="P771" s="136" t="s">
        <v>4427</v>
      </c>
      <c r="Q771" s="136" t="s">
        <v>4428</v>
      </c>
      <c r="R771" s="136">
        <v>0</v>
      </c>
      <c r="S771" s="142">
        <f>(Tabla18[[#This Row],[Debe]]-Tabla18[[#This Row],[Haber]])*
SUMIF('0_Indice_CAC'!$A:$A,Tabla18[[#This Row],[Mes]],'0_Indice_CAC'!$D:$D)</f>
        <v>7.9437458588258198E-3</v>
      </c>
      <c r="T771" s="142">
        <f>Tabla18[[#This Row],[Debe]]-Tabla18[[#This Row],[Haber]]</f>
        <v>0.01</v>
      </c>
      <c r="U771" s="322"/>
      <c r="V771" s="323"/>
      <c r="W771" s="142">
        <f t="shared" si="14"/>
        <v>0.01</v>
      </c>
      <c r="X771" s="142" t="b">
        <f>ISNUMBER(MATCH(A771,'3_Control_Ppto'!$A$4:$A$70,0))</f>
        <v>0</v>
      </c>
      <c r="Y771" s="136"/>
    </row>
    <row r="772" spans="1:25" ht="12" customHeight="1" x14ac:dyDescent="0.3">
      <c r="A772" s="140" t="s">
        <v>4165</v>
      </c>
      <c r="B772" s="140" t="s">
        <v>4090</v>
      </c>
      <c r="C772" s="549">
        <f>+EOMONTH(Tabla18[[#This Row],[Fecha Asiento]],-1)+1</f>
        <v>46082</v>
      </c>
      <c r="D772" s="136">
        <v>53010</v>
      </c>
      <c r="E772" s="136" t="s">
        <v>4507</v>
      </c>
      <c r="F772" s="141">
        <v>46101</v>
      </c>
      <c r="G772" s="136">
        <v>1811</v>
      </c>
      <c r="H772" s="136" t="s">
        <v>4866</v>
      </c>
      <c r="I772" s="136" t="s">
        <v>4544</v>
      </c>
      <c r="J772" s="136" t="s">
        <v>4455</v>
      </c>
      <c r="K772" s="136">
        <v>1400008956</v>
      </c>
      <c r="L772" s="138">
        <v>1583421.5</v>
      </c>
      <c r="M772" s="138">
        <v>0</v>
      </c>
      <c r="N772" s="136" t="s">
        <v>4425</v>
      </c>
      <c r="O772" s="136" t="s">
        <v>4426</v>
      </c>
      <c r="P772" s="136" t="s">
        <v>4427</v>
      </c>
      <c r="Q772" s="136" t="s">
        <v>4428</v>
      </c>
      <c r="R772" s="136">
        <v>0</v>
      </c>
      <c r="S772" s="142">
        <f>(Tabla18[[#This Row],[Debe]]-Tabla18[[#This Row],[Haber]])*
SUMIF('0_Indice_CAC'!$A:$A,Tabla18[[#This Row],[Mes]],'0_Indice_CAC'!$D:$D)</f>
        <v>1257829.7983400766</v>
      </c>
      <c r="T772" s="142">
        <f>Tabla18[[#This Row],[Debe]]-Tabla18[[#This Row],[Haber]]</f>
        <v>1583421.5</v>
      </c>
      <c r="U772" s="322"/>
      <c r="V772" s="323"/>
      <c r="W772" s="142">
        <f t="shared" si="14"/>
        <v>1583421.5</v>
      </c>
      <c r="X772" s="142" t="b">
        <f>ISNUMBER(MATCH(A772,'3_Control_Ppto'!$A$4:$A$70,0))</f>
        <v>1</v>
      </c>
      <c r="Y772" s="136"/>
    </row>
    <row r="773" spans="1:25" ht="12" customHeight="1" x14ac:dyDescent="0.3">
      <c r="A773" s="140" t="s">
        <v>4271</v>
      </c>
      <c r="B773" s="140" t="s">
        <v>4090</v>
      </c>
      <c r="C773" s="549">
        <f>+EOMONTH(Tabla18[[#This Row],[Fecha Asiento]],-1)+1</f>
        <v>46082</v>
      </c>
      <c r="D773" s="136">
        <v>53017</v>
      </c>
      <c r="E773" s="136" t="s">
        <v>4677</v>
      </c>
      <c r="F773" s="141">
        <v>46101</v>
      </c>
      <c r="G773" s="136">
        <v>2092</v>
      </c>
      <c r="H773" s="136" t="s">
        <v>4734</v>
      </c>
      <c r="I773" s="136" t="s">
        <v>4489</v>
      </c>
      <c r="J773" s="136" t="s">
        <v>4439</v>
      </c>
      <c r="K773" s="136">
        <v>300006832</v>
      </c>
      <c r="L773" s="138">
        <v>11363.64</v>
      </c>
      <c r="M773" s="138">
        <v>0</v>
      </c>
      <c r="N773" s="136" t="s">
        <v>4425</v>
      </c>
      <c r="O773" s="136" t="s">
        <v>4426</v>
      </c>
      <c r="P773" s="136" t="s">
        <v>4427</v>
      </c>
      <c r="Q773" s="136" t="s">
        <v>4428</v>
      </c>
      <c r="R773" s="136">
        <v>0</v>
      </c>
      <c r="S773" s="142">
        <f>(Tabla18[[#This Row],[Debe]]-Tabla18[[#This Row],[Haber]])*
SUMIF('0_Indice_CAC'!$A:$A,Tabla18[[#This Row],[Mes]],'0_Indice_CAC'!$D:$D)</f>
        <v>9026.9868191187434</v>
      </c>
      <c r="T773" s="142">
        <f>Tabla18[[#This Row],[Debe]]-Tabla18[[#This Row],[Haber]]</f>
        <v>11363.64</v>
      </c>
      <c r="U773" s="322"/>
      <c r="V773" s="323"/>
      <c r="W773" s="142">
        <f t="shared" si="14"/>
        <v>11363.64</v>
      </c>
      <c r="X773" s="142" t="b">
        <f>ISNUMBER(MATCH(A773,'3_Control_Ppto'!$A$4:$A$70,0))</f>
        <v>1</v>
      </c>
      <c r="Y773" s="136"/>
    </row>
    <row r="774" spans="1:25" ht="12" customHeight="1" x14ac:dyDescent="0.3">
      <c r="A774" s="140" t="s">
        <v>4119</v>
      </c>
      <c r="B774" s="140" t="s">
        <v>25</v>
      </c>
      <c r="C774" s="549">
        <f>+EOMONTH(Tabla18[[#This Row],[Fecha Asiento]],-1)+1</f>
        <v>46082</v>
      </c>
      <c r="D774" s="136">
        <v>53022</v>
      </c>
      <c r="E774" s="136" t="s">
        <v>4429</v>
      </c>
      <c r="F774" s="141">
        <v>46101</v>
      </c>
      <c r="G774" s="136">
        <v>830</v>
      </c>
      <c r="H774" s="136" t="s">
        <v>4867</v>
      </c>
      <c r="I774" s="136" t="s">
        <v>4423</v>
      </c>
      <c r="J774" s="136" t="s">
        <v>4424</v>
      </c>
      <c r="K774" s="136">
        <v>8858</v>
      </c>
      <c r="L774" s="138">
        <v>500000</v>
      </c>
      <c r="M774" s="138">
        <v>0</v>
      </c>
      <c r="N774" s="136" t="s">
        <v>4425</v>
      </c>
      <c r="O774" s="136" t="s">
        <v>4426</v>
      </c>
      <c r="P774" s="136" t="s">
        <v>4427</v>
      </c>
      <c r="Q774" s="136" t="s">
        <v>4428</v>
      </c>
      <c r="R774" s="136">
        <v>0</v>
      </c>
      <c r="S774" s="142">
        <f>(Tabla18[[#This Row],[Debe]]-Tabla18[[#This Row],[Haber]])*
SUMIF('0_Indice_CAC'!$A:$A,Tabla18[[#This Row],[Mes]],'0_Indice_CAC'!$D:$D)</f>
        <v>397187.29294129094</v>
      </c>
      <c r="T774" s="142">
        <f>Tabla18[[#This Row],[Debe]]-Tabla18[[#This Row],[Haber]]</f>
        <v>500000</v>
      </c>
      <c r="U774" s="322"/>
      <c r="V774" s="323"/>
      <c r="W774" s="142">
        <f t="shared" si="14"/>
        <v>500000</v>
      </c>
      <c r="X774" s="142" t="b">
        <f>ISNUMBER(MATCH(A774,'3_Control_Ppto'!$A$4:$A$70,0))</f>
        <v>1</v>
      </c>
      <c r="Y774" s="136"/>
    </row>
    <row r="775" spans="1:25" ht="12" customHeight="1" x14ac:dyDescent="0.3">
      <c r="A775" s="140" t="s">
        <v>4317</v>
      </c>
      <c r="B775" s="140" t="s">
        <v>56</v>
      </c>
      <c r="C775" s="549">
        <f>+EOMONTH(Tabla18[[#This Row],[Fecha Asiento]],-1)+1</f>
        <v>46082</v>
      </c>
      <c r="D775" s="136">
        <v>52005</v>
      </c>
      <c r="E775" s="136" t="s">
        <v>4357</v>
      </c>
      <c r="F775" s="141">
        <v>46102</v>
      </c>
      <c r="G775" s="136">
        <v>2165</v>
      </c>
      <c r="H775" s="136" t="s">
        <v>4586</v>
      </c>
      <c r="I775" s="136" t="s">
        <v>4587</v>
      </c>
      <c r="J775" s="136" t="s">
        <v>4455</v>
      </c>
      <c r="K775" s="136">
        <v>395006591497</v>
      </c>
      <c r="L775" s="138">
        <v>18865.71</v>
      </c>
      <c r="M775" s="138">
        <v>0</v>
      </c>
      <c r="N775" s="136" t="s">
        <v>4425</v>
      </c>
      <c r="O775" s="136" t="s">
        <v>4426</v>
      </c>
      <c r="P775" s="136" t="s">
        <v>4427</v>
      </c>
      <c r="Q775" s="136" t="s">
        <v>4428</v>
      </c>
      <c r="R775" s="136">
        <v>0</v>
      </c>
      <c r="S775" s="142">
        <f>(Tabla18[[#This Row],[Debe]]-Tabla18[[#This Row],[Haber]])*
SUMIF('0_Indice_CAC'!$A:$A,Tabla18[[#This Row],[Mes]],'0_Indice_CAC'!$D:$D)</f>
        <v>14986.440568630884</v>
      </c>
      <c r="T775" s="142">
        <f>Tabla18[[#This Row],[Debe]]-Tabla18[[#This Row],[Haber]]</f>
        <v>18865.71</v>
      </c>
      <c r="U775" s="322"/>
      <c r="V775" s="323"/>
      <c r="W775" s="142">
        <f t="shared" si="14"/>
        <v>18865.71</v>
      </c>
      <c r="X775" s="142" t="b">
        <f>ISNUMBER(MATCH(A775,'3_Control_Ppto'!$A$4:$A$70,0))</f>
        <v>1</v>
      </c>
      <c r="Y775" s="136"/>
    </row>
    <row r="776" spans="1:25" ht="12" customHeight="1" x14ac:dyDescent="0.3">
      <c r="A776" s="140" t="s">
        <v>106</v>
      </c>
      <c r="B776" s="140" t="s">
        <v>25</v>
      </c>
      <c r="C776" s="549">
        <f>+EOMONTH(Tabla18[[#This Row],[Fecha Asiento]],-1)+1</f>
        <v>46082</v>
      </c>
      <c r="D776" s="136">
        <v>53009</v>
      </c>
      <c r="E776" s="136" t="s">
        <v>4446</v>
      </c>
      <c r="F776" s="141">
        <v>46104</v>
      </c>
      <c r="G776" s="136">
        <v>832</v>
      </c>
      <c r="H776" s="136" t="s">
        <v>4868</v>
      </c>
      <c r="I776" s="136" t="s">
        <v>4423</v>
      </c>
      <c r="J776" s="136" t="s">
        <v>4424</v>
      </c>
      <c r="K776" s="136">
        <v>8860</v>
      </c>
      <c r="L776" s="138">
        <v>76500</v>
      </c>
      <c r="M776" s="138">
        <v>0</v>
      </c>
      <c r="N776" s="136" t="s">
        <v>4425</v>
      </c>
      <c r="O776" s="136" t="s">
        <v>4426</v>
      </c>
      <c r="P776" s="136" t="s">
        <v>4427</v>
      </c>
      <c r="Q776" s="136" t="s">
        <v>4428</v>
      </c>
      <c r="R776" s="136">
        <v>0</v>
      </c>
      <c r="S776" s="142">
        <f>(Tabla18[[#This Row],[Debe]]-Tabla18[[#This Row],[Haber]])*
SUMIF('0_Indice_CAC'!$A:$A,Tabla18[[#This Row],[Mes]],'0_Indice_CAC'!$D:$D)</f>
        <v>60769.655820017513</v>
      </c>
      <c r="T776" s="142">
        <f>Tabla18[[#This Row],[Debe]]-Tabla18[[#This Row],[Haber]]</f>
        <v>76500</v>
      </c>
      <c r="U776" s="322"/>
      <c r="V776" s="323"/>
      <c r="W776" s="142">
        <f t="shared" si="14"/>
        <v>76500</v>
      </c>
      <c r="X776" s="142" t="b">
        <f>ISNUMBER(MATCH(A776,'3_Control_Ppto'!$A$4:$A$70,0))</f>
        <v>1</v>
      </c>
      <c r="Y776" s="136"/>
    </row>
    <row r="777" spans="1:25" ht="12" customHeight="1" x14ac:dyDescent="0.3">
      <c r="A777" s="140" t="s">
        <v>106</v>
      </c>
      <c r="B777" s="140" t="s">
        <v>25</v>
      </c>
      <c r="C777" s="549">
        <f>+EOMONTH(Tabla18[[#This Row],[Fecha Asiento]],-1)+1</f>
        <v>46082</v>
      </c>
      <c r="D777" s="136">
        <v>53009</v>
      </c>
      <c r="E777" s="136" t="s">
        <v>4446</v>
      </c>
      <c r="F777" s="141">
        <v>46104</v>
      </c>
      <c r="G777" s="136">
        <v>833</v>
      </c>
      <c r="H777" s="136" t="s">
        <v>4869</v>
      </c>
      <c r="I777" s="136" t="s">
        <v>4423</v>
      </c>
      <c r="J777" s="136" t="s">
        <v>4424</v>
      </c>
      <c r="K777" s="136">
        <v>8861</v>
      </c>
      <c r="L777" s="138">
        <v>79600</v>
      </c>
      <c r="M777" s="138">
        <v>0</v>
      </c>
      <c r="N777" s="136" t="s">
        <v>4425</v>
      </c>
      <c r="O777" s="136" t="s">
        <v>4426</v>
      </c>
      <c r="P777" s="136" t="s">
        <v>4427</v>
      </c>
      <c r="Q777" s="136" t="s">
        <v>4428</v>
      </c>
      <c r="R777" s="136">
        <v>0</v>
      </c>
      <c r="S777" s="142">
        <f>(Tabla18[[#This Row],[Debe]]-Tabla18[[#This Row],[Haber]])*
SUMIF('0_Indice_CAC'!$A:$A,Tabla18[[#This Row],[Mes]],'0_Indice_CAC'!$D:$D)</f>
        <v>63232.217036253518</v>
      </c>
      <c r="T777" s="142">
        <f>Tabla18[[#This Row],[Debe]]-Tabla18[[#This Row],[Haber]]</f>
        <v>79600</v>
      </c>
      <c r="U777" s="322"/>
      <c r="V777" s="323"/>
      <c r="W777" s="142">
        <f t="shared" si="14"/>
        <v>79600</v>
      </c>
      <c r="X777" s="142" t="b">
        <f>ISNUMBER(MATCH(A777,'3_Control_Ppto'!$A$4:$A$70,0))</f>
        <v>1</v>
      </c>
      <c r="Y777" s="136"/>
    </row>
    <row r="778" spans="1:25" ht="12" customHeight="1" x14ac:dyDescent="0.3">
      <c r="A778" s="140" t="s">
        <v>106</v>
      </c>
      <c r="B778" s="140" t="s">
        <v>25</v>
      </c>
      <c r="C778" s="549">
        <f>+EOMONTH(Tabla18[[#This Row],[Fecha Asiento]],-1)+1</f>
        <v>46082</v>
      </c>
      <c r="D778" s="136">
        <v>53009</v>
      </c>
      <c r="E778" s="136" t="s">
        <v>4446</v>
      </c>
      <c r="F778" s="141">
        <v>46104</v>
      </c>
      <c r="G778" s="136">
        <v>834</v>
      </c>
      <c r="H778" s="136" t="s">
        <v>4870</v>
      </c>
      <c r="I778" s="136" t="s">
        <v>4423</v>
      </c>
      <c r="J778" s="136" t="s">
        <v>4424</v>
      </c>
      <c r="K778" s="136">
        <v>8862</v>
      </c>
      <c r="L778" s="138">
        <v>79600</v>
      </c>
      <c r="M778" s="138">
        <v>0</v>
      </c>
      <c r="N778" s="136" t="s">
        <v>4425</v>
      </c>
      <c r="O778" s="136" t="s">
        <v>4426</v>
      </c>
      <c r="P778" s="136" t="s">
        <v>4427</v>
      </c>
      <c r="Q778" s="136" t="s">
        <v>4428</v>
      </c>
      <c r="R778" s="136">
        <v>0</v>
      </c>
      <c r="S778" s="142">
        <f>(Tabla18[[#This Row],[Debe]]-Tabla18[[#This Row],[Haber]])*
SUMIF('0_Indice_CAC'!$A:$A,Tabla18[[#This Row],[Mes]],'0_Indice_CAC'!$D:$D)</f>
        <v>63232.217036253518</v>
      </c>
      <c r="T778" s="142">
        <f>Tabla18[[#This Row],[Debe]]-Tabla18[[#This Row],[Haber]]</f>
        <v>79600</v>
      </c>
      <c r="U778" s="322"/>
      <c r="V778" s="323"/>
      <c r="W778" s="142">
        <f t="shared" si="14"/>
        <v>79600</v>
      </c>
      <c r="X778" s="142" t="b">
        <f>ISNUMBER(MATCH(A778,'3_Control_Ppto'!$A$4:$A$70,0))</f>
        <v>1</v>
      </c>
      <c r="Y778" s="136"/>
    </row>
    <row r="779" spans="1:25" ht="12" customHeight="1" x14ac:dyDescent="0.3">
      <c r="A779" s="140" t="s">
        <v>106</v>
      </c>
      <c r="B779" s="140" t="s">
        <v>25</v>
      </c>
      <c r="C779" s="549">
        <f>+EOMONTH(Tabla18[[#This Row],[Fecha Asiento]],-1)+1</f>
        <v>46082</v>
      </c>
      <c r="D779" s="136">
        <v>53009</v>
      </c>
      <c r="E779" s="136" t="s">
        <v>4446</v>
      </c>
      <c r="F779" s="141">
        <v>46104</v>
      </c>
      <c r="G779" s="136">
        <v>836</v>
      </c>
      <c r="H779" s="136" t="s">
        <v>4871</v>
      </c>
      <c r="I779" s="136" t="s">
        <v>4423</v>
      </c>
      <c r="J779" s="136" t="s">
        <v>4424</v>
      </c>
      <c r="K779" s="136">
        <v>8864</v>
      </c>
      <c r="L779" s="138">
        <v>90000</v>
      </c>
      <c r="M779" s="138">
        <v>0</v>
      </c>
      <c r="N779" s="136" t="s">
        <v>4425</v>
      </c>
      <c r="O779" s="136" t="s">
        <v>4426</v>
      </c>
      <c r="P779" s="136" t="s">
        <v>4427</v>
      </c>
      <c r="Q779" s="136" t="s">
        <v>4428</v>
      </c>
      <c r="R779" s="136">
        <v>0</v>
      </c>
      <c r="S779" s="142">
        <f>(Tabla18[[#This Row],[Debe]]-Tabla18[[#This Row],[Haber]])*
SUMIF('0_Indice_CAC'!$A:$A,Tabla18[[#This Row],[Mes]],'0_Indice_CAC'!$D:$D)</f>
        <v>71493.712729432373</v>
      </c>
      <c r="T779" s="142">
        <f>Tabla18[[#This Row],[Debe]]-Tabla18[[#This Row],[Haber]]</f>
        <v>90000</v>
      </c>
      <c r="U779" s="322"/>
      <c r="V779" s="323"/>
      <c r="W779" s="142">
        <f t="shared" si="14"/>
        <v>90000</v>
      </c>
      <c r="X779" s="142" t="b">
        <f>ISNUMBER(MATCH(A779,'3_Control_Ppto'!$A$4:$A$70,0))</f>
        <v>1</v>
      </c>
      <c r="Y779" s="136"/>
    </row>
    <row r="780" spans="1:25" ht="12" customHeight="1" x14ac:dyDescent="0.3">
      <c r="A780" s="140" t="s">
        <v>106</v>
      </c>
      <c r="B780" s="140" t="s">
        <v>25</v>
      </c>
      <c r="C780" s="549">
        <f>+EOMONTH(Tabla18[[#This Row],[Fecha Asiento]],-1)+1</f>
        <v>46082</v>
      </c>
      <c r="D780" s="136">
        <v>53009</v>
      </c>
      <c r="E780" s="136" t="s">
        <v>4446</v>
      </c>
      <c r="F780" s="141">
        <v>46104</v>
      </c>
      <c r="G780" s="136">
        <v>837</v>
      </c>
      <c r="H780" s="136" t="s">
        <v>4872</v>
      </c>
      <c r="I780" s="136" t="s">
        <v>4423</v>
      </c>
      <c r="J780" s="136" t="s">
        <v>4424</v>
      </c>
      <c r="K780" s="136">
        <v>8865</v>
      </c>
      <c r="L780" s="138">
        <v>93000</v>
      </c>
      <c r="M780" s="138">
        <v>0</v>
      </c>
      <c r="N780" s="136" t="s">
        <v>4425</v>
      </c>
      <c r="O780" s="136" t="s">
        <v>4426</v>
      </c>
      <c r="P780" s="136" t="s">
        <v>4427</v>
      </c>
      <c r="Q780" s="136" t="s">
        <v>4428</v>
      </c>
      <c r="R780" s="136">
        <v>0</v>
      </c>
      <c r="S780" s="142">
        <f>(Tabla18[[#This Row],[Debe]]-Tabla18[[#This Row],[Haber]])*
SUMIF('0_Indice_CAC'!$A:$A,Tabla18[[#This Row],[Mes]],'0_Indice_CAC'!$D:$D)</f>
        <v>73876.836487080116</v>
      </c>
      <c r="T780" s="142">
        <f>Tabla18[[#This Row],[Debe]]-Tabla18[[#This Row],[Haber]]</f>
        <v>93000</v>
      </c>
      <c r="U780" s="322"/>
      <c r="V780" s="323"/>
      <c r="W780" s="142">
        <f t="shared" si="14"/>
        <v>93000</v>
      </c>
      <c r="X780" s="142" t="b">
        <f>ISNUMBER(MATCH(A780,'3_Control_Ppto'!$A$4:$A$70,0))</f>
        <v>1</v>
      </c>
      <c r="Y780" s="136"/>
    </row>
    <row r="781" spans="1:25" ht="12" customHeight="1" x14ac:dyDescent="0.3">
      <c r="A781" s="140" t="s">
        <v>4271</v>
      </c>
      <c r="B781" s="140" t="s">
        <v>25</v>
      </c>
      <c r="C781" s="549">
        <f>+EOMONTH(Tabla18[[#This Row],[Fecha Asiento]],-1)+1</f>
        <v>46082</v>
      </c>
      <c r="D781" s="136">
        <v>53018</v>
      </c>
      <c r="E781" s="136" t="s">
        <v>4798</v>
      </c>
      <c r="F781" s="141">
        <v>46104</v>
      </c>
      <c r="G781" s="136">
        <v>835</v>
      </c>
      <c r="H781" s="136" t="s">
        <v>4873</v>
      </c>
      <c r="I781" s="136" t="s">
        <v>4423</v>
      </c>
      <c r="J781" s="136" t="s">
        <v>4424</v>
      </c>
      <c r="K781" s="136">
        <v>8863</v>
      </c>
      <c r="L781" s="138">
        <v>96000</v>
      </c>
      <c r="M781" s="138">
        <v>0</v>
      </c>
      <c r="N781" s="136" t="s">
        <v>4425</v>
      </c>
      <c r="O781" s="136" t="s">
        <v>4426</v>
      </c>
      <c r="P781" s="136" t="s">
        <v>4427</v>
      </c>
      <c r="Q781" s="136" t="s">
        <v>4428</v>
      </c>
      <c r="R781" s="136">
        <v>0</v>
      </c>
      <c r="S781" s="142">
        <f>(Tabla18[[#This Row],[Debe]]-Tabla18[[#This Row],[Haber]])*
SUMIF('0_Indice_CAC'!$A:$A,Tabla18[[#This Row],[Mes]],'0_Indice_CAC'!$D:$D)</f>
        <v>76259.960244727859</v>
      </c>
      <c r="T781" s="142">
        <f>Tabla18[[#This Row],[Debe]]-Tabla18[[#This Row],[Haber]]</f>
        <v>96000</v>
      </c>
      <c r="U781" s="322"/>
      <c r="V781" s="323"/>
      <c r="W781" s="142">
        <f t="shared" si="14"/>
        <v>96000</v>
      </c>
      <c r="X781" s="142" t="b">
        <f>ISNUMBER(MATCH(A781,'3_Control_Ppto'!$A$4:$A$70,0))</f>
        <v>1</v>
      </c>
      <c r="Y781" s="136"/>
    </row>
    <row r="782" spans="1:25" ht="12" customHeight="1" x14ac:dyDescent="0.3">
      <c r="A782" s="140" t="s">
        <v>106</v>
      </c>
      <c r="B782" s="140" t="s">
        <v>4090</v>
      </c>
      <c r="C782" s="549">
        <f>+EOMONTH(Tabla18[[#This Row],[Fecha Asiento]],-1)+1</f>
        <v>46082</v>
      </c>
      <c r="D782" s="136">
        <v>53023</v>
      </c>
      <c r="E782" s="136" t="s">
        <v>4467</v>
      </c>
      <c r="F782" s="141">
        <v>46104</v>
      </c>
      <c r="G782" s="136">
        <v>1942</v>
      </c>
      <c r="H782" s="136" t="s">
        <v>4475</v>
      </c>
      <c r="I782" s="136" t="s">
        <v>4471</v>
      </c>
      <c r="J782" s="136" t="s">
        <v>4455</v>
      </c>
      <c r="K782" s="136">
        <v>1000221688</v>
      </c>
      <c r="L782" s="138">
        <v>133254.39000000001</v>
      </c>
      <c r="M782" s="138">
        <v>0</v>
      </c>
      <c r="N782" s="136" t="s">
        <v>4425</v>
      </c>
      <c r="O782" s="136" t="s">
        <v>4426</v>
      </c>
      <c r="P782" s="136" t="s">
        <v>4427</v>
      </c>
      <c r="Q782" s="136" t="s">
        <v>4428</v>
      </c>
      <c r="R782" s="136">
        <v>0</v>
      </c>
      <c r="S782" s="142">
        <f>(Tabla18[[#This Row],[Debe]]-Tabla18[[#This Row],[Haber]])*
SUMIF('0_Indice_CAC'!$A:$A,Tabla18[[#This Row],[Mes]],'0_Indice_CAC'!$D:$D)</f>
        <v>105853.90087328608</v>
      </c>
      <c r="T782" s="142">
        <f>Tabla18[[#This Row],[Debe]]-Tabla18[[#This Row],[Haber]]</f>
        <v>133254.39000000001</v>
      </c>
      <c r="U782" s="322"/>
      <c r="V782" s="323"/>
      <c r="W782" s="142">
        <f t="shared" si="14"/>
        <v>133254.39000000001</v>
      </c>
      <c r="X782" s="142" t="b">
        <f>ISNUMBER(MATCH(A782,'3_Control_Ppto'!$A$4:$A$70,0))</f>
        <v>1</v>
      </c>
      <c r="Y782" s="136"/>
    </row>
    <row r="783" spans="1:25" ht="12" customHeight="1" x14ac:dyDescent="0.3">
      <c r="A783" s="140" t="s">
        <v>4317</v>
      </c>
      <c r="B783" s="140" t="s">
        <v>56</v>
      </c>
      <c r="C783" s="549">
        <f>+EOMONTH(Tabla18[[#This Row],[Fecha Asiento]],-1)+1</f>
        <v>46082</v>
      </c>
      <c r="D783" s="136">
        <v>52102</v>
      </c>
      <c r="E783" s="136" t="s">
        <v>4535</v>
      </c>
      <c r="F783" s="141">
        <v>46106</v>
      </c>
      <c r="G783" s="136">
        <v>2344</v>
      </c>
      <c r="H783" s="136" t="s">
        <v>4633</v>
      </c>
      <c r="I783" s="136" t="s">
        <v>4634</v>
      </c>
      <c r="J783" s="136" t="s">
        <v>4542</v>
      </c>
      <c r="K783" s="136">
        <v>400008199</v>
      </c>
      <c r="L783" s="138">
        <v>34600</v>
      </c>
      <c r="M783" s="138">
        <v>0</v>
      </c>
      <c r="N783" s="136" t="s">
        <v>4425</v>
      </c>
      <c r="O783" s="136" t="s">
        <v>4426</v>
      </c>
      <c r="P783" s="136" t="s">
        <v>4427</v>
      </c>
      <c r="Q783" s="136" t="s">
        <v>4428</v>
      </c>
      <c r="R783" s="136">
        <v>0</v>
      </c>
      <c r="S783" s="142">
        <f>(Tabla18[[#This Row],[Debe]]-Tabla18[[#This Row],[Haber]])*
SUMIF('0_Indice_CAC'!$A:$A,Tabla18[[#This Row],[Mes]],'0_Indice_CAC'!$D:$D)</f>
        <v>27485.360671537335</v>
      </c>
      <c r="T783" s="142">
        <f>Tabla18[[#This Row],[Debe]]-Tabla18[[#This Row],[Haber]]</f>
        <v>34600</v>
      </c>
      <c r="U783" s="322"/>
      <c r="V783" s="323"/>
      <c r="W783" s="142">
        <f t="shared" si="14"/>
        <v>34600</v>
      </c>
      <c r="X783" s="142" t="b">
        <f>ISNUMBER(MATCH(A783,'3_Control_Ppto'!$A$4:$A$70,0))</f>
        <v>1</v>
      </c>
      <c r="Y783" s="136"/>
    </row>
    <row r="784" spans="1:25" ht="12" customHeight="1" x14ac:dyDescent="0.3">
      <c r="A784" s="140" t="s">
        <v>3219</v>
      </c>
      <c r="B784" s="140" t="s">
        <v>4090</v>
      </c>
      <c r="C784" s="549">
        <f>+EOMONTH(Tabla18[[#This Row],[Fecha Asiento]],-1)+1</f>
        <v>46082</v>
      </c>
      <c r="D784" s="136">
        <v>53019</v>
      </c>
      <c r="E784" s="136" t="s">
        <v>4461</v>
      </c>
      <c r="F784" s="141">
        <v>46106</v>
      </c>
      <c r="G784" s="136">
        <v>1943</v>
      </c>
      <c r="H784" s="136" t="s">
        <v>4462</v>
      </c>
      <c r="I784" s="136" t="s">
        <v>4463</v>
      </c>
      <c r="J784" s="136" t="s">
        <v>4455</v>
      </c>
      <c r="K784" s="136">
        <v>300011696</v>
      </c>
      <c r="L784" s="138">
        <v>99153.49</v>
      </c>
      <c r="M784" s="138">
        <v>0</v>
      </c>
      <c r="N784" s="136" t="s">
        <v>4425</v>
      </c>
      <c r="O784" s="136" t="s">
        <v>4426</v>
      </c>
      <c r="P784" s="136" t="s">
        <v>4427</v>
      </c>
      <c r="Q784" s="136" t="s">
        <v>4428</v>
      </c>
      <c r="R784" s="136">
        <v>0</v>
      </c>
      <c r="S784" s="142">
        <f>(Tabla18[[#This Row],[Debe]]-Tabla18[[#This Row],[Haber]])*
SUMIF('0_Indice_CAC'!$A:$A,Tabla18[[#This Row],[Mes]],'0_Indice_CAC'!$D:$D)</f>
        <v>78765.012557562732</v>
      </c>
      <c r="T784" s="142">
        <f>Tabla18[[#This Row],[Debe]]-Tabla18[[#This Row],[Haber]]</f>
        <v>99153.49</v>
      </c>
      <c r="U784" s="322"/>
      <c r="V784" s="323"/>
      <c r="W784" s="142">
        <f t="shared" si="14"/>
        <v>99153.49</v>
      </c>
      <c r="X784" s="142" t="b">
        <f>ISNUMBER(MATCH(A784,'3_Control_Ppto'!$A$4:$A$70,0))</f>
        <v>1</v>
      </c>
      <c r="Y784" s="136"/>
    </row>
    <row r="785" spans="1:25" ht="12" customHeight="1" x14ac:dyDescent="0.3">
      <c r="A785" s="140" t="s">
        <v>4119</v>
      </c>
      <c r="B785" s="140" t="s">
        <v>4090</v>
      </c>
      <c r="C785" s="549">
        <f>+EOMONTH(Tabla18[[#This Row],[Fecha Asiento]],-1)+1</f>
        <v>46082</v>
      </c>
      <c r="D785" s="136">
        <v>53022</v>
      </c>
      <c r="E785" s="136" t="s">
        <v>4429</v>
      </c>
      <c r="F785" s="141">
        <v>46106</v>
      </c>
      <c r="G785" s="136">
        <v>860</v>
      </c>
      <c r="H785" s="136" t="s">
        <v>4831</v>
      </c>
      <c r="I785" s="136" t="s">
        <v>4423</v>
      </c>
      <c r="J785" s="136" t="s">
        <v>4424</v>
      </c>
      <c r="K785" s="136">
        <v>8888</v>
      </c>
      <c r="L785" s="138">
        <v>292285.71000000002</v>
      </c>
      <c r="M785" s="138">
        <v>0</v>
      </c>
      <c r="N785" s="136" t="s">
        <v>4425</v>
      </c>
      <c r="O785" s="136" t="s">
        <v>4426</v>
      </c>
      <c r="P785" s="136" t="s">
        <v>4427</v>
      </c>
      <c r="Q785" s="136" t="s">
        <v>4428</v>
      </c>
      <c r="R785" s="136">
        <v>0</v>
      </c>
      <c r="S785" s="142">
        <f>(Tabla18[[#This Row],[Debe]]-Tabla18[[#This Row],[Haber]])*
SUMIF('0_Indice_CAC'!$A:$A,Tabla18[[#This Row],[Mes]],'0_Indice_CAC'!$D:$D)</f>
        <v>232184.33984064645</v>
      </c>
      <c r="T785" s="142">
        <f>Tabla18[[#This Row],[Debe]]-Tabla18[[#This Row],[Haber]]</f>
        <v>292285.71000000002</v>
      </c>
      <c r="U785" s="322"/>
      <c r="V785" s="323"/>
      <c r="W785" s="142">
        <f t="shared" si="14"/>
        <v>292285.71000000002</v>
      </c>
      <c r="X785" s="142" t="b">
        <f>ISNUMBER(MATCH(A785,'3_Control_Ppto'!$A$4:$A$70,0))</f>
        <v>1</v>
      </c>
      <c r="Y785" s="136"/>
    </row>
    <row r="786" spans="1:25" ht="12" customHeight="1" x14ac:dyDescent="0.3">
      <c r="A786" s="140" t="s">
        <v>4119</v>
      </c>
      <c r="B786" s="140" t="s">
        <v>4090</v>
      </c>
      <c r="C786" s="549">
        <f>+EOMONTH(Tabla18[[#This Row],[Fecha Asiento]],-1)+1</f>
        <v>46082</v>
      </c>
      <c r="D786" s="136">
        <v>53022</v>
      </c>
      <c r="E786" s="136" t="s">
        <v>4429</v>
      </c>
      <c r="F786" s="141">
        <v>46106</v>
      </c>
      <c r="G786" s="136">
        <v>860</v>
      </c>
      <c r="H786" s="136" t="s">
        <v>4831</v>
      </c>
      <c r="I786" s="136" t="s">
        <v>4423</v>
      </c>
      <c r="J786" s="136" t="s">
        <v>4424</v>
      </c>
      <c r="K786" s="136">
        <v>8888</v>
      </c>
      <c r="L786" s="138">
        <v>500000</v>
      </c>
      <c r="M786" s="138">
        <v>0</v>
      </c>
      <c r="N786" s="136" t="s">
        <v>4425</v>
      </c>
      <c r="O786" s="136" t="s">
        <v>4426</v>
      </c>
      <c r="P786" s="136" t="s">
        <v>4427</v>
      </c>
      <c r="Q786" s="136" t="s">
        <v>4428</v>
      </c>
      <c r="R786" s="136">
        <v>0</v>
      </c>
      <c r="S786" s="142">
        <f>(Tabla18[[#This Row],[Debe]]-Tabla18[[#This Row],[Haber]])*
SUMIF('0_Indice_CAC'!$A:$A,Tabla18[[#This Row],[Mes]],'0_Indice_CAC'!$D:$D)</f>
        <v>397187.29294129094</v>
      </c>
      <c r="T786" s="142">
        <f>Tabla18[[#This Row],[Debe]]-Tabla18[[#This Row],[Haber]]</f>
        <v>500000</v>
      </c>
      <c r="U786" s="322"/>
      <c r="V786" s="323"/>
      <c r="W786" s="142">
        <f t="shared" si="14"/>
        <v>500000</v>
      </c>
      <c r="X786" s="142" t="b">
        <f>ISNUMBER(MATCH(A786,'3_Control_Ppto'!$A$4:$A$70,0))</f>
        <v>1</v>
      </c>
      <c r="Y786" s="136"/>
    </row>
    <row r="787" spans="1:25" ht="12" customHeight="1" x14ac:dyDescent="0.3">
      <c r="A787" s="140" t="s">
        <v>4317</v>
      </c>
      <c r="B787" s="140" t="s">
        <v>56</v>
      </c>
      <c r="C787" s="549">
        <f>+EOMONTH(Tabla18[[#This Row],[Fecha Asiento]],-1)+1</f>
        <v>46082</v>
      </c>
      <c r="D787" s="136">
        <v>52101</v>
      </c>
      <c r="E787" s="136" t="s">
        <v>4709</v>
      </c>
      <c r="F787" s="141">
        <v>46107</v>
      </c>
      <c r="G787" s="136">
        <v>869</v>
      </c>
      <c r="H787" s="136" t="s">
        <v>4710</v>
      </c>
      <c r="I787" s="136" t="s">
        <v>4423</v>
      </c>
      <c r="J787" s="136" t="s">
        <v>4424</v>
      </c>
      <c r="K787" s="136">
        <v>8901</v>
      </c>
      <c r="L787" s="138">
        <v>5000</v>
      </c>
      <c r="M787" s="138">
        <v>0</v>
      </c>
      <c r="N787" s="136" t="s">
        <v>4425</v>
      </c>
      <c r="O787" s="136" t="s">
        <v>4426</v>
      </c>
      <c r="P787" s="136" t="s">
        <v>4427</v>
      </c>
      <c r="Q787" s="136" t="s">
        <v>4428</v>
      </c>
      <c r="R787" s="136">
        <v>0</v>
      </c>
      <c r="S787" s="142">
        <f>(Tabla18[[#This Row],[Debe]]-Tabla18[[#This Row],[Haber]])*
SUMIF('0_Indice_CAC'!$A:$A,Tabla18[[#This Row],[Mes]],'0_Indice_CAC'!$D:$D)</f>
        <v>3971.8729294129098</v>
      </c>
      <c r="T787" s="142">
        <f>Tabla18[[#This Row],[Debe]]-Tabla18[[#This Row],[Haber]]</f>
        <v>5000</v>
      </c>
      <c r="U787" s="322"/>
      <c r="V787" s="323"/>
      <c r="W787" s="142">
        <f t="shared" si="14"/>
        <v>5000</v>
      </c>
      <c r="X787" s="142" t="b">
        <f>ISNUMBER(MATCH(A787,'3_Control_Ppto'!$A$4:$A$70,0))</f>
        <v>1</v>
      </c>
      <c r="Y787" s="136"/>
    </row>
    <row r="788" spans="1:25" ht="12" customHeight="1" x14ac:dyDescent="0.3">
      <c r="A788" s="140" t="s">
        <v>4310</v>
      </c>
      <c r="B788" s="140" t="s">
        <v>56</v>
      </c>
      <c r="C788" s="549">
        <f>+EOMONTH(Tabla18[[#This Row],[Fecha Asiento]],-1)+1</f>
        <v>46082</v>
      </c>
      <c r="D788" s="136">
        <v>52204</v>
      </c>
      <c r="E788" s="136" t="s">
        <v>4452</v>
      </c>
      <c r="F788" s="141">
        <v>46107</v>
      </c>
      <c r="G788" s="136">
        <v>2101</v>
      </c>
      <c r="H788" s="136" t="s">
        <v>4874</v>
      </c>
      <c r="I788" s="136" t="s">
        <v>4835</v>
      </c>
      <c r="J788" s="136" t="s">
        <v>4542</v>
      </c>
      <c r="K788" s="136">
        <v>300000879</v>
      </c>
      <c r="L788" s="138">
        <v>660000</v>
      </c>
      <c r="M788" s="138">
        <v>0</v>
      </c>
      <c r="N788" s="136" t="s">
        <v>4425</v>
      </c>
      <c r="O788" s="136" t="s">
        <v>4426</v>
      </c>
      <c r="P788" s="136" t="s">
        <v>4427</v>
      </c>
      <c r="Q788" s="136" t="s">
        <v>4428</v>
      </c>
      <c r="R788" s="136">
        <v>0</v>
      </c>
      <c r="S788" s="142">
        <f>(Tabla18[[#This Row],[Debe]]-Tabla18[[#This Row],[Haber]])*
SUMIF('0_Indice_CAC'!$A:$A,Tabla18[[#This Row],[Mes]],'0_Indice_CAC'!$D:$D)</f>
        <v>524287.22668250406</v>
      </c>
      <c r="T788" s="142">
        <f>Tabla18[[#This Row],[Debe]]-Tabla18[[#This Row],[Haber]]</f>
        <v>660000</v>
      </c>
      <c r="U788" s="322"/>
      <c r="V788" s="323"/>
      <c r="W788" s="142">
        <f t="shared" si="14"/>
        <v>660000</v>
      </c>
      <c r="X788" s="142" t="b">
        <f>ISNUMBER(MATCH(A788,'3_Control_Ppto'!$A$4:$A$70,0))</f>
        <v>1</v>
      </c>
      <c r="Y788" s="136"/>
    </row>
    <row r="789" spans="1:25" ht="12" customHeight="1" x14ac:dyDescent="0.3">
      <c r="A789" s="140" t="s">
        <v>106</v>
      </c>
      <c r="B789" s="140" t="s">
        <v>4090</v>
      </c>
      <c r="C789" s="549">
        <f>+EOMONTH(Tabla18[[#This Row],[Fecha Asiento]],-1)+1</f>
        <v>46082</v>
      </c>
      <c r="D789" s="136">
        <v>53008</v>
      </c>
      <c r="E789" s="136" t="s">
        <v>4490</v>
      </c>
      <c r="F789" s="141">
        <v>46108</v>
      </c>
      <c r="G789" s="136">
        <v>2114</v>
      </c>
      <c r="H789" s="136" t="s">
        <v>4875</v>
      </c>
      <c r="I789" s="136" t="s">
        <v>4876</v>
      </c>
      <c r="J789" s="136" t="s">
        <v>4455</v>
      </c>
      <c r="K789" s="136">
        <v>3700065174</v>
      </c>
      <c r="L789" s="138">
        <v>3936405.89</v>
      </c>
      <c r="M789" s="138">
        <v>0</v>
      </c>
      <c r="N789" s="136" t="s">
        <v>4425</v>
      </c>
      <c r="O789" s="136" t="s">
        <v>4426</v>
      </c>
      <c r="P789" s="136" t="s">
        <v>4427</v>
      </c>
      <c r="Q789" s="136" t="s">
        <v>4428</v>
      </c>
      <c r="R789" s="136">
        <v>0</v>
      </c>
      <c r="S789" s="142">
        <f>(Tabla18[[#This Row],[Debe]]-Tabla18[[#This Row],[Haber]])*
SUMIF('0_Indice_CAC'!$A:$A,Tabla18[[#This Row],[Mes]],'0_Indice_CAC'!$D:$D)</f>
        <v>3126980.7987345066</v>
      </c>
      <c r="T789" s="142">
        <f>Tabla18[[#This Row],[Debe]]-Tabla18[[#This Row],[Haber]]</f>
        <v>3936405.89</v>
      </c>
      <c r="U789" s="322"/>
      <c r="V789" s="323"/>
      <c r="W789" s="142">
        <f t="shared" si="14"/>
        <v>3936405.89</v>
      </c>
      <c r="X789" s="142" t="b">
        <f>ISNUMBER(MATCH(A789,'3_Control_Ppto'!$A$4:$A$70,0))</f>
        <v>1</v>
      </c>
      <c r="Y789" s="136"/>
    </row>
    <row r="790" spans="1:25" ht="12" customHeight="1" x14ac:dyDescent="0.3">
      <c r="A790" s="140" t="s">
        <v>106</v>
      </c>
      <c r="B790" s="140" t="s">
        <v>56</v>
      </c>
      <c r="C790" s="549">
        <f>+EOMONTH(Tabla18[[#This Row],[Fecha Asiento]],-1)+1</f>
        <v>46082</v>
      </c>
      <c r="D790" s="136">
        <v>53009</v>
      </c>
      <c r="E790" s="136" t="s">
        <v>4446</v>
      </c>
      <c r="F790" s="141">
        <v>46108</v>
      </c>
      <c r="G790" s="136">
        <v>851</v>
      </c>
      <c r="H790" s="136" t="s">
        <v>4877</v>
      </c>
      <c r="I790" s="136" t="s">
        <v>4423</v>
      </c>
      <c r="J790" s="136" t="s">
        <v>4424</v>
      </c>
      <c r="K790" s="136">
        <v>8879</v>
      </c>
      <c r="L790" s="138">
        <v>1264500</v>
      </c>
      <c r="M790" s="138">
        <v>0</v>
      </c>
      <c r="N790" s="136" t="s">
        <v>4425</v>
      </c>
      <c r="O790" s="136" t="s">
        <v>4426</v>
      </c>
      <c r="P790" s="136" t="s">
        <v>4427</v>
      </c>
      <c r="Q790" s="136" t="s">
        <v>4428</v>
      </c>
      <c r="R790" s="136">
        <v>0</v>
      </c>
      <c r="S790" s="142">
        <f>(Tabla18[[#This Row],[Debe]]-Tabla18[[#This Row],[Haber]])*
SUMIF('0_Indice_CAC'!$A:$A,Tabla18[[#This Row],[Mes]],'0_Indice_CAC'!$D:$D)</f>
        <v>1004486.6638485248</v>
      </c>
      <c r="T790" s="142">
        <f>Tabla18[[#This Row],[Debe]]-Tabla18[[#This Row],[Haber]]</f>
        <v>1264500</v>
      </c>
      <c r="U790" s="322" t="s">
        <v>4846</v>
      </c>
      <c r="V790" s="323"/>
      <c r="W790" s="142">
        <f t="shared" si="14"/>
        <v>1264500</v>
      </c>
      <c r="X790" s="142" t="b">
        <f>ISNUMBER(MATCH(A790,'3_Control_Ppto'!$A$4:$A$70,0))</f>
        <v>1</v>
      </c>
      <c r="Y790" s="136"/>
    </row>
    <row r="791" spans="1:25" ht="12" customHeight="1" x14ac:dyDescent="0.3">
      <c r="A791" s="140" t="s">
        <v>106</v>
      </c>
      <c r="B791" s="140" t="s">
        <v>56</v>
      </c>
      <c r="C791" s="549">
        <f>+EOMONTH(Tabla18[[#This Row],[Fecha Asiento]],-1)+1</f>
        <v>46082</v>
      </c>
      <c r="D791" s="136">
        <v>53009</v>
      </c>
      <c r="E791" s="136" t="s">
        <v>4446</v>
      </c>
      <c r="F791" s="141">
        <v>46108</v>
      </c>
      <c r="G791" s="136">
        <v>852</v>
      </c>
      <c r="H791" s="136" t="s">
        <v>4878</v>
      </c>
      <c r="I791" s="136" t="s">
        <v>4423</v>
      </c>
      <c r="J791" s="136" t="s">
        <v>4424</v>
      </c>
      <c r="K791" s="136">
        <v>8880</v>
      </c>
      <c r="L791" s="138">
        <v>97030</v>
      </c>
      <c r="M791" s="138">
        <v>0</v>
      </c>
      <c r="N791" s="136" t="s">
        <v>4425</v>
      </c>
      <c r="O791" s="136" t="s">
        <v>4426</v>
      </c>
      <c r="P791" s="136" t="s">
        <v>4427</v>
      </c>
      <c r="Q791" s="136" t="s">
        <v>4428</v>
      </c>
      <c r="R791" s="136">
        <v>0</v>
      </c>
      <c r="S791" s="142">
        <f>(Tabla18[[#This Row],[Debe]]-Tabla18[[#This Row],[Haber]])*
SUMIF('0_Indice_CAC'!$A:$A,Tabla18[[#This Row],[Mes]],'0_Indice_CAC'!$D:$D)</f>
        <v>77078.166068186925</v>
      </c>
      <c r="T791" s="142">
        <f>Tabla18[[#This Row],[Debe]]-Tabla18[[#This Row],[Haber]]</f>
        <v>97030</v>
      </c>
      <c r="U791" s="322" t="s">
        <v>4846</v>
      </c>
      <c r="V791" s="323">
        <v>97030</v>
      </c>
      <c r="W791" s="142">
        <v>0</v>
      </c>
      <c r="X791" s="142" t="b">
        <f>ISNUMBER(MATCH(A791,'3_Control_Ppto'!$A$4:$A$70,0))</f>
        <v>1</v>
      </c>
      <c r="Y791" s="136"/>
    </row>
    <row r="792" spans="1:25" ht="12" customHeight="1" x14ac:dyDescent="0.3">
      <c r="A792" s="140" t="s">
        <v>106</v>
      </c>
      <c r="B792" s="140" t="s">
        <v>56</v>
      </c>
      <c r="C792" s="549">
        <f>+EOMONTH(Tabla18[[#This Row],[Fecha Asiento]],-1)+1</f>
        <v>46082</v>
      </c>
      <c r="D792" s="136">
        <v>53009</v>
      </c>
      <c r="E792" s="136" t="s">
        <v>4446</v>
      </c>
      <c r="F792" s="141">
        <v>46108</v>
      </c>
      <c r="G792" s="136">
        <v>853</v>
      </c>
      <c r="H792" s="136" t="s">
        <v>4878</v>
      </c>
      <c r="I792" s="136" t="s">
        <v>4423</v>
      </c>
      <c r="J792" s="136" t="s">
        <v>4424</v>
      </c>
      <c r="K792" s="136">
        <v>8881</v>
      </c>
      <c r="L792" s="138">
        <v>54300</v>
      </c>
      <c r="M792" s="138">
        <v>0</v>
      </c>
      <c r="N792" s="136" t="s">
        <v>4425</v>
      </c>
      <c r="O792" s="136" t="s">
        <v>4426</v>
      </c>
      <c r="P792" s="136" t="s">
        <v>4427</v>
      </c>
      <c r="Q792" s="136" t="s">
        <v>4428</v>
      </c>
      <c r="R792" s="136">
        <v>0</v>
      </c>
      <c r="S792" s="142">
        <f>(Tabla18[[#This Row],[Debe]]-Tabla18[[#This Row],[Haber]])*
SUMIF('0_Indice_CAC'!$A:$A,Tabla18[[#This Row],[Mes]],'0_Indice_CAC'!$D:$D)</f>
        <v>43134.540013424201</v>
      </c>
      <c r="T792" s="142">
        <f>Tabla18[[#This Row],[Debe]]-Tabla18[[#This Row],[Haber]]</f>
        <v>54300</v>
      </c>
      <c r="U792" s="322" t="s">
        <v>4846</v>
      </c>
      <c r="V792" s="323">
        <v>54300</v>
      </c>
      <c r="W792" s="142">
        <v>0</v>
      </c>
      <c r="X792" s="142" t="b">
        <f>ISNUMBER(MATCH(A792,'3_Control_Ppto'!$A$4:$A$70,0))</f>
        <v>1</v>
      </c>
      <c r="Y792" s="136"/>
    </row>
    <row r="793" spans="1:25" ht="12" customHeight="1" x14ac:dyDescent="0.3">
      <c r="A793" s="140" t="s">
        <v>4165</v>
      </c>
      <c r="B793" s="140" t="s">
        <v>56</v>
      </c>
      <c r="C793" s="549">
        <f>+EOMONTH(Tabla18[[#This Row],[Fecha Asiento]],-1)+1</f>
        <v>46082</v>
      </c>
      <c r="D793" s="136">
        <v>53011</v>
      </c>
      <c r="E793" s="136" t="s">
        <v>4836</v>
      </c>
      <c r="F793" s="141">
        <v>46108</v>
      </c>
      <c r="G793" s="136">
        <v>850</v>
      </c>
      <c r="H793" s="136" t="s">
        <v>4877</v>
      </c>
      <c r="I793" s="136" t="s">
        <v>4423</v>
      </c>
      <c r="J793" s="136" t="s">
        <v>4424</v>
      </c>
      <c r="K793" s="136">
        <v>8878</v>
      </c>
      <c r="L793" s="138">
        <v>4094000</v>
      </c>
      <c r="M793" s="138">
        <v>0</v>
      </c>
      <c r="N793" s="136" t="s">
        <v>4425</v>
      </c>
      <c r="O793" s="136" t="s">
        <v>4426</v>
      </c>
      <c r="P793" s="136" t="s">
        <v>4427</v>
      </c>
      <c r="Q793" s="136" t="s">
        <v>4428</v>
      </c>
      <c r="R793" s="136">
        <v>0</v>
      </c>
      <c r="S793" s="142">
        <f>(Tabla18[[#This Row],[Debe]]-Tabla18[[#This Row],[Haber]])*
SUMIF('0_Indice_CAC'!$A:$A,Tabla18[[#This Row],[Mes]],'0_Indice_CAC'!$D:$D)</f>
        <v>3252169.5546032903</v>
      </c>
      <c r="T793" s="142">
        <f>Tabla18[[#This Row],[Debe]]-Tabla18[[#This Row],[Haber]]</f>
        <v>4094000</v>
      </c>
      <c r="U793" s="322" t="s">
        <v>4838</v>
      </c>
      <c r="V793" s="323"/>
      <c r="W793" s="142">
        <f t="shared" ref="W793:W824" si="15">IFERROR(T793-IF(V793="",0,V793),0)</f>
        <v>4094000</v>
      </c>
      <c r="X793" s="142" t="b">
        <f>ISNUMBER(MATCH(A793,'3_Control_Ppto'!$A$4:$A$70,0))</f>
        <v>1</v>
      </c>
      <c r="Y793" s="136"/>
    </row>
    <row r="794" spans="1:25" ht="12" customHeight="1" x14ac:dyDescent="0.3">
      <c r="A794" s="140" t="s">
        <v>4165</v>
      </c>
      <c r="B794" s="140" t="s">
        <v>56</v>
      </c>
      <c r="C794" s="549">
        <f>+EOMONTH(Tabla18[[#This Row],[Fecha Asiento]],-1)+1</f>
        <v>46082</v>
      </c>
      <c r="D794" s="136">
        <v>53011</v>
      </c>
      <c r="E794" s="136" t="s">
        <v>4836</v>
      </c>
      <c r="F794" s="141">
        <v>46108</v>
      </c>
      <c r="G794" s="136">
        <v>854</v>
      </c>
      <c r="H794" s="136" t="s">
        <v>4878</v>
      </c>
      <c r="I794" s="136" t="s">
        <v>4423</v>
      </c>
      <c r="J794" s="136" t="s">
        <v>4424</v>
      </c>
      <c r="K794" s="136">
        <v>8882</v>
      </c>
      <c r="L794" s="138">
        <v>150000</v>
      </c>
      <c r="M794" s="138">
        <v>0</v>
      </c>
      <c r="N794" s="136" t="s">
        <v>4425</v>
      </c>
      <c r="O794" s="136" t="s">
        <v>4426</v>
      </c>
      <c r="P794" s="136" t="s">
        <v>4427</v>
      </c>
      <c r="Q794" s="136" t="s">
        <v>4428</v>
      </c>
      <c r="R794" s="136">
        <v>0</v>
      </c>
      <c r="S794" s="142">
        <f>(Tabla18[[#This Row],[Debe]]-Tabla18[[#This Row],[Haber]])*
SUMIF('0_Indice_CAC'!$A:$A,Tabla18[[#This Row],[Mes]],'0_Indice_CAC'!$D:$D)</f>
        <v>119156.18788238728</v>
      </c>
      <c r="T794" s="142">
        <f>Tabla18[[#This Row],[Debe]]-Tabla18[[#This Row],[Haber]]</f>
        <v>150000</v>
      </c>
      <c r="U794" s="322" t="s">
        <v>4838</v>
      </c>
      <c r="V794" s="323">
        <v>150000</v>
      </c>
      <c r="W794" s="142">
        <f t="shared" si="15"/>
        <v>0</v>
      </c>
      <c r="X794" s="142" t="b">
        <f>ISNUMBER(MATCH(A794,'3_Control_Ppto'!$A$4:$A$70,0))</f>
        <v>1</v>
      </c>
      <c r="Y794" s="136"/>
    </row>
    <row r="795" spans="1:25" ht="12" customHeight="1" x14ac:dyDescent="0.3">
      <c r="A795" s="140" t="s">
        <v>4271</v>
      </c>
      <c r="B795" s="140" t="s">
        <v>4090</v>
      </c>
      <c r="C795" s="549">
        <f>+EOMONTH(Tabla18[[#This Row],[Fecha Asiento]],-1)+1</f>
        <v>46082</v>
      </c>
      <c r="D795" s="136">
        <v>53017</v>
      </c>
      <c r="E795" s="136" t="s">
        <v>4677</v>
      </c>
      <c r="F795" s="141">
        <v>46108</v>
      </c>
      <c r="G795" s="136">
        <v>2345</v>
      </c>
      <c r="H795" s="136" t="s">
        <v>4734</v>
      </c>
      <c r="I795" s="136" t="s">
        <v>4489</v>
      </c>
      <c r="J795" s="136" t="s">
        <v>4439</v>
      </c>
      <c r="K795" s="136">
        <v>300006847</v>
      </c>
      <c r="L795" s="138">
        <v>15702.48</v>
      </c>
      <c r="M795" s="138">
        <v>0</v>
      </c>
      <c r="N795" s="136" t="s">
        <v>4425</v>
      </c>
      <c r="O795" s="136" t="s">
        <v>4426</v>
      </c>
      <c r="P795" s="136" t="s">
        <v>4427</v>
      </c>
      <c r="Q795" s="136" t="s">
        <v>4428</v>
      </c>
      <c r="R795" s="136">
        <v>0</v>
      </c>
      <c r="S795" s="142">
        <f>(Tabla18[[#This Row],[Debe]]-Tabla18[[#This Row],[Haber]])*
SUMIF('0_Indice_CAC'!$A:$A,Tabla18[[#This Row],[Mes]],'0_Indice_CAC'!$D:$D)</f>
        <v>12473.651047329524</v>
      </c>
      <c r="T795" s="142">
        <f>Tabla18[[#This Row],[Debe]]-Tabla18[[#This Row],[Haber]]</f>
        <v>15702.48</v>
      </c>
      <c r="U795" s="322"/>
      <c r="V795" s="323"/>
      <c r="W795" s="142">
        <f t="shared" si="15"/>
        <v>15702.48</v>
      </c>
      <c r="X795" s="142" t="b">
        <f>ISNUMBER(MATCH(A795,'3_Control_Ppto'!$A$4:$A$70,0))</f>
        <v>1</v>
      </c>
      <c r="Y795" s="136"/>
    </row>
    <row r="796" spans="1:25" ht="12" customHeight="1" x14ac:dyDescent="0.3">
      <c r="A796" s="140" t="s">
        <v>3219</v>
      </c>
      <c r="B796" s="140" t="s">
        <v>4090</v>
      </c>
      <c r="C796" s="549">
        <f>+EOMONTH(Tabla18[[#This Row],[Fecha Asiento]],-1)+1</f>
        <v>46082</v>
      </c>
      <c r="D796" s="136">
        <v>53019</v>
      </c>
      <c r="E796" s="136" t="s">
        <v>4461</v>
      </c>
      <c r="F796" s="141">
        <v>46108</v>
      </c>
      <c r="G796" s="136">
        <v>2113</v>
      </c>
      <c r="H796" s="136" t="s">
        <v>4462</v>
      </c>
      <c r="I796" s="136" t="s">
        <v>4463</v>
      </c>
      <c r="J796" s="136" t="s">
        <v>4519</v>
      </c>
      <c r="K796" s="136">
        <v>300001366</v>
      </c>
      <c r="L796" s="138">
        <v>0</v>
      </c>
      <c r="M796" s="138">
        <v>58793.66</v>
      </c>
      <c r="N796" s="136" t="s">
        <v>4425</v>
      </c>
      <c r="O796" s="136" t="s">
        <v>4426</v>
      </c>
      <c r="P796" s="136" t="s">
        <v>4427</v>
      </c>
      <c r="Q796" s="136" t="s">
        <v>4428</v>
      </c>
      <c r="R796" s="136">
        <v>0</v>
      </c>
      <c r="S796" s="142">
        <f>(Tabla18[[#This Row],[Debe]]-Tabla18[[#This Row],[Haber]])*
SUMIF('0_Indice_CAC'!$A:$A,Tabla18[[#This Row],[Mes]],'0_Indice_CAC'!$D:$D)</f>
        <v>-46704.189315021322</v>
      </c>
      <c r="T796" s="142">
        <f>Tabla18[[#This Row],[Debe]]-Tabla18[[#This Row],[Haber]]</f>
        <v>-58793.66</v>
      </c>
      <c r="U796" s="322"/>
      <c r="V796" s="323"/>
      <c r="W796" s="142">
        <f t="shared" si="15"/>
        <v>-58793.66</v>
      </c>
      <c r="X796" s="142" t="b">
        <f>ISNUMBER(MATCH(A796,'3_Control_Ppto'!$A$4:$A$70,0))</f>
        <v>1</v>
      </c>
      <c r="Y796" s="136"/>
    </row>
    <row r="797" spans="1:25" ht="12" customHeight="1" x14ac:dyDescent="0.3">
      <c r="A797" s="140" t="s">
        <v>25</v>
      </c>
      <c r="B797" s="140" t="s">
        <v>25</v>
      </c>
      <c r="C797" s="549">
        <f>+EOMONTH(Tabla18[[#This Row],[Fecha Asiento]],-1)+1</f>
        <v>46082</v>
      </c>
      <c r="D797" s="136">
        <v>52405</v>
      </c>
      <c r="E797" s="136" t="s">
        <v>4493</v>
      </c>
      <c r="F797" s="141">
        <v>46111</v>
      </c>
      <c r="G797" s="136">
        <v>2347</v>
      </c>
      <c r="H797" s="136" t="s">
        <v>4849</v>
      </c>
      <c r="I797" s="136" t="s">
        <v>4850</v>
      </c>
      <c r="J797" s="136" t="s">
        <v>4455</v>
      </c>
      <c r="K797" s="136">
        <v>4300009384</v>
      </c>
      <c r="L797" s="138">
        <v>0.01</v>
      </c>
      <c r="M797" s="138">
        <v>0</v>
      </c>
      <c r="N797" s="136" t="s">
        <v>4425</v>
      </c>
      <c r="O797" s="136" t="s">
        <v>4426</v>
      </c>
      <c r="P797" s="136" t="s">
        <v>4427</v>
      </c>
      <c r="Q797" s="136" t="s">
        <v>4428</v>
      </c>
      <c r="R797" s="136">
        <v>0</v>
      </c>
      <c r="S797" s="142">
        <f>(Tabla18[[#This Row],[Debe]]-Tabla18[[#This Row],[Haber]])*
SUMIF('0_Indice_CAC'!$A:$A,Tabla18[[#This Row],[Mes]],'0_Indice_CAC'!$D:$D)</f>
        <v>7.9437458588258198E-3</v>
      </c>
      <c r="T797" s="142">
        <f>Tabla18[[#This Row],[Debe]]-Tabla18[[#This Row],[Haber]]</f>
        <v>0.01</v>
      </c>
      <c r="U797" s="322"/>
      <c r="V797" s="323"/>
      <c r="W797" s="142">
        <f t="shared" si="15"/>
        <v>0.01</v>
      </c>
      <c r="X797" s="142" t="b">
        <f>ISNUMBER(MATCH(A797,'3_Control_Ppto'!$A$4:$A$70,0))</f>
        <v>0</v>
      </c>
      <c r="Y797" s="136"/>
    </row>
    <row r="798" spans="1:25" ht="12" customHeight="1" x14ac:dyDescent="0.3">
      <c r="A798" s="140" t="s">
        <v>2779</v>
      </c>
      <c r="B798" s="140" t="s">
        <v>4090</v>
      </c>
      <c r="C798" s="549">
        <f>+EOMONTH(Tabla18[[#This Row],[Fecha Asiento]],-1)+1</f>
        <v>46082</v>
      </c>
      <c r="D798" s="136">
        <v>53015</v>
      </c>
      <c r="E798" s="136" t="s">
        <v>4821</v>
      </c>
      <c r="F798" s="141">
        <v>46111</v>
      </c>
      <c r="G798" s="136">
        <v>2347</v>
      </c>
      <c r="H798" s="136" t="s">
        <v>4853</v>
      </c>
      <c r="I798" s="136" t="s">
        <v>4850</v>
      </c>
      <c r="J798" s="136" t="s">
        <v>4455</v>
      </c>
      <c r="K798" s="136">
        <v>4300009384</v>
      </c>
      <c r="L798" s="138">
        <v>8515.8799999999992</v>
      </c>
      <c r="M798" s="138">
        <v>0</v>
      </c>
      <c r="N798" s="136" t="s">
        <v>4425</v>
      </c>
      <c r="O798" s="136" t="s">
        <v>4426</v>
      </c>
      <c r="P798" s="136" t="s">
        <v>4427</v>
      </c>
      <c r="Q798" s="136" t="s">
        <v>4428</v>
      </c>
      <c r="R798" s="136">
        <v>0</v>
      </c>
      <c r="S798" s="142">
        <f>(Tabla18[[#This Row],[Debe]]-Tabla18[[#This Row],[Haber]])*
SUMIF('0_Indice_CAC'!$A:$A,Tabla18[[#This Row],[Mes]],'0_Indice_CAC'!$D:$D)</f>
        <v>6764.7986484257608</v>
      </c>
      <c r="T798" s="142">
        <f>Tabla18[[#This Row],[Debe]]-Tabla18[[#This Row],[Haber]]</f>
        <v>8515.8799999999992</v>
      </c>
      <c r="U798" s="322"/>
      <c r="V798" s="323"/>
      <c r="W798" s="142">
        <f t="shared" si="15"/>
        <v>8515.8799999999992</v>
      </c>
      <c r="X798" s="142" t="b">
        <f>ISNUMBER(MATCH(A798,'3_Control_Ppto'!$A$4:$A$70,0))</f>
        <v>1</v>
      </c>
      <c r="Y798" s="136"/>
    </row>
    <row r="799" spans="1:25" ht="12" customHeight="1" x14ac:dyDescent="0.3">
      <c r="A799" s="140" t="s">
        <v>2779</v>
      </c>
      <c r="B799" s="140" t="s">
        <v>4090</v>
      </c>
      <c r="C799" s="549">
        <f>+EOMONTH(Tabla18[[#This Row],[Fecha Asiento]],-1)+1</f>
        <v>46082</v>
      </c>
      <c r="D799" s="136">
        <v>53015</v>
      </c>
      <c r="E799" s="136" t="s">
        <v>4821</v>
      </c>
      <c r="F799" s="141">
        <v>46111</v>
      </c>
      <c r="G799" s="136">
        <v>2348</v>
      </c>
      <c r="H799" s="136" t="s">
        <v>4853</v>
      </c>
      <c r="I799" s="136" t="s">
        <v>4850</v>
      </c>
      <c r="J799" s="136" t="s">
        <v>4455</v>
      </c>
      <c r="K799" s="136">
        <v>4300009385</v>
      </c>
      <c r="L799" s="138">
        <v>5734.44</v>
      </c>
      <c r="M799" s="138">
        <v>0</v>
      </c>
      <c r="N799" s="136" t="s">
        <v>4425</v>
      </c>
      <c r="O799" s="136" t="s">
        <v>4426</v>
      </c>
      <c r="P799" s="136" t="s">
        <v>4427</v>
      </c>
      <c r="Q799" s="136" t="s">
        <v>4428</v>
      </c>
      <c r="R799" s="136">
        <v>0</v>
      </c>
      <c r="S799" s="142">
        <f>(Tabla18[[#This Row],[Debe]]-Tabla18[[#This Row],[Haber]])*
SUMIF('0_Indice_CAC'!$A:$A,Tabla18[[#This Row],[Mes]],'0_Indice_CAC'!$D:$D)</f>
        <v>4555.2934002685124</v>
      </c>
      <c r="T799" s="142">
        <f>Tabla18[[#This Row],[Debe]]-Tabla18[[#This Row],[Haber]]</f>
        <v>5734.44</v>
      </c>
      <c r="U799" s="322"/>
      <c r="V799" s="323"/>
      <c r="W799" s="142">
        <f t="shared" si="15"/>
        <v>5734.44</v>
      </c>
      <c r="X799" s="142" t="b">
        <f>ISNUMBER(MATCH(A799,'3_Control_Ppto'!$A$4:$A$70,0))</f>
        <v>1</v>
      </c>
      <c r="Y799" s="136"/>
    </row>
    <row r="800" spans="1:25" ht="12" customHeight="1" x14ac:dyDescent="0.3">
      <c r="A800" s="140" t="s">
        <v>4317</v>
      </c>
      <c r="B800" s="140" t="s">
        <v>56</v>
      </c>
      <c r="C800" s="549">
        <f>+EOMONTH(Tabla18[[#This Row],[Fecha Asiento]],-1)+1</f>
        <v>46082</v>
      </c>
      <c r="D800" s="136">
        <v>52302</v>
      </c>
      <c r="E800" s="136" t="s">
        <v>4444</v>
      </c>
      <c r="F800" s="141">
        <v>46112</v>
      </c>
      <c r="G800" s="136">
        <v>2351</v>
      </c>
      <c r="H800" s="136" t="s">
        <v>4828</v>
      </c>
      <c r="I800" s="136" t="s">
        <v>4532</v>
      </c>
      <c r="J800" s="136" t="s">
        <v>4455</v>
      </c>
      <c r="K800" s="136">
        <v>142000105577</v>
      </c>
      <c r="L800" s="138">
        <v>15552.6</v>
      </c>
      <c r="M800" s="138">
        <v>0</v>
      </c>
      <c r="N800" s="136" t="s">
        <v>4425</v>
      </c>
      <c r="O800" s="136" t="s">
        <v>4426</v>
      </c>
      <c r="P800" s="136" t="s">
        <v>4427</v>
      </c>
      <c r="Q800" s="136" t="s">
        <v>4428</v>
      </c>
      <c r="R800" s="136">
        <v>0</v>
      </c>
      <c r="S800" s="142">
        <f>(Tabla18[[#This Row],[Debe]]-Tabla18[[#This Row],[Haber]])*
SUMIF('0_Indice_CAC'!$A:$A,Tabla18[[#This Row],[Mes]],'0_Indice_CAC'!$D:$D)</f>
        <v>12354.590184397444</v>
      </c>
      <c r="T800" s="142">
        <f>Tabla18[[#This Row],[Debe]]-Tabla18[[#This Row],[Haber]]</f>
        <v>15552.6</v>
      </c>
      <c r="U800" s="322"/>
      <c r="V800" s="323"/>
      <c r="W800" s="142">
        <f t="shared" si="15"/>
        <v>15552.6</v>
      </c>
      <c r="X800" s="142" t="b">
        <f>ISNUMBER(MATCH(A800,'3_Control_Ppto'!$A$4:$A$70,0))</f>
        <v>1</v>
      </c>
      <c r="Y800" s="136"/>
    </row>
    <row r="801" spans="1:25" ht="12" customHeight="1" x14ac:dyDescent="0.3">
      <c r="A801" s="140" t="s">
        <v>4317</v>
      </c>
      <c r="B801" s="140" t="s">
        <v>56</v>
      </c>
      <c r="C801" s="549">
        <f>+EOMONTH(Tabla18[[#This Row],[Fecha Asiento]],-1)+1</f>
        <v>46082</v>
      </c>
      <c r="D801" s="136">
        <v>52302</v>
      </c>
      <c r="E801" s="136" t="s">
        <v>4444</v>
      </c>
      <c r="F801" s="141">
        <v>46112</v>
      </c>
      <c r="G801" s="136">
        <v>2351</v>
      </c>
      <c r="H801" s="136" t="s">
        <v>4829</v>
      </c>
      <c r="I801" s="136" t="s">
        <v>4532</v>
      </c>
      <c r="J801" s="136" t="s">
        <v>4455</v>
      </c>
      <c r="K801" s="136">
        <v>142000105577</v>
      </c>
      <c r="L801" s="138">
        <v>1197.49</v>
      </c>
      <c r="M801" s="138">
        <v>0</v>
      </c>
      <c r="N801" s="136" t="s">
        <v>4425</v>
      </c>
      <c r="O801" s="136" t="s">
        <v>4426</v>
      </c>
      <c r="P801" s="136" t="s">
        <v>4427</v>
      </c>
      <c r="Q801" s="136" t="s">
        <v>4428</v>
      </c>
      <c r="R801" s="136">
        <v>0</v>
      </c>
      <c r="S801" s="142">
        <f>(Tabla18[[#This Row],[Debe]]-Tabla18[[#This Row],[Haber]])*
SUMIF('0_Indice_CAC'!$A:$A,Tabla18[[#This Row],[Mes]],'0_Indice_CAC'!$D:$D)</f>
        <v>951.25562284853299</v>
      </c>
      <c r="T801" s="142">
        <f>Tabla18[[#This Row],[Debe]]-Tabla18[[#This Row],[Haber]]</f>
        <v>1197.49</v>
      </c>
      <c r="U801" s="322"/>
      <c r="V801" s="323"/>
      <c r="W801" s="142">
        <f t="shared" si="15"/>
        <v>1197.49</v>
      </c>
      <c r="X801" s="142" t="b">
        <f>ISNUMBER(MATCH(A801,'3_Control_Ppto'!$A$4:$A$70,0))</f>
        <v>1</v>
      </c>
      <c r="Y801" s="136"/>
    </row>
    <row r="802" spans="1:25" ht="12" customHeight="1" x14ac:dyDescent="0.3">
      <c r="A802" s="140" t="s">
        <v>4317</v>
      </c>
      <c r="B802" s="140" t="s">
        <v>56</v>
      </c>
      <c r="C802" s="549">
        <f>+EOMONTH(Tabla18[[#This Row],[Fecha Asiento]],-1)+1</f>
        <v>46082</v>
      </c>
      <c r="D802" s="136">
        <v>52302</v>
      </c>
      <c r="E802" s="136" t="s">
        <v>4444</v>
      </c>
      <c r="F802" s="141">
        <v>46112</v>
      </c>
      <c r="G802" s="136">
        <v>2351</v>
      </c>
      <c r="H802" s="136" t="s">
        <v>4847</v>
      </c>
      <c r="I802" s="136" t="s">
        <v>4532</v>
      </c>
      <c r="J802" s="136" t="s">
        <v>4455</v>
      </c>
      <c r="K802" s="136">
        <v>142000105577</v>
      </c>
      <c r="L802" s="138">
        <v>54265.599999999999</v>
      </c>
      <c r="M802" s="138">
        <v>0</v>
      </c>
      <c r="N802" s="136" t="s">
        <v>4425</v>
      </c>
      <c r="O802" s="136" t="s">
        <v>4426</v>
      </c>
      <c r="P802" s="136" t="s">
        <v>4427</v>
      </c>
      <c r="Q802" s="136" t="s">
        <v>4428</v>
      </c>
      <c r="R802" s="136">
        <v>0</v>
      </c>
      <c r="S802" s="142">
        <f>(Tabla18[[#This Row],[Debe]]-Tabla18[[#This Row],[Haber]])*
SUMIF('0_Indice_CAC'!$A:$A,Tabla18[[#This Row],[Mes]],'0_Indice_CAC'!$D:$D)</f>
        <v>43107.213527669839</v>
      </c>
      <c r="T802" s="142">
        <f>Tabla18[[#This Row],[Debe]]-Tabla18[[#This Row],[Haber]]</f>
        <v>54265.599999999999</v>
      </c>
      <c r="U802" s="322"/>
      <c r="V802" s="323"/>
      <c r="W802" s="142">
        <f t="shared" si="15"/>
        <v>54265.599999999999</v>
      </c>
      <c r="X802" s="142" t="b">
        <f>ISNUMBER(MATCH(A802,'3_Control_Ppto'!$A$4:$A$70,0))</f>
        <v>1</v>
      </c>
      <c r="Y802" s="136"/>
    </row>
    <row r="803" spans="1:25" ht="12" customHeight="1" x14ac:dyDescent="0.3">
      <c r="A803" s="140" t="s">
        <v>4317</v>
      </c>
      <c r="B803" s="140" t="s">
        <v>56</v>
      </c>
      <c r="C803" s="549">
        <f>+EOMONTH(Tabla18[[#This Row],[Fecha Asiento]],-1)+1</f>
        <v>46082</v>
      </c>
      <c r="D803" s="136">
        <v>52302</v>
      </c>
      <c r="E803" s="136" t="s">
        <v>4444</v>
      </c>
      <c r="F803" s="141">
        <v>46112</v>
      </c>
      <c r="G803" s="136">
        <v>2351</v>
      </c>
      <c r="H803" s="136" t="s">
        <v>4848</v>
      </c>
      <c r="I803" s="136" t="s">
        <v>4532</v>
      </c>
      <c r="J803" s="136" t="s">
        <v>4455</v>
      </c>
      <c r="K803" s="136">
        <v>142000105577</v>
      </c>
      <c r="L803" s="138">
        <v>28495.06</v>
      </c>
      <c r="M803" s="138">
        <v>0</v>
      </c>
      <c r="N803" s="136" t="s">
        <v>4425</v>
      </c>
      <c r="O803" s="136" t="s">
        <v>4426</v>
      </c>
      <c r="P803" s="136" t="s">
        <v>4427</v>
      </c>
      <c r="Q803" s="136" t="s">
        <v>4428</v>
      </c>
      <c r="R803" s="136">
        <v>0</v>
      </c>
      <c r="S803" s="142">
        <f>(Tabla18[[#This Row],[Debe]]-Tabla18[[#This Row],[Haber]])*
SUMIF('0_Indice_CAC'!$A:$A,Tabla18[[#This Row],[Mes]],'0_Indice_CAC'!$D:$D)</f>
        <v>22635.751487199326</v>
      </c>
      <c r="T803" s="142">
        <f>Tabla18[[#This Row],[Debe]]-Tabla18[[#This Row],[Haber]]</f>
        <v>28495.06</v>
      </c>
      <c r="U803" s="322"/>
      <c r="V803" s="323"/>
      <c r="W803" s="142">
        <f t="shared" si="15"/>
        <v>28495.06</v>
      </c>
      <c r="X803" s="142" t="b">
        <f>ISNUMBER(MATCH(A803,'3_Control_Ppto'!$A$4:$A$70,0))</f>
        <v>1</v>
      </c>
      <c r="Y803" s="136"/>
    </row>
    <row r="804" spans="1:25" ht="12" customHeight="1" x14ac:dyDescent="0.3">
      <c r="A804" s="140" t="s">
        <v>4271</v>
      </c>
      <c r="B804" s="140" t="s">
        <v>4090</v>
      </c>
      <c r="C804" s="549">
        <f>+EOMONTH(Tabla18[[#This Row],[Fecha Asiento]],-1)+1</f>
        <v>46082</v>
      </c>
      <c r="D804" s="136">
        <v>53017</v>
      </c>
      <c r="E804" s="136" t="s">
        <v>4677</v>
      </c>
      <c r="F804" s="141">
        <v>46112</v>
      </c>
      <c r="G804" s="136">
        <v>2349</v>
      </c>
      <c r="H804" s="136" t="s">
        <v>4861</v>
      </c>
      <c r="I804" s="136" t="s">
        <v>4862</v>
      </c>
      <c r="J804" s="136" t="s">
        <v>4455</v>
      </c>
      <c r="K804" s="136">
        <v>900040307</v>
      </c>
      <c r="L804" s="138">
        <v>24009</v>
      </c>
      <c r="M804" s="138">
        <v>0</v>
      </c>
      <c r="N804" s="136" t="s">
        <v>4425</v>
      </c>
      <c r="O804" s="136" t="s">
        <v>4426</v>
      </c>
      <c r="P804" s="136" t="s">
        <v>4427</v>
      </c>
      <c r="Q804" s="136" t="s">
        <v>4428</v>
      </c>
      <c r="R804" s="136">
        <v>0</v>
      </c>
      <c r="S804" s="142">
        <f>(Tabla18[[#This Row],[Debe]]-Tabla18[[#This Row],[Haber]])*
SUMIF('0_Indice_CAC'!$A:$A,Tabla18[[#This Row],[Mes]],'0_Indice_CAC'!$D:$D)</f>
        <v>19072.139432454911</v>
      </c>
      <c r="T804" s="142">
        <f>Tabla18[[#This Row],[Debe]]-Tabla18[[#This Row],[Haber]]</f>
        <v>24009</v>
      </c>
      <c r="U804" s="322"/>
      <c r="V804" s="323"/>
      <c r="W804" s="142">
        <f t="shared" si="15"/>
        <v>24009</v>
      </c>
      <c r="X804" s="142" t="b">
        <f>ISNUMBER(MATCH(A804,'3_Control_Ppto'!$A$4:$A$70,0))</f>
        <v>1</v>
      </c>
      <c r="Y804" s="136"/>
    </row>
    <row r="805" spans="1:25" ht="12" customHeight="1" x14ac:dyDescent="0.3">
      <c r="A805" s="140" t="s">
        <v>4119</v>
      </c>
      <c r="B805" s="140" t="s">
        <v>56</v>
      </c>
      <c r="C805" s="549">
        <f>+EOMONTH(Tabla18[[#This Row],[Fecha Asiento]],-1)+1</f>
        <v>46113</v>
      </c>
      <c r="D805" s="136">
        <v>52104</v>
      </c>
      <c r="E805" s="136" t="s">
        <v>4528</v>
      </c>
      <c r="F805" s="141">
        <v>46113</v>
      </c>
      <c r="G805" s="136">
        <v>2354</v>
      </c>
      <c r="H805" s="136" t="s">
        <v>4655</v>
      </c>
      <c r="I805" s="136" t="s">
        <v>4656</v>
      </c>
      <c r="J805" s="136" t="s">
        <v>4455</v>
      </c>
      <c r="K805" s="136">
        <v>1100003146</v>
      </c>
      <c r="L805" s="138">
        <v>340000</v>
      </c>
      <c r="M805" s="138">
        <v>0</v>
      </c>
      <c r="N805" s="136" t="s">
        <v>4425</v>
      </c>
      <c r="O805" s="136" t="s">
        <v>4426</v>
      </c>
      <c r="P805" s="136" t="s">
        <v>4427</v>
      </c>
      <c r="Q805" s="136" t="s">
        <v>4428</v>
      </c>
      <c r="R805" s="136">
        <v>0</v>
      </c>
      <c r="S805" s="142">
        <f>(Tabla18[[#This Row],[Debe]]-Tabla18[[#This Row],[Haber]])*
SUMIF('0_Indice_CAC'!$A:$A,Tabla18[[#This Row],[Mes]],'0_Indice_CAC'!$D:$D)</f>
        <v>270087.35920007783</v>
      </c>
      <c r="T805" s="142">
        <f>Tabla18[[#This Row],[Debe]]-Tabla18[[#This Row],[Haber]]</f>
        <v>340000</v>
      </c>
      <c r="U805" s="322"/>
      <c r="V805" s="323"/>
      <c r="W805" s="142">
        <f t="shared" si="15"/>
        <v>340000</v>
      </c>
      <c r="X805" s="142" t="b">
        <f>ISNUMBER(MATCH(A805,'3_Control_Ppto'!$A$4:$A$70,0))</f>
        <v>1</v>
      </c>
      <c r="Y805" s="136"/>
    </row>
    <row r="806" spans="1:25" ht="12" customHeight="1" x14ac:dyDescent="0.3">
      <c r="A806" s="140" t="s">
        <v>4310</v>
      </c>
      <c r="B806" s="140" t="s">
        <v>56</v>
      </c>
      <c r="C806" s="549">
        <f>+EOMONTH(Tabla18[[#This Row],[Fecha Asiento]],-1)+1</f>
        <v>46113</v>
      </c>
      <c r="D806" s="136">
        <v>52204</v>
      </c>
      <c r="E806" s="136" t="s">
        <v>4452</v>
      </c>
      <c r="F806" s="141">
        <v>46113</v>
      </c>
      <c r="G806" s="136">
        <v>2174</v>
      </c>
      <c r="H806" s="136" t="s">
        <v>4453</v>
      </c>
      <c r="I806" s="136" t="s">
        <v>4454</v>
      </c>
      <c r="J806" s="136" t="s">
        <v>4455</v>
      </c>
      <c r="K806" s="136">
        <v>300001454</v>
      </c>
      <c r="L806" s="138">
        <v>370000</v>
      </c>
      <c r="M806" s="138">
        <v>0</v>
      </c>
      <c r="N806" s="136" t="s">
        <v>4425</v>
      </c>
      <c r="O806" s="136" t="s">
        <v>4426</v>
      </c>
      <c r="P806" s="136" t="s">
        <v>4427</v>
      </c>
      <c r="Q806" s="136" t="s">
        <v>4428</v>
      </c>
      <c r="R806" s="136">
        <v>0</v>
      </c>
      <c r="S806" s="142">
        <f>(Tabla18[[#This Row],[Debe]]-Tabla18[[#This Row],[Haber]])*
SUMIF('0_Indice_CAC'!$A:$A,Tabla18[[#This Row],[Mes]],'0_Indice_CAC'!$D:$D)</f>
        <v>293918.59677655529</v>
      </c>
      <c r="T806" s="142">
        <f>Tabla18[[#This Row],[Debe]]-Tabla18[[#This Row],[Haber]]</f>
        <v>370000</v>
      </c>
      <c r="U806" s="322"/>
      <c r="V806" s="323"/>
      <c r="W806" s="142">
        <f t="shared" si="15"/>
        <v>370000</v>
      </c>
      <c r="X806" s="142" t="b">
        <f>ISNUMBER(MATCH(A806,'3_Control_Ppto'!$A$4:$A$70,0))</f>
        <v>1</v>
      </c>
      <c r="Y806" s="136"/>
    </row>
    <row r="807" spans="1:25" ht="12" customHeight="1" x14ac:dyDescent="0.3">
      <c r="A807" s="140" t="s">
        <v>4310</v>
      </c>
      <c r="B807" s="140" t="s">
        <v>56</v>
      </c>
      <c r="C807" s="549">
        <f>+EOMONTH(Tabla18[[#This Row],[Fecha Asiento]],-1)+1</f>
        <v>46113</v>
      </c>
      <c r="D807" s="136">
        <v>52204</v>
      </c>
      <c r="E807" s="136" t="s">
        <v>4452</v>
      </c>
      <c r="F807" s="141">
        <v>46113</v>
      </c>
      <c r="G807" s="136">
        <v>2174</v>
      </c>
      <c r="H807" s="136" t="s">
        <v>4453</v>
      </c>
      <c r="I807" s="136" t="s">
        <v>4454</v>
      </c>
      <c r="J807" s="136" t="s">
        <v>4455</v>
      </c>
      <c r="K807" s="136">
        <v>300001454</v>
      </c>
      <c r="L807" s="138">
        <v>420000</v>
      </c>
      <c r="M807" s="138">
        <v>0</v>
      </c>
      <c r="N807" s="136" t="s">
        <v>4425</v>
      </c>
      <c r="O807" s="136" t="s">
        <v>4426</v>
      </c>
      <c r="P807" s="136" t="s">
        <v>4427</v>
      </c>
      <c r="Q807" s="136" t="s">
        <v>4428</v>
      </c>
      <c r="R807" s="136">
        <v>0</v>
      </c>
      <c r="S807" s="142">
        <f>(Tabla18[[#This Row],[Debe]]-Tabla18[[#This Row],[Haber]])*
SUMIF('0_Indice_CAC'!$A:$A,Tabla18[[#This Row],[Mes]],'0_Indice_CAC'!$D:$D)</f>
        <v>333637.32607068442</v>
      </c>
      <c r="T807" s="142">
        <f>Tabla18[[#This Row],[Debe]]-Tabla18[[#This Row],[Haber]]</f>
        <v>420000</v>
      </c>
      <c r="U807" s="322"/>
      <c r="V807" s="323"/>
      <c r="W807" s="142">
        <f t="shared" si="15"/>
        <v>420000</v>
      </c>
      <c r="X807" s="142" t="b">
        <f>ISNUMBER(MATCH(A807,'3_Control_Ppto'!$A$4:$A$70,0))</f>
        <v>1</v>
      </c>
      <c r="Y807" s="136"/>
    </row>
    <row r="808" spans="1:25" ht="12" customHeight="1" x14ac:dyDescent="0.3">
      <c r="A808" s="140" t="s">
        <v>4271</v>
      </c>
      <c r="B808" s="140" t="s">
        <v>4090</v>
      </c>
      <c r="C808" s="549">
        <f>+EOMONTH(Tabla18[[#This Row],[Fecha Asiento]],-1)+1</f>
        <v>46113</v>
      </c>
      <c r="D808" s="136">
        <v>53017</v>
      </c>
      <c r="E808" s="136" t="s">
        <v>4677</v>
      </c>
      <c r="F808" s="141">
        <v>46113</v>
      </c>
      <c r="G808" s="136">
        <v>2353</v>
      </c>
      <c r="H808" s="136" t="s">
        <v>4801</v>
      </c>
      <c r="I808" s="136" t="s">
        <v>4794</v>
      </c>
      <c r="J808" s="136" t="s">
        <v>4455</v>
      </c>
      <c r="K808" s="136">
        <v>900003044</v>
      </c>
      <c r="L808" s="138">
        <v>633057</v>
      </c>
      <c r="M808" s="138">
        <v>0</v>
      </c>
      <c r="N808" s="136" t="s">
        <v>4425</v>
      </c>
      <c r="O808" s="136" t="s">
        <v>4426</v>
      </c>
      <c r="P808" s="136" t="s">
        <v>4427</v>
      </c>
      <c r="Q808" s="136" t="s">
        <v>4428</v>
      </c>
      <c r="R808" s="136">
        <v>0</v>
      </c>
      <c r="S808" s="142">
        <f>(Tabla18[[#This Row],[Debe]]-Tabla18[[#This Row],[Haber]])*
SUMIF('0_Indice_CAC'!$A:$A,Tabla18[[#This Row],[Mes]],'0_Indice_CAC'!$D:$D)</f>
        <v>502884.39221506967</v>
      </c>
      <c r="T808" s="142">
        <f>Tabla18[[#This Row],[Debe]]-Tabla18[[#This Row],[Haber]]</f>
        <v>633057</v>
      </c>
      <c r="U808" s="322"/>
      <c r="V808" s="323"/>
      <c r="W808" s="142">
        <f t="shared" si="15"/>
        <v>633057</v>
      </c>
      <c r="X808" s="142" t="b">
        <f>ISNUMBER(MATCH(A808,'3_Control_Ppto'!$A$4:$A$70,0))</f>
        <v>1</v>
      </c>
      <c r="Y808" s="136"/>
    </row>
    <row r="809" spans="1:25" ht="12" customHeight="1" x14ac:dyDescent="0.3">
      <c r="A809" s="140" t="s">
        <v>25</v>
      </c>
      <c r="B809" s="140" t="s">
        <v>25</v>
      </c>
      <c r="C809" s="549">
        <f>+EOMONTH(Tabla18[[#This Row],[Fecha Asiento]],-1)+1</f>
        <v>46113</v>
      </c>
      <c r="D809" s="136">
        <v>410222</v>
      </c>
      <c r="E809" s="136" t="s">
        <v>4605</v>
      </c>
      <c r="F809" s="141">
        <v>46120</v>
      </c>
      <c r="G809" s="136">
        <v>2138</v>
      </c>
      <c r="H809" s="136" t="s">
        <v>4606</v>
      </c>
      <c r="I809" s="136" t="s">
        <v>4607</v>
      </c>
      <c r="J809" s="136" t="s">
        <v>4608</v>
      </c>
      <c r="K809" s="136">
        <v>300000845</v>
      </c>
      <c r="L809" s="138">
        <v>0</v>
      </c>
      <c r="M809" s="138">
        <v>27641241.100000001</v>
      </c>
      <c r="N809" s="136" t="s">
        <v>4425</v>
      </c>
      <c r="O809" s="136" t="s">
        <v>4426</v>
      </c>
      <c r="P809" s="136" t="s">
        <v>4427</v>
      </c>
      <c r="Q809" s="136" t="s">
        <v>4428</v>
      </c>
      <c r="R809" s="136">
        <v>0</v>
      </c>
      <c r="S809" s="142">
        <f>(Tabla18[[#This Row],[Debe]]-Tabla18[[#This Row],[Haber]])*
SUMIF('0_Indice_CAC'!$A:$A,Tabla18[[#This Row],[Mes]],'0_Indice_CAC'!$D:$D)</f>
        <v>-21957499.452093106</v>
      </c>
      <c r="T809" s="142">
        <f>Tabla18[[#This Row],[Debe]]-Tabla18[[#This Row],[Haber]]</f>
        <v>-27641241.100000001</v>
      </c>
      <c r="U809" s="322"/>
      <c r="V809" s="323"/>
      <c r="W809" s="142">
        <f t="shared" si="15"/>
        <v>-27641241.100000001</v>
      </c>
      <c r="X809" s="142" t="b">
        <f>ISNUMBER(MATCH(A809,'3_Control_Ppto'!$A$4:$A$70,0))</f>
        <v>0</v>
      </c>
      <c r="Y809" s="136"/>
    </row>
    <row r="810" spans="1:25" ht="12" customHeight="1" x14ac:dyDescent="0.3">
      <c r="A810" s="140" t="s">
        <v>106</v>
      </c>
      <c r="B810" s="140" t="s">
        <v>4090</v>
      </c>
      <c r="C810" s="549">
        <f>+EOMONTH(Tabla18[[#This Row],[Fecha Asiento]],-1)+1</f>
        <v>46113</v>
      </c>
      <c r="D810" s="136">
        <v>53008</v>
      </c>
      <c r="E810" s="136" t="s">
        <v>4490</v>
      </c>
      <c r="F810" s="141">
        <v>46120</v>
      </c>
      <c r="G810" s="136">
        <v>2184</v>
      </c>
      <c r="H810" s="136" t="s">
        <v>4641</v>
      </c>
      <c r="I810" s="136" t="s">
        <v>4630</v>
      </c>
      <c r="J810" s="136" t="s">
        <v>4455</v>
      </c>
      <c r="K810" s="136">
        <v>1500093249</v>
      </c>
      <c r="L810" s="138">
        <v>1554533.88</v>
      </c>
      <c r="M810" s="138">
        <v>0</v>
      </c>
      <c r="N810" s="136" t="s">
        <v>4425</v>
      </c>
      <c r="O810" s="136" t="s">
        <v>4426</v>
      </c>
      <c r="P810" s="136" t="s">
        <v>4427</v>
      </c>
      <c r="Q810" s="136" t="s">
        <v>4428</v>
      </c>
      <c r="R810" s="136">
        <v>0</v>
      </c>
      <c r="S810" s="142">
        <f>(Tabla18[[#This Row],[Debe]]-Tabla18[[#This Row],[Haber]])*
SUMIF('0_Indice_CAC'!$A:$A,Tabla18[[#This Row],[Mes]],'0_Indice_CAC'!$D:$D)</f>
        <v>1234882.2071654431</v>
      </c>
      <c r="T810" s="142">
        <f>Tabla18[[#This Row],[Debe]]-Tabla18[[#This Row],[Haber]]</f>
        <v>1554533.88</v>
      </c>
      <c r="U810" s="322"/>
      <c r="V810" s="323"/>
      <c r="W810" s="142">
        <f t="shared" si="15"/>
        <v>1554533.88</v>
      </c>
      <c r="X810" s="142" t="b">
        <f>ISNUMBER(MATCH(A810,'3_Control_Ppto'!$A$4:$A$70,0))</f>
        <v>1</v>
      </c>
      <c r="Y810" s="136"/>
    </row>
    <row r="811" spans="1:25" ht="12" customHeight="1" x14ac:dyDescent="0.3">
      <c r="A811" s="140" t="s">
        <v>106</v>
      </c>
      <c r="B811" s="140" t="s">
        <v>4090</v>
      </c>
      <c r="C811" s="549">
        <f>+EOMONTH(Tabla18[[#This Row],[Fecha Asiento]],-1)+1</f>
        <v>46113</v>
      </c>
      <c r="D811" s="136">
        <v>53023</v>
      </c>
      <c r="E811" s="136" t="s">
        <v>4467</v>
      </c>
      <c r="F811" s="141">
        <v>46120</v>
      </c>
      <c r="G811" s="136">
        <v>2356</v>
      </c>
      <c r="H811" s="136" t="s">
        <v>4498</v>
      </c>
      <c r="I811" s="136" t="s">
        <v>4466</v>
      </c>
      <c r="J811" s="136" t="s">
        <v>4455</v>
      </c>
      <c r="K811" s="136">
        <v>600013634</v>
      </c>
      <c r="L811" s="138">
        <v>24537.200000000001</v>
      </c>
      <c r="M811" s="138">
        <v>0</v>
      </c>
      <c r="N811" s="136" t="s">
        <v>4425</v>
      </c>
      <c r="O811" s="136" t="s">
        <v>4426</v>
      </c>
      <c r="P811" s="136" t="s">
        <v>4427</v>
      </c>
      <c r="Q811" s="136" t="s">
        <v>4428</v>
      </c>
      <c r="R811" s="136">
        <v>0</v>
      </c>
      <c r="S811" s="142">
        <f>(Tabla18[[#This Row],[Debe]]-Tabla18[[#This Row],[Haber]])*
SUMIF('0_Indice_CAC'!$A:$A,Tabla18[[#This Row],[Mes]],'0_Indice_CAC'!$D:$D)</f>
        <v>19491.72808871809</v>
      </c>
      <c r="T811" s="142">
        <f>Tabla18[[#This Row],[Debe]]-Tabla18[[#This Row],[Haber]]</f>
        <v>24537.200000000001</v>
      </c>
      <c r="U811" s="322"/>
      <c r="V811" s="323"/>
      <c r="W811" s="142">
        <f t="shared" si="15"/>
        <v>24537.200000000001</v>
      </c>
      <c r="X811" s="142" t="b">
        <f>ISNUMBER(MATCH(A811,'3_Control_Ppto'!$A$4:$A$70,0))</f>
        <v>1</v>
      </c>
      <c r="Y811" s="136"/>
    </row>
    <row r="812" spans="1:25" ht="12" customHeight="1" x14ac:dyDescent="0.3">
      <c r="A812" s="140" t="s">
        <v>106</v>
      </c>
      <c r="B812" s="140" t="s">
        <v>25</v>
      </c>
      <c r="C812" s="549">
        <f>+EOMONTH(Tabla18[[#This Row],[Fecha Asiento]],-1)+1</f>
        <v>46113</v>
      </c>
      <c r="D812" s="136">
        <v>53009</v>
      </c>
      <c r="E812" s="136" t="s">
        <v>4446</v>
      </c>
      <c r="F812" s="141">
        <v>46121</v>
      </c>
      <c r="G812" s="136">
        <v>968</v>
      </c>
      <c r="H812" s="136" t="s">
        <v>4879</v>
      </c>
      <c r="I812" s="136" t="s">
        <v>4423</v>
      </c>
      <c r="J812" s="136" t="s">
        <v>4424</v>
      </c>
      <c r="K812" s="136">
        <v>8996</v>
      </c>
      <c r="L812" s="138">
        <v>190000</v>
      </c>
      <c r="M812" s="138">
        <v>0</v>
      </c>
      <c r="N812" s="136" t="s">
        <v>4425</v>
      </c>
      <c r="O812" s="136" t="s">
        <v>4426</v>
      </c>
      <c r="P812" s="136" t="s">
        <v>4427</v>
      </c>
      <c r="Q812" s="136" t="s">
        <v>4428</v>
      </c>
      <c r="R812" s="136">
        <v>0</v>
      </c>
      <c r="S812" s="142">
        <f>(Tabla18[[#This Row],[Debe]]-Tabla18[[#This Row],[Haber]])*
SUMIF('0_Indice_CAC'!$A:$A,Tabla18[[#This Row],[Mes]],'0_Indice_CAC'!$D:$D)</f>
        <v>150931.17131769058</v>
      </c>
      <c r="T812" s="142">
        <f>Tabla18[[#This Row],[Debe]]-Tabla18[[#This Row],[Haber]]</f>
        <v>190000</v>
      </c>
      <c r="U812" s="322"/>
      <c r="V812" s="323"/>
      <c r="W812" s="142">
        <f t="shared" si="15"/>
        <v>190000</v>
      </c>
      <c r="X812" s="142" t="b">
        <f>ISNUMBER(MATCH(A812,'3_Control_Ppto'!$A$4:$A$70,0))</f>
        <v>1</v>
      </c>
      <c r="Y812" s="136"/>
    </row>
    <row r="813" spans="1:25" ht="12" customHeight="1" x14ac:dyDescent="0.3">
      <c r="A813" s="140" t="s">
        <v>106</v>
      </c>
      <c r="B813" s="140" t="s">
        <v>56</v>
      </c>
      <c r="C813" s="549">
        <f>+EOMONTH(Tabla18[[#This Row],[Fecha Asiento]],-1)+1</f>
        <v>46113</v>
      </c>
      <c r="D813" s="136">
        <v>53009</v>
      </c>
      <c r="E813" s="136" t="s">
        <v>4446</v>
      </c>
      <c r="F813" s="141">
        <v>46122</v>
      </c>
      <c r="G813" s="136">
        <v>971</v>
      </c>
      <c r="H813" s="136" t="s">
        <v>4880</v>
      </c>
      <c r="I813" s="136" t="s">
        <v>4423</v>
      </c>
      <c r="J813" s="136" t="s">
        <v>4424</v>
      </c>
      <c r="K813" s="136">
        <v>8999</v>
      </c>
      <c r="L813" s="138">
        <v>1829165</v>
      </c>
      <c r="M813" s="138">
        <v>0</v>
      </c>
      <c r="N813" s="136" t="s">
        <v>4425</v>
      </c>
      <c r="O813" s="136" t="s">
        <v>4426</v>
      </c>
      <c r="P813" s="136" t="s">
        <v>4427</v>
      </c>
      <c r="Q813" s="136" t="s">
        <v>4428</v>
      </c>
      <c r="R813" s="136">
        <v>0</v>
      </c>
      <c r="S813" s="142">
        <f>(Tabla18[[#This Row],[Debe]]-Tabla18[[#This Row],[Haber]])*
SUMIF('0_Indice_CAC'!$A:$A,Tabla18[[#This Row],[Mes]],'0_Indice_CAC'!$D:$D)</f>
        <v>1453042.1893859128</v>
      </c>
      <c r="T813" s="142">
        <f>Tabla18[[#This Row],[Debe]]-Tabla18[[#This Row],[Haber]]</f>
        <v>1829165</v>
      </c>
      <c r="U813" s="322" t="s">
        <v>4846</v>
      </c>
      <c r="V813" s="323"/>
      <c r="W813" s="142">
        <f t="shared" si="15"/>
        <v>1829165</v>
      </c>
      <c r="X813" s="142" t="b">
        <f>ISNUMBER(MATCH(A813,'3_Control_Ppto'!$A$4:$A$70,0))</f>
        <v>1</v>
      </c>
      <c r="Y813" s="136"/>
    </row>
    <row r="814" spans="1:25" ht="12" customHeight="1" x14ac:dyDescent="0.3">
      <c r="A814" s="140" t="s">
        <v>4165</v>
      </c>
      <c r="B814" s="140" t="s">
        <v>56</v>
      </c>
      <c r="C814" s="549">
        <f>+EOMONTH(Tabla18[[#This Row],[Fecha Asiento]],-1)+1</f>
        <v>46113</v>
      </c>
      <c r="D814" s="136">
        <v>53011</v>
      </c>
      <c r="E814" s="136" t="s">
        <v>4836</v>
      </c>
      <c r="F814" s="141">
        <v>46122</v>
      </c>
      <c r="G814" s="136">
        <v>972</v>
      </c>
      <c r="H814" s="136" t="s">
        <v>4880</v>
      </c>
      <c r="I814" s="136" t="s">
        <v>4423</v>
      </c>
      <c r="J814" s="136" t="s">
        <v>4424</v>
      </c>
      <c r="K814" s="136">
        <v>9000</v>
      </c>
      <c r="L814" s="138">
        <v>2408785</v>
      </c>
      <c r="M814" s="138">
        <v>0</v>
      </c>
      <c r="N814" s="136" t="s">
        <v>4425</v>
      </c>
      <c r="O814" s="136" t="s">
        <v>4426</v>
      </c>
      <c r="P814" s="136" t="s">
        <v>4427</v>
      </c>
      <c r="Q814" s="136" t="s">
        <v>4428</v>
      </c>
      <c r="R814" s="136">
        <v>0</v>
      </c>
      <c r="S814" s="142">
        <f>(Tabla18[[#This Row],[Debe]]-Tabla18[[#This Row],[Haber]])*
SUMIF('0_Indice_CAC'!$A:$A,Tabla18[[#This Row],[Mes]],'0_Indice_CAC'!$D:$D)</f>
        <v>1913477.586855175</v>
      </c>
      <c r="T814" s="142">
        <f>Tabla18[[#This Row],[Debe]]-Tabla18[[#This Row],[Haber]]</f>
        <v>2408785</v>
      </c>
      <c r="U814" s="322" t="s">
        <v>4838</v>
      </c>
      <c r="V814" s="323"/>
      <c r="W814" s="142">
        <f t="shared" si="15"/>
        <v>2408785</v>
      </c>
      <c r="X814" s="142" t="b">
        <f>ISNUMBER(MATCH(A814,'3_Control_Ppto'!$A$4:$A$70,0))</f>
        <v>1</v>
      </c>
      <c r="Y814" s="136"/>
    </row>
    <row r="815" spans="1:25" ht="12" customHeight="1" x14ac:dyDescent="0.3">
      <c r="A815" s="140" t="s">
        <v>4317</v>
      </c>
      <c r="B815" s="140" t="s">
        <v>56</v>
      </c>
      <c r="C815" s="549">
        <f>+EOMONTH(Tabla18[[#This Row],[Fecha Asiento]],-1)+1</f>
        <v>46113</v>
      </c>
      <c r="D815" s="136">
        <v>52101</v>
      </c>
      <c r="E815" s="136" t="s">
        <v>4709</v>
      </c>
      <c r="F815" s="141">
        <v>46125</v>
      </c>
      <c r="G815" s="136">
        <v>2363</v>
      </c>
      <c r="H815" s="136" t="s">
        <v>4808</v>
      </c>
      <c r="I815" s="136" t="s">
        <v>4809</v>
      </c>
      <c r="J815" s="136" t="s">
        <v>4455</v>
      </c>
      <c r="K815" s="136">
        <v>400011296</v>
      </c>
      <c r="L815" s="138">
        <v>12892.56</v>
      </c>
      <c r="M815" s="138">
        <v>0</v>
      </c>
      <c r="N815" s="136" t="s">
        <v>4425</v>
      </c>
      <c r="O815" s="136" t="s">
        <v>4426</v>
      </c>
      <c r="P815" s="136" t="s">
        <v>4427</v>
      </c>
      <c r="Q815" s="136" t="s">
        <v>4428</v>
      </c>
      <c r="R815" s="136">
        <v>0</v>
      </c>
      <c r="S815" s="142">
        <f>(Tabla18[[#This Row],[Debe]]-Tabla18[[#This Row],[Haber]])*
SUMIF('0_Indice_CAC'!$A:$A,Tabla18[[#This Row],[Mes]],'0_Indice_CAC'!$D:$D)</f>
        <v>10241.522010966341</v>
      </c>
      <c r="T815" s="142">
        <f>Tabla18[[#This Row],[Debe]]-Tabla18[[#This Row],[Haber]]</f>
        <v>12892.56</v>
      </c>
      <c r="U815" s="322"/>
      <c r="V815" s="323"/>
      <c r="W815" s="142">
        <f t="shared" si="15"/>
        <v>12892.56</v>
      </c>
      <c r="X815" s="142" t="b">
        <f>ISNUMBER(MATCH(A815,'3_Control_Ppto'!$A$4:$A$70,0))</f>
        <v>1</v>
      </c>
      <c r="Y815" s="136"/>
    </row>
    <row r="816" spans="1:25" ht="12" customHeight="1" x14ac:dyDescent="0.3">
      <c r="A816" s="140" t="s">
        <v>4317</v>
      </c>
      <c r="B816" s="140" t="s">
        <v>56</v>
      </c>
      <c r="C816" s="549">
        <f>+EOMONTH(Tabla18[[#This Row],[Fecha Asiento]],-1)+1</f>
        <v>46113</v>
      </c>
      <c r="D816" s="136">
        <v>52102</v>
      </c>
      <c r="E816" s="136" t="s">
        <v>4535</v>
      </c>
      <c r="F816" s="141">
        <v>46125</v>
      </c>
      <c r="G816" s="136">
        <v>2362</v>
      </c>
      <c r="H816" s="136" t="s">
        <v>4633</v>
      </c>
      <c r="I816" s="136" t="s">
        <v>4634</v>
      </c>
      <c r="J816" s="136" t="s">
        <v>4542</v>
      </c>
      <c r="K816" s="136">
        <v>400008327</v>
      </c>
      <c r="L816" s="138">
        <v>19200</v>
      </c>
      <c r="M816" s="138">
        <v>0</v>
      </c>
      <c r="N816" s="136" t="s">
        <v>4425</v>
      </c>
      <c r="O816" s="136" t="s">
        <v>4426</v>
      </c>
      <c r="P816" s="136" t="s">
        <v>4427</v>
      </c>
      <c r="Q816" s="136" t="s">
        <v>4428</v>
      </c>
      <c r="R816" s="136">
        <v>0</v>
      </c>
      <c r="S816" s="142">
        <f>(Tabla18[[#This Row],[Debe]]-Tabla18[[#This Row],[Haber]])*
SUMIF('0_Indice_CAC'!$A:$A,Tabla18[[#This Row],[Mes]],'0_Indice_CAC'!$D:$D)</f>
        <v>15251.992048945573</v>
      </c>
      <c r="T816" s="142">
        <f>Tabla18[[#This Row],[Debe]]-Tabla18[[#This Row],[Haber]]</f>
        <v>19200</v>
      </c>
      <c r="U816" s="322"/>
      <c r="V816" s="323"/>
      <c r="W816" s="142">
        <f t="shared" si="15"/>
        <v>19200</v>
      </c>
      <c r="X816" s="142" t="b">
        <f>ISNUMBER(MATCH(A816,'3_Control_Ppto'!$A$4:$A$70,0))</f>
        <v>1</v>
      </c>
      <c r="Y816" s="136"/>
    </row>
    <row r="817" spans="1:25" ht="12" customHeight="1" x14ac:dyDescent="0.3">
      <c r="A817" s="140" t="s">
        <v>106</v>
      </c>
      <c r="B817" s="140" t="s">
        <v>4090</v>
      </c>
      <c r="C817" s="549">
        <f>+EOMONTH(Tabla18[[#This Row],[Fecha Asiento]],-1)+1</f>
        <v>46113</v>
      </c>
      <c r="D817" s="136">
        <v>53023</v>
      </c>
      <c r="E817" s="136" t="s">
        <v>4467</v>
      </c>
      <c r="F817" s="141">
        <v>46125</v>
      </c>
      <c r="G817" s="136">
        <v>2361</v>
      </c>
      <c r="H817" s="136" t="s">
        <v>4674</v>
      </c>
      <c r="I817" s="136" t="s">
        <v>4675</v>
      </c>
      <c r="J817" s="136" t="s">
        <v>4455</v>
      </c>
      <c r="K817" s="136">
        <v>600004969</v>
      </c>
      <c r="L817" s="138">
        <v>8264.4599999999991</v>
      </c>
      <c r="M817" s="138">
        <v>0</v>
      </c>
      <c r="N817" s="136" t="s">
        <v>4425</v>
      </c>
      <c r="O817" s="136" t="s">
        <v>4426</v>
      </c>
      <c r="P817" s="136" t="s">
        <v>4427</v>
      </c>
      <c r="Q817" s="136" t="s">
        <v>4428</v>
      </c>
      <c r="R817" s="136">
        <v>0</v>
      </c>
      <c r="S817" s="142">
        <f>(Tabla18[[#This Row],[Debe]]-Tabla18[[#This Row],[Haber]])*
SUMIF('0_Indice_CAC'!$A:$A,Tabla18[[#This Row],[Mes]],'0_Indice_CAC'!$D:$D)</f>
        <v>6565.0769900431624</v>
      </c>
      <c r="T817" s="142">
        <f>Tabla18[[#This Row],[Debe]]-Tabla18[[#This Row],[Haber]]</f>
        <v>8264.4599999999991</v>
      </c>
      <c r="U817" s="322"/>
      <c r="V817" s="323"/>
      <c r="W817" s="142">
        <f t="shared" si="15"/>
        <v>8264.4599999999991</v>
      </c>
      <c r="X817" s="142" t="b">
        <f>ISNUMBER(MATCH(A817,'3_Control_Ppto'!$A$4:$A$70,0))</f>
        <v>1</v>
      </c>
      <c r="Y817" s="136"/>
    </row>
    <row r="818" spans="1:25" ht="12" customHeight="1" x14ac:dyDescent="0.3">
      <c r="A818" s="140" t="s">
        <v>25</v>
      </c>
      <c r="B818" s="140" t="s">
        <v>25</v>
      </c>
      <c r="C818" s="549">
        <f>+EOMONTH(Tabla18[[#This Row],[Fecha Asiento]],-1)+1</f>
        <v>46113</v>
      </c>
      <c r="D818" s="136">
        <v>52405</v>
      </c>
      <c r="E818" s="136" t="s">
        <v>4493</v>
      </c>
      <c r="F818" s="141">
        <v>46126</v>
      </c>
      <c r="G818" s="136">
        <v>2367</v>
      </c>
      <c r="H818" s="136" t="s">
        <v>4881</v>
      </c>
      <c r="I818" s="136" t="s">
        <v>4749</v>
      </c>
      <c r="J818" s="136" t="s">
        <v>4455</v>
      </c>
      <c r="K818" s="136">
        <v>2200055088</v>
      </c>
      <c r="L818" s="138">
        <v>0.03</v>
      </c>
      <c r="M818" s="138">
        <v>0</v>
      </c>
      <c r="N818" s="136" t="s">
        <v>4425</v>
      </c>
      <c r="O818" s="136" t="s">
        <v>4426</v>
      </c>
      <c r="P818" s="136" t="s">
        <v>4427</v>
      </c>
      <c r="Q818" s="136" t="s">
        <v>4428</v>
      </c>
      <c r="R818" s="136">
        <v>0</v>
      </c>
      <c r="S818" s="142">
        <f>(Tabla18[[#This Row],[Debe]]-Tabla18[[#This Row],[Haber]])*
SUMIF('0_Indice_CAC'!$A:$A,Tabla18[[#This Row],[Mes]],'0_Indice_CAC'!$D:$D)</f>
        <v>2.3831237576477458E-2</v>
      </c>
      <c r="T818" s="142">
        <f>Tabla18[[#This Row],[Debe]]-Tabla18[[#This Row],[Haber]]</f>
        <v>0.03</v>
      </c>
      <c r="U818" s="322"/>
      <c r="V818" s="323"/>
      <c r="W818" s="142">
        <f t="shared" si="15"/>
        <v>0.03</v>
      </c>
      <c r="X818" s="142" t="b">
        <f>ISNUMBER(MATCH(A818,'3_Control_Ppto'!$A$4:$A$70,0))</f>
        <v>0</v>
      </c>
      <c r="Y818" s="136"/>
    </row>
    <row r="819" spans="1:25" ht="12" customHeight="1" x14ac:dyDescent="0.3">
      <c r="A819" s="140" t="s">
        <v>3219</v>
      </c>
      <c r="B819" s="140" t="s">
        <v>4090</v>
      </c>
      <c r="C819" s="549">
        <f>+EOMONTH(Tabla18[[#This Row],[Fecha Asiento]],-1)+1</f>
        <v>46113</v>
      </c>
      <c r="D819" s="136">
        <v>53019</v>
      </c>
      <c r="E819" s="136" t="s">
        <v>4461</v>
      </c>
      <c r="F819" s="141">
        <v>46126</v>
      </c>
      <c r="G819" s="136">
        <v>2367</v>
      </c>
      <c r="H819" s="136" t="s">
        <v>4748</v>
      </c>
      <c r="I819" s="136" t="s">
        <v>4749</v>
      </c>
      <c r="J819" s="136" t="s">
        <v>4455</v>
      </c>
      <c r="K819" s="136">
        <v>2200055088</v>
      </c>
      <c r="L819" s="138">
        <v>76388.009999999995</v>
      </c>
      <c r="M819" s="138">
        <v>0</v>
      </c>
      <c r="N819" s="136" t="s">
        <v>4425</v>
      </c>
      <c r="O819" s="136" t="s">
        <v>4426</v>
      </c>
      <c r="P819" s="136" t="s">
        <v>4427</v>
      </c>
      <c r="Q819" s="136" t="s">
        <v>4428</v>
      </c>
      <c r="R819" s="136">
        <v>0</v>
      </c>
      <c r="S819" s="142">
        <f>(Tabla18[[#This Row],[Debe]]-Tabla18[[#This Row],[Haber]])*
SUMIF('0_Indice_CAC'!$A:$A,Tabla18[[#This Row],[Mes]],'0_Indice_CAC'!$D:$D)</f>
        <v>60680.693810144519</v>
      </c>
      <c r="T819" s="142">
        <f>Tabla18[[#This Row],[Debe]]-Tabla18[[#This Row],[Haber]]</f>
        <v>76388.009999999995</v>
      </c>
      <c r="U819" s="322"/>
      <c r="V819" s="323"/>
      <c r="W819" s="142">
        <f t="shared" si="15"/>
        <v>76388.009999999995</v>
      </c>
      <c r="X819" s="142" t="b">
        <f>ISNUMBER(MATCH(A819,'3_Control_Ppto'!$A$4:$A$70,0))</f>
        <v>1</v>
      </c>
      <c r="Y819" s="136"/>
    </row>
    <row r="820" spans="1:25" ht="12" customHeight="1" x14ac:dyDescent="0.3">
      <c r="A820" s="140" t="s">
        <v>4317</v>
      </c>
      <c r="B820" s="140" t="s">
        <v>56</v>
      </c>
      <c r="C820" s="549">
        <f>+EOMONTH(Tabla18[[#This Row],[Fecha Asiento]],-1)+1</f>
        <v>46113</v>
      </c>
      <c r="D820" s="136">
        <v>52302</v>
      </c>
      <c r="E820" s="136" t="s">
        <v>4444</v>
      </c>
      <c r="F820" s="141">
        <v>46127</v>
      </c>
      <c r="G820" s="136">
        <v>2376</v>
      </c>
      <c r="H820" s="136" t="s">
        <v>4828</v>
      </c>
      <c r="I820" s="136" t="s">
        <v>4532</v>
      </c>
      <c r="J820" s="136" t="s">
        <v>4455</v>
      </c>
      <c r="K820" s="136">
        <v>142000129001</v>
      </c>
      <c r="L820" s="138">
        <v>9145.16</v>
      </c>
      <c r="M820" s="138">
        <v>0</v>
      </c>
      <c r="N820" s="136" t="s">
        <v>4425</v>
      </c>
      <c r="O820" s="136" t="s">
        <v>4426</v>
      </c>
      <c r="P820" s="136" t="s">
        <v>4427</v>
      </c>
      <c r="Q820" s="136" t="s">
        <v>4428</v>
      </c>
      <c r="R820" s="136">
        <v>0</v>
      </c>
      <c r="S820" s="142">
        <f>(Tabla18[[#This Row],[Debe]]-Tabla18[[#This Row],[Haber]])*
SUMIF('0_Indice_CAC'!$A:$A,Tabla18[[#This Row],[Mes]],'0_Indice_CAC'!$D:$D)</f>
        <v>7264.6826878299526</v>
      </c>
      <c r="T820" s="142">
        <f>Tabla18[[#This Row],[Debe]]-Tabla18[[#This Row],[Haber]]</f>
        <v>9145.16</v>
      </c>
      <c r="U820" s="322"/>
      <c r="V820" s="323"/>
      <c r="W820" s="142">
        <f t="shared" si="15"/>
        <v>9145.16</v>
      </c>
      <c r="X820" s="142" t="b">
        <f>ISNUMBER(MATCH(A820,'3_Control_Ppto'!$A$4:$A$70,0))</f>
        <v>1</v>
      </c>
      <c r="Y820" s="136"/>
    </row>
    <row r="821" spans="1:25" ht="12" customHeight="1" x14ac:dyDescent="0.3">
      <c r="A821" s="140" t="s">
        <v>4317</v>
      </c>
      <c r="B821" s="140" t="s">
        <v>56</v>
      </c>
      <c r="C821" s="549">
        <f>+EOMONTH(Tabla18[[#This Row],[Fecha Asiento]],-1)+1</f>
        <v>46113</v>
      </c>
      <c r="D821" s="136">
        <v>52302</v>
      </c>
      <c r="E821" s="136" t="s">
        <v>4444</v>
      </c>
      <c r="F821" s="141">
        <v>46127</v>
      </c>
      <c r="G821" s="136">
        <v>2376</v>
      </c>
      <c r="H821" s="136" t="s">
        <v>4829</v>
      </c>
      <c r="I821" s="136" t="s">
        <v>4532</v>
      </c>
      <c r="J821" s="136" t="s">
        <v>4455</v>
      </c>
      <c r="K821" s="136">
        <v>142000129001</v>
      </c>
      <c r="L821" s="138">
        <v>760</v>
      </c>
      <c r="M821" s="138">
        <v>0</v>
      </c>
      <c r="N821" s="136" t="s">
        <v>4425</v>
      </c>
      <c r="O821" s="136" t="s">
        <v>4426</v>
      </c>
      <c r="P821" s="136" t="s">
        <v>4427</v>
      </c>
      <c r="Q821" s="136" t="s">
        <v>4428</v>
      </c>
      <c r="R821" s="136">
        <v>0</v>
      </c>
      <c r="S821" s="142">
        <f>(Tabla18[[#This Row],[Debe]]-Tabla18[[#This Row],[Haber]])*
SUMIF('0_Indice_CAC'!$A:$A,Tabla18[[#This Row],[Mes]],'0_Indice_CAC'!$D:$D)</f>
        <v>603.72468527076228</v>
      </c>
      <c r="T821" s="142">
        <f>Tabla18[[#This Row],[Debe]]-Tabla18[[#This Row],[Haber]]</f>
        <v>760</v>
      </c>
      <c r="U821" s="322"/>
      <c r="V821" s="323"/>
      <c r="W821" s="142">
        <f t="shared" si="15"/>
        <v>760</v>
      </c>
      <c r="X821" s="142" t="b">
        <f>ISNUMBER(MATCH(A821,'3_Control_Ppto'!$A$4:$A$70,0))</f>
        <v>1</v>
      </c>
      <c r="Y821" s="136"/>
    </row>
    <row r="822" spans="1:25" ht="12" customHeight="1" x14ac:dyDescent="0.3">
      <c r="A822" s="140" t="s">
        <v>4317</v>
      </c>
      <c r="B822" s="140" t="s">
        <v>56</v>
      </c>
      <c r="C822" s="549">
        <f>+EOMONTH(Tabla18[[#This Row],[Fecha Asiento]],-1)+1</f>
        <v>46113</v>
      </c>
      <c r="D822" s="136">
        <v>52302</v>
      </c>
      <c r="E822" s="136" t="s">
        <v>4444</v>
      </c>
      <c r="F822" s="141">
        <v>46127</v>
      </c>
      <c r="G822" s="136">
        <v>2376</v>
      </c>
      <c r="H822" s="136" t="s">
        <v>4847</v>
      </c>
      <c r="I822" s="136" t="s">
        <v>4532</v>
      </c>
      <c r="J822" s="136" t="s">
        <v>4455</v>
      </c>
      <c r="K822" s="136">
        <v>142000129001</v>
      </c>
      <c r="L822" s="138">
        <v>27160.13</v>
      </c>
      <c r="M822" s="138">
        <v>0</v>
      </c>
      <c r="N822" s="136" t="s">
        <v>4425</v>
      </c>
      <c r="O822" s="136" t="s">
        <v>4426</v>
      </c>
      <c r="P822" s="136" t="s">
        <v>4427</v>
      </c>
      <c r="Q822" s="136" t="s">
        <v>4428</v>
      </c>
      <c r="R822" s="136">
        <v>0</v>
      </c>
      <c r="S822" s="142">
        <f>(Tabla18[[#This Row],[Debe]]-Tabla18[[#This Row],[Haber]])*
SUMIF('0_Indice_CAC'!$A:$A,Tabla18[[#This Row],[Mes]],'0_Indice_CAC'!$D:$D)</f>
        <v>21575.317021267092</v>
      </c>
      <c r="T822" s="142">
        <f>Tabla18[[#This Row],[Debe]]-Tabla18[[#This Row],[Haber]]</f>
        <v>27160.13</v>
      </c>
      <c r="U822" s="322"/>
      <c r="V822" s="323"/>
      <c r="W822" s="142">
        <f t="shared" si="15"/>
        <v>27160.13</v>
      </c>
      <c r="X822" s="142" t="b">
        <f>ISNUMBER(MATCH(A822,'3_Control_Ppto'!$A$4:$A$70,0))</f>
        <v>1</v>
      </c>
      <c r="Y822" s="136"/>
    </row>
    <row r="823" spans="1:25" ht="12" customHeight="1" x14ac:dyDescent="0.3">
      <c r="A823" s="140" t="s">
        <v>4317</v>
      </c>
      <c r="B823" s="140" t="s">
        <v>56</v>
      </c>
      <c r="C823" s="549">
        <f>+EOMONTH(Tabla18[[#This Row],[Fecha Asiento]],-1)+1</f>
        <v>46113</v>
      </c>
      <c r="D823" s="136">
        <v>52302</v>
      </c>
      <c r="E823" s="136" t="s">
        <v>4444</v>
      </c>
      <c r="F823" s="141">
        <v>46127</v>
      </c>
      <c r="G823" s="136">
        <v>2376</v>
      </c>
      <c r="H823" s="136" t="s">
        <v>4848</v>
      </c>
      <c r="I823" s="136" t="s">
        <v>4532</v>
      </c>
      <c r="J823" s="136" t="s">
        <v>4455</v>
      </c>
      <c r="K823" s="136">
        <v>142000129001</v>
      </c>
      <c r="L823" s="138">
        <v>23190.49</v>
      </c>
      <c r="M823" s="138">
        <v>0</v>
      </c>
      <c r="N823" s="136" t="s">
        <v>4425</v>
      </c>
      <c r="O823" s="136" t="s">
        <v>4426</v>
      </c>
      <c r="P823" s="136" t="s">
        <v>4427</v>
      </c>
      <c r="Q823" s="136" t="s">
        <v>4428</v>
      </c>
      <c r="R823" s="136">
        <v>0</v>
      </c>
      <c r="S823" s="142">
        <f>(Tabla18[[#This Row],[Debe]]-Tabla18[[#This Row],[Haber]])*
SUMIF('0_Indice_CAC'!$A:$A,Tabla18[[#This Row],[Mes]],'0_Indice_CAC'!$D:$D)</f>
        <v>18421.935890164157</v>
      </c>
      <c r="T823" s="142">
        <f>Tabla18[[#This Row],[Debe]]-Tabla18[[#This Row],[Haber]]</f>
        <v>23190.49</v>
      </c>
      <c r="U823" s="322"/>
      <c r="V823" s="323"/>
      <c r="W823" s="142">
        <f t="shared" si="15"/>
        <v>23190.49</v>
      </c>
      <c r="X823" s="142" t="b">
        <f>ISNUMBER(MATCH(A823,'3_Control_Ppto'!$A$4:$A$70,0))</f>
        <v>1</v>
      </c>
      <c r="Y823" s="136"/>
    </row>
    <row r="824" spans="1:25" ht="12" customHeight="1" x14ac:dyDescent="0.3">
      <c r="A824" s="140" t="s">
        <v>106</v>
      </c>
      <c r="B824" s="140" t="s">
        <v>4090</v>
      </c>
      <c r="C824" s="549">
        <f>+EOMONTH(Tabla18[[#This Row],[Fecha Asiento]],-1)+1</f>
        <v>46113</v>
      </c>
      <c r="D824" s="136">
        <v>53023</v>
      </c>
      <c r="E824" s="136" t="s">
        <v>4467</v>
      </c>
      <c r="F824" s="141">
        <v>46127</v>
      </c>
      <c r="G824" s="136">
        <v>2504</v>
      </c>
      <c r="H824" s="136" t="s">
        <v>4498</v>
      </c>
      <c r="I824" s="136" t="s">
        <v>4466</v>
      </c>
      <c r="J824" s="136" t="s">
        <v>4455</v>
      </c>
      <c r="K824" s="136">
        <v>600013695</v>
      </c>
      <c r="L824" s="138">
        <v>11735.54</v>
      </c>
      <c r="M824" s="138">
        <v>0</v>
      </c>
      <c r="N824" s="136" t="s">
        <v>4425</v>
      </c>
      <c r="O824" s="136" t="s">
        <v>4426</v>
      </c>
      <c r="P824" s="136" t="s">
        <v>4427</v>
      </c>
      <c r="Q824" s="136" t="s">
        <v>4428</v>
      </c>
      <c r="R824" s="136">
        <v>0</v>
      </c>
      <c r="S824" s="142">
        <f>(Tabla18[[#This Row],[Debe]]-Tabla18[[#This Row],[Haber]])*
SUMIF('0_Indice_CAC'!$A:$A,Tabla18[[#This Row],[Mes]],'0_Indice_CAC'!$D:$D)</f>
        <v>9322.4147276084768</v>
      </c>
      <c r="T824" s="142">
        <f>Tabla18[[#This Row],[Debe]]-Tabla18[[#This Row],[Haber]]</f>
        <v>11735.54</v>
      </c>
      <c r="U824" s="322"/>
      <c r="V824" s="323"/>
      <c r="W824" s="142">
        <f t="shared" si="15"/>
        <v>11735.54</v>
      </c>
      <c r="X824" s="142" t="b">
        <f>ISNUMBER(MATCH(A824,'3_Control_Ppto'!$A$4:$A$70,0))</f>
        <v>1</v>
      </c>
      <c r="Y824" s="136"/>
    </row>
    <row r="825" spans="1:25" ht="12" customHeight="1" x14ac:dyDescent="0.3">
      <c r="A825" s="140" t="s">
        <v>4271</v>
      </c>
      <c r="B825" s="140" t="s">
        <v>4090</v>
      </c>
      <c r="C825" s="549">
        <f>+EOMONTH(Tabla18[[#This Row],[Fecha Asiento]],-1)+1</f>
        <v>46113</v>
      </c>
      <c r="D825" s="136">
        <v>53017</v>
      </c>
      <c r="E825" s="136" t="s">
        <v>4677</v>
      </c>
      <c r="F825" s="141">
        <v>46128</v>
      </c>
      <c r="G825" s="136">
        <v>2505</v>
      </c>
      <c r="H825" s="136" t="s">
        <v>4734</v>
      </c>
      <c r="I825" s="136" t="s">
        <v>4489</v>
      </c>
      <c r="J825" s="136" t="s">
        <v>4439</v>
      </c>
      <c r="K825" s="136">
        <v>300006887</v>
      </c>
      <c r="L825" s="138">
        <v>3305.79</v>
      </c>
      <c r="M825" s="138">
        <v>0</v>
      </c>
      <c r="N825" s="136" t="s">
        <v>4425</v>
      </c>
      <c r="O825" s="136" t="s">
        <v>4426</v>
      </c>
      <c r="P825" s="136" t="s">
        <v>4427</v>
      </c>
      <c r="Q825" s="136" t="s">
        <v>4428</v>
      </c>
      <c r="R825" s="136">
        <v>0</v>
      </c>
      <c r="S825" s="142">
        <f>(Tabla18[[#This Row],[Debe]]-Tabla18[[#This Row],[Haber]])*
SUMIF('0_Indice_CAC'!$A:$A,Tabla18[[#This Row],[Mes]],'0_Indice_CAC'!$D:$D)</f>
        <v>2626.0355622647803</v>
      </c>
      <c r="T825" s="142">
        <f>Tabla18[[#This Row],[Debe]]-Tabla18[[#This Row],[Haber]]</f>
        <v>3305.79</v>
      </c>
      <c r="U825" s="322"/>
      <c r="V825" s="323"/>
      <c r="W825" s="142">
        <f t="shared" ref="W825:W856" si="16">IFERROR(T825-IF(V825="",0,V825),0)</f>
        <v>3305.79</v>
      </c>
      <c r="X825" s="142" t="b">
        <f>ISNUMBER(MATCH(A825,'3_Control_Ppto'!$A$4:$A$70,0))</f>
        <v>1</v>
      </c>
      <c r="Y825" s="136"/>
    </row>
    <row r="826" spans="1:25" ht="12" customHeight="1" x14ac:dyDescent="0.3">
      <c r="A826" s="140" t="s">
        <v>106</v>
      </c>
      <c r="B826" s="140" t="s">
        <v>4090</v>
      </c>
      <c r="C826" s="549">
        <f>+EOMONTH(Tabla18[[#This Row],[Fecha Asiento]],-1)+1</f>
        <v>46113</v>
      </c>
      <c r="D826" s="136">
        <v>53023</v>
      </c>
      <c r="E826" s="136" t="s">
        <v>4467</v>
      </c>
      <c r="F826" s="141">
        <v>46128</v>
      </c>
      <c r="G826" s="136">
        <v>2506</v>
      </c>
      <c r="H826" s="136" t="s">
        <v>4705</v>
      </c>
      <c r="I826" s="136" t="s">
        <v>4482</v>
      </c>
      <c r="J826" s="136" t="s">
        <v>4455</v>
      </c>
      <c r="K826" s="136">
        <v>1000000263</v>
      </c>
      <c r="L826" s="138">
        <v>11159</v>
      </c>
      <c r="M826" s="138">
        <v>0</v>
      </c>
      <c r="N826" s="136" t="s">
        <v>4425</v>
      </c>
      <c r="O826" s="136" t="s">
        <v>4426</v>
      </c>
      <c r="P826" s="136" t="s">
        <v>4427</v>
      </c>
      <c r="Q826" s="136" t="s">
        <v>4428</v>
      </c>
      <c r="R826" s="136">
        <v>0</v>
      </c>
      <c r="S826" s="142">
        <f>(Tabla18[[#This Row],[Debe]]-Tabla18[[#This Row],[Haber]])*
SUMIF('0_Indice_CAC'!$A:$A,Tabla18[[#This Row],[Mes]],'0_Indice_CAC'!$D:$D)</f>
        <v>8864.4260038637312</v>
      </c>
      <c r="T826" s="142">
        <f>Tabla18[[#This Row],[Debe]]-Tabla18[[#This Row],[Haber]]</f>
        <v>11159</v>
      </c>
      <c r="U826" s="322"/>
      <c r="V826" s="323"/>
      <c r="W826" s="142">
        <f t="shared" si="16"/>
        <v>11159</v>
      </c>
      <c r="X826" s="142" t="b">
        <f>ISNUMBER(MATCH(A826,'3_Control_Ppto'!$A$4:$A$70,0))</f>
        <v>1</v>
      </c>
      <c r="Y826" s="136"/>
    </row>
    <row r="827" spans="1:25" ht="12" customHeight="1" x14ac:dyDescent="0.3">
      <c r="A827" s="140" t="s">
        <v>106</v>
      </c>
      <c r="B827" s="140" t="s">
        <v>25</v>
      </c>
      <c r="C827" s="549">
        <f>+EOMONTH(Tabla18[[#This Row],[Fecha Asiento]],-1)+1</f>
        <v>46113</v>
      </c>
      <c r="D827" s="136">
        <v>53009</v>
      </c>
      <c r="E827" s="136" t="s">
        <v>4446</v>
      </c>
      <c r="F827" s="141">
        <v>46129</v>
      </c>
      <c r="G827" s="136">
        <v>997</v>
      </c>
      <c r="H827" s="136" t="s">
        <v>4882</v>
      </c>
      <c r="I827" s="136" t="s">
        <v>4423</v>
      </c>
      <c r="J827" s="136" t="s">
        <v>4424</v>
      </c>
      <c r="K827" s="136">
        <v>9025</v>
      </c>
      <c r="L827" s="138">
        <v>3016000</v>
      </c>
      <c r="M827" s="138">
        <v>0</v>
      </c>
      <c r="N827" s="136" t="s">
        <v>4425</v>
      </c>
      <c r="O827" s="136" t="s">
        <v>4426</v>
      </c>
      <c r="P827" s="136" t="s">
        <v>4427</v>
      </c>
      <c r="Q827" s="136" t="s">
        <v>4428</v>
      </c>
      <c r="R827" s="136">
        <v>0</v>
      </c>
      <c r="S827" s="142">
        <f>(Tabla18[[#This Row],[Debe]]-Tabla18[[#This Row],[Haber]])*
SUMIF('0_Indice_CAC'!$A:$A,Tabla18[[#This Row],[Mes]],'0_Indice_CAC'!$D:$D)</f>
        <v>2395833.7510218672</v>
      </c>
      <c r="T827" s="142">
        <f>Tabla18[[#This Row],[Debe]]-Tabla18[[#This Row],[Haber]]</f>
        <v>3016000</v>
      </c>
      <c r="U827" s="322"/>
      <c r="V827" s="323"/>
      <c r="W827" s="142">
        <f t="shared" si="16"/>
        <v>3016000</v>
      </c>
      <c r="X827" s="142" t="b">
        <f>ISNUMBER(MATCH(A827,'3_Control_Ppto'!$A$4:$A$70,0))</f>
        <v>1</v>
      </c>
      <c r="Y827" s="136"/>
    </row>
    <row r="828" spans="1:25" ht="12" customHeight="1" x14ac:dyDescent="0.3">
      <c r="A828" s="140" t="s">
        <v>106</v>
      </c>
      <c r="B828" s="140" t="s">
        <v>25</v>
      </c>
      <c r="C828" s="549">
        <f>+EOMONTH(Tabla18[[#This Row],[Fecha Asiento]],-1)+1</f>
        <v>46113</v>
      </c>
      <c r="D828" s="136">
        <v>53009</v>
      </c>
      <c r="E828" s="136" t="s">
        <v>4446</v>
      </c>
      <c r="F828" s="141">
        <v>46129</v>
      </c>
      <c r="G828" s="136">
        <v>1003</v>
      </c>
      <c r="H828" s="136" t="s">
        <v>4883</v>
      </c>
      <c r="I828" s="136" t="s">
        <v>4423</v>
      </c>
      <c r="J828" s="136" t="s">
        <v>4424</v>
      </c>
      <c r="K828" s="136">
        <v>9031</v>
      </c>
      <c r="L828" s="138">
        <v>245000</v>
      </c>
      <c r="M828" s="138">
        <v>0</v>
      </c>
      <c r="N828" s="136" t="s">
        <v>4425</v>
      </c>
      <c r="O828" s="136" t="s">
        <v>4426</v>
      </c>
      <c r="P828" s="136" t="s">
        <v>4427</v>
      </c>
      <c r="Q828" s="136" t="s">
        <v>4428</v>
      </c>
      <c r="R828" s="136">
        <v>0</v>
      </c>
      <c r="S828" s="142">
        <f>(Tabla18[[#This Row],[Debe]]-Tabla18[[#This Row],[Haber]])*
SUMIF('0_Indice_CAC'!$A:$A,Tabla18[[#This Row],[Mes]],'0_Indice_CAC'!$D:$D)</f>
        <v>194621.77354123257</v>
      </c>
      <c r="T828" s="142">
        <f>Tabla18[[#This Row],[Debe]]-Tabla18[[#This Row],[Haber]]</f>
        <v>245000</v>
      </c>
      <c r="U828" s="322"/>
      <c r="V828" s="323"/>
      <c r="W828" s="142">
        <f t="shared" si="16"/>
        <v>245000</v>
      </c>
      <c r="X828" s="142" t="b">
        <f>ISNUMBER(MATCH(A828,'3_Control_Ppto'!$A$4:$A$70,0))</f>
        <v>1</v>
      </c>
      <c r="Y828" s="136"/>
    </row>
    <row r="829" spans="1:25" ht="12" customHeight="1" x14ac:dyDescent="0.3">
      <c r="A829" s="140" t="s">
        <v>4271</v>
      </c>
      <c r="B829" s="140" t="s">
        <v>4090</v>
      </c>
      <c r="C829" s="549">
        <f>+EOMONTH(Tabla18[[#This Row],[Fecha Asiento]],-1)+1</f>
        <v>46113</v>
      </c>
      <c r="D829" s="136">
        <v>53017</v>
      </c>
      <c r="E829" s="136" t="s">
        <v>4677</v>
      </c>
      <c r="F829" s="141">
        <v>46129</v>
      </c>
      <c r="G829" s="136">
        <v>2507</v>
      </c>
      <c r="H829" s="136" t="s">
        <v>4734</v>
      </c>
      <c r="I829" s="136" t="s">
        <v>4489</v>
      </c>
      <c r="J829" s="136" t="s">
        <v>4439</v>
      </c>
      <c r="K829" s="136">
        <v>300006892</v>
      </c>
      <c r="L829" s="138">
        <v>11157.03</v>
      </c>
      <c r="M829" s="138">
        <v>0</v>
      </c>
      <c r="N829" s="136" t="s">
        <v>4425</v>
      </c>
      <c r="O829" s="136" t="s">
        <v>4426</v>
      </c>
      <c r="P829" s="136" t="s">
        <v>4427</v>
      </c>
      <c r="Q829" s="136" t="s">
        <v>4428</v>
      </c>
      <c r="R829" s="136">
        <v>0</v>
      </c>
      <c r="S829" s="142">
        <f>(Tabla18[[#This Row],[Debe]]-Tabla18[[#This Row],[Haber]])*
SUMIF('0_Indice_CAC'!$A:$A,Tabla18[[#This Row],[Mes]],'0_Indice_CAC'!$D:$D)</f>
        <v>8862.8610859295441</v>
      </c>
      <c r="T829" s="142">
        <f>Tabla18[[#This Row],[Debe]]-Tabla18[[#This Row],[Haber]]</f>
        <v>11157.03</v>
      </c>
      <c r="U829" s="322"/>
      <c r="V829" s="323"/>
      <c r="W829" s="142">
        <f t="shared" si="16"/>
        <v>11157.03</v>
      </c>
      <c r="X829" s="142" t="b">
        <f>ISNUMBER(MATCH(A829,'3_Control_Ppto'!$A$4:$A$70,0))</f>
        <v>1</v>
      </c>
      <c r="Y829" s="136"/>
    </row>
    <row r="830" spans="1:25" ht="12" customHeight="1" x14ac:dyDescent="0.3">
      <c r="A830" s="140" t="s">
        <v>106</v>
      </c>
      <c r="B830" s="140" t="s">
        <v>4090</v>
      </c>
      <c r="C830" s="549">
        <f>+EOMONTH(Tabla18[[#This Row],[Fecha Asiento]],-1)+1</f>
        <v>46113</v>
      </c>
      <c r="D830" s="136">
        <v>53023</v>
      </c>
      <c r="E830" s="136" t="s">
        <v>4467</v>
      </c>
      <c r="F830" s="141">
        <v>46130</v>
      </c>
      <c r="G830" s="136">
        <v>2516</v>
      </c>
      <c r="H830" s="136" t="s">
        <v>4674</v>
      </c>
      <c r="I830" s="136" t="s">
        <v>4675</v>
      </c>
      <c r="J830" s="136" t="s">
        <v>4455</v>
      </c>
      <c r="K830" s="136">
        <v>600004991</v>
      </c>
      <c r="L830" s="138">
        <v>14710.74</v>
      </c>
      <c r="M830" s="138">
        <v>0</v>
      </c>
      <c r="N830" s="136" t="s">
        <v>4425</v>
      </c>
      <c r="O830" s="136" t="s">
        <v>4426</v>
      </c>
      <c r="P830" s="136" t="s">
        <v>4427</v>
      </c>
      <c r="Q830" s="136" t="s">
        <v>4428</v>
      </c>
      <c r="R830" s="136">
        <v>0</v>
      </c>
      <c r="S830" s="142">
        <f>(Tabla18[[#This Row],[Debe]]-Tabla18[[#This Row],[Haber]])*
SUMIF('0_Indice_CAC'!$A:$A,Tabla18[[#This Row],[Mes]],'0_Indice_CAC'!$D:$D)</f>
        <v>11685.837995526334</v>
      </c>
      <c r="T830" s="142">
        <f>Tabla18[[#This Row],[Debe]]-Tabla18[[#This Row],[Haber]]</f>
        <v>14710.74</v>
      </c>
      <c r="U830" s="322"/>
      <c r="V830" s="323"/>
      <c r="W830" s="142">
        <f t="shared" si="16"/>
        <v>14710.74</v>
      </c>
      <c r="X830" s="142" t="b">
        <f>ISNUMBER(MATCH(A830,'3_Control_Ppto'!$A$4:$A$70,0))</f>
        <v>1</v>
      </c>
      <c r="Y830" s="136"/>
    </row>
    <row r="831" spans="1:25" ht="12" customHeight="1" x14ac:dyDescent="0.3">
      <c r="A831" s="140" t="s">
        <v>106</v>
      </c>
      <c r="B831" s="140" t="s">
        <v>4090</v>
      </c>
      <c r="C831" s="549">
        <f>+EOMONTH(Tabla18[[#This Row],[Fecha Asiento]],-1)+1</f>
        <v>46113</v>
      </c>
      <c r="D831" s="136">
        <v>53023</v>
      </c>
      <c r="E831" s="136" t="s">
        <v>4467</v>
      </c>
      <c r="F831" s="141">
        <v>46132</v>
      </c>
      <c r="G831" s="136">
        <v>2519</v>
      </c>
      <c r="H831" s="136" t="s">
        <v>4498</v>
      </c>
      <c r="I831" s="136" t="s">
        <v>4466</v>
      </c>
      <c r="J831" s="136" t="s">
        <v>4455</v>
      </c>
      <c r="K831" s="136">
        <v>600013732</v>
      </c>
      <c r="L831" s="138">
        <v>10082.65</v>
      </c>
      <c r="M831" s="138">
        <v>0</v>
      </c>
      <c r="N831" s="136" t="s">
        <v>4425</v>
      </c>
      <c r="O831" s="136" t="s">
        <v>4426</v>
      </c>
      <c r="P831" s="136" t="s">
        <v>4427</v>
      </c>
      <c r="Q831" s="136" t="s">
        <v>4428</v>
      </c>
      <c r="R831" s="136">
        <v>0</v>
      </c>
      <c r="S831" s="142">
        <f>(Tabla18[[#This Row],[Debe]]-Tabla18[[#This Row],[Haber]])*
SUMIF('0_Indice_CAC'!$A:$A,Tabla18[[#This Row],[Mes]],'0_Indice_CAC'!$D:$D)</f>
        <v>8009.4009183490143</v>
      </c>
      <c r="T831" s="142">
        <f>Tabla18[[#This Row],[Debe]]-Tabla18[[#This Row],[Haber]]</f>
        <v>10082.65</v>
      </c>
      <c r="U831" s="322"/>
      <c r="V831" s="323"/>
      <c r="W831" s="142">
        <f t="shared" si="16"/>
        <v>10082.65</v>
      </c>
      <c r="X831" s="142" t="b">
        <f>ISNUMBER(MATCH(A831,'3_Control_Ppto'!$A$4:$A$70,0))</f>
        <v>1</v>
      </c>
      <c r="Y831" s="136"/>
    </row>
    <row r="832" spans="1:25" ht="12" customHeight="1" x14ac:dyDescent="0.3">
      <c r="A832" s="140" t="s">
        <v>4317</v>
      </c>
      <c r="B832" s="140" t="s">
        <v>56</v>
      </c>
      <c r="C832" s="549">
        <f>+EOMONTH(Tabla18[[#This Row],[Fecha Asiento]],-1)+1</f>
        <v>46113</v>
      </c>
      <c r="D832" s="136">
        <v>52005</v>
      </c>
      <c r="E832" s="136" t="s">
        <v>4357</v>
      </c>
      <c r="F832" s="141">
        <v>46133</v>
      </c>
      <c r="G832" s="136">
        <v>2524</v>
      </c>
      <c r="H832" s="136" t="s">
        <v>4586</v>
      </c>
      <c r="I832" s="136" t="s">
        <v>4587</v>
      </c>
      <c r="J832" s="136" t="s">
        <v>4455</v>
      </c>
      <c r="K832" s="136">
        <v>395006870609</v>
      </c>
      <c r="L832" s="138">
        <v>19524.8</v>
      </c>
      <c r="M832" s="138">
        <v>0</v>
      </c>
      <c r="N832" s="136" t="s">
        <v>4425</v>
      </c>
      <c r="O832" s="136" t="s">
        <v>4426</v>
      </c>
      <c r="P832" s="136" t="s">
        <v>4427</v>
      </c>
      <c r="Q832" s="136" t="s">
        <v>4428</v>
      </c>
      <c r="R832" s="136">
        <v>0</v>
      </c>
      <c r="S832" s="142">
        <f>(Tabla18[[#This Row],[Debe]]-Tabla18[[#This Row],[Haber]])*
SUMIF('0_Indice_CAC'!$A:$A,Tabla18[[#This Row],[Mes]],'0_Indice_CAC'!$D:$D)</f>
        <v>15510.004914440235</v>
      </c>
      <c r="T832" s="142">
        <f>Tabla18[[#This Row],[Debe]]-Tabla18[[#This Row],[Haber]]</f>
        <v>19524.8</v>
      </c>
      <c r="U832" s="322"/>
      <c r="V832" s="323"/>
      <c r="W832" s="142">
        <f t="shared" si="16"/>
        <v>19524.8</v>
      </c>
      <c r="X832" s="142" t="b">
        <f>ISNUMBER(MATCH(A832,'3_Control_Ppto'!$A$4:$A$70,0))</f>
        <v>1</v>
      </c>
      <c r="Y832" s="136"/>
    </row>
    <row r="833" spans="1:25" ht="12" customHeight="1" x14ac:dyDescent="0.3">
      <c r="A833" s="140" t="s">
        <v>106</v>
      </c>
      <c r="B833" s="140" t="s">
        <v>4090</v>
      </c>
      <c r="C833" s="549">
        <f>+EOMONTH(Tabla18[[#This Row],[Fecha Asiento]],-1)+1</f>
        <v>46113</v>
      </c>
      <c r="D833" s="136">
        <v>53023</v>
      </c>
      <c r="E833" s="136" t="s">
        <v>4467</v>
      </c>
      <c r="F833" s="141">
        <v>46133</v>
      </c>
      <c r="G833" s="136">
        <v>1025</v>
      </c>
      <c r="H833" s="136" t="s">
        <v>4468</v>
      </c>
      <c r="I833" s="136" t="s">
        <v>4423</v>
      </c>
      <c r="J833" s="136" t="s">
        <v>4424</v>
      </c>
      <c r="K833" s="136">
        <v>9053</v>
      </c>
      <c r="L833" s="138">
        <v>10000</v>
      </c>
      <c r="M833" s="138">
        <v>0</v>
      </c>
      <c r="N833" s="136" t="s">
        <v>4425</v>
      </c>
      <c r="O833" s="136" t="s">
        <v>4426</v>
      </c>
      <c r="P833" s="136" t="s">
        <v>4427</v>
      </c>
      <c r="Q833" s="136" t="s">
        <v>4428</v>
      </c>
      <c r="R833" s="136">
        <v>0</v>
      </c>
      <c r="S833" s="142">
        <f>(Tabla18[[#This Row],[Debe]]-Tabla18[[#This Row],[Haber]])*
SUMIF('0_Indice_CAC'!$A:$A,Tabla18[[#This Row],[Mes]],'0_Indice_CAC'!$D:$D)</f>
        <v>7943.7458588258196</v>
      </c>
      <c r="T833" s="142">
        <f>Tabla18[[#This Row],[Debe]]-Tabla18[[#This Row],[Haber]]</f>
        <v>10000</v>
      </c>
      <c r="U833" s="322"/>
      <c r="V833" s="323"/>
      <c r="W833" s="142">
        <f t="shared" si="16"/>
        <v>10000</v>
      </c>
      <c r="X833" s="142" t="b">
        <f>ISNUMBER(MATCH(A833,'3_Control_Ppto'!$A$4:$A$70,0))</f>
        <v>1</v>
      </c>
      <c r="Y833" s="136"/>
    </row>
    <row r="834" spans="1:25" ht="12" customHeight="1" x14ac:dyDescent="0.3">
      <c r="A834" s="140" t="s">
        <v>4271</v>
      </c>
      <c r="B834" s="140" t="s">
        <v>4090</v>
      </c>
      <c r="C834" s="549">
        <f>+EOMONTH(Tabla18[[#This Row],[Fecha Asiento]],-1)+1</f>
        <v>46113</v>
      </c>
      <c r="D834" s="136">
        <v>53017</v>
      </c>
      <c r="E834" s="136" t="s">
        <v>4677</v>
      </c>
      <c r="F834" s="141">
        <v>46134</v>
      </c>
      <c r="G834" s="136">
        <v>2533</v>
      </c>
      <c r="H834" s="136" t="s">
        <v>4734</v>
      </c>
      <c r="I834" s="136" t="s">
        <v>4489</v>
      </c>
      <c r="J834" s="136" t="s">
        <v>4439</v>
      </c>
      <c r="K834" s="136">
        <v>300006903</v>
      </c>
      <c r="L834" s="138">
        <v>44462.8</v>
      </c>
      <c r="M834" s="138">
        <v>0</v>
      </c>
      <c r="N834" s="136" t="s">
        <v>4425</v>
      </c>
      <c r="O834" s="136" t="s">
        <v>4426</v>
      </c>
      <c r="P834" s="136" t="s">
        <v>4427</v>
      </c>
      <c r="Q834" s="136" t="s">
        <v>4428</v>
      </c>
      <c r="R834" s="136">
        <v>0</v>
      </c>
      <c r="S834" s="142">
        <f>(Tabla18[[#This Row],[Debe]]-Tabla18[[#This Row],[Haber]])*
SUMIF('0_Indice_CAC'!$A:$A,Tabla18[[#This Row],[Mes]],'0_Indice_CAC'!$D:$D)</f>
        <v>35320.118337180065</v>
      </c>
      <c r="T834" s="142">
        <f>Tabla18[[#This Row],[Debe]]-Tabla18[[#This Row],[Haber]]</f>
        <v>44462.8</v>
      </c>
      <c r="U834" s="322"/>
      <c r="V834" s="323"/>
      <c r="W834" s="142">
        <f t="shared" si="16"/>
        <v>44462.8</v>
      </c>
      <c r="X834" s="142" t="b">
        <f>ISNUMBER(MATCH(A834,'3_Control_Ppto'!$A$4:$A$70,0))</f>
        <v>1</v>
      </c>
      <c r="Y834" s="136"/>
    </row>
    <row r="835" spans="1:25" ht="12" customHeight="1" x14ac:dyDescent="0.3">
      <c r="A835" s="140" t="s">
        <v>4271</v>
      </c>
      <c r="B835" s="140" t="s">
        <v>4090</v>
      </c>
      <c r="C835" s="549">
        <f>+EOMONTH(Tabla18[[#This Row],[Fecha Asiento]],-1)+1</f>
        <v>46113</v>
      </c>
      <c r="D835" s="136">
        <v>53017</v>
      </c>
      <c r="E835" s="136" t="s">
        <v>4677</v>
      </c>
      <c r="F835" s="141">
        <v>46134</v>
      </c>
      <c r="G835" s="136">
        <v>2591</v>
      </c>
      <c r="H835" s="136" t="s">
        <v>4801</v>
      </c>
      <c r="I835" s="136" t="s">
        <v>4794</v>
      </c>
      <c r="J835" s="136" t="s">
        <v>4455</v>
      </c>
      <c r="K835" s="136">
        <v>900003143</v>
      </c>
      <c r="L835" s="138">
        <v>143408.5</v>
      </c>
      <c r="M835" s="138">
        <v>0</v>
      </c>
      <c r="N835" s="136" t="s">
        <v>4425</v>
      </c>
      <c r="O835" s="136" t="s">
        <v>4426</v>
      </c>
      <c r="P835" s="136" t="s">
        <v>4427</v>
      </c>
      <c r="Q835" s="136" t="s">
        <v>4428</v>
      </c>
      <c r="R835" s="136">
        <v>0</v>
      </c>
      <c r="S835" s="142">
        <f>(Tabla18[[#This Row],[Debe]]-Tabla18[[#This Row],[Haber]])*
SUMIF('0_Indice_CAC'!$A:$A,Tabla18[[#This Row],[Mes]],'0_Indice_CAC'!$D:$D)</f>
        <v>113920.06779954224</v>
      </c>
      <c r="T835" s="142">
        <f>Tabla18[[#This Row],[Debe]]-Tabla18[[#This Row],[Haber]]</f>
        <v>143408.5</v>
      </c>
      <c r="U835" s="322"/>
      <c r="V835" s="323"/>
      <c r="W835" s="142">
        <f t="shared" si="16"/>
        <v>143408.5</v>
      </c>
      <c r="X835" s="142" t="b">
        <f>ISNUMBER(MATCH(A835,'3_Control_Ppto'!$A$4:$A$70,0))</f>
        <v>1</v>
      </c>
      <c r="Y835" s="136"/>
    </row>
    <row r="836" spans="1:25" ht="12" customHeight="1" x14ac:dyDescent="0.3">
      <c r="A836" s="140" t="s">
        <v>106</v>
      </c>
      <c r="B836" s="140" t="s">
        <v>4090</v>
      </c>
      <c r="C836" s="549">
        <f>+EOMONTH(Tabla18[[#This Row],[Fecha Asiento]],-1)+1</f>
        <v>46113</v>
      </c>
      <c r="D836" s="136">
        <v>53023</v>
      </c>
      <c r="E836" s="136" t="s">
        <v>4467</v>
      </c>
      <c r="F836" s="141">
        <v>46134</v>
      </c>
      <c r="G836" s="136">
        <v>2535</v>
      </c>
      <c r="H836" s="136" t="s">
        <v>4475</v>
      </c>
      <c r="I836" s="136" t="s">
        <v>4471</v>
      </c>
      <c r="J836" s="136" t="s">
        <v>4455</v>
      </c>
      <c r="K836" s="136">
        <v>1000223626</v>
      </c>
      <c r="L836" s="138">
        <v>31594.05</v>
      </c>
      <c r="M836" s="138">
        <v>0</v>
      </c>
      <c r="N836" s="136" t="s">
        <v>4425</v>
      </c>
      <c r="O836" s="136" t="s">
        <v>4426</v>
      </c>
      <c r="P836" s="136" t="s">
        <v>4427</v>
      </c>
      <c r="Q836" s="136" t="s">
        <v>4428</v>
      </c>
      <c r="R836" s="136">
        <v>0</v>
      </c>
      <c r="S836" s="142">
        <f>(Tabla18[[#This Row],[Debe]]-Tabla18[[#This Row],[Haber]])*
SUMIF('0_Indice_CAC'!$A:$A,Tabla18[[#This Row],[Mes]],'0_Indice_CAC'!$D:$D)</f>
        <v>25097.510385103586</v>
      </c>
      <c r="T836" s="142">
        <f>Tabla18[[#This Row],[Debe]]-Tabla18[[#This Row],[Haber]]</f>
        <v>31594.05</v>
      </c>
      <c r="U836" s="322"/>
      <c r="V836" s="323"/>
      <c r="W836" s="142">
        <f t="shared" si="16"/>
        <v>31594.05</v>
      </c>
      <c r="X836" s="142" t="b">
        <f>ISNUMBER(MATCH(A836,'3_Control_Ppto'!$A$4:$A$70,0))</f>
        <v>1</v>
      </c>
      <c r="Y836" s="136"/>
    </row>
    <row r="837" spans="1:25" ht="12" customHeight="1" x14ac:dyDescent="0.3">
      <c r="A837" s="140" t="s">
        <v>4271</v>
      </c>
      <c r="B837" s="140" t="s">
        <v>56</v>
      </c>
      <c r="C837" s="549">
        <f>+EOMONTH(Tabla18[[#This Row],[Fecha Asiento]],-1)+1</f>
        <v>46113</v>
      </c>
      <c r="D837" s="136">
        <v>53018</v>
      </c>
      <c r="E837" s="136" t="s">
        <v>4798</v>
      </c>
      <c r="F837" s="141">
        <v>46135</v>
      </c>
      <c r="G837" s="136">
        <v>2541</v>
      </c>
      <c r="H837" s="136" t="s">
        <v>4884</v>
      </c>
      <c r="I837" s="136" t="s">
        <v>4823</v>
      </c>
      <c r="J837" s="136" t="s">
        <v>4455</v>
      </c>
      <c r="K837" s="136">
        <v>126000003884</v>
      </c>
      <c r="L837" s="138">
        <v>103713.91</v>
      </c>
      <c r="M837" s="138">
        <v>0</v>
      </c>
      <c r="N837" s="136" t="s">
        <v>4425</v>
      </c>
      <c r="O837" s="136" t="s">
        <v>4426</v>
      </c>
      <c r="P837" s="136" t="s">
        <v>4427</v>
      </c>
      <c r="Q837" s="136" t="s">
        <v>4428</v>
      </c>
      <c r="R837" s="136">
        <v>0</v>
      </c>
      <c r="S837" s="142">
        <f>(Tabla18[[#This Row],[Debe]]-Tabla18[[#This Row],[Haber]])*
SUMIF('0_Indice_CAC'!$A:$A,Tabla18[[#This Row],[Mes]],'0_Indice_CAC'!$D:$D)</f>
        <v>82387.694306513367</v>
      </c>
      <c r="T837" s="142">
        <f>Tabla18[[#This Row],[Debe]]-Tabla18[[#This Row],[Haber]]</f>
        <v>103713.91</v>
      </c>
      <c r="U837" s="322"/>
      <c r="V837" s="323"/>
      <c r="W837" s="142">
        <f t="shared" si="16"/>
        <v>103713.91</v>
      </c>
      <c r="X837" s="142" t="b">
        <f>ISNUMBER(MATCH(A837,'3_Control_Ppto'!$A$4:$A$70,0))</f>
        <v>1</v>
      </c>
      <c r="Y837" s="136"/>
    </row>
    <row r="838" spans="1:25" ht="12" customHeight="1" x14ac:dyDescent="0.3">
      <c r="A838" s="140" t="s">
        <v>106</v>
      </c>
      <c r="B838" s="140" t="s">
        <v>4090</v>
      </c>
      <c r="C838" s="549">
        <f>+EOMONTH(Tabla18[[#This Row],[Fecha Asiento]],-1)+1</f>
        <v>46113</v>
      </c>
      <c r="D838" s="136">
        <v>53023</v>
      </c>
      <c r="E838" s="136" t="s">
        <v>4467</v>
      </c>
      <c r="F838" s="141">
        <v>46135</v>
      </c>
      <c r="G838" s="136">
        <v>2592</v>
      </c>
      <c r="H838" s="136" t="s">
        <v>4885</v>
      </c>
      <c r="I838" s="136" t="s">
        <v>4886</v>
      </c>
      <c r="J838" s="136" t="s">
        <v>4455</v>
      </c>
      <c r="K838" s="136">
        <v>400006882</v>
      </c>
      <c r="L838" s="138">
        <v>74380.17</v>
      </c>
      <c r="M838" s="138">
        <v>0</v>
      </c>
      <c r="N838" s="136" t="s">
        <v>4425</v>
      </c>
      <c r="O838" s="136" t="s">
        <v>4426</v>
      </c>
      <c r="P838" s="136" t="s">
        <v>4427</v>
      </c>
      <c r="Q838" s="136" t="s">
        <v>4428</v>
      </c>
      <c r="R838" s="136">
        <v>0</v>
      </c>
      <c r="S838" s="142">
        <f>(Tabla18[[#This Row],[Debe]]-Tabla18[[#This Row],[Haber]])*
SUMIF('0_Indice_CAC'!$A:$A,Tabla18[[#This Row],[Mes]],'0_Indice_CAC'!$D:$D)</f>
        <v>59085.716741626042</v>
      </c>
      <c r="T838" s="142">
        <f>Tabla18[[#This Row],[Debe]]-Tabla18[[#This Row],[Haber]]</f>
        <v>74380.17</v>
      </c>
      <c r="U838" s="322"/>
      <c r="V838" s="323"/>
      <c r="W838" s="142">
        <f t="shared" si="16"/>
        <v>74380.17</v>
      </c>
      <c r="X838" s="142" t="b">
        <f>ISNUMBER(MATCH(A838,'3_Control_Ppto'!$A$4:$A$70,0))</f>
        <v>1</v>
      </c>
      <c r="Y838" s="136"/>
    </row>
    <row r="839" spans="1:25" ht="12" customHeight="1" x14ac:dyDescent="0.3">
      <c r="A839" s="140" t="s">
        <v>4165</v>
      </c>
      <c r="B839" s="140" t="s">
        <v>56</v>
      </c>
      <c r="C839" s="549">
        <f>+EOMONTH(Tabla18[[#This Row],[Fecha Asiento]],-1)+1</f>
        <v>46113</v>
      </c>
      <c r="D839" s="136">
        <v>53011</v>
      </c>
      <c r="E839" s="136" t="s">
        <v>4836</v>
      </c>
      <c r="F839" s="141">
        <v>46136</v>
      </c>
      <c r="G839" s="136">
        <v>1022</v>
      </c>
      <c r="H839" s="136" t="s">
        <v>4887</v>
      </c>
      <c r="I839" s="136" t="s">
        <v>4423</v>
      </c>
      <c r="J839" s="136" t="s">
        <v>4424</v>
      </c>
      <c r="K839" s="136">
        <v>9050</v>
      </c>
      <c r="L839" s="138">
        <v>274680</v>
      </c>
      <c r="M839" s="138">
        <v>0</v>
      </c>
      <c r="N839" s="136" t="s">
        <v>4425</v>
      </c>
      <c r="O839" s="136" t="s">
        <v>4426</v>
      </c>
      <c r="P839" s="136" t="s">
        <v>4427</v>
      </c>
      <c r="Q839" s="136" t="s">
        <v>4428</v>
      </c>
      <c r="R839" s="136">
        <v>0</v>
      </c>
      <c r="S839" s="142">
        <f>(Tabla18[[#This Row],[Debe]]-Tabla18[[#This Row],[Haber]])*
SUMIF('0_Indice_CAC'!$A:$A,Tabla18[[#This Row],[Mes]],'0_Indice_CAC'!$D:$D)</f>
        <v>218198.81125022759</v>
      </c>
      <c r="T839" s="142">
        <f>Tabla18[[#This Row],[Debe]]-Tabla18[[#This Row],[Haber]]</f>
        <v>274680</v>
      </c>
      <c r="U839" s="322" t="s">
        <v>4838</v>
      </c>
      <c r="V839" s="323"/>
      <c r="W839" s="142">
        <f t="shared" si="16"/>
        <v>274680</v>
      </c>
      <c r="X839" s="142" t="b">
        <f>ISNUMBER(MATCH(A839,'3_Control_Ppto'!$A$4:$A$70,0))</f>
        <v>1</v>
      </c>
      <c r="Y839" s="136"/>
    </row>
    <row r="840" spans="1:25" ht="12" customHeight="1" x14ac:dyDescent="0.3">
      <c r="A840" s="140" t="s">
        <v>4271</v>
      </c>
      <c r="B840" s="140" t="s">
        <v>56</v>
      </c>
      <c r="C840" s="549">
        <f>+EOMONTH(Tabla18[[#This Row],[Fecha Asiento]],-1)+1</f>
        <v>46113</v>
      </c>
      <c r="D840" s="136">
        <v>53018</v>
      </c>
      <c r="E840" s="136" t="s">
        <v>4798</v>
      </c>
      <c r="F840" s="141">
        <v>46136</v>
      </c>
      <c r="G840" s="136">
        <v>1018</v>
      </c>
      <c r="H840" s="136" t="s">
        <v>4888</v>
      </c>
      <c r="I840" s="136" t="s">
        <v>4423</v>
      </c>
      <c r="J840" s="136" t="s">
        <v>4424</v>
      </c>
      <c r="K840" s="136">
        <v>9046</v>
      </c>
      <c r="L840" s="138">
        <v>360140</v>
      </c>
      <c r="M840" s="138">
        <v>0</v>
      </c>
      <c r="N840" s="136" t="s">
        <v>4425</v>
      </c>
      <c r="O840" s="136" t="s">
        <v>4426</v>
      </c>
      <c r="P840" s="136" t="s">
        <v>4427</v>
      </c>
      <c r="Q840" s="136" t="s">
        <v>4428</v>
      </c>
      <c r="R840" s="136">
        <v>0</v>
      </c>
      <c r="S840" s="142">
        <f>(Tabla18[[#This Row],[Debe]]-Tabla18[[#This Row],[Haber]])*
SUMIF('0_Indice_CAC'!$A:$A,Tabla18[[#This Row],[Mes]],'0_Indice_CAC'!$D:$D)</f>
        <v>286086.06335975305</v>
      </c>
      <c r="T840" s="142">
        <f>Tabla18[[#This Row],[Debe]]-Tabla18[[#This Row],[Haber]]</f>
        <v>360140</v>
      </c>
      <c r="U840" s="322"/>
      <c r="V840" s="323"/>
      <c r="W840" s="142">
        <f t="shared" si="16"/>
        <v>360140</v>
      </c>
      <c r="X840" s="142" t="b">
        <f>ISNUMBER(MATCH(A840,'3_Control_Ppto'!$A$4:$A$70,0))</f>
        <v>1</v>
      </c>
      <c r="Y840" s="136"/>
    </row>
    <row r="841" spans="1:25" ht="12" customHeight="1" x14ac:dyDescent="0.3">
      <c r="A841" s="140" t="s">
        <v>4271</v>
      </c>
      <c r="B841" s="140" t="s">
        <v>56</v>
      </c>
      <c r="C841" s="549">
        <f>+EOMONTH(Tabla18[[#This Row],[Fecha Asiento]],-1)+1</f>
        <v>46113</v>
      </c>
      <c r="D841" s="136">
        <v>53018</v>
      </c>
      <c r="E841" s="136" t="s">
        <v>4798</v>
      </c>
      <c r="F841" s="141">
        <v>46136</v>
      </c>
      <c r="G841" s="136">
        <v>1019</v>
      </c>
      <c r="H841" s="136" t="s">
        <v>4889</v>
      </c>
      <c r="I841" s="136" t="s">
        <v>4423</v>
      </c>
      <c r="J841" s="136" t="s">
        <v>4424</v>
      </c>
      <c r="K841" s="136">
        <v>9047</v>
      </c>
      <c r="L841" s="138">
        <v>567860</v>
      </c>
      <c r="M841" s="138">
        <v>0</v>
      </c>
      <c r="N841" s="136" t="s">
        <v>4425</v>
      </c>
      <c r="O841" s="136" t="s">
        <v>4426</v>
      </c>
      <c r="P841" s="136" t="s">
        <v>4427</v>
      </c>
      <c r="Q841" s="136" t="s">
        <v>4428</v>
      </c>
      <c r="R841" s="136">
        <v>0</v>
      </c>
      <c r="S841" s="142">
        <f>(Tabla18[[#This Row],[Debe]]-Tabla18[[#This Row],[Haber]])*
SUMIF('0_Indice_CAC'!$A:$A,Tabla18[[#This Row],[Mes]],'0_Indice_CAC'!$D:$D)</f>
        <v>451093.55233928299</v>
      </c>
      <c r="T841" s="142">
        <f>Tabla18[[#This Row],[Debe]]-Tabla18[[#This Row],[Haber]]</f>
        <v>567860</v>
      </c>
      <c r="U841" s="322"/>
      <c r="V841" s="323"/>
      <c r="W841" s="142">
        <f t="shared" si="16"/>
        <v>567860</v>
      </c>
      <c r="X841" s="142" t="b">
        <f>ISNUMBER(MATCH(A841,'3_Control_Ppto'!$A$4:$A$70,0))</f>
        <v>1</v>
      </c>
      <c r="Y841" s="136"/>
    </row>
    <row r="842" spans="1:25" ht="12" customHeight="1" x14ac:dyDescent="0.3">
      <c r="A842" s="140" t="s">
        <v>2779</v>
      </c>
      <c r="B842" s="140" t="s">
        <v>4090</v>
      </c>
      <c r="C842" s="549">
        <f>+EOMONTH(Tabla18[[#This Row],[Fecha Asiento]],-1)+1</f>
        <v>46113</v>
      </c>
      <c r="D842" s="136">
        <v>53015</v>
      </c>
      <c r="E842" s="136" t="s">
        <v>4821</v>
      </c>
      <c r="F842" s="141">
        <v>46139</v>
      </c>
      <c r="G842" s="136">
        <v>2550</v>
      </c>
      <c r="H842" s="136" t="s">
        <v>4822</v>
      </c>
      <c r="I842" s="136" t="s">
        <v>4823</v>
      </c>
      <c r="J842" s="136" t="s">
        <v>4455</v>
      </c>
      <c r="K842" s="136">
        <v>126000003947</v>
      </c>
      <c r="L842" s="138">
        <v>271135.8</v>
      </c>
      <c r="M842" s="138">
        <v>0</v>
      </c>
      <c r="N842" s="136" t="s">
        <v>4425</v>
      </c>
      <c r="O842" s="136" t="s">
        <v>4426</v>
      </c>
      <c r="P842" s="136" t="s">
        <v>4427</v>
      </c>
      <c r="Q842" s="136" t="s">
        <v>4428</v>
      </c>
      <c r="R842" s="136">
        <v>0</v>
      </c>
      <c r="S842" s="142">
        <f>(Tabla18[[#This Row],[Debe]]-Tabla18[[#This Row],[Haber]])*
SUMIF('0_Indice_CAC'!$A:$A,Tabla18[[#This Row],[Mes]],'0_Indice_CAC'!$D:$D)</f>
        <v>215383.38884294254</v>
      </c>
      <c r="T842" s="142">
        <f>Tabla18[[#This Row],[Debe]]-Tabla18[[#This Row],[Haber]]</f>
        <v>271135.8</v>
      </c>
      <c r="U842" s="322"/>
      <c r="V842" s="323"/>
      <c r="W842" s="142">
        <f t="shared" si="16"/>
        <v>271135.8</v>
      </c>
      <c r="X842" s="142" t="b">
        <f>ISNUMBER(MATCH(A842,'3_Control_Ppto'!$A$4:$A$70,0))</f>
        <v>1</v>
      </c>
      <c r="Y842" s="136"/>
    </row>
    <row r="843" spans="1:25" ht="12" customHeight="1" x14ac:dyDescent="0.3">
      <c r="A843" s="140" t="s">
        <v>4271</v>
      </c>
      <c r="B843" s="140" t="s">
        <v>4090</v>
      </c>
      <c r="C843" s="549">
        <f>+EOMONTH(Tabla18[[#This Row],[Fecha Asiento]],-1)+1</f>
        <v>46113</v>
      </c>
      <c r="D843" s="136">
        <v>53017</v>
      </c>
      <c r="E843" s="136" t="s">
        <v>4677</v>
      </c>
      <c r="F843" s="141">
        <v>46139</v>
      </c>
      <c r="G843" s="136">
        <v>2555</v>
      </c>
      <c r="H843" s="136" t="s">
        <v>4890</v>
      </c>
      <c r="I843" s="136" t="s">
        <v>4752</v>
      </c>
      <c r="J843" s="136" t="s">
        <v>4455</v>
      </c>
      <c r="K843" s="136">
        <v>400034879</v>
      </c>
      <c r="L843" s="138">
        <v>1568909.91</v>
      </c>
      <c r="M843" s="138">
        <v>0</v>
      </c>
      <c r="N843" s="136" t="s">
        <v>4425</v>
      </c>
      <c r="O843" s="136" t="s">
        <v>4426</v>
      </c>
      <c r="P843" s="136" t="s">
        <v>4427</v>
      </c>
      <c r="Q843" s="136" t="s">
        <v>4428</v>
      </c>
      <c r="R843" s="136">
        <v>0</v>
      </c>
      <c r="S843" s="142">
        <f>(Tabla18[[#This Row],[Debe]]-Tabla18[[#This Row],[Haber]])*
SUMIF('0_Indice_CAC'!$A:$A,Tabla18[[#This Row],[Mes]],'0_Indice_CAC'!$D:$D)</f>
        <v>1246302.1600433288</v>
      </c>
      <c r="T843" s="142">
        <f>Tabla18[[#This Row],[Debe]]-Tabla18[[#This Row],[Haber]]</f>
        <v>1568909.91</v>
      </c>
      <c r="U843" s="322"/>
      <c r="V843" s="323"/>
      <c r="W843" s="142">
        <f t="shared" si="16"/>
        <v>1568909.91</v>
      </c>
      <c r="X843" s="142" t="b">
        <f>ISNUMBER(MATCH(A843,'3_Control_Ppto'!$A$4:$A$70,0))</f>
        <v>1</v>
      </c>
      <c r="Y843" s="136"/>
    </row>
    <row r="844" spans="1:25" ht="12" customHeight="1" x14ac:dyDescent="0.3">
      <c r="A844" s="140" t="s">
        <v>4317</v>
      </c>
      <c r="B844" s="140" t="s">
        <v>56</v>
      </c>
      <c r="C844" s="549">
        <f>+EOMONTH(Tabla18[[#This Row],[Fecha Asiento]],-1)+1</f>
        <v>46113</v>
      </c>
      <c r="D844" s="136">
        <v>52302</v>
      </c>
      <c r="E844" s="136" t="s">
        <v>4444</v>
      </c>
      <c r="F844" s="141">
        <v>46142</v>
      </c>
      <c r="G844" s="136">
        <v>2598</v>
      </c>
      <c r="H844" s="136" t="s">
        <v>4828</v>
      </c>
      <c r="I844" s="136" t="s">
        <v>4532</v>
      </c>
      <c r="J844" s="136" t="s">
        <v>4455</v>
      </c>
      <c r="K844" s="136">
        <v>142000143812</v>
      </c>
      <c r="L844" s="138">
        <v>24813.79</v>
      </c>
      <c r="M844" s="138">
        <v>0</v>
      </c>
      <c r="N844" s="136" t="s">
        <v>4425</v>
      </c>
      <c r="O844" s="136" t="s">
        <v>4426</v>
      </c>
      <c r="P844" s="136" t="s">
        <v>4427</v>
      </c>
      <c r="Q844" s="136" t="s">
        <v>4428</v>
      </c>
      <c r="R844" s="136">
        <v>0</v>
      </c>
      <c r="S844" s="142">
        <f>(Tabla18[[#This Row],[Debe]]-Tabla18[[#This Row],[Haber]])*
SUMIF('0_Indice_CAC'!$A:$A,Tabla18[[#This Row],[Mes]],'0_Indice_CAC'!$D:$D)</f>
        <v>19711.444155427354</v>
      </c>
      <c r="T844" s="142">
        <f>Tabla18[[#This Row],[Debe]]-Tabla18[[#This Row],[Haber]]</f>
        <v>24813.79</v>
      </c>
      <c r="U844" s="322"/>
      <c r="V844" s="323"/>
      <c r="W844" s="142">
        <f t="shared" si="16"/>
        <v>24813.79</v>
      </c>
      <c r="X844" s="142" t="b">
        <f>ISNUMBER(MATCH(A844,'3_Control_Ppto'!$A$4:$A$70,0))</f>
        <v>1</v>
      </c>
      <c r="Y844" s="136"/>
    </row>
    <row r="845" spans="1:25" ht="12" customHeight="1" x14ac:dyDescent="0.3">
      <c r="A845" s="140" t="s">
        <v>4317</v>
      </c>
      <c r="B845" s="140" t="s">
        <v>56</v>
      </c>
      <c r="C845" s="549">
        <f>+EOMONTH(Tabla18[[#This Row],[Fecha Asiento]],-1)+1</f>
        <v>46113</v>
      </c>
      <c r="D845" s="136">
        <v>52302</v>
      </c>
      <c r="E845" s="136" t="s">
        <v>4444</v>
      </c>
      <c r="F845" s="141">
        <v>46142</v>
      </c>
      <c r="G845" s="136">
        <v>2598</v>
      </c>
      <c r="H845" s="136" t="s">
        <v>4829</v>
      </c>
      <c r="I845" s="136" t="s">
        <v>4532</v>
      </c>
      <c r="J845" s="136" t="s">
        <v>4455</v>
      </c>
      <c r="K845" s="136">
        <v>142000143812</v>
      </c>
      <c r="L845" s="138">
        <v>1971.36</v>
      </c>
      <c r="M845" s="138">
        <v>0</v>
      </c>
      <c r="N845" s="136" t="s">
        <v>4425</v>
      </c>
      <c r="O845" s="136" t="s">
        <v>4426</v>
      </c>
      <c r="P845" s="136" t="s">
        <v>4427</v>
      </c>
      <c r="Q845" s="136" t="s">
        <v>4428</v>
      </c>
      <c r="R845" s="136">
        <v>0</v>
      </c>
      <c r="S845" s="142">
        <f>(Tabla18[[#This Row],[Debe]]-Tabla18[[#This Row],[Haber]])*
SUMIF('0_Indice_CAC'!$A:$A,Tabla18[[#This Row],[Mes]],'0_Indice_CAC'!$D:$D)</f>
        <v>1565.9982836254867</v>
      </c>
      <c r="T845" s="142">
        <f>Tabla18[[#This Row],[Debe]]-Tabla18[[#This Row],[Haber]]</f>
        <v>1971.36</v>
      </c>
      <c r="U845" s="322"/>
      <c r="V845" s="323"/>
      <c r="W845" s="142">
        <f t="shared" si="16"/>
        <v>1971.36</v>
      </c>
      <c r="X845" s="142" t="b">
        <f>ISNUMBER(MATCH(A845,'3_Control_Ppto'!$A$4:$A$70,0))</f>
        <v>1</v>
      </c>
      <c r="Y845" s="136"/>
    </row>
    <row r="846" spans="1:25" ht="12" customHeight="1" x14ac:dyDescent="0.3">
      <c r="A846" s="140" t="s">
        <v>4317</v>
      </c>
      <c r="B846" s="140" t="s">
        <v>56</v>
      </c>
      <c r="C846" s="549">
        <f>+EOMONTH(Tabla18[[#This Row],[Fecha Asiento]],-1)+1</f>
        <v>46113</v>
      </c>
      <c r="D846" s="136">
        <v>52302</v>
      </c>
      <c r="E846" s="136" t="s">
        <v>4444</v>
      </c>
      <c r="F846" s="141">
        <v>46142</v>
      </c>
      <c r="G846" s="136">
        <v>2598</v>
      </c>
      <c r="H846" s="136" t="s">
        <v>4847</v>
      </c>
      <c r="I846" s="136" t="s">
        <v>4532</v>
      </c>
      <c r="J846" s="136" t="s">
        <v>4455</v>
      </c>
      <c r="K846" s="136">
        <v>142000143812</v>
      </c>
      <c r="L846" s="138">
        <v>74897.899999999994</v>
      </c>
      <c r="M846" s="138">
        <v>0</v>
      </c>
      <c r="N846" s="136" t="s">
        <v>4425</v>
      </c>
      <c r="O846" s="136" t="s">
        <v>4426</v>
      </c>
      <c r="P846" s="136" t="s">
        <v>4427</v>
      </c>
      <c r="Q846" s="136" t="s">
        <v>4428</v>
      </c>
      <c r="R846" s="136">
        <v>0</v>
      </c>
      <c r="S846" s="142">
        <f>(Tabla18[[#This Row],[Debe]]-Tabla18[[#This Row],[Haber]])*
SUMIF('0_Indice_CAC'!$A:$A,Tabla18[[#This Row],[Mes]],'0_Indice_CAC'!$D:$D)</f>
        <v>59496.988295975025</v>
      </c>
      <c r="T846" s="142">
        <f>Tabla18[[#This Row],[Debe]]-Tabla18[[#This Row],[Haber]]</f>
        <v>74897.899999999994</v>
      </c>
      <c r="U846" s="322"/>
      <c r="V846" s="323"/>
      <c r="W846" s="142">
        <f t="shared" si="16"/>
        <v>74897.899999999994</v>
      </c>
      <c r="X846" s="142" t="b">
        <f>ISNUMBER(MATCH(A846,'3_Control_Ppto'!$A$4:$A$70,0))</f>
        <v>1</v>
      </c>
      <c r="Y846" s="136"/>
    </row>
    <row r="847" spans="1:25" ht="12" customHeight="1" x14ac:dyDescent="0.3">
      <c r="A847" s="140" t="s">
        <v>4317</v>
      </c>
      <c r="B847" s="140" t="s">
        <v>56</v>
      </c>
      <c r="C847" s="549">
        <f>+EOMONTH(Tabla18[[#This Row],[Fecha Asiento]],-1)+1</f>
        <v>46113</v>
      </c>
      <c r="D847" s="136">
        <v>52302</v>
      </c>
      <c r="E847" s="136" t="s">
        <v>4444</v>
      </c>
      <c r="F847" s="141">
        <v>46142</v>
      </c>
      <c r="G847" s="136">
        <v>2598</v>
      </c>
      <c r="H847" s="136" t="s">
        <v>4848</v>
      </c>
      <c r="I847" s="136" t="s">
        <v>4532</v>
      </c>
      <c r="J847" s="136" t="s">
        <v>4455</v>
      </c>
      <c r="K847" s="136">
        <v>142000143812</v>
      </c>
      <c r="L847" s="138">
        <v>69493.31</v>
      </c>
      <c r="M847" s="138">
        <v>0</v>
      </c>
      <c r="N847" s="136" t="s">
        <v>4425</v>
      </c>
      <c r="O847" s="136" t="s">
        <v>4426</v>
      </c>
      <c r="P847" s="136" t="s">
        <v>4427</v>
      </c>
      <c r="Q847" s="136" t="s">
        <v>4428</v>
      </c>
      <c r="R847" s="136">
        <v>0</v>
      </c>
      <c r="S847" s="142">
        <f>(Tabla18[[#This Row],[Debe]]-Tabla18[[#This Row],[Haber]])*
SUMIF('0_Indice_CAC'!$A:$A,Tabla18[[#This Row],[Mes]],'0_Indice_CAC'!$D:$D)</f>
        <v>55203.719352859887</v>
      </c>
      <c r="T847" s="142">
        <f>Tabla18[[#This Row],[Debe]]-Tabla18[[#This Row],[Haber]]</f>
        <v>69493.31</v>
      </c>
      <c r="U847" s="322"/>
      <c r="V847" s="323"/>
      <c r="W847" s="142">
        <f t="shared" si="16"/>
        <v>69493.31</v>
      </c>
      <c r="X847" s="142" t="b">
        <f>ISNUMBER(MATCH(A847,'3_Control_Ppto'!$A$4:$A$70,0))</f>
        <v>1</v>
      </c>
      <c r="Y847" s="136"/>
    </row>
    <row r="848" spans="1:25" ht="12" customHeight="1" x14ac:dyDescent="0.3">
      <c r="A848" s="140" t="s">
        <v>4310</v>
      </c>
      <c r="B848" s="140" t="s">
        <v>56</v>
      </c>
      <c r="C848" s="549">
        <f>+EOMONTH(Tabla18[[#This Row],[Fecha Asiento]],-1)+1</f>
        <v>46143</v>
      </c>
      <c r="D848" s="136">
        <v>52204</v>
      </c>
      <c r="E848" s="136" t="s">
        <v>4452</v>
      </c>
      <c r="F848" s="141">
        <v>46145</v>
      </c>
      <c r="G848" s="136">
        <v>2610</v>
      </c>
      <c r="H848" s="136" t="s">
        <v>4453</v>
      </c>
      <c r="I848" s="136" t="s">
        <v>4835</v>
      </c>
      <c r="J848" s="136" t="s">
        <v>4542</v>
      </c>
      <c r="K848" s="136">
        <v>300000901</v>
      </c>
      <c r="L848" s="138">
        <v>90000</v>
      </c>
      <c r="M848" s="138">
        <v>0</v>
      </c>
      <c r="N848" s="136" t="s">
        <v>4425</v>
      </c>
      <c r="O848" s="136" t="s">
        <v>4426</v>
      </c>
      <c r="P848" s="136" t="s">
        <v>4427</v>
      </c>
      <c r="Q848" s="136" t="s">
        <v>4428</v>
      </c>
      <c r="R848" s="136">
        <v>0</v>
      </c>
      <c r="S848" s="142">
        <f>(Tabla18[[#This Row],[Debe]]-Tabla18[[#This Row],[Haber]])*
SUMIF('0_Indice_CAC'!$A:$A,Tabla18[[#This Row],[Mes]],'0_Indice_CAC'!$D:$D)</f>
        <v>71493.712729432373</v>
      </c>
      <c r="T848" s="142">
        <f>Tabla18[[#This Row],[Debe]]-Tabla18[[#This Row],[Haber]]</f>
        <v>90000</v>
      </c>
      <c r="U848" s="322"/>
      <c r="V848" s="323"/>
      <c r="W848" s="142">
        <f t="shared" si="16"/>
        <v>90000</v>
      </c>
      <c r="X848" s="142" t="b">
        <f>ISNUMBER(MATCH(A848,'3_Control_Ppto'!$A$4:$A$70,0))</f>
        <v>1</v>
      </c>
      <c r="Y848" s="136"/>
    </row>
    <row r="849" spans="1:25" ht="12" customHeight="1" x14ac:dyDescent="0.3">
      <c r="A849" s="140" t="s">
        <v>4165</v>
      </c>
      <c r="B849" s="140" t="s">
        <v>4090</v>
      </c>
      <c r="C849" s="549">
        <f>+EOMONTH(Tabla18[[#This Row],[Fecha Asiento]],-1)+1</f>
        <v>46143</v>
      </c>
      <c r="D849" s="136">
        <v>53010</v>
      </c>
      <c r="E849" s="136" t="s">
        <v>4507</v>
      </c>
      <c r="F849" s="141">
        <v>46146</v>
      </c>
      <c r="G849" s="136">
        <v>2614</v>
      </c>
      <c r="H849" s="136" t="s">
        <v>4891</v>
      </c>
      <c r="I849" s="136" t="s">
        <v>4892</v>
      </c>
      <c r="J849" s="136" t="s">
        <v>4455</v>
      </c>
      <c r="K849" s="136">
        <v>600000476</v>
      </c>
      <c r="L849" s="138">
        <v>1831716.18</v>
      </c>
      <c r="M849" s="138">
        <v>0</v>
      </c>
      <c r="N849" s="136" t="s">
        <v>4425</v>
      </c>
      <c r="O849" s="136" t="s">
        <v>4426</v>
      </c>
      <c r="P849" s="136" t="s">
        <v>4427</v>
      </c>
      <c r="Q849" s="136" t="s">
        <v>4428</v>
      </c>
      <c r="R849" s="136">
        <v>0</v>
      </c>
      <c r="S849" s="142">
        <f>(Tabla18[[#This Row],[Debe]]-Tabla18[[#This Row],[Haber]])*
SUMIF('0_Indice_CAC'!$A:$A,Tabla18[[#This Row],[Mes]],'0_Indice_CAC'!$D:$D)</f>
        <v>1455068.7819419249</v>
      </c>
      <c r="T849" s="142">
        <f>Tabla18[[#This Row],[Debe]]-Tabla18[[#This Row],[Haber]]</f>
        <v>1831716.18</v>
      </c>
      <c r="U849" s="322"/>
      <c r="V849" s="323"/>
      <c r="W849" s="142">
        <f t="shared" si="16"/>
        <v>1831716.18</v>
      </c>
      <c r="X849" s="142" t="b">
        <f>ISNUMBER(MATCH(A849,'3_Control_Ppto'!$A$4:$A$70,0))</f>
        <v>1</v>
      </c>
      <c r="Y849" s="136"/>
    </row>
    <row r="850" spans="1:25" ht="12" customHeight="1" x14ac:dyDescent="0.3">
      <c r="A850" s="140" t="s">
        <v>25</v>
      </c>
      <c r="B850" s="140" t="s">
        <v>25</v>
      </c>
      <c r="C850" s="549">
        <f>+EOMONTH(Tabla18[[#This Row],[Fecha Asiento]],-1)+1</f>
        <v>46143</v>
      </c>
      <c r="D850" s="136">
        <v>52405</v>
      </c>
      <c r="E850" s="136" t="s">
        <v>4493</v>
      </c>
      <c r="F850" s="141">
        <v>46147</v>
      </c>
      <c r="G850" s="136">
        <v>2620</v>
      </c>
      <c r="H850" s="136" t="s">
        <v>4893</v>
      </c>
      <c r="I850" s="136" t="s">
        <v>4794</v>
      </c>
      <c r="J850" s="136" t="s">
        <v>4455</v>
      </c>
      <c r="K850" s="136">
        <v>900003209</v>
      </c>
      <c r="L850" s="138">
        <v>0.01</v>
      </c>
      <c r="M850" s="138">
        <v>0</v>
      </c>
      <c r="N850" s="136" t="s">
        <v>4425</v>
      </c>
      <c r="O850" s="136" t="s">
        <v>4426</v>
      </c>
      <c r="P850" s="136" t="s">
        <v>4427</v>
      </c>
      <c r="Q850" s="136" t="s">
        <v>4428</v>
      </c>
      <c r="R850" s="136">
        <v>0</v>
      </c>
      <c r="S850" s="142">
        <f>(Tabla18[[#This Row],[Debe]]-Tabla18[[#This Row],[Haber]])*
SUMIF('0_Indice_CAC'!$A:$A,Tabla18[[#This Row],[Mes]],'0_Indice_CAC'!$D:$D)</f>
        <v>7.9437458588258198E-3</v>
      </c>
      <c r="T850" s="142">
        <f>Tabla18[[#This Row],[Debe]]-Tabla18[[#This Row],[Haber]]</f>
        <v>0.01</v>
      </c>
      <c r="U850" s="322"/>
      <c r="V850" s="323"/>
      <c r="W850" s="142">
        <f t="shared" si="16"/>
        <v>0.01</v>
      </c>
      <c r="X850" s="142" t="b">
        <f>ISNUMBER(MATCH(A850,'3_Control_Ppto'!$A$4:$A$70,0))</f>
        <v>0</v>
      </c>
      <c r="Y850" s="136"/>
    </row>
    <row r="851" spans="1:25" ht="12" customHeight="1" x14ac:dyDescent="0.3">
      <c r="A851" s="140" t="s">
        <v>4271</v>
      </c>
      <c r="B851" s="140" t="s">
        <v>4090</v>
      </c>
      <c r="C851" s="549">
        <f>+EOMONTH(Tabla18[[#This Row],[Fecha Asiento]],-1)+1</f>
        <v>46143</v>
      </c>
      <c r="D851" s="136">
        <v>53017</v>
      </c>
      <c r="E851" s="136" t="s">
        <v>4677</v>
      </c>
      <c r="F851" s="141">
        <v>46147</v>
      </c>
      <c r="G851" s="136">
        <v>2620</v>
      </c>
      <c r="H851" s="136" t="s">
        <v>4801</v>
      </c>
      <c r="I851" s="136" t="s">
        <v>4794</v>
      </c>
      <c r="J851" s="136" t="s">
        <v>4455</v>
      </c>
      <c r="K851" s="136">
        <v>900003209</v>
      </c>
      <c r="L851" s="138">
        <v>385084.5</v>
      </c>
      <c r="M851" s="138">
        <v>0</v>
      </c>
      <c r="N851" s="136" t="s">
        <v>4425</v>
      </c>
      <c r="O851" s="136" t="s">
        <v>4426</v>
      </c>
      <c r="P851" s="136" t="s">
        <v>4427</v>
      </c>
      <c r="Q851" s="136" t="s">
        <v>4428</v>
      </c>
      <c r="R851" s="136">
        <v>0</v>
      </c>
      <c r="S851" s="142">
        <f>(Tabla18[[#This Row],[Debe]]-Tabla18[[#This Row],[Haber]])*
SUMIF('0_Indice_CAC'!$A:$A,Tabla18[[#This Row],[Mes]],'0_Indice_CAC'!$D:$D)</f>
        <v>305901.3402173011</v>
      </c>
      <c r="T851" s="142">
        <f>Tabla18[[#This Row],[Debe]]-Tabla18[[#This Row],[Haber]]</f>
        <v>385084.5</v>
      </c>
      <c r="U851" s="322"/>
      <c r="V851" s="323"/>
      <c r="W851" s="142">
        <f t="shared" si="16"/>
        <v>385084.5</v>
      </c>
      <c r="X851" s="142" t="b">
        <f>ISNUMBER(MATCH(A851,'3_Control_Ppto'!$A$4:$A$70,0))</f>
        <v>1</v>
      </c>
      <c r="Y851" s="136"/>
    </row>
    <row r="852" spans="1:25" ht="12" customHeight="1" x14ac:dyDescent="0.3">
      <c r="A852" s="140"/>
      <c r="B852" s="140"/>
      <c r="C852" s="141"/>
      <c r="F852" s="143"/>
      <c r="G852" s="136"/>
      <c r="L852" s="138"/>
      <c r="N852" s="136"/>
      <c r="S852" s="142"/>
      <c r="T852" s="142"/>
      <c r="U852" s="322"/>
      <c r="V852" s="323"/>
      <c r="W852" s="142"/>
      <c r="X852" s="142"/>
      <c r="Y852" s="136"/>
    </row>
    <row r="853" spans="1:25" ht="12" customHeight="1" x14ac:dyDescent="0.3">
      <c r="A853" s="140"/>
      <c r="B853" s="140"/>
      <c r="C853" s="141"/>
      <c r="F853" s="143"/>
      <c r="G853" s="136"/>
      <c r="L853" s="138"/>
      <c r="N853" s="136"/>
      <c r="S853" s="142"/>
      <c r="T853" s="142"/>
      <c r="U853" s="322"/>
      <c r="V853" s="323"/>
      <c r="W853" s="142"/>
      <c r="X853" s="142"/>
      <c r="Y853" s="136"/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AA26"/>
  <sheetViews>
    <sheetView zoomScaleNormal="100" workbookViewId="0">
      <pane xSplit="2" ySplit="4" topLeftCell="C5" activePane="bottomRight" state="frozen"/>
      <selection pane="topRight" activeCell="C1" sqref="C1"/>
      <selection pane="bottomLeft" activeCell="A6" sqref="A6"/>
      <selection pane="bottomRight"/>
    </sheetView>
  </sheetViews>
  <sheetFormatPr defaultColWidth="8.54296875" defaultRowHeight="13" x14ac:dyDescent="0.3"/>
  <cols>
    <col min="1" max="1" width="32" style="2" customWidth="1"/>
    <col min="2" max="2" width="7" style="2" customWidth="1"/>
    <col min="3" max="23" width="10" style="2" customWidth="1"/>
    <col min="24" max="25" width="16" style="2" customWidth="1"/>
    <col min="26" max="29" width="8.54296875" style="2" customWidth="1"/>
    <col min="30" max="16384" width="8.54296875" style="2"/>
  </cols>
  <sheetData>
    <row r="1" spans="1:27" ht="17.25" customHeight="1" x14ac:dyDescent="0.3">
      <c r="A1" s="16" t="s">
        <v>4894</v>
      </c>
      <c r="B1" s="16"/>
      <c r="C1" s="16"/>
      <c r="D1" s="16"/>
      <c r="E1" s="16"/>
      <c r="F1" s="16"/>
      <c r="G1" s="16"/>
      <c r="H1" s="16"/>
      <c r="I1" s="16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5" customHeight="1" x14ac:dyDescent="0.3">
      <c r="A2" s="1" t="s">
        <v>4895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3">
      <c r="A3" s="173" t="s">
        <v>4896</v>
      </c>
      <c r="B3" s="173" t="s">
        <v>1</v>
      </c>
      <c r="C3" s="174">
        <v>45627</v>
      </c>
      <c r="D3" s="174">
        <v>45658</v>
      </c>
      <c r="E3" s="174">
        <v>45689</v>
      </c>
      <c r="F3" s="174">
        <v>45717</v>
      </c>
      <c r="G3" s="174">
        <v>45748</v>
      </c>
      <c r="H3" s="174">
        <v>45778</v>
      </c>
      <c r="I3" s="174">
        <v>45809</v>
      </c>
      <c r="J3" s="174">
        <v>45839</v>
      </c>
      <c r="K3" s="174">
        <v>45870</v>
      </c>
      <c r="L3" s="174">
        <v>45901</v>
      </c>
      <c r="M3" s="174">
        <v>45931</v>
      </c>
      <c r="N3" s="174">
        <v>45962</v>
      </c>
      <c r="O3" s="174">
        <v>45992</v>
      </c>
      <c r="P3" s="174">
        <v>46023</v>
      </c>
      <c r="Q3" s="174">
        <v>46054</v>
      </c>
      <c r="R3" s="174">
        <v>46082</v>
      </c>
      <c r="S3" s="174">
        <v>46113</v>
      </c>
      <c r="T3" s="174">
        <v>46143</v>
      </c>
      <c r="U3" s="174">
        <v>46174</v>
      </c>
      <c r="V3" s="174">
        <v>46204</v>
      </c>
      <c r="W3" s="174">
        <v>46235</v>
      </c>
      <c r="X3" s="171" t="s">
        <v>4897</v>
      </c>
      <c r="Y3" s="171" t="s">
        <v>4898</v>
      </c>
    </row>
    <row r="4" spans="1:27" ht="15.75" customHeight="1" x14ac:dyDescent="0.3">
      <c r="A4" s="175" t="s">
        <v>4899</v>
      </c>
      <c r="C4" s="176">
        <f>IFERROR(VLOOKUP(C$3,'0_Indice_CAC'!$A:$D,4,FALSE()),0)</f>
        <v>1</v>
      </c>
      <c r="D4" s="176">
        <f>IFERROR(VLOOKUP(D$3,'0_Indice_CAC'!$A:$D,4,FALSE()),0)</f>
        <v>0.98485810485810488</v>
      </c>
      <c r="E4" s="176">
        <f>IFERROR(VLOOKUP(E$3,'0_Indice_CAC'!$A:$D,4,FALSE()),0)</f>
        <v>0.96871136231737776</v>
      </c>
      <c r="F4" s="176">
        <f>IFERROR(VLOOKUP(F$3,'0_Indice_CAC'!$A:$D,4,FALSE()),0)</f>
        <v>0.96005101466671672</v>
      </c>
      <c r="G4" s="176">
        <f>IFERROR(VLOOKUP(G$3,'0_Indice_CAC'!$A:$D,4,FALSE()),0)</f>
        <v>0.94480573414956781</v>
      </c>
      <c r="H4" s="176">
        <f>IFERROR(VLOOKUP(H$3,'0_Indice_CAC'!$A:$D,4,FALSE()),0)</f>
        <v>0.92949102068239187</v>
      </c>
      <c r="I4" s="176">
        <f>IFERROR(VLOOKUP(I$3,'0_Indice_CAC'!$A:$D,4,FALSE()),0)</f>
        <v>0.922672050182054</v>
      </c>
      <c r="J4" s="176">
        <f>IFERROR(VLOOKUP(J$3,'0_Indice_CAC'!$A:$D,4,FALSE()),0)</f>
        <v>0.90654387673780212</v>
      </c>
      <c r="K4" s="176">
        <f>IFERROR(VLOOKUP(K$3,'0_Indice_CAC'!$A:$D,4,FALSE()),0)</f>
        <v>0.89345807442574887</v>
      </c>
      <c r="L4" s="176">
        <f>IFERROR(VLOOKUP(L$3,'0_Indice_CAC'!$A:$D,4,FALSE()),0)</f>
        <v>0.86455019901701924</v>
      </c>
      <c r="M4" s="176">
        <f>IFERROR(VLOOKUP(M$3,'0_Indice_CAC'!$A:$D,4,FALSE()),0)</f>
        <v>0.84502113048071847</v>
      </c>
      <c r="N4" s="176">
        <f>IFERROR(VLOOKUP(N$3,'0_Indice_CAC'!$A:$D,4,FALSE()),0)</f>
        <v>0.82851269766764313</v>
      </c>
      <c r="O4" s="176">
        <f>IFERROR(VLOOKUP(O$3,'0_Indice_CAC'!$A:$D,4,FALSE()),0)</f>
        <v>0.8084915162081262</v>
      </c>
      <c r="P4" s="176">
        <f>IFERROR(VLOOKUP(P$3,'0_Indice_CAC'!$A:$D,4,FALSE()),0)</f>
        <v>0.79437458588258192</v>
      </c>
      <c r="Q4" s="176">
        <f>IFERROR(VLOOKUP(Q$3,'0_Indice_CAC'!$A:$D,4,FALSE()),0)</f>
        <v>0.79437458588258192</v>
      </c>
      <c r="R4" s="176">
        <f>IFERROR(VLOOKUP(R$3,'0_Indice_CAC'!$A:$D,4,FALSE()),0)</f>
        <v>0.79437458588258192</v>
      </c>
      <c r="S4" s="176">
        <f>IFERROR(VLOOKUP(S$3,'0_Indice_CAC'!$A:$D,4,FALSE()),0)</f>
        <v>0.79437458588258192</v>
      </c>
      <c r="T4" s="176">
        <f>IFERROR(VLOOKUP(T$3,'0_Indice_CAC'!$A:$D,4,FALSE()),0)</f>
        <v>0.79437458588258192</v>
      </c>
      <c r="U4" s="176">
        <f>IFERROR(VLOOKUP(U$3,'0_Indice_CAC'!$A:$D,4,FALSE()),0)</f>
        <v>0.79437458588258192</v>
      </c>
      <c r="V4" s="176">
        <f>IFERROR(VLOOKUP(V$3,'0_Indice_CAC'!$A:$D,4,FALSE()),0)</f>
        <v>0</v>
      </c>
      <c r="W4" s="176">
        <f>IFERROR(VLOOKUP(W$3,'0_Indice_CAC'!$A:$D,4,FALSE()),0)</f>
        <v>0</v>
      </c>
    </row>
    <row r="5" spans="1:27" ht="12.75" customHeight="1" x14ac:dyDescent="0.3">
      <c r="A5" s="177" t="s">
        <v>4900</v>
      </c>
      <c r="C5" s="178" t="s">
        <v>4112</v>
      </c>
      <c r="D5" s="178" t="s">
        <v>4112</v>
      </c>
      <c r="E5" s="178" t="s">
        <v>4112</v>
      </c>
      <c r="F5" s="178" t="s">
        <v>4112</v>
      </c>
      <c r="G5" s="178" t="s">
        <v>4112</v>
      </c>
      <c r="H5" s="178" t="s">
        <v>4112</v>
      </c>
      <c r="I5" s="178" t="s">
        <v>4112</v>
      </c>
      <c r="J5" s="178" t="s">
        <v>4112</v>
      </c>
      <c r="K5" s="178" t="s">
        <v>4112</v>
      </c>
      <c r="L5" s="178" t="s">
        <v>4112</v>
      </c>
      <c r="M5" s="178" t="s">
        <v>4112</v>
      </c>
      <c r="N5" s="178" t="s">
        <v>4112</v>
      </c>
      <c r="O5" s="178" t="s">
        <v>4112</v>
      </c>
      <c r="P5" s="178" t="s">
        <v>4112</v>
      </c>
      <c r="Q5" s="178" t="s">
        <v>4112</v>
      </c>
      <c r="R5" s="178" t="s">
        <v>4112</v>
      </c>
      <c r="S5" s="178"/>
      <c r="T5" s="178"/>
      <c r="U5" s="178"/>
      <c r="V5" s="178"/>
      <c r="W5" s="178"/>
      <c r="X5" s="1" t="s">
        <v>4901</v>
      </c>
    </row>
    <row r="6" spans="1:27" ht="15" customHeight="1" x14ac:dyDescent="0.3">
      <c r="A6" s="179" t="s">
        <v>4902</v>
      </c>
      <c r="B6" s="179"/>
      <c r="C6" s="179"/>
      <c r="D6" s="179"/>
      <c r="E6" s="179"/>
      <c r="F6" s="179"/>
      <c r="G6" s="179"/>
      <c r="H6" s="179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79"/>
      <c r="Y6" s="179"/>
    </row>
    <row r="7" spans="1:27" ht="15" customHeight="1" x14ac:dyDescent="0.3">
      <c r="A7" s="4" t="s">
        <v>4338</v>
      </c>
      <c r="B7" s="172" t="s">
        <v>4903</v>
      </c>
      <c r="C7" s="180"/>
      <c r="D7" s="180"/>
      <c r="E7" s="180"/>
      <c r="F7" s="180"/>
      <c r="G7" s="180"/>
      <c r="H7" s="180"/>
      <c r="I7" s="180"/>
      <c r="J7" s="180"/>
      <c r="K7" s="180"/>
      <c r="L7" s="180"/>
      <c r="M7" s="180"/>
      <c r="N7" s="180"/>
      <c r="O7" s="180"/>
      <c r="P7" s="180"/>
      <c r="Q7" s="180"/>
      <c r="R7" s="180"/>
      <c r="S7" s="180"/>
      <c r="T7" s="180"/>
      <c r="U7" s="180"/>
      <c r="V7" s="180"/>
      <c r="W7" s="180"/>
      <c r="X7" s="181">
        <f t="shared" ref="X7:X19" si="0">SUM(C7:W7)</f>
        <v>0</v>
      </c>
      <c r="Y7" s="181">
        <f t="shared" ref="Y7:Y19" si="1">SUMPRODUCT(C7:W7,$C$4:$W$4)</f>
        <v>0</v>
      </c>
    </row>
    <row r="8" spans="1:27" ht="15" customHeight="1" x14ac:dyDescent="0.3">
      <c r="A8" s="4" t="s">
        <v>4340</v>
      </c>
      <c r="B8" s="172" t="s">
        <v>4903</v>
      </c>
      <c r="C8" s="180"/>
      <c r="D8" s="180"/>
      <c r="E8" s="180"/>
      <c r="F8" s="180"/>
      <c r="G8" s="180"/>
      <c r="H8" s="180"/>
      <c r="I8" s="180"/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0"/>
      <c r="U8" s="180"/>
      <c r="V8" s="180"/>
      <c r="W8" s="180"/>
      <c r="X8" s="181">
        <f t="shared" si="0"/>
        <v>0</v>
      </c>
      <c r="Y8" s="181">
        <f t="shared" si="1"/>
        <v>0</v>
      </c>
    </row>
    <row r="9" spans="1:27" ht="15" customHeight="1" x14ac:dyDescent="0.3">
      <c r="A9" s="4" t="s">
        <v>4342</v>
      </c>
      <c r="B9" s="172" t="s">
        <v>4903</v>
      </c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  <c r="Q9" s="180"/>
      <c r="R9" s="180"/>
      <c r="S9" s="180"/>
      <c r="T9" s="180"/>
      <c r="U9" s="180"/>
      <c r="V9" s="180"/>
      <c r="W9" s="180"/>
      <c r="X9" s="181">
        <f t="shared" si="0"/>
        <v>0</v>
      </c>
      <c r="Y9" s="181">
        <f t="shared" si="1"/>
        <v>0</v>
      </c>
    </row>
    <row r="10" spans="1:27" ht="15" customHeight="1" x14ac:dyDescent="0.3">
      <c r="A10" s="4" t="s">
        <v>4345</v>
      </c>
      <c r="B10" s="172" t="s">
        <v>4903</v>
      </c>
      <c r="C10" s="180"/>
      <c r="D10" s="180"/>
      <c r="E10" s="180"/>
      <c r="F10" s="180"/>
      <c r="G10" s="180"/>
      <c r="H10" s="180"/>
      <c r="I10" s="180"/>
      <c r="J10" s="180"/>
      <c r="K10" s="180"/>
      <c r="L10" s="180"/>
      <c r="M10" s="180"/>
      <c r="N10" s="180"/>
      <c r="O10" s="180"/>
      <c r="P10" s="180"/>
      <c r="Q10" s="180"/>
      <c r="R10" s="180"/>
      <c r="S10" s="180"/>
      <c r="T10" s="180"/>
      <c r="U10" s="180"/>
      <c r="V10" s="180"/>
      <c r="W10" s="180"/>
      <c r="X10" s="181">
        <f t="shared" si="0"/>
        <v>0</v>
      </c>
      <c r="Y10" s="181">
        <f t="shared" si="1"/>
        <v>0</v>
      </c>
    </row>
    <row r="11" spans="1:27" ht="15" customHeight="1" x14ac:dyDescent="0.3">
      <c r="A11" s="4" t="s">
        <v>4350</v>
      </c>
      <c r="B11" s="172" t="s">
        <v>4903</v>
      </c>
      <c r="C11" s="180"/>
      <c r="D11" s="180"/>
      <c r="E11" s="180"/>
      <c r="F11" s="180"/>
      <c r="G11" s="180"/>
      <c r="H11" s="180"/>
      <c r="I11" s="180"/>
      <c r="J11" s="180"/>
      <c r="K11" s="180"/>
      <c r="L11" s="180"/>
      <c r="M11" s="180"/>
      <c r="N11" s="180"/>
      <c r="O11" s="180"/>
      <c r="P11" s="180"/>
      <c r="Q11" s="180"/>
      <c r="R11" s="180"/>
      <c r="S11" s="180"/>
      <c r="T11" s="180"/>
      <c r="U11" s="180"/>
      <c r="V11" s="180"/>
      <c r="W11" s="180"/>
      <c r="X11" s="181">
        <f t="shared" si="0"/>
        <v>0</v>
      </c>
      <c r="Y11" s="181">
        <f t="shared" si="1"/>
        <v>0</v>
      </c>
    </row>
    <row r="12" spans="1:27" ht="15" customHeight="1" x14ac:dyDescent="0.3">
      <c r="A12" s="4" t="s">
        <v>4354</v>
      </c>
      <c r="B12" s="172" t="s">
        <v>4903</v>
      </c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1">
        <f t="shared" si="0"/>
        <v>0</v>
      </c>
      <c r="Y12" s="181">
        <f t="shared" si="1"/>
        <v>0</v>
      </c>
    </row>
    <row r="13" spans="1:27" ht="15" customHeight="1" x14ac:dyDescent="0.3">
      <c r="A13" s="4" t="s">
        <v>4356</v>
      </c>
      <c r="B13" s="172" t="s">
        <v>4903</v>
      </c>
      <c r="C13" s="180"/>
      <c r="D13" s="180"/>
      <c r="E13" s="180"/>
      <c r="F13" s="180"/>
      <c r="G13" s="180"/>
      <c r="H13" s="180"/>
      <c r="I13" s="180"/>
      <c r="J13" s="180"/>
      <c r="K13" s="180"/>
      <c r="L13" s="180"/>
      <c r="M13" s="180"/>
      <c r="N13" s="180"/>
      <c r="O13" s="180"/>
      <c r="P13" s="180"/>
      <c r="Q13" s="180"/>
      <c r="R13" s="180"/>
      <c r="S13" s="180"/>
      <c r="T13" s="180"/>
      <c r="U13" s="180"/>
      <c r="V13" s="180"/>
      <c r="W13" s="180"/>
      <c r="X13" s="181">
        <f t="shared" si="0"/>
        <v>0</v>
      </c>
      <c r="Y13" s="181">
        <f t="shared" si="1"/>
        <v>0</v>
      </c>
    </row>
    <row r="14" spans="1:27" ht="15" customHeight="1" x14ac:dyDescent="0.3">
      <c r="A14" s="4" t="s">
        <v>4361</v>
      </c>
      <c r="B14" s="172" t="s">
        <v>4903</v>
      </c>
      <c r="C14" s="180">
        <v>2657587.0430000001</v>
      </c>
      <c r="D14" s="180">
        <v>1482428.33684633</v>
      </c>
      <c r="E14" s="180">
        <v>2402343.6532398998</v>
      </c>
      <c r="F14" s="180">
        <v>1672761</v>
      </c>
      <c r="G14" s="180">
        <v>5758121.6624100003</v>
      </c>
      <c r="H14" s="180">
        <v>1351332.0417291301</v>
      </c>
      <c r="I14" s="180">
        <v>2021235.3150384701</v>
      </c>
      <c r="J14" s="180">
        <v>1916553.9109414001</v>
      </c>
      <c r="K14" s="180">
        <v>1898342.1384411301</v>
      </c>
      <c r="L14" s="180">
        <v>3994139.3627975001</v>
      </c>
      <c r="M14" s="180">
        <v>3276272.8290499998</v>
      </c>
      <c r="N14" s="180">
        <v>2005645.51776</v>
      </c>
      <c r="O14" s="180">
        <v>2870210.2899290998</v>
      </c>
      <c r="P14" s="180">
        <v>1119889.75494646</v>
      </c>
      <c r="Q14" s="180">
        <v>1238690.1498306401</v>
      </c>
      <c r="R14" s="180">
        <v>1313548.9779473001</v>
      </c>
      <c r="S14" s="180"/>
      <c r="T14" s="180"/>
      <c r="U14" s="180"/>
      <c r="V14" s="180"/>
      <c r="W14" s="180"/>
      <c r="X14" s="181">
        <f t="shared" si="0"/>
        <v>36979101.983907364</v>
      </c>
      <c r="Y14" s="181">
        <f t="shared" si="1"/>
        <v>33166449.172131255</v>
      </c>
    </row>
    <row r="15" spans="1:27" ht="15" customHeight="1" x14ac:dyDescent="0.3">
      <c r="A15" s="4" t="s">
        <v>4363</v>
      </c>
      <c r="B15" s="172" t="s">
        <v>4903</v>
      </c>
      <c r="C15" s="180">
        <v>285000</v>
      </c>
      <c r="D15" s="180">
        <v>380000</v>
      </c>
      <c r="E15" s="180">
        <v>400000</v>
      </c>
      <c r="F15" s="180">
        <v>404000</v>
      </c>
      <c r="G15" s="180">
        <v>300000</v>
      </c>
      <c r="H15" s="180">
        <v>400000</v>
      </c>
      <c r="I15" s="180">
        <v>580000</v>
      </c>
      <c r="J15" s="180">
        <v>600000</v>
      </c>
      <c r="K15" s="180">
        <v>1606011</v>
      </c>
      <c r="L15" s="180">
        <v>713070.9</v>
      </c>
      <c r="M15" s="180">
        <v>730897.5</v>
      </c>
      <c r="N15" s="180">
        <v>494000</v>
      </c>
      <c r="O15" s="180">
        <v>755700</v>
      </c>
      <c r="P15" s="180">
        <v>513876</v>
      </c>
      <c r="Q15" s="180">
        <v>523125.6</v>
      </c>
      <c r="R15" s="180">
        <v>523125.6</v>
      </c>
      <c r="S15" s="180"/>
      <c r="T15" s="180"/>
      <c r="U15" s="180"/>
      <c r="V15" s="180"/>
      <c r="W15" s="180"/>
      <c r="X15" s="181">
        <f t="shared" si="0"/>
        <v>9208806.5999999996</v>
      </c>
      <c r="Y15" s="181">
        <f t="shared" si="1"/>
        <v>8097506.1040252801</v>
      </c>
    </row>
    <row r="16" spans="1:27" ht="15" customHeight="1" x14ac:dyDescent="0.3">
      <c r="A16" s="4" t="s">
        <v>4365</v>
      </c>
      <c r="B16" s="172" t="s">
        <v>4903</v>
      </c>
      <c r="C16" s="180"/>
      <c r="D16" s="180"/>
      <c r="E16" s="180"/>
      <c r="F16" s="180"/>
      <c r="G16" s="180"/>
      <c r="H16" s="180"/>
      <c r="I16" s="180"/>
      <c r="J16" s="180"/>
      <c r="K16" s="180"/>
      <c r="L16" s="180"/>
      <c r="M16" s="180"/>
      <c r="N16" s="180"/>
      <c r="O16" s="180"/>
      <c r="P16" s="180"/>
      <c r="Q16" s="180"/>
      <c r="R16" s="180"/>
      <c r="S16" s="180"/>
      <c r="T16" s="180"/>
      <c r="U16" s="180"/>
      <c r="V16" s="180"/>
      <c r="W16" s="180"/>
      <c r="X16" s="181">
        <f t="shared" si="0"/>
        <v>0</v>
      </c>
      <c r="Y16" s="181">
        <f t="shared" si="1"/>
        <v>0</v>
      </c>
    </row>
    <row r="17" spans="1:25" ht="15" customHeight="1" x14ac:dyDescent="0.3">
      <c r="A17" s="4" t="s">
        <v>4367</v>
      </c>
      <c r="B17" s="172" t="s">
        <v>4903</v>
      </c>
      <c r="C17" s="180"/>
      <c r="D17" s="180"/>
      <c r="E17" s="180"/>
      <c r="F17" s="180"/>
      <c r="G17" s="180"/>
      <c r="H17" s="180"/>
      <c r="I17" s="180"/>
      <c r="J17" s="180"/>
      <c r="K17" s="180"/>
      <c r="L17" s="180"/>
      <c r="M17" s="180"/>
      <c r="N17" s="180"/>
      <c r="O17" s="180"/>
      <c r="P17" s="180"/>
      <c r="Q17" s="180"/>
      <c r="R17" s="180"/>
      <c r="S17" s="180"/>
      <c r="T17" s="180"/>
      <c r="U17" s="180"/>
      <c r="V17" s="180"/>
      <c r="W17" s="180"/>
      <c r="X17" s="181">
        <f t="shared" si="0"/>
        <v>0</v>
      </c>
      <c r="Y17" s="181">
        <f t="shared" si="1"/>
        <v>0</v>
      </c>
    </row>
    <row r="18" spans="1:25" ht="15" customHeight="1" x14ac:dyDescent="0.3">
      <c r="A18" s="4" t="s">
        <v>4368</v>
      </c>
      <c r="B18" s="172" t="s">
        <v>4903</v>
      </c>
      <c r="C18" s="180"/>
      <c r="D18" s="180"/>
      <c r="E18" s="180"/>
      <c r="F18" s="180"/>
      <c r="G18" s="180"/>
      <c r="H18" s="180"/>
      <c r="I18" s="180"/>
      <c r="J18" s="180"/>
      <c r="K18" s="180"/>
      <c r="L18" s="180"/>
      <c r="M18" s="180"/>
      <c r="N18" s="180"/>
      <c r="O18" s="180"/>
      <c r="P18" s="180"/>
      <c r="Q18" s="180"/>
      <c r="R18" s="180"/>
      <c r="S18" s="180"/>
      <c r="T18" s="180"/>
      <c r="U18" s="180"/>
      <c r="V18" s="180"/>
      <c r="W18" s="180"/>
      <c r="X18" s="181">
        <f t="shared" si="0"/>
        <v>0</v>
      </c>
      <c r="Y18" s="181">
        <f t="shared" si="1"/>
        <v>0</v>
      </c>
    </row>
    <row r="19" spans="1:25" ht="15" customHeight="1" x14ac:dyDescent="0.3">
      <c r="A19" s="4" t="s">
        <v>4369</v>
      </c>
      <c r="B19" s="172" t="s">
        <v>4903</v>
      </c>
      <c r="C19" s="180">
        <v>232617.752152606</v>
      </c>
      <c r="D19" s="180">
        <v>158507.36156067299</v>
      </c>
      <c r="E19" s="180">
        <v>81157.058917837305</v>
      </c>
      <c r="F19" s="180">
        <v>209694.70014510999</v>
      </c>
      <c r="G19" s="180">
        <v>215525.96553149799</v>
      </c>
      <c r="H19" s="180">
        <v>212177.87449192099</v>
      </c>
      <c r="I19" s="180">
        <v>215572.72048379201</v>
      </c>
      <c r="J19" s="180">
        <v>291545.843242726</v>
      </c>
      <c r="K19" s="180">
        <v>371362.65397877101</v>
      </c>
      <c r="L19" s="180">
        <v>379161.26971232501</v>
      </c>
      <c r="M19" s="180">
        <v>387881.97891570802</v>
      </c>
      <c r="N19" s="180">
        <v>397579.02838860097</v>
      </c>
      <c r="O19" s="180">
        <v>408711.24118348199</v>
      </c>
      <c r="P19" s="180">
        <v>420563.86717780301</v>
      </c>
      <c r="Q19" s="180">
        <v>432760.21932595898</v>
      </c>
      <c r="R19" s="180">
        <v>447474.06678304198</v>
      </c>
      <c r="S19" s="180"/>
      <c r="T19" s="180"/>
      <c r="U19" s="180"/>
      <c r="V19" s="180"/>
      <c r="W19" s="180"/>
      <c r="X19" s="181">
        <f t="shared" si="0"/>
        <v>4862293.6019918546</v>
      </c>
      <c r="Y19" s="181">
        <f t="shared" si="1"/>
        <v>4213239.2267873632</v>
      </c>
    </row>
    <row r="20" spans="1:25" ht="15" customHeight="1" x14ac:dyDescent="0.3">
      <c r="A20" s="182" t="s">
        <v>4904</v>
      </c>
      <c r="C20" s="183">
        <f t="shared" ref="C20:Y20" si="2">SUM(C7:C19)</f>
        <v>3175204.795152606</v>
      </c>
      <c r="D20" s="183">
        <f t="shared" si="2"/>
        <v>2020935.698407003</v>
      </c>
      <c r="E20" s="183">
        <f t="shared" si="2"/>
        <v>2883500.712157737</v>
      </c>
      <c r="F20" s="183">
        <f t="shared" si="2"/>
        <v>2286455.70014511</v>
      </c>
      <c r="G20" s="183">
        <f t="shared" si="2"/>
        <v>6273647.6279414985</v>
      </c>
      <c r="H20" s="183">
        <f t="shared" si="2"/>
        <v>1963509.916221051</v>
      </c>
      <c r="I20" s="183">
        <f t="shared" si="2"/>
        <v>2816808.0355222621</v>
      </c>
      <c r="J20" s="183">
        <f t="shared" si="2"/>
        <v>2808099.7541841259</v>
      </c>
      <c r="K20" s="183">
        <f t="shared" si="2"/>
        <v>3875715.7924199011</v>
      </c>
      <c r="L20" s="183">
        <f t="shared" si="2"/>
        <v>5086371.5325098252</v>
      </c>
      <c r="M20" s="183">
        <f t="shared" si="2"/>
        <v>4395052.307965708</v>
      </c>
      <c r="N20" s="183">
        <f t="shared" si="2"/>
        <v>2897224.546148601</v>
      </c>
      <c r="O20" s="183">
        <f t="shared" si="2"/>
        <v>4034621.531112582</v>
      </c>
      <c r="P20" s="183">
        <f t="shared" si="2"/>
        <v>2054329.6221242631</v>
      </c>
      <c r="Q20" s="183">
        <f t="shared" si="2"/>
        <v>2194575.9691565987</v>
      </c>
      <c r="R20" s="183">
        <f t="shared" si="2"/>
        <v>2284148.6447303421</v>
      </c>
      <c r="S20" s="183">
        <f t="shared" si="2"/>
        <v>0</v>
      </c>
      <c r="T20" s="183">
        <f t="shared" si="2"/>
        <v>0</v>
      </c>
      <c r="U20" s="183">
        <f t="shared" si="2"/>
        <v>0</v>
      </c>
      <c r="V20" s="183">
        <f t="shared" si="2"/>
        <v>0</v>
      </c>
      <c r="W20" s="183">
        <f t="shared" si="2"/>
        <v>0</v>
      </c>
      <c r="X20" s="184">
        <f t="shared" si="2"/>
        <v>51050202.18589922</v>
      </c>
      <c r="Y20" s="184">
        <f t="shared" si="2"/>
        <v>45477194.502943903</v>
      </c>
    </row>
    <row r="22" spans="1:25" ht="15" customHeight="1" x14ac:dyDescent="0.3">
      <c r="A22" s="185" t="s">
        <v>4905</v>
      </c>
      <c r="B22" s="185"/>
      <c r="C22" s="185"/>
      <c r="D22" s="185"/>
      <c r="E22" s="185"/>
      <c r="F22" s="185"/>
      <c r="G22" s="185"/>
      <c r="H22" s="185"/>
      <c r="I22" s="185"/>
      <c r="J22" s="185"/>
      <c r="K22" s="185"/>
      <c r="L22" s="185"/>
      <c r="M22" s="185"/>
      <c r="N22" s="185"/>
      <c r="O22" s="185"/>
      <c r="P22" s="185"/>
      <c r="Q22" s="185"/>
      <c r="R22" s="185"/>
      <c r="S22" s="185"/>
      <c r="T22" s="185"/>
      <c r="U22" s="185"/>
      <c r="V22" s="185"/>
      <c r="W22" s="185"/>
      <c r="X22" s="185"/>
      <c r="Y22" s="185"/>
    </row>
    <row r="23" spans="1:25" ht="15" customHeight="1" x14ac:dyDescent="0.3">
      <c r="A23" s="4" t="s">
        <v>4906</v>
      </c>
      <c r="B23" s="172" t="s">
        <v>4907</v>
      </c>
      <c r="C23" s="180">
        <v>639132.78099999996</v>
      </c>
      <c r="D23" s="180">
        <v>1284241.8496825299</v>
      </c>
      <c r="E23" s="180">
        <v>322781.63960555103</v>
      </c>
      <c r="F23" s="180">
        <v>648051</v>
      </c>
      <c r="G23" s="180">
        <v>651253.32128970895</v>
      </c>
      <c r="H23" s="180">
        <v>651253.32128970895</v>
      </c>
      <c r="I23" s="180">
        <v>651253.32128970895</v>
      </c>
      <c r="J23" s="180">
        <v>1302506.64257942</v>
      </c>
      <c r="K23" s="180">
        <v>677659.83783266705</v>
      </c>
      <c r="L23" s="180">
        <v>1016489.7567490001</v>
      </c>
      <c r="M23" s="180">
        <v>1355319.6</v>
      </c>
      <c r="N23" s="180">
        <v>1543849.2</v>
      </c>
      <c r="O23" s="180">
        <v>2315773.9500000002</v>
      </c>
      <c r="P23" s="180">
        <v>1875000</v>
      </c>
      <c r="Q23" s="180">
        <v>1875000.15</v>
      </c>
      <c r="R23" s="180">
        <v>1562500.125</v>
      </c>
      <c r="S23" s="180"/>
      <c r="T23" s="180"/>
      <c r="U23" s="180"/>
      <c r="V23" s="180"/>
      <c r="W23" s="180"/>
      <c r="X23" s="181">
        <f>SUM(C23:W23)</f>
        <v>18372066.496318292</v>
      </c>
      <c r="Y23" s="181">
        <f>SUMPRODUCT(C23:W23,$C$4:$W$4)</f>
        <v>15842125.921592154</v>
      </c>
    </row>
    <row r="24" spans="1:25" ht="15" customHeight="1" x14ac:dyDescent="0.3">
      <c r="A24" s="4" t="s">
        <v>4908</v>
      </c>
      <c r="B24" s="172" t="s">
        <v>4907</v>
      </c>
      <c r="C24" s="180"/>
      <c r="D24" s="180"/>
      <c r="E24" s="180"/>
      <c r="F24" s="180">
        <v>80615.33</v>
      </c>
      <c r="G24" s="180">
        <v>0</v>
      </c>
      <c r="H24" s="180">
        <v>0</v>
      </c>
      <c r="I24" s="180">
        <v>0</v>
      </c>
      <c r="J24" s="180">
        <v>0</v>
      </c>
      <c r="K24" s="180">
        <v>0</v>
      </c>
      <c r="L24" s="180">
        <v>0</v>
      </c>
      <c r="M24" s="180">
        <v>0</v>
      </c>
      <c r="N24" s="180"/>
      <c r="O24" s="180"/>
      <c r="P24" s="180"/>
      <c r="Q24" s="180"/>
      <c r="R24" s="180"/>
      <c r="S24" s="180"/>
      <c r="T24" s="180"/>
      <c r="U24" s="180"/>
      <c r="V24" s="180"/>
      <c r="W24" s="180"/>
      <c r="X24" s="181">
        <f>SUM(C24:W24)</f>
        <v>80615.33</v>
      </c>
      <c r="Y24" s="181">
        <f>SUMPRODUCT(C24:W24,$C$4:$W$4)</f>
        <v>77394.829364192206</v>
      </c>
    </row>
    <row r="25" spans="1:25" ht="15" customHeight="1" x14ac:dyDescent="0.3">
      <c r="A25" s="4" t="s">
        <v>4909</v>
      </c>
      <c r="B25" s="172" t="s">
        <v>4907</v>
      </c>
      <c r="C25" s="180"/>
      <c r="D25" s="180">
        <v>541548.429147535</v>
      </c>
      <c r="E25" s="180">
        <v>1083683.2620000001</v>
      </c>
      <c r="F25" s="180">
        <v>1985521</v>
      </c>
      <c r="G25" s="180">
        <v>1517775.9897</v>
      </c>
      <c r="H25" s="180">
        <v>1149002.87972988</v>
      </c>
      <c r="I25" s="180">
        <v>2298005.75945976</v>
      </c>
      <c r="J25" s="180">
        <v>2872507.1993247001</v>
      </c>
      <c r="K25" s="180">
        <v>1557715.5045</v>
      </c>
      <c r="L25" s="180">
        <v>2058987.81467958</v>
      </c>
      <c r="M25" s="180">
        <v>2058987.81467958</v>
      </c>
      <c r="N25" s="180">
        <v>1448633.1549</v>
      </c>
      <c r="O25" s="180">
        <v>2034382.4605809399</v>
      </c>
      <c r="P25" s="180">
        <v>1609073.8068855701</v>
      </c>
      <c r="Q25" s="180">
        <v>1663872.2154952099</v>
      </c>
      <c r="R25" s="180">
        <v>1663872.2154952099</v>
      </c>
      <c r="S25" s="180"/>
      <c r="T25" s="180"/>
      <c r="U25" s="180"/>
      <c r="V25" s="180"/>
      <c r="W25" s="180"/>
      <c r="X25" s="181">
        <f>SUM(C25:W25)</f>
        <v>25543569.506577969</v>
      </c>
      <c r="Y25" s="181">
        <f>SUMPRODUCT(C25:W25,$C$4:$W$4)</f>
        <v>22394091.812282674</v>
      </c>
    </row>
    <row r="26" spans="1:25" ht="15" customHeight="1" x14ac:dyDescent="0.3">
      <c r="A26" s="186" t="s">
        <v>4910</v>
      </c>
      <c r="C26" s="187">
        <f t="shared" ref="C26:Y26" si="3">SUM(C23:C25)</f>
        <v>639132.78099999996</v>
      </c>
      <c r="D26" s="187">
        <f t="shared" si="3"/>
        <v>1825790.2788300649</v>
      </c>
      <c r="E26" s="187">
        <f t="shared" si="3"/>
        <v>1406464.9016055511</v>
      </c>
      <c r="F26" s="187">
        <f t="shared" si="3"/>
        <v>2714187.33</v>
      </c>
      <c r="G26" s="187">
        <f t="shared" si="3"/>
        <v>2169029.3109897091</v>
      </c>
      <c r="H26" s="187">
        <f t="shared" si="3"/>
        <v>1800256.2010195889</v>
      </c>
      <c r="I26" s="187">
        <f t="shared" si="3"/>
        <v>2949259.0807494689</v>
      </c>
      <c r="J26" s="187">
        <f t="shared" si="3"/>
        <v>4175013.8419041201</v>
      </c>
      <c r="K26" s="187">
        <f t="shared" si="3"/>
        <v>2235375.3423326672</v>
      </c>
      <c r="L26" s="187">
        <f t="shared" si="3"/>
        <v>3075477.5714285802</v>
      </c>
      <c r="M26" s="187">
        <f t="shared" si="3"/>
        <v>3414307.4146795804</v>
      </c>
      <c r="N26" s="187">
        <f t="shared" si="3"/>
        <v>2992482.3548999997</v>
      </c>
      <c r="O26" s="187">
        <f t="shared" si="3"/>
        <v>4350156.4105809405</v>
      </c>
      <c r="P26" s="187">
        <f t="shared" si="3"/>
        <v>3484073.8068855703</v>
      </c>
      <c r="Q26" s="187">
        <f t="shared" si="3"/>
        <v>3538872.3654952096</v>
      </c>
      <c r="R26" s="187">
        <f t="shared" si="3"/>
        <v>3226372.3404952101</v>
      </c>
      <c r="S26" s="187">
        <f t="shared" si="3"/>
        <v>0</v>
      </c>
      <c r="T26" s="187">
        <f t="shared" si="3"/>
        <v>0</v>
      </c>
      <c r="U26" s="187">
        <f t="shared" si="3"/>
        <v>0</v>
      </c>
      <c r="V26" s="187">
        <f t="shared" si="3"/>
        <v>0</v>
      </c>
      <c r="W26" s="187">
        <f t="shared" si="3"/>
        <v>0</v>
      </c>
      <c r="X26" s="188">
        <f t="shared" si="3"/>
        <v>43996251.332896262</v>
      </c>
      <c r="Y26" s="188">
        <f t="shared" si="3"/>
        <v>38313612.563239023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P95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265625" defaultRowHeight="13" x14ac:dyDescent="0.3"/>
  <cols>
    <col min="1" max="1" width="9.81640625" style="17" customWidth="1"/>
    <col min="2" max="2" width="8.1796875" style="17" customWidth="1"/>
    <col min="3" max="3" width="16.453125" style="2" customWidth="1"/>
    <col min="4" max="4" width="13.90625" style="144" customWidth="1"/>
    <col min="5" max="5" width="11.6328125" style="2" customWidth="1"/>
    <col min="6" max="9" width="10.1796875" style="2" customWidth="1"/>
    <col min="10" max="10" width="2.08984375" style="2" customWidth="1"/>
    <col min="11" max="11" width="13" style="17" customWidth="1"/>
    <col min="12" max="15" width="13" style="2" customWidth="1"/>
    <col min="16" max="19" width="8.7265625" style="2" customWidth="1"/>
    <col min="20" max="16384" width="8.7265625" style="2"/>
  </cols>
  <sheetData>
    <row r="1" spans="1:16" ht="12.75" customHeight="1" x14ac:dyDescent="0.3">
      <c r="A1" s="16" t="s">
        <v>4911</v>
      </c>
      <c r="B1" s="16"/>
      <c r="C1" s="16"/>
      <c r="D1" s="16"/>
      <c r="E1" s="16"/>
      <c r="F1" s="16"/>
      <c r="G1" s="16"/>
      <c r="H1" s="16"/>
      <c r="I1" s="16"/>
      <c r="J1" s="145"/>
      <c r="K1" s="2"/>
    </row>
    <row r="2" spans="1:16" ht="12.75" customHeight="1" x14ac:dyDescent="0.3">
      <c r="A2" s="321"/>
      <c r="B2" s="321"/>
      <c r="C2" s="321"/>
      <c r="D2" s="321"/>
      <c r="E2" s="321"/>
      <c r="F2" s="321"/>
      <c r="G2" s="321"/>
      <c r="H2" s="321"/>
      <c r="I2" s="321"/>
      <c r="J2" s="145"/>
      <c r="K2" s="2"/>
    </row>
    <row r="3" spans="1:16" s="147" customFormat="1" ht="27" customHeight="1" x14ac:dyDescent="0.35">
      <c r="A3" s="254" t="s">
        <v>4329</v>
      </c>
      <c r="B3" s="254" t="s">
        <v>4912</v>
      </c>
      <c r="C3" s="254" t="s">
        <v>3964</v>
      </c>
      <c r="D3" s="254" t="s">
        <v>4913</v>
      </c>
      <c r="E3" s="254" t="s">
        <v>4399</v>
      </c>
      <c r="F3" s="254" t="s">
        <v>4914</v>
      </c>
      <c r="G3" s="254" t="s">
        <v>4915</v>
      </c>
      <c r="H3" s="254" t="s">
        <v>4916</v>
      </c>
      <c r="I3" s="254" t="s">
        <v>4917</v>
      </c>
      <c r="J3" s="146"/>
      <c r="K3" s="319" t="s">
        <v>4918</v>
      </c>
      <c r="L3" s="320" t="s">
        <v>4919</v>
      </c>
      <c r="M3" s="320" t="s">
        <v>4920</v>
      </c>
      <c r="N3" s="320" t="s">
        <v>4921</v>
      </c>
      <c r="O3" s="320" t="s">
        <v>4898</v>
      </c>
    </row>
    <row r="4" spans="1:16" ht="12.75" customHeight="1" x14ac:dyDescent="0.3">
      <c r="A4" s="148">
        <v>45992</v>
      </c>
      <c r="B4" s="149" t="s">
        <v>4922</v>
      </c>
      <c r="C4" s="150" t="s">
        <v>4923</v>
      </c>
      <c r="D4" s="151" t="s">
        <v>414</v>
      </c>
      <c r="E4" s="150" t="s">
        <v>106</v>
      </c>
      <c r="F4" s="152">
        <f t="shared" ref="F4:F35" si="0">G4+H4+I4</f>
        <v>80</v>
      </c>
      <c r="G4" s="153">
        <v>68</v>
      </c>
      <c r="H4" s="153">
        <v>10</v>
      </c>
      <c r="I4" s="153">
        <v>2</v>
      </c>
      <c r="J4" s="154"/>
      <c r="K4" s="155">
        <f>IFERROR(G4*INDEX('0_Jornales_MO'!$G$4:$J$21,MATCH(A4,'0_Jornales_MO'!$A$4:$A$21,0),MATCH(D4,{"ESPECIALIZADO","OFICIAL","MEDIO OFICIAL","AYUDANTE"},0)),"-")</f>
        <v>691527.65298773593</v>
      </c>
      <c r="L4" s="156">
        <f>IFERROR(H4*INDEX('0_Jornales_MO'!$G$4:$J$21,MATCH(A4,'0_Jornales_MO'!$A$4:$A$21,0),MATCH(D4,{"ESPECIALIZADO","OFICIAL","MEDIO OFICIAL","AYUDANTE"},0))*1.5,"-")</f>
        <v>152542.86462964761</v>
      </c>
      <c r="M4" s="156">
        <f>IFERROR(I4*INDEX('0_Jornales_MO'!$G$4:$J$21,MATCH(A4,'0_Jornales_MO'!$A$4:$A$21,0),MATCH(D4,{"ESPECIALIZADO","OFICIAL","MEDIO OFICIAL","AYUDANTE"},0))*2,"-")</f>
        <v>40678.097234572699</v>
      </c>
      <c r="N4" s="157">
        <f t="shared" ref="N4:N35" si="1">IFERROR(SUM(K4:M4),"-")</f>
        <v>884748.61485195626</v>
      </c>
      <c r="O4" s="157">
        <f>IFERROR($N4 * SUMIF('0_Indice_CAC'!$A:$A,$A4,'0_Indice_CAC'!$D:$D),"-")</f>
        <v>715311.74908469757</v>
      </c>
      <c r="P4" s="155"/>
    </row>
    <row r="5" spans="1:16" ht="12.75" customHeight="1" x14ac:dyDescent="0.3">
      <c r="A5" s="158">
        <v>45992</v>
      </c>
      <c r="B5" s="159" t="s">
        <v>4922</v>
      </c>
      <c r="C5" s="160" t="s">
        <v>4923</v>
      </c>
      <c r="D5" s="161" t="s">
        <v>414</v>
      </c>
      <c r="E5" s="160" t="s">
        <v>3219</v>
      </c>
      <c r="F5" s="162">
        <f t="shared" si="0"/>
        <v>101</v>
      </c>
      <c r="G5" s="163">
        <v>88</v>
      </c>
      <c r="H5" s="163">
        <v>9</v>
      </c>
      <c r="I5" s="163">
        <v>4</v>
      </c>
      <c r="J5" s="154"/>
      <c r="K5" s="155">
        <f>IFERROR(G5*INDEX('0_Jornales_MO'!$G$4:$J$21,MATCH(A5,'0_Jornales_MO'!$A$4:$A$21,0),MATCH(D5,{"ESPECIALIZADO","OFICIAL","MEDIO OFICIAL","AYUDANTE"},0)),"-")</f>
        <v>894918.13916059933</v>
      </c>
      <c r="L5" s="156">
        <f>IFERROR(H5*INDEX('0_Jornales_MO'!$G$4:$J$21,MATCH(A5,'0_Jornales_MO'!$A$4:$A$21,0),MATCH(D5,{"ESPECIALIZADO","OFICIAL","MEDIO OFICIAL","AYUDANTE"},0))*1.5,"-")</f>
        <v>137288.57816668286</v>
      </c>
      <c r="M5" s="156">
        <f>IFERROR(I5*INDEX('0_Jornales_MO'!$G$4:$J$21,MATCH(A5,'0_Jornales_MO'!$A$4:$A$21,0),MATCH(D5,{"ESPECIALIZADO","OFICIAL","MEDIO OFICIAL","AYUDANTE"},0))*2,"-")</f>
        <v>81356.194469145397</v>
      </c>
      <c r="N5" s="157">
        <f t="shared" si="1"/>
        <v>1113562.9117964276</v>
      </c>
      <c r="O5" s="157">
        <f>IFERROR($N5 * SUMIF('0_Indice_CAC'!$A:$A,$A5,'0_Indice_CAC'!$D:$D),"-")</f>
        <v>900306.16695142968</v>
      </c>
    </row>
    <row r="6" spans="1:16" ht="12.75" customHeight="1" x14ac:dyDescent="0.3">
      <c r="A6" s="164">
        <v>45992</v>
      </c>
      <c r="B6" s="165" t="s">
        <v>4922</v>
      </c>
      <c r="C6" s="166" t="s">
        <v>4923</v>
      </c>
      <c r="D6" s="167" t="s">
        <v>59</v>
      </c>
      <c r="E6" s="166" t="s">
        <v>106</v>
      </c>
      <c r="F6" s="168">
        <f t="shared" si="0"/>
        <v>401</v>
      </c>
      <c r="G6" s="169">
        <v>336</v>
      </c>
      <c r="H6" s="169">
        <v>57</v>
      </c>
      <c r="I6" s="169">
        <v>8</v>
      </c>
      <c r="J6" s="154"/>
      <c r="K6" s="155">
        <f>IFERROR(G6*INDEX('0_Jornales_MO'!$G$4:$J$21,MATCH(A6,'0_Jornales_MO'!$A$4:$A$21,0),MATCH(D6,{"ESPECIALIZADO","OFICIAL","MEDIO OFICIAL","AYUDANTE"},0)),"-")</f>
        <v>3201691.8784891064</v>
      </c>
      <c r="L6" s="156">
        <f>IFERROR(H6*INDEX('0_Jornales_MO'!$G$4:$J$21,MATCH(A6,'0_Jornales_MO'!$A$4:$A$21,0),MATCH(D6,{"ESPECIALIZADO","OFICIAL","MEDIO OFICIAL","AYUDANTE"},0))*1.5,"-")</f>
        <v>814716.23693696014</v>
      </c>
      <c r="M6" s="156">
        <f>IFERROR(I6*INDEX('0_Jornales_MO'!$G$4:$J$21,MATCH(A6,'0_Jornales_MO'!$A$4:$A$21,0),MATCH(D6,{"ESPECIALIZADO","OFICIAL","MEDIO OFICIAL","AYUDANTE"},0))*2,"-")</f>
        <v>152461.51802329079</v>
      </c>
      <c r="N6" s="157">
        <f t="shared" si="1"/>
        <v>4168869.633449357</v>
      </c>
      <c r="O6" s="157">
        <f>IFERROR($N6 * SUMIF('0_Indice_CAC'!$A:$A,$A6,'0_Indice_CAC'!$D:$D),"-")</f>
        <v>3370495.7308214861</v>
      </c>
    </row>
    <row r="7" spans="1:16" ht="12.75" customHeight="1" x14ac:dyDescent="0.3">
      <c r="A7" s="158">
        <v>45992</v>
      </c>
      <c r="B7" s="159" t="s">
        <v>4922</v>
      </c>
      <c r="C7" s="160" t="s">
        <v>4923</v>
      </c>
      <c r="D7" s="161" t="s">
        <v>64</v>
      </c>
      <c r="E7" s="160" t="s">
        <v>106</v>
      </c>
      <c r="F7" s="162">
        <f t="shared" si="0"/>
        <v>96</v>
      </c>
      <c r="G7" s="163">
        <v>84</v>
      </c>
      <c r="H7" s="163">
        <v>10</v>
      </c>
      <c r="I7" s="163">
        <v>2</v>
      </c>
      <c r="J7" s="154"/>
      <c r="K7" s="155">
        <f>IFERROR(G7*INDEX('0_Jornales_MO'!$G$4:$J$21,MATCH(A7,'0_Jornales_MO'!$A$4:$A$21,0),MATCH(D7,{"ESPECIALIZADO","OFICIAL","MEDIO OFICIAL","AYUDANTE"},0)),"-")</f>
        <v>1195584.4095210226</v>
      </c>
      <c r="L7" s="156">
        <f>IFERROR(H7*INDEX('0_Jornales_MO'!$G$4:$J$21,MATCH(A7,'0_Jornales_MO'!$A$4:$A$21,0),MATCH(D7,{"ESPECIALIZADO","OFICIAL","MEDIO OFICIAL","AYUDANTE"},0))*1.5,"-")</f>
        <v>213497.21598589685</v>
      </c>
      <c r="M7" s="156">
        <f>IFERROR(I7*INDEX('0_Jornales_MO'!$G$4:$J$21,MATCH(A7,'0_Jornales_MO'!$A$4:$A$21,0),MATCH(D7,{"ESPECIALIZADO","OFICIAL","MEDIO OFICIAL","AYUDANTE"},0))*2,"-")</f>
        <v>56932.5909295725</v>
      </c>
      <c r="N7" s="157">
        <f t="shared" si="1"/>
        <v>1466014.2164364918</v>
      </c>
      <c r="O7" s="157">
        <f>IFERROR($N7 * SUMIF('0_Indice_CAC'!$A:$A,$A7,'0_Indice_CAC'!$D:$D),"-")</f>
        <v>1185260.0566294075</v>
      </c>
    </row>
    <row r="8" spans="1:16" ht="12.75" customHeight="1" x14ac:dyDescent="0.3">
      <c r="A8" s="164">
        <v>45992</v>
      </c>
      <c r="B8" s="165" t="s">
        <v>4922</v>
      </c>
      <c r="C8" s="166" t="s">
        <v>4923</v>
      </c>
      <c r="D8" s="167" t="s">
        <v>498</v>
      </c>
      <c r="E8" s="166" t="s">
        <v>106</v>
      </c>
      <c r="F8" s="168">
        <f t="shared" si="0"/>
        <v>231</v>
      </c>
      <c r="G8" s="169">
        <v>200</v>
      </c>
      <c r="H8" s="169">
        <v>27</v>
      </c>
      <c r="I8" s="169">
        <v>4</v>
      </c>
      <c r="J8" s="154"/>
      <c r="K8" s="155">
        <f>IFERROR(G8*INDEX('0_Jornales_MO'!$G$4:$J$21,MATCH(A8,'0_Jornales_MO'!$A$4:$A$21,0),MATCH(D8,{"ESPECIALIZADO","OFICIAL","MEDIO OFICIAL","AYUDANTE"},0)),"-")</f>
        <v>2379923.17646159</v>
      </c>
      <c r="L8" s="156">
        <f>IFERROR(H8*INDEX('0_Jornales_MO'!$G$4:$J$21,MATCH(A8,'0_Jornales_MO'!$A$4:$A$21,0),MATCH(D8,{"ESPECIALIZADO","OFICIAL","MEDIO OFICIAL","AYUDANTE"},0))*1.5,"-")</f>
        <v>481934.44323347195</v>
      </c>
      <c r="M8" s="156">
        <f>IFERROR(I8*INDEX('0_Jornales_MO'!$G$4:$J$21,MATCH(A8,'0_Jornales_MO'!$A$4:$A$21,0),MATCH(D8,{"ESPECIALIZADO","OFICIAL","MEDIO OFICIAL","AYUDANTE"},0))*2,"-")</f>
        <v>95196.927058463596</v>
      </c>
      <c r="N8" s="157">
        <f t="shared" si="1"/>
        <v>2957054.5467535253</v>
      </c>
      <c r="O8" s="157">
        <f>IFERROR($N8 * SUMIF('0_Indice_CAC'!$A:$A,$A8,'0_Indice_CAC'!$D:$D),"-")</f>
        <v>2390753.5140148909</v>
      </c>
    </row>
    <row r="9" spans="1:16" ht="12.75" customHeight="1" x14ac:dyDescent="0.3">
      <c r="A9" s="158">
        <v>45992</v>
      </c>
      <c r="B9" s="159" t="s">
        <v>4922</v>
      </c>
      <c r="C9" s="160" t="s">
        <v>4923</v>
      </c>
      <c r="D9" s="161" t="s">
        <v>498</v>
      </c>
      <c r="E9" s="160" t="s">
        <v>3219</v>
      </c>
      <c r="F9" s="162">
        <f t="shared" si="0"/>
        <v>96</v>
      </c>
      <c r="G9" s="163">
        <v>84</v>
      </c>
      <c r="H9" s="163">
        <v>10</v>
      </c>
      <c r="I9" s="163">
        <v>2</v>
      </c>
      <c r="J9" s="154"/>
      <c r="K9" s="155">
        <f>IFERROR(G9*INDEX('0_Jornales_MO'!$G$4:$J$21,MATCH(A9,'0_Jornales_MO'!$A$4:$A$21,0),MATCH(D9,{"ESPECIALIZADO","OFICIAL","MEDIO OFICIAL","AYUDANTE"},0)),"-")</f>
        <v>999567.73411386774</v>
      </c>
      <c r="L9" s="156">
        <f>IFERROR(H9*INDEX('0_Jornales_MO'!$G$4:$J$21,MATCH(A9,'0_Jornales_MO'!$A$4:$A$21,0),MATCH(D9,{"ESPECIALIZADO","OFICIAL","MEDIO OFICIAL","AYUDANTE"},0))*1.5,"-")</f>
        <v>178494.23823461923</v>
      </c>
      <c r="M9" s="156">
        <f>IFERROR(I9*INDEX('0_Jornales_MO'!$G$4:$J$21,MATCH(A9,'0_Jornales_MO'!$A$4:$A$21,0),MATCH(D9,{"ESPECIALIZADO","OFICIAL","MEDIO OFICIAL","AYUDANTE"},0))*2,"-")</f>
        <v>47598.463529231798</v>
      </c>
      <c r="N9" s="157">
        <f t="shared" si="1"/>
        <v>1225660.4358777187</v>
      </c>
      <c r="O9" s="157">
        <f>IFERROR($N9 * SUMIF('0_Indice_CAC'!$A:$A,$A9,'0_Indice_CAC'!$D:$D),"-")</f>
        <v>990936.0641590897</v>
      </c>
    </row>
    <row r="10" spans="1:16" ht="12.75" customHeight="1" x14ac:dyDescent="0.3">
      <c r="A10" s="164">
        <v>45992</v>
      </c>
      <c r="B10" s="165" t="s">
        <v>4922</v>
      </c>
      <c r="C10" s="166" t="s">
        <v>4923</v>
      </c>
      <c r="D10" s="167" t="s">
        <v>498</v>
      </c>
      <c r="E10" s="166" t="s">
        <v>4271</v>
      </c>
      <c r="F10" s="168">
        <f t="shared" si="0"/>
        <v>96</v>
      </c>
      <c r="G10" s="169">
        <v>96</v>
      </c>
      <c r="H10" s="169">
        <v>0</v>
      </c>
      <c r="I10" s="169">
        <v>0</v>
      </c>
      <c r="J10" s="154"/>
      <c r="K10" s="155">
        <f>IFERROR(G10*INDEX('0_Jornales_MO'!$G$4:$J$21,MATCH(A10,'0_Jornales_MO'!$A$4:$A$21,0),MATCH(D10,{"ESPECIALIZADO","OFICIAL","MEDIO OFICIAL","AYUDANTE"},0)),"-")</f>
        <v>1142363.1247015633</v>
      </c>
      <c r="L10" s="156">
        <f>IFERROR(H10*INDEX('0_Jornales_MO'!$G$4:$J$21,MATCH(A10,'0_Jornales_MO'!$A$4:$A$21,0),MATCH(D10,{"ESPECIALIZADO","OFICIAL","MEDIO OFICIAL","AYUDANTE"},0))*1.5,"-")</f>
        <v>0</v>
      </c>
      <c r="M10" s="156">
        <f>IFERROR(I10*INDEX('0_Jornales_MO'!$G$4:$J$21,MATCH(A10,'0_Jornales_MO'!$A$4:$A$21,0),MATCH(D10,{"ESPECIALIZADO","OFICIAL","MEDIO OFICIAL","AYUDANTE"},0))*2,"-")</f>
        <v>0</v>
      </c>
      <c r="N10" s="157">
        <f t="shared" si="1"/>
        <v>1142363.1247015633</v>
      </c>
      <c r="O10" s="157">
        <f>IFERROR($N10 * SUMIF('0_Indice_CAC'!$A:$A,$A10,'0_Indice_CAC'!$D:$D),"-")</f>
        <v>923590.89475021965</v>
      </c>
    </row>
    <row r="11" spans="1:16" ht="12.75" customHeight="1" x14ac:dyDescent="0.3">
      <c r="A11" s="158">
        <v>45992</v>
      </c>
      <c r="B11" s="159" t="s">
        <v>4924</v>
      </c>
      <c r="C11" s="160" t="s">
        <v>4923</v>
      </c>
      <c r="D11" s="161" t="s">
        <v>414</v>
      </c>
      <c r="E11" s="160" t="s">
        <v>106</v>
      </c>
      <c r="F11" s="162">
        <f t="shared" si="0"/>
        <v>94</v>
      </c>
      <c r="G11" s="163">
        <v>88</v>
      </c>
      <c r="H11" s="163">
        <v>6</v>
      </c>
      <c r="I11" s="163">
        <v>0</v>
      </c>
      <c r="J11" s="154"/>
      <c r="K11" s="155">
        <f>IFERROR(G11*INDEX('0_Jornales_MO'!$G$4:$J$21,MATCH(A11,'0_Jornales_MO'!$A$4:$A$21,0),MATCH(D11,{"ESPECIALIZADO","OFICIAL","MEDIO OFICIAL","AYUDANTE"},0)),"-")</f>
        <v>894918.13916059933</v>
      </c>
      <c r="L11" s="156">
        <f>IFERROR(H11*INDEX('0_Jornales_MO'!$G$4:$J$21,MATCH(A11,'0_Jornales_MO'!$A$4:$A$21,0),MATCH(D11,{"ESPECIALIZADO","OFICIAL","MEDIO OFICIAL","AYUDANTE"},0))*1.5,"-")</f>
        <v>91525.71877778857</v>
      </c>
      <c r="M11" s="156">
        <f>IFERROR(I11*INDEX('0_Jornales_MO'!$G$4:$J$21,MATCH(A11,'0_Jornales_MO'!$A$4:$A$21,0),MATCH(D11,{"ESPECIALIZADO","OFICIAL","MEDIO OFICIAL","AYUDANTE"},0))*2,"-")</f>
        <v>0</v>
      </c>
      <c r="N11" s="157">
        <f t="shared" si="1"/>
        <v>986443.8579383879</v>
      </c>
      <c r="O11" s="157">
        <f>IFERROR($N11 * SUMIF('0_Indice_CAC'!$A:$A,$A11,'0_Indice_CAC'!$D:$D),"-")</f>
        <v>797531.49035880063</v>
      </c>
    </row>
    <row r="12" spans="1:16" ht="12.75" customHeight="1" x14ac:dyDescent="0.3">
      <c r="A12" s="164">
        <v>45992</v>
      </c>
      <c r="B12" s="165" t="s">
        <v>4924</v>
      </c>
      <c r="C12" s="166" t="s">
        <v>4923</v>
      </c>
      <c r="D12" s="167" t="s">
        <v>414</v>
      </c>
      <c r="E12" s="166" t="s">
        <v>3219</v>
      </c>
      <c r="F12" s="168">
        <f t="shared" si="0"/>
        <v>61</v>
      </c>
      <c r="G12" s="169">
        <v>56</v>
      </c>
      <c r="H12" s="169">
        <v>5</v>
      </c>
      <c r="I12" s="169">
        <v>0</v>
      </c>
      <c r="J12" s="154"/>
      <c r="K12" s="155">
        <f>IFERROR(G12*INDEX('0_Jornales_MO'!$G$4:$J$21,MATCH(A12,'0_Jornales_MO'!$A$4:$A$21,0),MATCH(D12,{"ESPECIALIZADO","OFICIAL","MEDIO OFICIAL","AYUDANTE"},0)),"-")</f>
        <v>569493.3612840178</v>
      </c>
      <c r="L12" s="156">
        <f>IFERROR(H12*INDEX('0_Jornales_MO'!$G$4:$J$21,MATCH(A12,'0_Jornales_MO'!$A$4:$A$21,0),MATCH(D12,{"ESPECIALIZADO","OFICIAL","MEDIO OFICIAL","AYUDANTE"},0))*1.5,"-")</f>
        <v>76271.432314823804</v>
      </c>
      <c r="M12" s="156">
        <f>IFERROR(I12*INDEX('0_Jornales_MO'!$G$4:$J$21,MATCH(A12,'0_Jornales_MO'!$A$4:$A$21,0),MATCH(D12,{"ESPECIALIZADO","OFICIAL","MEDIO OFICIAL","AYUDANTE"},0))*2,"-")</f>
        <v>0</v>
      </c>
      <c r="N12" s="157">
        <f t="shared" si="1"/>
        <v>645764.79359884164</v>
      </c>
      <c r="O12" s="157">
        <f>IFERROR($N12 * SUMIF('0_Indice_CAC'!$A:$A,$A12,'0_Indice_CAC'!$D:$D),"-")</f>
        <v>522095.35709055513</v>
      </c>
    </row>
    <row r="13" spans="1:16" ht="12.75" customHeight="1" x14ac:dyDescent="0.3">
      <c r="A13" s="158">
        <v>45992</v>
      </c>
      <c r="B13" s="159" t="s">
        <v>4924</v>
      </c>
      <c r="C13" s="160" t="s">
        <v>4923</v>
      </c>
      <c r="D13" s="161" t="s">
        <v>59</v>
      </c>
      <c r="E13" s="160" t="s">
        <v>106</v>
      </c>
      <c r="F13" s="162">
        <f t="shared" si="0"/>
        <v>412</v>
      </c>
      <c r="G13" s="163">
        <v>384</v>
      </c>
      <c r="H13" s="163">
        <v>28</v>
      </c>
      <c r="I13" s="163">
        <v>0</v>
      </c>
      <c r="J13" s="154"/>
      <c r="K13" s="155">
        <f>IFERROR(G13*INDEX('0_Jornales_MO'!$G$4:$J$21,MATCH(A13,'0_Jornales_MO'!$A$4:$A$21,0),MATCH(D13,{"ESPECIALIZADO","OFICIAL","MEDIO OFICIAL","AYUDANTE"},0)),"-")</f>
        <v>3659076.4325589789</v>
      </c>
      <c r="L13" s="156">
        <f>IFERROR(H13*INDEX('0_Jornales_MO'!$G$4:$J$21,MATCH(A13,'0_Jornales_MO'!$A$4:$A$21,0),MATCH(D13,{"ESPECIALIZADO","OFICIAL","MEDIO OFICIAL","AYUDANTE"},0))*1.5,"-")</f>
        <v>400211.48481113836</v>
      </c>
      <c r="M13" s="156">
        <f>IFERROR(I13*INDEX('0_Jornales_MO'!$G$4:$J$21,MATCH(A13,'0_Jornales_MO'!$A$4:$A$21,0),MATCH(D13,{"ESPECIALIZADO","OFICIAL","MEDIO OFICIAL","AYUDANTE"},0))*2,"-")</f>
        <v>0</v>
      </c>
      <c r="N13" s="157">
        <f t="shared" si="1"/>
        <v>4059287.9173701173</v>
      </c>
      <c r="O13" s="157">
        <f>IFERROR($N13 * SUMIF('0_Indice_CAC'!$A:$A,$A13,'0_Indice_CAC'!$D:$D),"-")</f>
        <v>3281899.8430398931</v>
      </c>
    </row>
    <row r="14" spans="1:16" ht="12.75" customHeight="1" x14ac:dyDescent="0.3">
      <c r="A14" s="164">
        <v>45992</v>
      </c>
      <c r="B14" s="165" t="s">
        <v>4924</v>
      </c>
      <c r="C14" s="166" t="s">
        <v>4923</v>
      </c>
      <c r="D14" s="167" t="s">
        <v>64</v>
      </c>
      <c r="E14" s="166" t="s">
        <v>106</v>
      </c>
      <c r="F14" s="168">
        <f t="shared" si="0"/>
        <v>103</v>
      </c>
      <c r="G14" s="169">
        <v>96</v>
      </c>
      <c r="H14" s="169">
        <v>7</v>
      </c>
      <c r="I14" s="169">
        <v>0</v>
      </c>
      <c r="J14" s="154"/>
      <c r="K14" s="155">
        <f>IFERROR(G14*INDEX('0_Jornales_MO'!$G$4:$J$21,MATCH(A14,'0_Jornales_MO'!$A$4:$A$21,0),MATCH(D14,{"ESPECIALIZADO","OFICIAL","MEDIO OFICIAL","AYUDANTE"},0)),"-")</f>
        <v>1366382.18230974</v>
      </c>
      <c r="L14" s="156">
        <f>IFERROR(H14*INDEX('0_Jornales_MO'!$G$4:$J$21,MATCH(A14,'0_Jornales_MO'!$A$4:$A$21,0),MATCH(D14,{"ESPECIALIZADO","OFICIAL","MEDIO OFICIAL","AYUDANTE"},0))*1.5,"-")</f>
        <v>149448.05119012782</v>
      </c>
      <c r="M14" s="156">
        <f>IFERROR(I14*INDEX('0_Jornales_MO'!$G$4:$J$21,MATCH(A14,'0_Jornales_MO'!$A$4:$A$21,0),MATCH(D14,{"ESPECIALIZADO","OFICIAL","MEDIO OFICIAL","AYUDANTE"},0))*2,"-")</f>
        <v>0</v>
      </c>
      <c r="N14" s="157">
        <f t="shared" si="1"/>
        <v>1515830.2334998678</v>
      </c>
      <c r="O14" s="157">
        <f>IFERROR($N14 * SUMIF('0_Indice_CAC'!$A:$A,$A14,'0_Indice_CAC'!$D:$D),"-")</f>
        <v>1225535.8837964262</v>
      </c>
    </row>
    <row r="15" spans="1:16" ht="12.75" customHeight="1" x14ac:dyDescent="0.3">
      <c r="A15" s="158">
        <v>45992</v>
      </c>
      <c r="B15" s="159" t="s">
        <v>4924</v>
      </c>
      <c r="C15" s="160" t="s">
        <v>4923</v>
      </c>
      <c r="D15" s="161" t="s">
        <v>498</v>
      </c>
      <c r="E15" s="160" t="s">
        <v>106</v>
      </c>
      <c r="F15" s="162">
        <f t="shared" si="0"/>
        <v>301</v>
      </c>
      <c r="G15" s="163">
        <v>280</v>
      </c>
      <c r="H15" s="163">
        <v>21</v>
      </c>
      <c r="I15" s="163">
        <v>0</v>
      </c>
      <c r="J15" s="154"/>
      <c r="K15" s="155">
        <f>IFERROR(G15*INDEX('0_Jornales_MO'!$G$4:$J$21,MATCH(A15,'0_Jornales_MO'!$A$4:$A$21,0),MATCH(D15,{"ESPECIALIZADO","OFICIAL","MEDIO OFICIAL","AYUDANTE"},0)),"-")</f>
        <v>3331892.4470462259</v>
      </c>
      <c r="L15" s="156">
        <f>IFERROR(H15*INDEX('0_Jornales_MO'!$G$4:$J$21,MATCH(A15,'0_Jornales_MO'!$A$4:$A$21,0),MATCH(D15,{"ESPECIALIZADO","OFICIAL","MEDIO OFICIAL","AYUDANTE"},0))*1.5,"-")</f>
        <v>374837.90029270039</v>
      </c>
      <c r="M15" s="156">
        <f>IFERROR(I15*INDEX('0_Jornales_MO'!$G$4:$J$21,MATCH(A15,'0_Jornales_MO'!$A$4:$A$21,0),MATCH(D15,{"ESPECIALIZADO","OFICIAL","MEDIO OFICIAL","AYUDANTE"},0))*2,"-")</f>
        <v>0</v>
      </c>
      <c r="N15" s="157">
        <f t="shared" si="1"/>
        <v>3706730.347338926</v>
      </c>
      <c r="O15" s="157">
        <f>IFERROR($N15 * SUMIF('0_Indice_CAC'!$A:$A,$A15,'0_Indice_CAC'!$D:$D),"-")</f>
        <v>2996860.0386947226</v>
      </c>
    </row>
    <row r="16" spans="1:16" ht="12.75" customHeight="1" x14ac:dyDescent="0.3">
      <c r="A16" s="164">
        <v>45992</v>
      </c>
      <c r="B16" s="165" t="s">
        <v>4924</v>
      </c>
      <c r="C16" s="166" t="s">
        <v>4923</v>
      </c>
      <c r="D16" s="167" t="s">
        <v>498</v>
      </c>
      <c r="E16" s="166" t="s">
        <v>3219</v>
      </c>
      <c r="F16" s="168">
        <f t="shared" si="0"/>
        <v>69</v>
      </c>
      <c r="G16" s="169">
        <v>64</v>
      </c>
      <c r="H16" s="169">
        <v>5</v>
      </c>
      <c r="I16" s="169">
        <v>0</v>
      </c>
      <c r="J16" s="154"/>
      <c r="K16" s="155">
        <f>IFERROR(G16*INDEX('0_Jornales_MO'!$G$4:$J$21,MATCH(A16,'0_Jornales_MO'!$A$4:$A$21,0),MATCH(D16,{"ESPECIALIZADO","OFICIAL","MEDIO OFICIAL","AYUDANTE"},0)),"-")</f>
        <v>761575.41646770877</v>
      </c>
      <c r="L16" s="156">
        <f>IFERROR(H16*INDEX('0_Jornales_MO'!$G$4:$J$21,MATCH(A16,'0_Jornales_MO'!$A$4:$A$21,0),MATCH(D16,{"ESPECIALIZADO","OFICIAL","MEDIO OFICIAL","AYUDANTE"},0))*1.5,"-")</f>
        <v>89247.119117309616</v>
      </c>
      <c r="M16" s="156">
        <f>IFERROR(I16*INDEX('0_Jornales_MO'!$G$4:$J$21,MATCH(A16,'0_Jornales_MO'!$A$4:$A$21,0),MATCH(D16,{"ESPECIALIZADO","OFICIAL","MEDIO OFICIAL","AYUDANTE"},0))*2,"-")</f>
        <v>0</v>
      </c>
      <c r="N16" s="157">
        <f t="shared" si="1"/>
        <v>850822.53558501834</v>
      </c>
      <c r="O16" s="157">
        <f>IFERROR($N16 * SUMIF('0_Indice_CAC'!$A:$A,$A16,'0_Indice_CAC'!$D:$D),"-")</f>
        <v>687882.80181917385</v>
      </c>
    </row>
    <row r="17" spans="1:15" ht="12.75" customHeight="1" x14ac:dyDescent="0.3">
      <c r="A17" s="158">
        <v>45992</v>
      </c>
      <c r="B17" s="159" t="s">
        <v>4924</v>
      </c>
      <c r="C17" s="160" t="s">
        <v>4923</v>
      </c>
      <c r="D17" s="161" t="s">
        <v>498</v>
      </c>
      <c r="E17" s="160" t="s">
        <v>4271</v>
      </c>
      <c r="F17" s="162">
        <f t="shared" si="0"/>
        <v>184</v>
      </c>
      <c r="G17" s="163">
        <v>184</v>
      </c>
      <c r="H17" s="163">
        <v>0</v>
      </c>
      <c r="I17" s="163">
        <v>0</v>
      </c>
      <c r="J17" s="154"/>
      <c r="K17" s="155">
        <f>IFERROR(G17*INDEX('0_Jornales_MO'!$G$4:$J$21,MATCH(A17,'0_Jornales_MO'!$A$4:$A$21,0),MATCH(D17,{"ESPECIALIZADO","OFICIAL","MEDIO OFICIAL","AYUDANTE"},0)),"-")</f>
        <v>2189529.3223446626</v>
      </c>
      <c r="L17" s="156">
        <f>IFERROR(H17*INDEX('0_Jornales_MO'!$G$4:$J$21,MATCH(A17,'0_Jornales_MO'!$A$4:$A$21,0),MATCH(D17,{"ESPECIALIZADO","OFICIAL","MEDIO OFICIAL","AYUDANTE"},0))*1.5,"-")</f>
        <v>0</v>
      </c>
      <c r="M17" s="156">
        <f>IFERROR(I17*INDEX('0_Jornales_MO'!$G$4:$J$21,MATCH(A17,'0_Jornales_MO'!$A$4:$A$21,0),MATCH(D17,{"ESPECIALIZADO","OFICIAL","MEDIO OFICIAL","AYUDANTE"},0))*2,"-")</f>
        <v>0</v>
      </c>
      <c r="N17" s="157">
        <f t="shared" si="1"/>
        <v>2189529.3223446626</v>
      </c>
      <c r="O17" s="157">
        <f>IFERROR($N17 * SUMIF('0_Indice_CAC'!$A:$A,$A17,'0_Indice_CAC'!$D:$D),"-")</f>
        <v>1770215.8816045874</v>
      </c>
    </row>
    <row r="18" spans="1:15" ht="12.75" customHeight="1" x14ac:dyDescent="0.3">
      <c r="A18" s="164">
        <v>46023</v>
      </c>
      <c r="B18" s="165" t="s">
        <v>4922</v>
      </c>
      <c r="C18" s="166" t="s">
        <v>4923</v>
      </c>
      <c r="D18" s="167" t="s">
        <v>414</v>
      </c>
      <c r="E18" s="166" t="s">
        <v>106</v>
      </c>
      <c r="F18" s="168">
        <f t="shared" si="0"/>
        <v>166</v>
      </c>
      <c r="G18" s="169">
        <v>152</v>
      </c>
      <c r="H18" s="169">
        <v>14</v>
      </c>
      <c r="I18" s="169">
        <v>0</v>
      </c>
      <c r="J18" s="154"/>
      <c r="K18" s="155">
        <f>IFERROR(G18*INDEX('0_Jornales_MO'!$G$4:$J$21,MATCH(A18,'0_Jornales_MO'!$A$4:$A$21,0),MATCH(D18,{"ESPECIALIZADO","OFICIAL","MEDIO OFICIAL","AYUDANTE"},0)),"-")</f>
        <v>1588683.8676312626</v>
      </c>
      <c r="L18" s="156">
        <f>IFERROR(H18*INDEX('0_Jornales_MO'!$G$4:$J$21,MATCH(A18,'0_Jornales_MO'!$A$4:$A$21,0),MATCH(D18,{"ESPECIALIZADO","OFICIAL","MEDIO OFICIAL","AYUDANTE"},0))*1.5,"-")</f>
        <v>219489.2185543192</v>
      </c>
      <c r="M18" s="156">
        <f>IFERROR(I18*INDEX('0_Jornales_MO'!$G$4:$J$21,MATCH(A18,'0_Jornales_MO'!$A$4:$A$21,0),MATCH(D18,{"ESPECIALIZADO","OFICIAL","MEDIO OFICIAL","AYUDANTE"},0))*2,"-")</f>
        <v>0</v>
      </c>
      <c r="N18" s="157">
        <f t="shared" si="1"/>
        <v>1808173.0861855817</v>
      </c>
      <c r="O18" s="157">
        <f>IFERROR($N18 * SUMIF('0_Indice_CAC'!$A:$A,$A18,'0_Indice_CAC'!$D:$D),"-")</f>
        <v>1436366.7465427015</v>
      </c>
    </row>
    <row r="19" spans="1:15" ht="12.75" customHeight="1" x14ac:dyDescent="0.3">
      <c r="A19" s="158">
        <v>46023</v>
      </c>
      <c r="B19" s="159" t="s">
        <v>4922</v>
      </c>
      <c r="C19" s="160" t="s">
        <v>4923</v>
      </c>
      <c r="D19" s="161" t="s">
        <v>414</v>
      </c>
      <c r="E19" s="160" t="s">
        <v>3219</v>
      </c>
      <c r="F19" s="162">
        <f t="shared" si="0"/>
        <v>96</v>
      </c>
      <c r="G19" s="163">
        <v>88</v>
      </c>
      <c r="H19" s="163">
        <v>8</v>
      </c>
      <c r="I19" s="163">
        <v>0</v>
      </c>
      <c r="J19" s="154"/>
      <c r="K19" s="155">
        <f>IFERROR(G19*INDEX('0_Jornales_MO'!$G$4:$J$21,MATCH(A19,'0_Jornales_MO'!$A$4:$A$21,0),MATCH(D19,{"ESPECIALIZADO","OFICIAL","MEDIO OFICIAL","AYUDANTE"},0)),"-")</f>
        <v>919764.3444180995</v>
      </c>
      <c r="L19" s="156">
        <f>IFERROR(H19*INDEX('0_Jornales_MO'!$G$4:$J$21,MATCH(A19,'0_Jornales_MO'!$A$4:$A$21,0),MATCH(D19,{"ESPECIALIZADO","OFICIAL","MEDIO OFICIAL","AYUDANTE"},0))*1.5,"-")</f>
        <v>125422.41060246811</v>
      </c>
      <c r="M19" s="156">
        <f>IFERROR(I19*INDEX('0_Jornales_MO'!$G$4:$J$21,MATCH(A19,'0_Jornales_MO'!$A$4:$A$21,0),MATCH(D19,{"ESPECIALIZADO","OFICIAL","MEDIO OFICIAL","AYUDANTE"},0))*2,"-")</f>
        <v>0</v>
      </c>
      <c r="N19" s="157">
        <f t="shared" si="1"/>
        <v>1045186.7550205676</v>
      </c>
      <c r="O19" s="157">
        <f>IFERROR($N19 * SUMIF('0_Indice_CAC'!$A:$A,$A19,'0_Indice_CAC'!$D:$D),"-")</f>
        <v>830269.79568942299</v>
      </c>
    </row>
    <row r="20" spans="1:15" ht="12.75" customHeight="1" x14ac:dyDescent="0.3">
      <c r="A20" s="164">
        <v>46023</v>
      </c>
      <c r="B20" s="165" t="s">
        <v>4922</v>
      </c>
      <c r="C20" s="166" t="s">
        <v>4923</v>
      </c>
      <c r="D20" s="167" t="s">
        <v>59</v>
      </c>
      <c r="E20" s="166" t="s">
        <v>106</v>
      </c>
      <c r="F20" s="168">
        <f t="shared" si="0"/>
        <v>385</v>
      </c>
      <c r="G20" s="169">
        <v>348</v>
      </c>
      <c r="H20" s="169">
        <v>31</v>
      </c>
      <c r="I20" s="169">
        <v>6</v>
      </c>
      <c r="J20" s="154"/>
      <c r="K20" s="155">
        <f>IFERROR(G20*INDEX('0_Jornales_MO'!$G$4:$J$21,MATCH(A20,'0_Jornales_MO'!$A$4:$A$21,0),MATCH(D20,{"ESPECIALIZADO","OFICIAL","MEDIO OFICIAL","AYUDANTE"},0)),"-")</f>
        <v>3405660.3170665749</v>
      </c>
      <c r="L20" s="156">
        <f>IFERROR(H20*INDEX('0_Jornales_MO'!$G$4:$J$21,MATCH(A20,'0_Jornales_MO'!$A$4:$A$21,0),MATCH(D20,{"ESPECIALIZADO","OFICIAL","MEDIO OFICIAL","AYUDANTE"},0))*1.5,"-")</f>
        <v>455066.68029768893</v>
      </c>
      <c r="M20" s="156">
        <f>IFERROR(I20*INDEX('0_Jornales_MO'!$G$4:$J$21,MATCH(A20,'0_Jornales_MO'!$A$4:$A$21,0),MATCH(D20,{"ESPECIALIZADO","OFICIAL","MEDIO OFICIAL","AYUDANTE"},0))*2,"-")</f>
        <v>117436.56265746809</v>
      </c>
      <c r="N20" s="157">
        <f t="shared" si="1"/>
        <v>3978163.560021732</v>
      </c>
      <c r="O20" s="157">
        <f>IFERROR($N20 * SUMIF('0_Indice_CAC'!$A:$A,$A20,'0_Indice_CAC'!$D:$D),"-")</f>
        <v>3160152.0305654411</v>
      </c>
    </row>
    <row r="21" spans="1:15" ht="12.75" customHeight="1" x14ac:dyDescent="0.3">
      <c r="A21" s="158">
        <v>46023</v>
      </c>
      <c r="B21" s="159" t="s">
        <v>4922</v>
      </c>
      <c r="C21" s="160" t="s">
        <v>4923</v>
      </c>
      <c r="D21" s="161" t="s">
        <v>64</v>
      </c>
      <c r="E21" s="160" t="s">
        <v>106</v>
      </c>
      <c r="F21" s="162">
        <f t="shared" si="0"/>
        <v>180</v>
      </c>
      <c r="G21" s="163">
        <v>164</v>
      </c>
      <c r="H21" s="163">
        <v>14</v>
      </c>
      <c r="I21" s="163">
        <v>2</v>
      </c>
      <c r="J21" s="154"/>
      <c r="K21" s="155">
        <f>IFERROR(G21*INDEX('0_Jornales_MO'!$G$4:$J$21,MATCH(A21,'0_Jornales_MO'!$A$4:$A$21,0),MATCH(D21,{"ESPECIALIZADO","OFICIAL","MEDIO OFICIAL","AYUDANTE"},0)),"-")</f>
        <v>2407779.4741712227</v>
      </c>
      <c r="L21" s="156">
        <f>IFERROR(H21*INDEX('0_Jornales_MO'!$G$4:$J$21,MATCH(A21,'0_Jornales_MO'!$A$4:$A$21,0),MATCH(D21,{"ESPECIALIZADO","OFICIAL","MEDIO OFICIAL","AYUDANTE"},0))*1.5,"-")</f>
        <v>308313.2253511931</v>
      </c>
      <c r="M21" s="156">
        <f>IFERROR(I21*INDEX('0_Jornales_MO'!$G$4:$J$21,MATCH(A21,'0_Jornales_MO'!$A$4:$A$21,0),MATCH(D21,{"ESPECIALIZADO","OFICIAL","MEDIO OFICIAL","AYUDANTE"},0))*2,"-")</f>
        <v>58726.328638322499</v>
      </c>
      <c r="N21" s="157">
        <f t="shared" si="1"/>
        <v>2774819.0281607383</v>
      </c>
      <c r="O21" s="157">
        <f>IFERROR($N21 * SUMIF('0_Indice_CAC'!$A:$A,$A21,'0_Indice_CAC'!$D:$D),"-")</f>
        <v>2204245.716394295</v>
      </c>
    </row>
    <row r="22" spans="1:15" ht="12.75" customHeight="1" x14ac:dyDescent="0.3">
      <c r="A22" s="164">
        <v>46023</v>
      </c>
      <c r="B22" s="165" t="s">
        <v>4922</v>
      </c>
      <c r="C22" s="166" t="s">
        <v>4923</v>
      </c>
      <c r="D22" s="167" t="s">
        <v>498</v>
      </c>
      <c r="E22" s="166" t="s">
        <v>106</v>
      </c>
      <c r="F22" s="168">
        <f t="shared" si="0"/>
        <v>268</v>
      </c>
      <c r="G22" s="169">
        <v>244</v>
      </c>
      <c r="H22" s="169">
        <v>22</v>
      </c>
      <c r="I22" s="169">
        <v>2</v>
      </c>
      <c r="J22" s="154"/>
      <c r="K22" s="155">
        <f>IFERROR(G22*INDEX('0_Jornales_MO'!$G$4:$J$21,MATCH(A22,'0_Jornales_MO'!$A$4:$A$21,0),MATCH(D22,{"ESPECIALIZADO","OFICIAL","MEDIO OFICIAL","AYUDANTE"},0)),"-")</f>
        <v>2984936.4809326846</v>
      </c>
      <c r="L22" s="156">
        <f>IFERROR(H22*INDEX('0_Jornales_MO'!$G$4:$J$21,MATCH(A22,'0_Jornales_MO'!$A$4:$A$21,0),MATCH(D22,{"ESPECIALIZADO","OFICIAL","MEDIO OFICIAL","AYUDANTE"},0))*1.5,"-")</f>
        <v>403700.42569991224</v>
      </c>
      <c r="M22" s="156">
        <f>IFERROR(I22*INDEX('0_Jornales_MO'!$G$4:$J$21,MATCH(A22,'0_Jornales_MO'!$A$4:$A$21,0),MATCH(D22,{"ESPECIALIZADO","OFICIAL","MEDIO OFICIAL","AYUDANTE"},0))*2,"-")</f>
        <v>48933.384933322697</v>
      </c>
      <c r="N22" s="157">
        <f t="shared" si="1"/>
        <v>3437570.2915659193</v>
      </c>
      <c r="O22" s="157">
        <f>IFERROR($N22 * SUMIF('0_Indice_CAC'!$A:$A,$A22,'0_Indice_CAC'!$D:$D),"-")</f>
        <v>2730718.4768049438</v>
      </c>
    </row>
    <row r="23" spans="1:15" ht="12.75" customHeight="1" x14ac:dyDescent="0.3">
      <c r="A23" s="158">
        <v>46023</v>
      </c>
      <c r="B23" s="159" t="s">
        <v>4922</v>
      </c>
      <c r="C23" s="160" t="s">
        <v>4923</v>
      </c>
      <c r="D23" s="161" t="s">
        <v>498</v>
      </c>
      <c r="E23" s="160" t="s">
        <v>3219</v>
      </c>
      <c r="F23" s="162">
        <f t="shared" si="0"/>
        <v>96</v>
      </c>
      <c r="G23" s="163">
        <v>88</v>
      </c>
      <c r="H23" s="163">
        <v>8</v>
      </c>
      <c r="I23" s="163">
        <v>0</v>
      </c>
      <c r="J23" s="154"/>
      <c r="K23" s="155">
        <f>IFERROR(G23*INDEX('0_Jornales_MO'!$G$4:$J$21,MATCH(A23,'0_Jornales_MO'!$A$4:$A$21,0),MATCH(D23,{"ESPECIALIZADO","OFICIAL","MEDIO OFICIAL","AYUDANTE"},0)),"-")</f>
        <v>1076534.4685330994</v>
      </c>
      <c r="L23" s="156">
        <f>IFERROR(H23*INDEX('0_Jornales_MO'!$G$4:$J$21,MATCH(A23,'0_Jornales_MO'!$A$4:$A$21,0),MATCH(D23,{"ESPECIALIZADO","OFICIAL","MEDIO OFICIAL","AYUDANTE"},0))*1.5,"-")</f>
        <v>146800.15479996809</v>
      </c>
      <c r="M23" s="156">
        <f>IFERROR(I23*INDEX('0_Jornales_MO'!$G$4:$J$21,MATCH(A23,'0_Jornales_MO'!$A$4:$A$21,0),MATCH(D23,{"ESPECIALIZADO","OFICIAL","MEDIO OFICIAL","AYUDANTE"},0))*2,"-")</f>
        <v>0</v>
      </c>
      <c r="N23" s="157">
        <f t="shared" si="1"/>
        <v>1223334.6233330674</v>
      </c>
      <c r="O23" s="157">
        <f>IFERROR($N23 * SUMIF('0_Indice_CAC'!$A:$A,$A23,'0_Indice_CAC'!$D:$D),"-")</f>
        <v>971785.93480602978</v>
      </c>
    </row>
    <row r="24" spans="1:15" ht="12.75" customHeight="1" x14ac:dyDescent="0.3">
      <c r="A24" s="164">
        <v>46023</v>
      </c>
      <c r="B24" s="165" t="s">
        <v>4922</v>
      </c>
      <c r="C24" s="166" t="s">
        <v>4923</v>
      </c>
      <c r="D24" s="167" t="s">
        <v>498</v>
      </c>
      <c r="E24" s="166" t="s">
        <v>4271</v>
      </c>
      <c r="F24" s="168">
        <f t="shared" si="0"/>
        <v>176</v>
      </c>
      <c r="G24" s="169">
        <v>176</v>
      </c>
      <c r="H24" s="169">
        <v>0</v>
      </c>
      <c r="I24" s="169">
        <v>0</v>
      </c>
      <c r="J24" s="154"/>
      <c r="K24" s="155">
        <f>IFERROR(G24*INDEX('0_Jornales_MO'!$G$4:$J$21,MATCH(A24,'0_Jornales_MO'!$A$4:$A$21,0),MATCH(D24,{"ESPECIALIZADO","OFICIAL","MEDIO OFICIAL","AYUDANTE"},0)),"-")</f>
        <v>2153068.9370661988</v>
      </c>
      <c r="L24" s="156">
        <f>IFERROR(H24*INDEX('0_Jornales_MO'!$G$4:$J$21,MATCH(A24,'0_Jornales_MO'!$A$4:$A$21,0),MATCH(D24,{"ESPECIALIZADO","OFICIAL","MEDIO OFICIAL","AYUDANTE"},0))*1.5,"-")</f>
        <v>0</v>
      </c>
      <c r="M24" s="156">
        <f>IFERROR(I24*INDEX('0_Jornales_MO'!$G$4:$J$21,MATCH(A24,'0_Jornales_MO'!$A$4:$A$21,0),MATCH(D24,{"ESPECIALIZADO","OFICIAL","MEDIO OFICIAL","AYUDANTE"},0))*2,"-")</f>
        <v>0</v>
      </c>
      <c r="N24" s="157">
        <f t="shared" si="1"/>
        <v>2153068.9370661988</v>
      </c>
      <c r="O24" s="157">
        <f>IFERROR($N24 * SUMIF('0_Indice_CAC'!$A:$A,$A24,'0_Indice_CAC'!$D:$D),"-")</f>
        <v>1710343.2452586126</v>
      </c>
    </row>
    <row r="25" spans="1:15" ht="12.75" customHeight="1" x14ac:dyDescent="0.3">
      <c r="A25" s="158">
        <v>46023</v>
      </c>
      <c r="B25" s="159" t="s">
        <v>4924</v>
      </c>
      <c r="C25" s="160" t="s">
        <v>4923</v>
      </c>
      <c r="D25" s="161" t="s">
        <v>414</v>
      </c>
      <c r="E25" s="160" t="s">
        <v>106</v>
      </c>
      <c r="F25" s="162">
        <f t="shared" si="0"/>
        <v>143</v>
      </c>
      <c r="G25" s="163">
        <v>128</v>
      </c>
      <c r="H25" s="163">
        <v>11</v>
      </c>
      <c r="I25" s="163">
        <v>4</v>
      </c>
      <c r="J25" s="154"/>
      <c r="K25" s="155">
        <f>IFERROR(G25*INDEX('0_Jornales_MO'!$G$4:$J$21,MATCH(A25,'0_Jornales_MO'!$A$4:$A$21,0),MATCH(D25,{"ESPECIALIZADO","OFICIAL","MEDIO OFICIAL","AYUDANTE"},0)),"-")</f>
        <v>1337839.0464263265</v>
      </c>
      <c r="L25" s="156">
        <f>IFERROR(H25*INDEX('0_Jornales_MO'!$G$4:$J$21,MATCH(A25,'0_Jornales_MO'!$A$4:$A$21,0),MATCH(D25,{"ESPECIALIZADO","OFICIAL","MEDIO OFICIAL","AYUDANTE"},0))*1.5,"-")</f>
        <v>172455.81457839365</v>
      </c>
      <c r="M25" s="156">
        <f>IFERROR(I25*INDEX('0_Jornales_MO'!$G$4:$J$21,MATCH(A25,'0_Jornales_MO'!$A$4:$A$21,0),MATCH(D25,{"ESPECIALIZADO","OFICIAL","MEDIO OFICIAL","AYUDANTE"},0))*2,"-")</f>
        <v>83614.940401645406</v>
      </c>
      <c r="N25" s="157">
        <f t="shared" si="1"/>
        <v>1593909.8014063656</v>
      </c>
      <c r="O25" s="157">
        <f>IFERROR($N25 * SUMIF('0_Indice_CAC'!$A:$A,$A25,'0_Indice_CAC'!$D:$D),"-")</f>
        <v>1266161.43842637</v>
      </c>
    </row>
    <row r="26" spans="1:15" ht="12.75" customHeight="1" x14ac:dyDescent="0.3">
      <c r="A26" s="164">
        <v>46023</v>
      </c>
      <c r="B26" s="165" t="s">
        <v>4924</v>
      </c>
      <c r="C26" s="166" t="s">
        <v>4923</v>
      </c>
      <c r="D26" s="167" t="s">
        <v>414</v>
      </c>
      <c r="E26" s="166" t="s">
        <v>3219</v>
      </c>
      <c r="F26" s="168">
        <f t="shared" si="0"/>
        <v>96</v>
      </c>
      <c r="G26" s="169">
        <v>88</v>
      </c>
      <c r="H26" s="169">
        <v>8</v>
      </c>
      <c r="I26" s="169">
        <v>0</v>
      </c>
      <c r="J26" s="154"/>
      <c r="K26" s="155">
        <f>IFERROR(G26*INDEX('0_Jornales_MO'!$G$4:$J$21,MATCH(A26,'0_Jornales_MO'!$A$4:$A$21,0),MATCH(D26,{"ESPECIALIZADO","OFICIAL","MEDIO OFICIAL","AYUDANTE"},0)),"-")</f>
        <v>919764.3444180995</v>
      </c>
      <c r="L26" s="156">
        <f>IFERROR(H26*INDEX('0_Jornales_MO'!$G$4:$J$21,MATCH(A26,'0_Jornales_MO'!$A$4:$A$21,0),MATCH(D26,{"ESPECIALIZADO","OFICIAL","MEDIO OFICIAL","AYUDANTE"},0))*1.5,"-")</f>
        <v>125422.41060246811</v>
      </c>
      <c r="M26" s="156">
        <f>IFERROR(I26*INDEX('0_Jornales_MO'!$G$4:$J$21,MATCH(A26,'0_Jornales_MO'!$A$4:$A$21,0),MATCH(D26,{"ESPECIALIZADO","OFICIAL","MEDIO OFICIAL","AYUDANTE"},0))*2,"-")</f>
        <v>0</v>
      </c>
      <c r="N26" s="157">
        <f t="shared" si="1"/>
        <v>1045186.7550205676</v>
      </c>
      <c r="O26" s="157">
        <f>IFERROR($N26 * SUMIF('0_Indice_CAC'!$A:$A,$A26,'0_Indice_CAC'!$D:$D),"-")</f>
        <v>830269.79568942299</v>
      </c>
    </row>
    <row r="27" spans="1:15" ht="12.75" customHeight="1" x14ac:dyDescent="0.3">
      <c r="A27" s="158">
        <v>46023</v>
      </c>
      <c r="B27" s="159" t="s">
        <v>4924</v>
      </c>
      <c r="C27" s="160" t="s">
        <v>4923</v>
      </c>
      <c r="D27" s="161" t="s">
        <v>59</v>
      </c>
      <c r="E27" s="160" t="s">
        <v>106</v>
      </c>
      <c r="F27" s="162">
        <f t="shared" si="0"/>
        <v>330</v>
      </c>
      <c r="G27" s="163">
        <v>296</v>
      </c>
      <c r="H27" s="163">
        <v>26</v>
      </c>
      <c r="I27" s="163">
        <v>8</v>
      </c>
      <c r="J27" s="154"/>
      <c r="K27" s="155">
        <f>IFERROR(G27*INDEX('0_Jornales_MO'!$G$4:$J$21,MATCH(A27,'0_Jornales_MO'!$A$4:$A$21,0),MATCH(D27,{"ESPECIALIZADO","OFICIAL","MEDIO OFICIAL","AYUDANTE"},0)),"-")</f>
        <v>2896768.5455508796</v>
      </c>
      <c r="L27" s="156">
        <f>IFERROR(H27*INDEX('0_Jornales_MO'!$G$4:$J$21,MATCH(A27,'0_Jornales_MO'!$A$4:$A$21,0),MATCH(D27,{"ESPECIALIZADO","OFICIAL","MEDIO OFICIAL","AYUDANTE"},0))*1.5,"-")</f>
        <v>381668.8286367713</v>
      </c>
      <c r="M27" s="156">
        <f>IFERROR(I27*INDEX('0_Jornales_MO'!$G$4:$J$21,MATCH(A27,'0_Jornales_MO'!$A$4:$A$21,0),MATCH(D27,{"ESPECIALIZADO","OFICIAL","MEDIO OFICIAL","AYUDANTE"},0))*2,"-")</f>
        <v>156582.08354329079</v>
      </c>
      <c r="N27" s="157">
        <f t="shared" si="1"/>
        <v>3435019.4577309419</v>
      </c>
      <c r="O27" s="157">
        <f>IFERROR($N27 * SUMIF('0_Indice_CAC'!$A:$A,$A27,'0_Indice_CAC'!$D:$D),"-")</f>
        <v>2728692.1592336283</v>
      </c>
    </row>
    <row r="28" spans="1:15" ht="12.75" customHeight="1" x14ac:dyDescent="0.3">
      <c r="A28" s="164">
        <v>46023</v>
      </c>
      <c r="B28" s="165" t="s">
        <v>4924</v>
      </c>
      <c r="C28" s="166" t="s">
        <v>4923</v>
      </c>
      <c r="D28" s="167" t="s">
        <v>64</v>
      </c>
      <c r="E28" s="166" t="s">
        <v>106</v>
      </c>
      <c r="F28" s="168">
        <f t="shared" si="0"/>
        <v>192</v>
      </c>
      <c r="G28" s="169">
        <v>176</v>
      </c>
      <c r="H28" s="169">
        <v>16</v>
      </c>
      <c r="I28" s="169">
        <v>0</v>
      </c>
      <c r="J28" s="154"/>
      <c r="K28" s="155">
        <f>IFERROR(G28*INDEX('0_Jornales_MO'!$G$4:$J$21,MATCH(A28,'0_Jornales_MO'!$A$4:$A$21,0),MATCH(D28,{"ESPECIALIZADO","OFICIAL","MEDIO OFICIAL","AYUDANTE"},0)),"-")</f>
        <v>2583958.4600861901</v>
      </c>
      <c r="L28" s="156">
        <f>IFERROR(H28*INDEX('0_Jornales_MO'!$G$4:$J$21,MATCH(A28,'0_Jornales_MO'!$A$4:$A$21,0),MATCH(D28,{"ESPECIALIZADO","OFICIAL","MEDIO OFICIAL","AYUDANTE"},0))*1.5,"-")</f>
        <v>352357.97182993498</v>
      </c>
      <c r="M28" s="156">
        <f>IFERROR(I28*INDEX('0_Jornales_MO'!$G$4:$J$21,MATCH(A28,'0_Jornales_MO'!$A$4:$A$21,0),MATCH(D28,{"ESPECIALIZADO","OFICIAL","MEDIO OFICIAL","AYUDANTE"},0))*2,"-")</f>
        <v>0</v>
      </c>
      <c r="N28" s="157">
        <f t="shared" si="1"/>
        <v>2936316.4319161251</v>
      </c>
      <c r="O28" s="157">
        <f>IFERROR($N28 * SUMIF('0_Indice_CAC'!$A:$A,$A28,'0_Indice_CAC'!$D:$D),"-")</f>
        <v>2332535.1496235924</v>
      </c>
    </row>
    <row r="29" spans="1:15" ht="12.75" customHeight="1" x14ac:dyDescent="0.3">
      <c r="A29" s="158">
        <v>46023</v>
      </c>
      <c r="B29" s="159" t="s">
        <v>4924</v>
      </c>
      <c r="C29" s="160" t="s">
        <v>4923</v>
      </c>
      <c r="D29" s="161" t="s">
        <v>498</v>
      </c>
      <c r="E29" s="160" t="s">
        <v>106</v>
      </c>
      <c r="F29" s="162">
        <f t="shared" si="0"/>
        <v>217</v>
      </c>
      <c r="G29" s="163">
        <v>200</v>
      </c>
      <c r="H29" s="163">
        <v>17</v>
      </c>
      <c r="I29" s="163">
        <v>0</v>
      </c>
      <c r="J29" s="154"/>
      <c r="K29" s="155">
        <f>IFERROR(G29*INDEX('0_Jornales_MO'!$G$4:$J$21,MATCH(A29,'0_Jornales_MO'!$A$4:$A$21,0),MATCH(D29,{"ESPECIALIZADO","OFICIAL","MEDIO OFICIAL","AYUDANTE"},0)),"-")</f>
        <v>2446669.2466661348</v>
      </c>
      <c r="L29" s="156">
        <f>IFERROR(H29*INDEX('0_Jornales_MO'!$G$4:$J$21,MATCH(A29,'0_Jornales_MO'!$A$4:$A$21,0),MATCH(D29,{"ESPECIALIZADO","OFICIAL","MEDIO OFICIAL","AYUDANTE"},0))*1.5,"-")</f>
        <v>311950.32894993218</v>
      </c>
      <c r="M29" s="156">
        <f>IFERROR(I29*INDEX('0_Jornales_MO'!$G$4:$J$21,MATCH(A29,'0_Jornales_MO'!$A$4:$A$21,0),MATCH(D29,{"ESPECIALIZADO","OFICIAL","MEDIO OFICIAL","AYUDANTE"},0))*2,"-")</f>
        <v>0</v>
      </c>
      <c r="N29" s="157">
        <f t="shared" si="1"/>
        <v>2758619.5756160668</v>
      </c>
      <c r="O29" s="157">
        <f>IFERROR($N29 * SUMIF('0_Indice_CAC'!$A:$A,$A29,'0_Indice_CAC'!$D:$D),"-")</f>
        <v>2191377.2829875969</v>
      </c>
    </row>
    <row r="30" spans="1:15" ht="12.75" customHeight="1" x14ac:dyDescent="0.3">
      <c r="A30" s="164">
        <v>46023</v>
      </c>
      <c r="B30" s="165" t="s">
        <v>4924</v>
      </c>
      <c r="C30" s="166" t="s">
        <v>4923</v>
      </c>
      <c r="D30" s="167" t="s">
        <v>498</v>
      </c>
      <c r="E30" s="166" t="s">
        <v>3219</v>
      </c>
      <c r="F30" s="168">
        <f t="shared" si="0"/>
        <v>96</v>
      </c>
      <c r="G30" s="169">
        <v>88</v>
      </c>
      <c r="H30" s="169">
        <v>8</v>
      </c>
      <c r="I30" s="169">
        <v>0</v>
      </c>
      <c r="J30" s="154"/>
      <c r="K30" s="155">
        <f>IFERROR(G30*INDEX('0_Jornales_MO'!$G$4:$J$21,MATCH(A30,'0_Jornales_MO'!$A$4:$A$21,0),MATCH(D30,{"ESPECIALIZADO","OFICIAL","MEDIO OFICIAL","AYUDANTE"},0)),"-")</f>
        <v>1076534.4685330994</v>
      </c>
      <c r="L30" s="156">
        <f>IFERROR(H30*INDEX('0_Jornales_MO'!$G$4:$J$21,MATCH(A30,'0_Jornales_MO'!$A$4:$A$21,0),MATCH(D30,{"ESPECIALIZADO","OFICIAL","MEDIO OFICIAL","AYUDANTE"},0))*1.5,"-")</f>
        <v>146800.15479996809</v>
      </c>
      <c r="M30" s="156">
        <f>IFERROR(I30*INDEX('0_Jornales_MO'!$G$4:$J$21,MATCH(A30,'0_Jornales_MO'!$A$4:$A$21,0),MATCH(D30,{"ESPECIALIZADO","OFICIAL","MEDIO OFICIAL","AYUDANTE"},0))*2,"-")</f>
        <v>0</v>
      </c>
      <c r="N30" s="157">
        <f t="shared" si="1"/>
        <v>1223334.6233330674</v>
      </c>
      <c r="O30" s="157">
        <f>IFERROR($N30 * SUMIF('0_Indice_CAC'!$A:$A,$A30,'0_Indice_CAC'!$D:$D),"-")</f>
        <v>971785.93480602978</v>
      </c>
    </row>
    <row r="31" spans="1:15" ht="12.75" customHeight="1" x14ac:dyDescent="0.3">
      <c r="A31" s="158">
        <v>46023</v>
      </c>
      <c r="B31" s="159" t="s">
        <v>4924</v>
      </c>
      <c r="C31" s="160" t="s">
        <v>4923</v>
      </c>
      <c r="D31" s="161" t="s">
        <v>498</v>
      </c>
      <c r="E31" s="160" t="s">
        <v>4271</v>
      </c>
      <c r="F31" s="162">
        <f t="shared" si="0"/>
        <v>176</v>
      </c>
      <c r="G31" s="163">
        <v>176</v>
      </c>
      <c r="H31" s="163">
        <v>0</v>
      </c>
      <c r="I31" s="163">
        <v>0</v>
      </c>
      <c r="J31" s="154"/>
      <c r="K31" s="155">
        <f>IFERROR(G31*INDEX('0_Jornales_MO'!$G$4:$J$21,MATCH(A31,'0_Jornales_MO'!$A$4:$A$21,0),MATCH(D31,{"ESPECIALIZADO","OFICIAL","MEDIO OFICIAL","AYUDANTE"},0)),"-")</f>
        <v>2153068.9370661988</v>
      </c>
      <c r="L31" s="156">
        <f>IFERROR(H31*INDEX('0_Jornales_MO'!$G$4:$J$21,MATCH(A31,'0_Jornales_MO'!$A$4:$A$21,0),MATCH(D31,{"ESPECIALIZADO","OFICIAL","MEDIO OFICIAL","AYUDANTE"},0))*1.5,"-")</f>
        <v>0</v>
      </c>
      <c r="M31" s="156">
        <f>IFERROR(I31*INDEX('0_Jornales_MO'!$G$4:$J$21,MATCH(A31,'0_Jornales_MO'!$A$4:$A$21,0),MATCH(D31,{"ESPECIALIZADO","OFICIAL","MEDIO OFICIAL","AYUDANTE"},0))*2,"-")</f>
        <v>0</v>
      </c>
      <c r="N31" s="157">
        <f t="shared" si="1"/>
        <v>2153068.9370661988</v>
      </c>
      <c r="O31" s="157">
        <f>IFERROR($N31 * SUMIF('0_Indice_CAC'!$A:$A,$A31,'0_Indice_CAC'!$D:$D),"-")</f>
        <v>1710343.2452586126</v>
      </c>
    </row>
    <row r="32" spans="1:15" ht="12.75" customHeight="1" x14ac:dyDescent="0.3">
      <c r="A32" s="164">
        <v>46054</v>
      </c>
      <c r="B32" s="165" t="s">
        <v>4922</v>
      </c>
      <c r="C32" s="166" t="s">
        <v>4923</v>
      </c>
      <c r="D32" s="167" t="s">
        <v>414</v>
      </c>
      <c r="E32" s="166" t="s">
        <v>106</v>
      </c>
      <c r="F32" s="168">
        <f t="shared" si="0"/>
        <v>80</v>
      </c>
      <c r="G32" s="169">
        <v>80</v>
      </c>
      <c r="H32" s="169">
        <v>0</v>
      </c>
      <c r="I32" s="169">
        <v>0</v>
      </c>
      <c r="J32" s="154"/>
      <c r="K32" s="155">
        <f>IFERROR(G32*INDEX('0_Jornales_MO'!$G$4:$J$21,MATCH(A32,'0_Jornales_MO'!$A$4:$A$21,0),MATCH(D32,{"ESPECIALIZADO","OFICIAL","MEDIO OFICIAL","AYUDANTE"},0)),"-")</f>
        <v>849487.49161645409</v>
      </c>
      <c r="L32" s="156">
        <f>IFERROR(H32*INDEX('0_Jornales_MO'!$G$4:$J$21,MATCH(A32,'0_Jornales_MO'!$A$4:$A$21,0),MATCH(D32,{"ESPECIALIZADO","OFICIAL","MEDIO OFICIAL","AYUDANTE"},0))*1.5,"-")</f>
        <v>0</v>
      </c>
      <c r="M32" s="156">
        <f>IFERROR(I32*INDEX('0_Jornales_MO'!$G$4:$J$21,MATCH(A32,'0_Jornales_MO'!$A$4:$A$21,0),MATCH(D32,{"ESPECIALIZADO","OFICIAL","MEDIO OFICIAL","AYUDANTE"},0))*2,"-")</f>
        <v>0</v>
      </c>
      <c r="N32" s="157">
        <f t="shared" si="1"/>
        <v>849487.49161645409</v>
      </c>
      <c r="O32" s="157">
        <f>IFERROR($N32 * SUMIF('0_Indice_CAC'!$A:$A,$A32,'0_Indice_CAC'!$D:$D),"-")</f>
        <v>674811.27436525398</v>
      </c>
    </row>
    <row r="33" spans="1:15" ht="12.75" customHeight="1" x14ac:dyDescent="0.3">
      <c r="A33" s="158">
        <v>46054</v>
      </c>
      <c r="B33" s="159" t="s">
        <v>4922</v>
      </c>
      <c r="C33" s="160" t="s">
        <v>4923</v>
      </c>
      <c r="D33" s="161" t="s">
        <v>414</v>
      </c>
      <c r="E33" s="160" t="s">
        <v>3219</v>
      </c>
      <c r="F33" s="162">
        <f t="shared" si="0"/>
        <v>85</v>
      </c>
      <c r="G33" s="163">
        <v>78</v>
      </c>
      <c r="H33" s="163">
        <v>7</v>
      </c>
      <c r="I33" s="163">
        <v>0</v>
      </c>
      <c r="J33" s="154"/>
      <c r="K33" s="155">
        <f>IFERROR(G33*INDEX('0_Jornales_MO'!$G$4:$J$21,MATCH(A33,'0_Jornales_MO'!$A$4:$A$21,0),MATCH(D33,{"ESPECIALIZADO","OFICIAL","MEDIO OFICIAL","AYUDANTE"},0)),"-")</f>
        <v>828250.30432604277</v>
      </c>
      <c r="L33" s="156">
        <f>IFERROR(H33*INDEX('0_Jornales_MO'!$G$4:$J$21,MATCH(A33,'0_Jornales_MO'!$A$4:$A$21,0),MATCH(D33,{"ESPECIALIZADO","OFICIAL","MEDIO OFICIAL","AYUDANTE"},0))*1.5,"-")</f>
        <v>111495.23327465959</v>
      </c>
      <c r="M33" s="156">
        <f>IFERROR(I33*INDEX('0_Jornales_MO'!$G$4:$J$21,MATCH(A33,'0_Jornales_MO'!$A$4:$A$21,0),MATCH(D33,{"ESPECIALIZADO","OFICIAL","MEDIO OFICIAL","AYUDANTE"},0))*2,"-")</f>
        <v>0</v>
      </c>
      <c r="N33" s="157">
        <f t="shared" si="1"/>
        <v>939745.53760070237</v>
      </c>
      <c r="O33" s="157">
        <f>IFERROR($N33 * SUMIF('0_Indice_CAC'!$A:$A,$A33,'0_Indice_CAC'!$D:$D),"-")</f>
        <v>746509.97226656228</v>
      </c>
    </row>
    <row r="34" spans="1:15" ht="12.75" customHeight="1" x14ac:dyDescent="0.3">
      <c r="A34" s="164">
        <v>46054</v>
      </c>
      <c r="B34" s="165" t="s">
        <v>4922</v>
      </c>
      <c r="C34" s="166" t="s">
        <v>4923</v>
      </c>
      <c r="D34" s="167" t="s">
        <v>59</v>
      </c>
      <c r="E34" s="166" t="s">
        <v>106</v>
      </c>
      <c r="F34" s="168">
        <f t="shared" si="0"/>
        <v>356</v>
      </c>
      <c r="G34" s="169">
        <v>324</v>
      </c>
      <c r="H34" s="169">
        <v>26</v>
      </c>
      <c r="I34" s="169">
        <v>6</v>
      </c>
      <c r="J34" s="154"/>
      <c r="K34" s="155">
        <f>IFERROR(G34*INDEX('0_Jornales_MO'!$G$4:$J$21,MATCH(A34,'0_Jornales_MO'!$A$4:$A$21,0),MATCH(D34,{"ESPECIALIZADO","OFICIAL","MEDIO OFICIAL","AYUDANTE"},0)),"-")</f>
        <v>3219369.4001016384</v>
      </c>
      <c r="L34" s="156">
        <f>IFERROR(H34*INDEX('0_Jornales_MO'!$G$4:$J$21,MATCH(A34,'0_Jornales_MO'!$A$4:$A$21,0),MATCH(D34,{"ESPECIALIZADO","OFICIAL","MEDIO OFICIAL","AYUDANTE"},0))*1.5,"-")</f>
        <v>387516.68704927131</v>
      </c>
      <c r="M34" s="156">
        <f>IFERROR(I34*INDEX('0_Jornales_MO'!$G$4:$J$21,MATCH(A34,'0_Jornales_MO'!$A$4:$A$21,0),MATCH(D34,{"ESPECIALIZADO","OFICIAL","MEDIO OFICIAL","AYUDANTE"},0))*2,"-")</f>
        <v>119235.9037074681</v>
      </c>
      <c r="N34" s="157">
        <f t="shared" si="1"/>
        <v>3726121.9908583779</v>
      </c>
      <c r="O34" s="157">
        <f>IFERROR($N34 * SUMIF('0_Indice_CAC'!$A:$A,$A34,'0_Indice_CAC'!$D:$D),"-")</f>
        <v>2959936.6134361057</v>
      </c>
    </row>
    <row r="35" spans="1:15" ht="12.75" customHeight="1" x14ac:dyDescent="0.3">
      <c r="A35" s="158">
        <v>46054</v>
      </c>
      <c r="B35" s="159" t="s">
        <v>4922</v>
      </c>
      <c r="C35" s="160" t="s">
        <v>4923</v>
      </c>
      <c r="D35" s="161" t="s">
        <v>59</v>
      </c>
      <c r="E35" s="160" t="s">
        <v>4165</v>
      </c>
      <c r="F35" s="162">
        <f t="shared" si="0"/>
        <v>12</v>
      </c>
      <c r="G35" s="163">
        <v>12</v>
      </c>
      <c r="H35" s="163">
        <v>0</v>
      </c>
      <c r="I35" s="163">
        <v>0</v>
      </c>
      <c r="J35" s="154"/>
      <c r="K35" s="155">
        <f>IFERROR(G35*INDEX('0_Jornales_MO'!$G$4:$J$21,MATCH(A35,'0_Jornales_MO'!$A$4:$A$21,0),MATCH(D35,{"ESPECIALIZADO","OFICIAL","MEDIO OFICIAL","AYUDANTE"},0)),"-")</f>
        <v>119235.9037074681</v>
      </c>
      <c r="L35" s="156">
        <f>IFERROR(H35*INDEX('0_Jornales_MO'!$G$4:$J$21,MATCH(A35,'0_Jornales_MO'!$A$4:$A$21,0),MATCH(D35,{"ESPECIALIZADO","OFICIAL","MEDIO OFICIAL","AYUDANTE"},0))*1.5,"-")</f>
        <v>0</v>
      </c>
      <c r="M35" s="156">
        <f>IFERROR(I35*INDEX('0_Jornales_MO'!$G$4:$J$21,MATCH(A35,'0_Jornales_MO'!$A$4:$A$21,0),MATCH(D35,{"ESPECIALIZADO","OFICIAL","MEDIO OFICIAL","AYUDANTE"},0))*2,"-")</f>
        <v>0</v>
      </c>
      <c r="N35" s="157">
        <f t="shared" si="1"/>
        <v>119235.9037074681</v>
      </c>
      <c r="O35" s="157">
        <f>IFERROR($N35 * SUMIF('0_Indice_CAC'!$A:$A,$A35,'0_Indice_CAC'!$D:$D),"-")</f>
        <v>94717.971629955384</v>
      </c>
    </row>
    <row r="36" spans="1:15" ht="12.75" customHeight="1" x14ac:dyDescent="0.3">
      <c r="A36" s="164">
        <v>46054</v>
      </c>
      <c r="B36" s="165" t="s">
        <v>4922</v>
      </c>
      <c r="C36" s="166" t="s">
        <v>4923</v>
      </c>
      <c r="D36" s="167" t="s">
        <v>64</v>
      </c>
      <c r="E36" s="166" t="s">
        <v>106</v>
      </c>
      <c r="F36" s="168">
        <f t="shared" ref="F36:F67" si="2">G36+H36+I36</f>
        <v>174</v>
      </c>
      <c r="G36" s="169">
        <v>160</v>
      </c>
      <c r="H36" s="169">
        <v>14</v>
      </c>
      <c r="I36" s="169">
        <v>0</v>
      </c>
      <c r="J36" s="154"/>
      <c r="K36" s="155">
        <f>IFERROR(G36*INDEX('0_Jornales_MO'!$G$4:$J$21,MATCH(A36,'0_Jornales_MO'!$A$4:$A$21,0),MATCH(D36,{"ESPECIALIZADO","OFICIAL","MEDIO OFICIAL","AYUDANTE"},0)),"-")</f>
        <v>2388126.6849329001</v>
      </c>
      <c r="L36" s="156">
        <f>IFERROR(H36*INDEX('0_Jornales_MO'!$G$4:$J$21,MATCH(A36,'0_Jornales_MO'!$A$4:$A$21,0),MATCH(D36,{"ESPECIALIZADO","OFICIAL","MEDIO OFICIAL","AYUDANTE"},0))*1.5,"-")</f>
        <v>313441.62739744311</v>
      </c>
      <c r="M36" s="156">
        <f>IFERROR(I36*INDEX('0_Jornales_MO'!$G$4:$J$21,MATCH(A36,'0_Jornales_MO'!$A$4:$A$21,0),MATCH(D36,{"ESPECIALIZADO","OFICIAL","MEDIO OFICIAL","AYUDANTE"},0))*2,"-")</f>
        <v>0</v>
      </c>
      <c r="N36" s="157">
        <f t="shared" ref="N36:N67" si="3">IFERROR(SUM(K36:M36),"-")</f>
        <v>2701568.3123303433</v>
      </c>
      <c r="O36" s="157">
        <f>IFERROR($N36 * SUMIF('0_Indice_CAC'!$A:$A,$A36,'0_Indice_CAC'!$D:$D),"-")</f>
        <v>2146057.2093409221</v>
      </c>
    </row>
    <row r="37" spans="1:15" ht="12.75" customHeight="1" x14ac:dyDescent="0.3">
      <c r="A37" s="158">
        <v>46054</v>
      </c>
      <c r="B37" s="159" t="s">
        <v>4922</v>
      </c>
      <c r="C37" s="160" t="s">
        <v>4923</v>
      </c>
      <c r="D37" s="161" t="s">
        <v>498</v>
      </c>
      <c r="E37" s="160" t="s">
        <v>106</v>
      </c>
      <c r="F37" s="162">
        <f t="shared" si="2"/>
        <v>250</v>
      </c>
      <c r="G37" s="163">
        <v>228</v>
      </c>
      <c r="H37" s="163">
        <v>20</v>
      </c>
      <c r="I37" s="163">
        <v>2</v>
      </c>
      <c r="J37" s="154"/>
      <c r="K37" s="155">
        <f>IFERROR(G37*INDEX('0_Jornales_MO'!$G$4:$J$21,MATCH(A37,'0_Jornales_MO'!$A$4:$A$21,0),MATCH(D37,{"ESPECIALIZADO","OFICIAL","MEDIO OFICIAL","AYUDANTE"},0)),"-")</f>
        <v>2835167.4023343939</v>
      </c>
      <c r="L37" s="156">
        <f>IFERROR(H37*INDEX('0_Jornales_MO'!$G$4:$J$21,MATCH(A37,'0_Jornales_MO'!$A$4:$A$21,0),MATCH(D37,{"ESPECIALIZADO","OFICIAL","MEDIO OFICIAL","AYUDANTE"},0))*1.5,"-")</f>
        <v>373048.34241242026</v>
      </c>
      <c r="M37" s="156">
        <f>IFERROR(I37*INDEX('0_Jornales_MO'!$G$4:$J$21,MATCH(A37,'0_Jornales_MO'!$A$4:$A$21,0),MATCH(D37,{"ESPECIALIZADO","OFICIAL","MEDIO OFICIAL","AYUDANTE"},0))*2,"-")</f>
        <v>49739.778988322701</v>
      </c>
      <c r="N37" s="157">
        <f t="shared" si="3"/>
        <v>3257955.5237351367</v>
      </c>
      <c r="O37" s="157">
        <f>IFERROR($N37 * SUMIF('0_Indice_CAC'!$A:$A,$A37,'0_Indice_CAC'!$D:$D),"-")</f>
        <v>2588037.0699909697</v>
      </c>
    </row>
    <row r="38" spans="1:15" ht="12.75" customHeight="1" x14ac:dyDescent="0.3">
      <c r="A38" s="164">
        <v>46054</v>
      </c>
      <c r="B38" s="165" t="s">
        <v>4922</v>
      </c>
      <c r="C38" s="166" t="s">
        <v>4923</v>
      </c>
      <c r="D38" s="167" t="s">
        <v>498</v>
      </c>
      <c r="E38" s="166" t="s">
        <v>3219</v>
      </c>
      <c r="F38" s="168">
        <f t="shared" si="2"/>
        <v>89</v>
      </c>
      <c r="G38" s="169">
        <v>80</v>
      </c>
      <c r="H38" s="169">
        <v>9</v>
      </c>
      <c r="I38" s="169">
        <v>0</v>
      </c>
      <c r="J38" s="154"/>
      <c r="K38" s="155">
        <f>IFERROR(G38*INDEX('0_Jornales_MO'!$G$4:$J$21,MATCH(A38,'0_Jornales_MO'!$A$4:$A$21,0),MATCH(D38,{"ESPECIALIZADO","OFICIAL","MEDIO OFICIAL","AYUDANTE"},0)),"-")</f>
        <v>994795.57976645406</v>
      </c>
      <c r="L38" s="156">
        <f>IFERROR(H38*INDEX('0_Jornales_MO'!$G$4:$J$21,MATCH(A38,'0_Jornales_MO'!$A$4:$A$21,0),MATCH(D38,{"ESPECIALIZADO","OFICIAL","MEDIO OFICIAL","AYUDANTE"},0))*1.5,"-")</f>
        <v>167871.75408558911</v>
      </c>
      <c r="M38" s="156">
        <f>IFERROR(I38*INDEX('0_Jornales_MO'!$G$4:$J$21,MATCH(A38,'0_Jornales_MO'!$A$4:$A$21,0),MATCH(D38,{"ESPECIALIZADO","OFICIAL","MEDIO OFICIAL","AYUDANTE"},0))*2,"-")</f>
        <v>0</v>
      </c>
      <c r="N38" s="157">
        <f t="shared" si="3"/>
        <v>1162667.3338520431</v>
      </c>
      <c r="O38" s="157">
        <f>IFERROR($N38 * SUMIF('0_Indice_CAC'!$A:$A,$A38,'0_Indice_CAC'!$D:$D),"-")</f>
        <v>923593.38184792234</v>
      </c>
    </row>
    <row r="39" spans="1:15" ht="12.75" customHeight="1" x14ac:dyDescent="0.3">
      <c r="A39" s="158">
        <v>46054</v>
      </c>
      <c r="B39" s="159" t="s">
        <v>4922</v>
      </c>
      <c r="C39" s="160" t="s">
        <v>4923</v>
      </c>
      <c r="D39" s="161" t="s">
        <v>498</v>
      </c>
      <c r="E39" s="160" t="s">
        <v>4271</v>
      </c>
      <c r="F39" s="162">
        <f t="shared" si="2"/>
        <v>158</v>
      </c>
      <c r="G39" s="163">
        <v>158</v>
      </c>
      <c r="H39" s="163">
        <v>0</v>
      </c>
      <c r="I39" s="163">
        <v>0</v>
      </c>
      <c r="J39" s="154"/>
      <c r="K39" s="155">
        <f>IFERROR(G39*INDEX('0_Jornales_MO'!$G$4:$J$21,MATCH(A39,'0_Jornales_MO'!$A$4:$A$21,0),MATCH(D39,{"ESPECIALIZADO","OFICIAL","MEDIO OFICIAL","AYUDANTE"},0)),"-")</f>
        <v>1964721.2700387468</v>
      </c>
      <c r="L39" s="156">
        <f>IFERROR(H39*INDEX('0_Jornales_MO'!$G$4:$J$21,MATCH(A39,'0_Jornales_MO'!$A$4:$A$21,0),MATCH(D39,{"ESPECIALIZADO","OFICIAL","MEDIO OFICIAL","AYUDANTE"},0))*1.5,"-")</f>
        <v>0</v>
      </c>
      <c r="M39" s="156">
        <f>IFERROR(I39*INDEX('0_Jornales_MO'!$G$4:$J$21,MATCH(A39,'0_Jornales_MO'!$A$4:$A$21,0),MATCH(D39,{"ESPECIALIZADO","OFICIAL","MEDIO OFICIAL","AYUDANTE"},0))*2,"-")</f>
        <v>0</v>
      </c>
      <c r="N39" s="157">
        <f t="shared" si="3"/>
        <v>1964721.2700387468</v>
      </c>
      <c r="O39" s="157">
        <f>IFERROR($N39 * SUMIF('0_Indice_CAC'!$A:$A,$A39,'0_Indice_CAC'!$D:$D),"-")</f>
        <v>1560724.6452617298</v>
      </c>
    </row>
    <row r="40" spans="1:15" ht="12.75" customHeight="1" x14ac:dyDescent="0.3">
      <c r="A40" s="164">
        <v>46054</v>
      </c>
      <c r="B40" s="165" t="s">
        <v>4922</v>
      </c>
      <c r="C40" s="166" t="s">
        <v>4923</v>
      </c>
      <c r="D40" s="167" t="s">
        <v>498</v>
      </c>
      <c r="E40" s="166" t="s">
        <v>476</v>
      </c>
      <c r="F40" s="168">
        <f t="shared" si="2"/>
        <v>56</v>
      </c>
      <c r="G40" s="169">
        <v>56</v>
      </c>
      <c r="H40" s="169">
        <v>0</v>
      </c>
      <c r="I40" s="169">
        <v>0</v>
      </c>
      <c r="J40" s="154"/>
      <c r="K40" s="155">
        <f>IFERROR(G40*INDEX('0_Jornales_MO'!$G$4:$J$21,MATCH(A40,'0_Jornales_MO'!$A$4:$A$21,0),MATCH(D40,{"ESPECIALIZADO","OFICIAL","MEDIO OFICIAL","AYUDANTE"},0)),"-")</f>
        <v>696356.90583651781</v>
      </c>
      <c r="L40" s="156">
        <f>IFERROR(H40*INDEX('0_Jornales_MO'!$G$4:$J$21,MATCH(A40,'0_Jornales_MO'!$A$4:$A$21,0),MATCH(D40,{"ESPECIALIZADO","OFICIAL","MEDIO OFICIAL","AYUDANTE"},0))*1.5,"-")</f>
        <v>0</v>
      </c>
      <c r="M40" s="156">
        <f>IFERROR(I40*INDEX('0_Jornales_MO'!$G$4:$J$21,MATCH(A40,'0_Jornales_MO'!$A$4:$A$21,0),MATCH(D40,{"ESPECIALIZADO","OFICIAL","MEDIO OFICIAL","AYUDANTE"},0))*2,"-")</f>
        <v>0</v>
      </c>
      <c r="N40" s="157">
        <f t="shared" si="3"/>
        <v>696356.90583651781</v>
      </c>
      <c r="O40" s="157">
        <f>IFERROR($N40 * SUMIF('0_Indice_CAC'!$A:$A,$A40,'0_Indice_CAC'!$D:$D),"-")</f>
        <v>553168.22870035993</v>
      </c>
    </row>
    <row r="41" spans="1:15" ht="12.75" customHeight="1" x14ac:dyDescent="0.3">
      <c r="A41" s="158">
        <v>46054</v>
      </c>
      <c r="B41" s="159" t="s">
        <v>4924</v>
      </c>
      <c r="C41" s="160" t="s">
        <v>4923</v>
      </c>
      <c r="D41" s="161" t="s">
        <v>414</v>
      </c>
      <c r="E41" s="160" t="s">
        <v>106</v>
      </c>
      <c r="F41" s="162">
        <f t="shared" si="2"/>
        <v>83</v>
      </c>
      <c r="G41" s="163">
        <v>76</v>
      </c>
      <c r="H41" s="163">
        <v>5</v>
      </c>
      <c r="I41" s="163">
        <v>2</v>
      </c>
      <c r="J41" s="154"/>
      <c r="K41" s="155">
        <f>IFERROR(G41*INDEX('0_Jornales_MO'!$G$4:$J$21,MATCH(A41,'0_Jornales_MO'!$A$4:$A$21,0),MATCH(D41,{"ESPECIALIZADO","OFICIAL","MEDIO OFICIAL","AYUDANTE"},0)),"-")</f>
        <v>807013.11703563132</v>
      </c>
      <c r="L41" s="156">
        <f>IFERROR(H41*INDEX('0_Jornales_MO'!$G$4:$J$21,MATCH(A41,'0_Jornales_MO'!$A$4:$A$21,0),MATCH(D41,{"ESPECIALIZADO","OFICIAL","MEDIO OFICIAL","AYUDANTE"},0))*1.5,"-")</f>
        <v>79639.452339042575</v>
      </c>
      <c r="M41" s="156">
        <f>IFERROR(I41*INDEX('0_Jornales_MO'!$G$4:$J$21,MATCH(A41,'0_Jornales_MO'!$A$4:$A$21,0),MATCH(D41,{"ESPECIALIZADO","OFICIAL","MEDIO OFICIAL","AYUDANTE"},0))*2,"-")</f>
        <v>42474.374580822703</v>
      </c>
      <c r="N41" s="157">
        <f t="shared" si="3"/>
        <v>929126.94395549654</v>
      </c>
      <c r="O41" s="157">
        <f>IFERROR($N41 * SUMIF('0_Indice_CAC'!$A:$A,$A41,'0_Indice_CAC'!$D:$D),"-")</f>
        <v>738074.8313369964</v>
      </c>
    </row>
    <row r="42" spans="1:15" ht="12.75" customHeight="1" x14ac:dyDescent="0.3">
      <c r="A42" s="164">
        <v>46054</v>
      </c>
      <c r="B42" s="165" t="s">
        <v>4924</v>
      </c>
      <c r="C42" s="166" t="s">
        <v>4923</v>
      </c>
      <c r="D42" s="167" t="s">
        <v>414</v>
      </c>
      <c r="E42" s="166" t="s">
        <v>3219</v>
      </c>
      <c r="F42" s="168">
        <f t="shared" si="2"/>
        <v>84</v>
      </c>
      <c r="G42" s="169">
        <v>80</v>
      </c>
      <c r="H42" s="169">
        <v>4</v>
      </c>
      <c r="I42" s="169">
        <v>0</v>
      </c>
      <c r="J42" s="154"/>
      <c r="K42" s="155">
        <f>IFERROR(G42*INDEX('0_Jornales_MO'!$G$4:$J$21,MATCH(A42,'0_Jornales_MO'!$A$4:$A$21,0),MATCH(D42,{"ESPECIALIZADO","OFICIAL","MEDIO OFICIAL","AYUDANTE"},0)),"-")</f>
        <v>849487.49161645409</v>
      </c>
      <c r="L42" s="156">
        <f>IFERROR(H42*INDEX('0_Jornales_MO'!$G$4:$J$21,MATCH(A42,'0_Jornales_MO'!$A$4:$A$21,0),MATCH(D42,{"ESPECIALIZADO","OFICIAL","MEDIO OFICIAL","AYUDANTE"},0))*1.5,"-")</f>
        <v>63711.561871234051</v>
      </c>
      <c r="M42" s="156">
        <f>IFERROR(I42*INDEX('0_Jornales_MO'!$G$4:$J$21,MATCH(A42,'0_Jornales_MO'!$A$4:$A$21,0),MATCH(D42,{"ESPECIALIZADO","OFICIAL","MEDIO OFICIAL","AYUDANTE"},0))*2,"-")</f>
        <v>0</v>
      </c>
      <c r="N42" s="157">
        <f t="shared" si="3"/>
        <v>913199.05348768819</v>
      </c>
      <c r="O42" s="157">
        <f>IFERROR($N42 * SUMIF('0_Indice_CAC'!$A:$A,$A42,'0_Indice_CAC'!$D:$D),"-")</f>
        <v>725422.1199426481</v>
      </c>
    </row>
    <row r="43" spans="1:15" ht="12.75" customHeight="1" x14ac:dyDescent="0.3">
      <c r="A43" s="158">
        <v>46054</v>
      </c>
      <c r="B43" s="159" t="s">
        <v>4924</v>
      </c>
      <c r="C43" s="160" t="s">
        <v>4923</v>
      </c>
      <c r="D43" s="161" t="s">
        <v>59</v>
      </c>
      <c r="E43" s="160" t="s">
        <v>106</v>
      </c>
      <c r="F43" s="162">
        <f t="shared" si="2"/>
        <v>329</v>
      </c>
      <c r="G43" s="163">
        <v>300</v>
      </c>
      <c r="H43" s="163">
        <v>19</v>
      </c>
      <c r="I43" s="163">
        <v>10</v>
      </c>
      <c r="J43" s="154"/>
      <c r="K43" s="155">
        <f>IFERROR(G43*INDEX('0_Jornales_MO'!$G$4:$J$21,MATCH(A43,'0_Jornales_MO'!$A$4:$A$21,0),MATCH(D43,{"ESPECIALIZADO","OFICIAL","MEDIO OFICIAL","AYUDANTE"},0)),"-")</f>
        <v>2980897.5926867025</v>
      </c>
      <c r="L43" s="156">
        <f>IFERROR(H43*INDEX('0_Jornales_MO'!$G$4:$J$21,MATCH(A43,'0_Jornales_MO'!$A$4:$A$21,0),MATCH(D43,{"ESPECIALIZADO","OFICIAL","MEDIO OFICIAL","AYUDANTE"},0))*1.5,"-")</f>
        <v>283185.27130523673</v>
      </c>
      <c r="M43" s="156">
        <f>IFERROR(I43*INDEX('0_Jornales_MO'!$G$4:$J$21,MATCH(A43,'0_Jornales_MO'!$A$4:$A$21,0),MATCH(D43,{"ESPECIALIZADO","OFICIAL","MEDIO OFICIAL","AYUDANTE"},0))*2,"-")</f>
        <v>198726.50617911349</v>
      </c>
      <c r="N43" s="157">
        <f t="shared" si="3"/>
        <v>3462809.3701710529</v>
      </c>
      <c r="O43" s="157">
        <f>IFERROR($N43 * SUMIF('0_Indice_CAC'!$A:$A,$A43,'0_Indice_CAC'!$D:$D),"-")</f>
        <v>2750767.7594199544</v>
      </c>
    </row>
    <row r="44" spans="1:15" ht="12.75" customHeight="1" x14ac:dyDescent="0.3">
      <c r="A44" s="164">
        <v>46054</v>
      </c>
      <c r="B44" s="165" t="s">
        <v>4924</v>
      </c>
      <c r="C44" s="166" t="s">
        <v>4923</v>
      </c>
      <c r="D44" s="167" t="s">
        <v>59</v>
      </c>
      <c r="E44" s="166" t="s">
        <v>4165</v>
      </c>
      <c r="F44" s="168">
        <f t="shared" si="2"/>
        <v>8</v>
      </c>
      <c r="G44" s="169">
        <v>8</v>
      </c>
      <c r="H44" s="169">
        <v>0</v>
      </c>
      <c r="I44" s="169">
        <v>0</v>
      </c>
      <c r="J44" s="154"/>
      <c r="K44" s="155">
        <f>IFERROR(G44*INDEX('0_Jornales_MO'!$G$4:$J$21,MATCH(A44,'0_Jornales_MO'!$A$4:$A$21,0),MATCH(D44,{"ESPECIALIZADO","OFICIAL","MEDIO OFICIAL","AYUDANTE"},0)),"-")</f>
        <v>79490.602471645398</v>
      </c>
      <c r="L44" s="156">
        <f>IFERROR(H44*INDEX('0_Jornales_MO'!$G$4:$J$21,MATCH(A44,'0_Jornales_MO'!$A$4:$A$21,0),MATCH(D44,{"ESPECIALIZADO","OFICIAL","MEDIO OFICIAL","AYUDANTE"},0))*1.5,"-")</f>
        <v>0</v>
      </c>
      <c r="M44" s="156">
        <f>IFERROR(I44*INDEX('0_Jornales_MO'!$G$4:$J$21,MATCH(A44,'0_Jornales_MO'!$A$4:$A$21,0),MATCH(D44,{"ESPECIALIZADO","OFICIAL","MEDIO OFICIAL","AYUDANTE"},0))*2,"-")</f>
        <v>0</v>
      </c>
      <c r="N44" s="157">
        <f t="shared" si="3"/>
        <v>79490.602471645398</v>
      </c>
      <c r="O44" s="157">
        <f>IFERROR($N44 * SUMIF('0_Indice_CAC'!$A:$A,$A44,'0_Indice_CAC'!$D:$D),"-")</f>
        <v>63145.314419970258</v>
      </c>
    </row>
    <row r="45" spans="1:15" ht="12.75" customHeight="1" x14ac:dyDescent="0.3">
      <c r="A45" s="158">
        <v>46054</v>
      </c>
      <c r="B45" s="159" t="s">
        <v>4924</v>
      </c>
      <c r="C45" s="160" t="s">
        <v>4923</v>
      </c>
      <c r="D45" s="161" t="s">
        <v>64</v>
      </c>
      <c r="E45" s="160" t="s">
        <v>106</v>
      </c>
      <c r="F45" s="162">
        <f t="shared" si="2"/>
        <v>154</v>
      </c>
      <c r="G45" s="163">
        <v>144</v>
      </c>
      <c r="H45" s="163">
        <v>10</v>
      </c>
      <c r="I45" s="163">
        <v>0</v>
      </c>
      <c r="J45" s="154"/>
      <c r="K45" s="155">
        <f>IFERROR(G45*INDEX('0_Jornales_MO'!$G$4:$J$21,MATCH(A45,'0_Jornales_MO'!$A$4:$A$21,0),MATCH(D45,{"ESPECIALIZADO","OFICIAL","MEDIO OFICIAL","AYUDANTE"},0)),"-")</f>
        <v>2149314.0164396102</v>
      </c>
      <c r="L45" s="156">
        <f>IFERROR(H45*INDEX('0_Jornales_MO'!$G$4:$J$21,MATCH(A45,'0_Jornales_MO'!$A$4:$A$21,0),MATCH(D45,{"ESPECIALIZADO","OFICIAL","MEDIO OFICIAL","AYUDANTE"},0))*1.5,"-")</f>
        <v>223886.87671245937</v>
      </c>
      <c r="M45" s="156">
        <f>IFERROR(I45*INDEX('0_Jornales_MO'!$G$4:$J$21,MATCH(A45,'0_Jornales_MO'!$A$4:$A$21,0),MATCH(D45,{"ESPECIALIZADO","OFICIAL","MEDIO OFICIAL","AYUDANTE"},0))*2,"-")</f>
        <v>0</v>
      </c>
      <c r="N45" s="157">
        <f t="shared" si="3"/>
        <v>2373200.8931520693</v>
      </c>
      <c r="O45" s="157">
        <f>IFERROR($N45 * SUMIF('0_Indice_CAC'!$A:$A,$A45,'0_Indice_CAC'!$D:$D),"-")</f>
        <v>1885210.4767138485</v>
      </c>
    </row>
    <row r="46" spans="1:15" ht="12.75" customHeight="1" x14ac:dyDescent="0.3">
      <c r="A46" s="164">
        <v>46054</v>
      </c>
      <c r="B46" s="165" t="s">
        <v>4924</v>
      </c>
      <c r="C46" s="166" t="s">
        <v>4923</v>
      </c>
      <c r="D46" s="167" t="s">
        <v>498</v>
      </c>
      <c r="E46" s="166" t="s">
        <v>106</v>
      </c>
      <c r="F46" s="168">
        <f t="shared" si="2"/>
        <v>222</v>
      </c>
      <c r="G46" s="169">
        <v>207</v>
      </c>
      <c r="H46" s="169">
        <v>15</v>
      </c>
      <c r="I46" s="169">
        <v>0</v>
      </c>
      <c r="J46" s="154"/>
      <c r="K46" s="155">
        <f>IFERROR(G46*INDEX('0_Jornales_MO'!$G$4:$J$21,MATCH(A46,'0_Jornales_MO'!$A$4:$A$21,0),MATCH(D46,{"ESPECIALIZADO","OFICIAL","MEDIO OFICIAL","AYUDANTE"},0)),"-")</f>
        <v>2574033.5626456998</v>
      </c>
      <c r="L46" s="156">
        <f>IFERROR(H46*INDEX('0_Jornales_MO'!$G$4:$J$21,MATCH(A46,'0_Jornales_MO'!$A$4:$A$21,0),MATCH(D46,{"ESPECIALIZADO","OFICIAL","MEDIO OFICIAL","AYUDANTE"},0))*1.5,"-")</f>
        <v>279786.25680931518</v>
      </c>
      <c r="M46" s="156">
        <f>IFERROR(I46*INDEX('0_Jornales_MO'!$G$4:$J$21,MATCH(A46,'0_Jornales_MO'!$A$4:$A$21,0),MATCH(D46,{"ESPECIALIZADO","OFICIAL","MEDIO OFICIAL","AYUDANTE"},0))*2,"-")</f>
        <v>0</v>
      </c>
      <c r="N46" s="157">
        <f t="shared" si="3"/>
        <v>2853819.819455015</v>
      </c>
      <c r="O46" s="157">
        <f>IFERROR($N46 * SUMIF('0_Indice_CAC'!$A:$A,$A46,'0_Indice_CAC'!$D:$D),"-")</f>
        <v>2267001.9372630822</v>
      </c>
    </row>
    <row r="47" spans="1:15" ht="12.75" customHeight="1" x14ac:dyDescent="0.3">
      <c r="A47" s="158">
        <v>46054</v>
      </c>
      <c r="B47" s="159" t="s">
        <v>4924</v>
      </c>
      <c r="C47" s="160" t="s">
        <v>4923</v>
      </c>
      <c r="D47" s="161" t="s">
        <v>498</v>
      </c>
      <c r="E47" s="160" t="s">
        <v>3219</v>
      </c>
      <c r="F47" s="162">
        <f t="shared" si="2"/>
        <v>77</v>
      </c>
      <c r="G47" s="163">
        <v>72</v>
      </c>
      <c r="H47" s="163">
        <v>5</v>
      </c>
      <c r="I47" s="163">
        <v>0</v>
      </c>
      <c r="J47" s="154"/>
      <c r="K47" s="155">
        <f>IFERROR(G47*INDEX('0_Jornales_MO'!$G$4:$J$21,MATCH(A47,'0_Jornales_MO'!$A$4:$A$21,0),MATCH(D47,{"ESPECIALIZADO","OFICIAL","MEDIO OFICIAL","AYUDANTE"},0)),"-")</f>
        <v>895316.02178980864</v>
      </c>
      <c r="L47" s="156">
        <f>IFERROR(H47*INDEX('0_Jornales_MO'!$G$4:$J$21,MATCH(A47,'0_Jornales_MO'!$A$4:$A$21,0),MATCH(D47,{"ESPECIALIZADO","OFICIAL","MEDIO OFICIAL","AYUDANTE"},0))*1.5,"-")</f>
        <v>93262.085603105064</v>
      </c>
      <c r="M47" s="156">
        <f>IFERROR(I47*INDEX('0_Jornales_MO'!$G$4:$J$21,MATCH(A47,'0_Jornales_MO'!$A$4:$A$21,0),MATCH(D47,{"ESPECIALIZADO","OFICIAL","MEDIO OFICIAL","AYUDANTE"},0))*2,"-")</f>
        <v>0</v>
      </c>
      <c r="N47" s="157">
        <f t="shared" si="3"/>
        <v>988578.10739291366</v>
      </c>
      <c r="O47" s="157">
        <f>IFERROR($N47 * SUMIF('0_Indice_CAC'!$A:$A,$A47,'0_Indice_CAC'!$D:$D),"-")</f>
        <v>785301.32467283239</v>
      </c>
    </row>
    <row r="48" spans="1:15" ht="12.75" customHeight="1" x14ac:dyDescent="0.3">
      <c r="A48" s="164">
        <v>46054</v>
      </c>
      <c r="B48" s="165" t="s">
        <v>4924</v>
      </c>
      <c r="C48" s="166" t="s">
        <v>4923</v>
      </c>
      <c r="D48" s="167" t="s">
        <v>498</v>
      </c>
      <c r="E48" s="166" t="s">
        <v>4271</v>
      </c>
      <c r="F48" s="168">
        <f t="shared" si="2"/>
        <v>186</v>
      </c>
      <c r="G48" s="169">
        <v>183</v>
      </c>
      <c r="H48" s="169">
        <v>3</v>
      </c>
      <c r="I48" s="169">
        <v>0</v>
      </c>
      <c r="J48" s="154"/>
      <c r="K48" s="155">
        <f>IFERROR(G48*INDEX('0_Jornales_MO'!$G$4:$J$21,MATCH(A48,'0_Jornales_MO'!$A$4:$A$21,0),MATCH(D48,{"ESPECIALIZADO","OFICIAL","MEDIO OFICIAL","AYUDANTE"},0)),"-")</f>
        <v>2275594.8887157636</v>
      </c>
      <c r="L48" s="156">
        <f>IFERROR(H48*INDEX('0_Jornales_MO'!$G$4:$J$21,MATCH(A48,'0_Jornales_MO'!$A$4:$A$21,0),MATCH(D48,{"ESPECIALIZADO","OFICIAL","MEDIO OFICIAL","AYUDANTE"},0))*1.5,"-")</f>
        <v>55957.251361863033</v>
      </c>
      <c r="M48" s="156">
        <f>IFERROR(I48*INDEX('0_Jornales_MO'!$G$4:$J$21,MATCH(A48,'0_Jornales_MO'!$A$4:$A$21,0),MATCH(D48,{"ESPECIALIZADO","OFICIAL","MEDIO OFICIAL","AYUDANTE"},0))*2,"-")</f>
        <v>0</v>
      </c>
      <c r="N48" s="157">
        <f t="shared" si="3"/>
        <v>2331552.1400776268</v>
      </c>
      <c r="O48" s="157">
        <f>IFERROR($N48 * SUMIF('0_Indice_CAC'!$A:$A,$A48,'0_Indice_CAC'!$D:$D),"-")</f>
        <v>1852125.7657378125</v>
      </c>
    </row>
    <row r="49" spans="1:15" ht="12.75" customHeight="1" x14ac:dyDescent="0.3">
      <c r="A49" s="158">
        <v>46054</v>
      </c>
      <c r="B49" s="159" t="s">
        <v>4924</v>
      </c>
      <c r="C49" s="160" t="s">
        <v>4923</v>
      </c>
      <c r="D49" s="161" t="s">
        <v>498</v>
      </c>
      <c r="E49" s="160" t="s">
        <v>476</v>
      </c>
      <c r="F49" s="162">
        <f t="shared" si="2"/>
        <v>40</v>
      </c>
      <c r="G49" s="163">
        <v>40</v>
      </c>
      <c r="H49" s="163">
        <v>0</v>
      </c>
      <c r="I49" s="163">
        <v>0</v>
      </c>
      <c r="J49" s="154"/>
      <c r="K49" s="155">
        <f>IFERROR(G49*INDEX('0_Jornales_MO'!$G$4:$J$21,MATCH(A49,'0_Jornales_MO'!$A$4:$A$21,0),MATCH(D49,{"ESPECIALIZADO","OFICIAL","MEDIO OFICIAL","AYUDANTE"},0)),"-")</f>
        <v>497397.78988322703</v>
      </c>
      <c r="L49" s="156">
        <f>IFERROR(H49*INDEX('0_Jornales_MO'!$G$4:$J$21,MATCH(A49,'0_Jornales_MO'!$A$4:$A$21,0),MATCH(D49,{"ESPECIALIZADO","OFICIAL","MEDIO OFICIAL","AYUDANTE"},0))*1.5,"-")</f>
        <v>0</v>
      </c>
      <c r="M49" s="156">
        <f>IFERROR(I49*INDEX('0_Jornales_MO'!$G$4:$J$21,MATCH(A49,'0_Jornales_MO'!$A$4:$A$21,0),MATCH(D49,{"ESPECIALIZADO","OFICIAL","MEDIO OFICIAL","AYUDANTE"},0))*2,"-")</f>
        <v>0</v>
      </c>
      <c r="N49" s="157">
        <f t="shared" si="3"/>
        <v>497397.78988322703</v>
      </c>
      <c r="O49" s="157">
        <f>IFERROR($N49 * SUMIF('0_Indice_CAC'!$A:$A,$A49,'0_Indice_CAC'!$D:$D),"-")</f>
        <v>395120.16335739999</v>
      </c>
    </row>
    <row r="50" spans="1:15" ht="12.75" customHeight="1" x14ac:dyDescent="0.3">
      <c r="A50" s="164">
        <v>46082</v>
      </c>
      <c r="B50" s="165" t="s">
        <v>4922</v>
      </c>
      <c r="C50" s="166" t="s">
        <v>4923</v>
      </c>
      <c r="D50" s="167" t="s">
        <v>414</v>
      </c>
      <c r="E50" s="166" t="s">
        <v>106</v>
      </c>
      <c r="F50" s="168">
        <f t="shared" si="2"/>
        <v>90</v>
      </c>
      <c r="G50" s="169">
        <v>84</v>
      </c>
      <c r="H50" s="169">
        <v>4</v>
      </c>
      <c r="I50" s="169">
        <v>2</v>
      </c>
      <c r="J50" s="154"/>
      <c r="K50" s="155">
        <f>IFERROR(G50*INDEX('0_Jornales_MO'!$G$4:$J$21,MATCH(A50,'0_Jornales_MO'!$A$4:$A$21,0),MATCH(D50,{"ESPECIALIZADO","OFICIAL","MEDIO OFICIAL","AYUDANTE"},0)),"-")</f>
        <v>914554.93401977676</v>
      </c>
      <c r="L50" s="156">
        <f>IFERROR(H50*INDEX('0_Jornales_MO'!$G$4:$J$21,MATCH(A50,'0_Jornales_MO'!$A$4:$A$21,0),MATCH(D50,{"ESPECIALIZADO","OFICIAL","MEDIO OFICIAL","AYUDANTE"},0))*1.5,"-")</f>
        <v>65325.35242998405</v>
      </c>
      <c r="M50" s="156">
        <f>IFERROR(I50*INDEX('0_Jornales_MO'!$G$4:$J$21,MATCH(A50,'0_Jornales_MO'!$A$4:$A$21,0),MATCH(D50,{"ESPECIALIZADO","OFICIAL","MEDIO OFICIAL","AYUDANTE"},0))*2,"-")</f>
        <v>43550.234953322702</v>
      </c>
      <c r="N50" s="157">
        <f t="shared" si="3"/>
        <v>1023430.5214030835</v>
      </c>
      <c r="O50" s="157">
        <f>IFERROR($N50 * SUMIF('0_Indice_CAC'!$A:$A,$A50,'0_Indice_CAC'!$D:$D),"-")</f>
        <v>812987.19661916932</v>
      </c>
    </row>
    <row r="51" spans="1:15" ht="12.75" customHeight="1" x14ac:dyDescent="0.3">
      <c r="A51" s="158">
        <v>46082</v>
      </c>
      <c r="B51" s="159" t="s">
        <v>4922</v>
      </c>
      <c r="C51" s="160" t="s">
        <v>4923</v>
      </c>
      <c r="D51" s="161" t="s">
        <v>414</v>
      </c>
      <c r="E51" s="160" t="s">
        <v>3219</v>
      </c>
      <c r="F51" s="162">
        <f t="shared" si="2"/>
        <v>80</v>
      </c>
      <c r="G51" s="163">
        <v>72</v>
      </c>
      <c r="H51" s="163">
        <v>8</v>
      </c>
      <c r="I51" s="163">
        <v>0</v>
      </c>
      <c r="J51" s="154"/>
      <c r="K51" s="155">
        <f>IFERROR(G51*INDEX('0_Jornales_MO'!$G$4:$J$21,MATCH(A51,'0_Jornales_MO'!$A$4:$A$21,0),MATCH(D51,{"ESPECIALIZADO","OFICIAL","MEDIO OFICIAL","AYUDANTE"},0)),"-")</f>
        <v>783904.2291598086</v>
      </c>
      <c r="L51" s="156">
        <f>IFERROR(H51*INDEX('0_Jornales_MO'!$G$4:$J$21,MATCH(A51,'0_Jornales_MO'!$A$4:$A$21,0),MATCH(D51,{"ESPECIALIZADO","OFICIAL","MEDIO OFICIAL","AYUDANTE"},0))*1.5,"-")</f>
        <v>130650.7048599681</v>
      </c>
      <c r="M51" s="156">
        <f>IFERROR(I51*INDEX('0_Jornales_MO'!$G$4:$J$21,MATCH(A51,'0_Jornales_MO'!$A$4:$A$21,0),MATCH(D51,{"ESPECIALIZADO","OFICIAL","MEDIO OFICIAL","AYUDANTE"},0))*2,"-")</f>
        <v>0</v>
      </c>
      <c r="N51" s="157">
        <f t="shared" si="3"/>
        <v>914554.93401977676</v>
      </c>
      <c r="O51" s="157">
        <f>IFERROR($N51 * SUMIF('0_Indice_CAC'!$A:$A,$A51,'0_Indice_CAC'!$D:$D),"-")</f>
        <v>726499.19697883225</v>
      </c>
    </row>
    <row r="52" spans="1:15" ht="12.75" customHeight="1" x14ac:dyDescent="0.3">
      <c r="A52" s="164">
        <v>46082</v>
      </c>
      <c r="B52" s="165" t="s">
        <v>4922</v>
      </c>
      <c r="C52" s="166" t="s">
        <v>4923</v>
      </c>
      <c r="D52" s="167" t="s">
        <v>59</v>
      </c>
      <c r="E52" s="166" t="s">
        <v>106</v>
      </c>
      <c r="F52" s="168">
        <f t="shared" si="2"/>
        <v>350</v>
      </c>
      <c r="G52" s="169">
        <v>312</v>
      </c>
      <c r="H52" s="169">
        <v>30</v>
      </c>
      <c r="I52" s="169">
        <v>8</v>
      </c>
      <c r="J52" s="154"/>
      <c r="K52" s="155">
        <f>IFERROR(G52*INDEX('0_Jornales_MO'!$G$4:$J$21,MATCH(A52,'0_Jornales_MO'!$A$4:$A$21,0),MATCH(D52,{"ESPECIALIZADO","OFICIAL","MEDIO OFICIAL","AYUDANTE"},0)),"-")</f>
        <v>3176695.0540316706</v>
      </c>
      <c r="L52" s="156">
        <f>IFERROR(H52*INDEX('0_Jornales_MO'!$G$4:$J$21,MATCH(A52,'0_Jornales_MO'!$A$4:$A$21,0),MATCH(D52,{"ESPECIALIZADO","OFICIAL","MEDIO OFICIAL","AYUDANTE"},0))*1.5,"-")</f>
        <v>458177.17125456792</v>
      </c>
      <c r="M52" s="156">
        <f>IFERROR(I52*INDEX('0_Jornales_MO'!$G$4:$J$21,MATCH(A52,'0_Jornales_MO'!$A$4:$A$21,0),MATCH(D52,{"ESPECIALIZADO","OFICIAL","MEDIO OFICIAL","AYUDANTE"},0))*2,"-")</f>
        <v>162907.43866829079</v>
      </c>
      <c r="N52" s="157">
        <f t="shared" si="3"/>
        <v>3797779.663954529</v>
      </c>
      <c r="O52" s="157">
        <f>IFERROR($N52 * SUMIF('0_Indice_CAC'!$A:$A,$A52,'0_Indice_CAC'!$D:$D),"-")</f>
        <v>3016859.6478271699</v>
      </c>
    </row>
    <row r="53" spans="1:15" ht="12.75" customHeight="1" x14ac:dyDescent="0.3">
      <c r="A53" s="158">
        <v>46082</v>
      </c>
      <c r="B53" s="159" t="s">
        <v>4922</v>
      </c>
      <c r="C53" s="160" t="s">
        <v>4923</v>
      </c>
      <c r="D53" s="161" t="s">
        <v>59</v>
      </c>
      <c r="E53" s="160" t="s">
        <v>4165</v>
      </c>
      <c r="F53" s="162">
        <f t="shared" si="2"/>
        <v>20</v>
      </c>
      <c r="G53" s="163">
        <v>20</v>
      </c>
      <c r="H53" s="163">
        <v>0</v>
      </c>
      <c r="I53" s="163">
        <v>0</v>
      </c>
      <c r="J53" s="154"/>
      <c r="K53" s="155">
        <f>IFERROR(G53*INDEX('0_Jornales_MO'!$G$4:$J$21,MATCH(A53,'0_Jornales_MO'!$A$4:$A$21,0),MATCH(D53,{"ESPECIALIZADO","OFICIAL","MEDIO OFICIAL","AYUDANTE"},0)),"-")</f>
        <v>203634.29833536351</v>
      </c>
      <c r="L53" s="156">
        <f>IFERROR(H53*INDEX('0_Jornales_MO'!$G$4:$J$21,MATCH(A53,'0_Jornales_MO'!$A$4:$A$21,0),MATCH(D53,{"ESPECIALIZADO","OFICIAL","MEDIO OFICIAL","AYUDANTE"},0))*1.5,"-")</f>
        <v>0</v>
      </c>
      <c r="M53" s="156">
        <f>IFERROR(I53*INDEX('0_Jornales_MO'!$G$4:$J$21,MATCH(A53,'0_Jornales_MO'!$A$4:$A$21,0),MATCH(D53,{"ESPECIALIZADO","OFICIAL","MEDIO OFICIAL","AYUDANTE"},0))*2,"-")</f>
        <v>0</v>
      </c>
      <c r="N53" s="157">
        <f t="shared" si="3"/>
        <v>203634.29833536351</v>
      </c>
      <c r="O53" s="157">
        <f>IFERROR($N53 * SUMIF('0_Indice_CAC'!$A:$A,$A53,'0_Indice_CAC'!$D:$D),"-")</f>
        <v>161761.91141164451</v>
      </c>
    </row>
    <row r="54" spans="1:15" ht="12.75" customHeight="1" x14ac:dyDescent="0.3">
      <c r="A54" s="164">
        <v>46082</v>
      </c>
      <c r="B54" s="165" t="s">
        <v>4922</v>
      </c>
      <c r="C54" s="166" t="s">
        <v>4923</v>
      </c>
      <c r="D54" s="167" t="s">
        <v>64</v>
      </c>
      <c r="E54" s="166" t="s">
        <v>106</v>
      </c>
      <c r="F54" s="168">
        <f t="shared" si="2"/>
        <v>159</v>
      </c>
      <c r="G54" s="169">
        <v>144</v>
      </c>
      <c r="H54" s="169">
        <v>15</v>
      </c>
      <c r="I54" s="169">
        <v>0</v>
      </c>
      <c r="J54" s="154"/>
      <c r="K54" s="155">
        <f>IFERROR(G54*INDEX('0_Jornales_MO'!$G$4:$J$21,MATCH(A54,'0_Jornales_MO'!$A$4:$A$21,0),MATCH(D54,{"ESPECIALIZADO","OFICIAL","MEDIO OFICIAL","AYUDANTE"},0)),"-")</f>
        <v>2204024.2305596098</v>
      </c>
      <c r="L54" s="156">
        <f>IFERROR(H54*INDEX('0_Jornales_MO'!$G$4:$J$21,MATCH(A54,'0_Jornales_MO'!$A$4:$A$21,0),MATCH(D54,{"ESPECIALIZADO","OFICIAL","MEDIO OFICIAL","AYUDANTE"},0))*1.5,"-")</f>
        <v>344378.78602493904</v>
      </c>
      <c r="M54" s="156">
        <f>IFERROR(I54*INDEX('0_Jornales_MO'!$G$4:$J$21,MATCH(A54,'0_Jornales_MO'!$A$4:$A$21,0),MATCH(D54,{"ESPECIALIZADO","OFICIAL","MEDIO OFICIAL","AYUDANTE"},0))*2,"-")</f>
        <v>0</v>
      </c>
      <c r="N54" s="157">
        <f t="shared" si="3"/>
        <v>2548403.0165845491</v>
      </c>
      <c r="O54" s="157">
        <f>IFERROR($N54 * SUMIF('0_Indice_CAC'!$A:$A,$A54,'0_Indice_CAC'!$D:$D),"-")</f>
        <v>2024386.5909612738</v>
      </c>
    </row>
    <row r="55" spans="1:15" ht="12.75" customHeight="1" x14ac:dyDescent="0.3">
      <c r="A55" s="158">
        <v>46082</v>
      </c>
      <c r="B55" s="159" t="s">
        <v>4922</v>
      </c>
      <c r="C55" s="160" t="s">
        <v>4923</v>
      </c>
      <c r="D55" s="161" t="s">
        <v>498</v>
      </c>
      <c r="E55" s="160" t="s">
        <v>106</v>
      </c>
      <c r="F55" s="162">
        <f t="shared" si="2"/>
        <v>255</v>
      </c>
      <c r="G55" s="163">
        <v>232</v>
      </c>
      <c r="H55" s="163">
        <v>23</v>
      </c>
      <c r="I55" s="163">
        <v>0</v>
      </c>
      <c r="J55" s="154"/>
      <c r="K55" s="155">
        <f>IFERROR(G55*INDEX('0_Jornales_MO'!$G$4:$J$21,MATCH(A55,'0_Jornales_MO'!$A$4:$A$21,0),MATCH(D55,{"ESPECIALIZADO","OFICIAL","MEDIO OFICIAL","AYUDANTE"},0)),"-")</f>
        <v>2958842.9396006782</v>
      </c>
      <c r="L55" s="156">
        <f>IFERROR(H55*INDEX('0_Jornales_MO'!$G$4:$J$21,MATCH(A55,'0_Jornales_MO'!$A$4:$A$21,0),MATCH(D55,{"ESPECIALIZADO","OFICIAL","MEDIO OFICIAL","AYUDANTE"},0))*1.5,"-")</f>
        <v>440000.35093199741</v>
      </c>
      <c r="M55" s="156">
        <f>IFERROR(I55*INDEX('0_Jornales_MO'!$G$4:$J$21,MATCH(A55,'0_Jornales_MO'!$A$4:$A$21,0),MATCH(D55,{"ESPECIALIZADO","OFICIAL","MEDIO OFICIAL","AYUDANTE"},0))*2,"-")</f>
        <v>0</v>
      </c>
      <c r="N55" s="157">
        <f t="shared" si="3"/>
        <v>3398843.2905326756</v>
      </c>
      <c r="O55" s="157">
        <f>IFERROR($N55 * SUMIF('0_Indice_CAC'!$A:$A,$A55,'0_Indice_CAC'!$D:$D),"-")</f>
        <v>2699954.7313966863</v>
      </c>
    </row>
    <row r="56" spans="1:15" ht="12.75" customHeight="1" x14ac:dyDescent="0.3">
      <c r="A56" s="164">
        <v>46082</v>
      </c>
      <c r="B56" s="165" t="s">
        <v>4922</v>
      </c>
      <c r="C56" s="166" t="s">
        <v>4923</v>
      </c>
      <c r="D56" s="167" t="s">
        <v>498</v>
      </c>
      <c r="E56" s="166" t="s">
        <v>3219</v>
      </c>
      <c r="F56" s="168">
        <f t="shared" si="2"/>
        <v>81</v>
      </c>
      <c r="G56" s="169">
        <v>72</v>
      </c>
      <c r="H56" s="169">
        <v>9</v>
      </c>
      <c r="I56" s="169">
        <v>0</v>
      </c>
      <c r="J56" s="154"/>
      <c r="K56" s="155">
        <f>IFERROR(G56*INDEX('0_Jornales_MO'!$G$4:$J$21,MATCH(A56,'0_Jornales_MO'!$A$4:$A$21,0),MATCH(D56,{"ESPECIALIZADO","OFICIAL","MEDIO OFICIAL","AYUDANTE"},0)),"-")</f>
        <v>918261.60194503807</v>
      </c>
      <c r="L56" s="156">
        <f>IFERROR(H56*INDEX('0_Jornales_MO'!$G$4:$J$21,MATCH(A56,'0_Jornales_MO'!$A$4:$A$21,0),MATCH(D56,{"ESPECIALIZADO","OFICIAL","MEDIO OFICIAL","AYUDANTE"},0))*1.5,"-")</f>
        <v>172174.05036469465</v>
      </c>
      <c r="M56" s="156">
        <f>IFERROR(I56*INDEX('0_Jornales_MO'!$G$4:$J$21,MATCH(A56,'0_Jornales_MO'!$A$4:$A$21,0),MATCH(D56,{"ESPECIALIZADO","OFICIAL","MEDIO OFICIAL","AYUDANTE"},0))*2,"-")</f>
        <v>0</v>
      </c>
      <c r="N56" s="157">
        <f t="shared" si="3"/>
        <v>1090435.6523097327</v>
      </c>
      <c r="O56" s="157">
        <f>IFERROR($N56 * SUMIF('0_Indice_CAC'!$A:$A,$A56,'0_Indice_CAC'!$D:$D),"-")</f>
        <v>866214.36973514699</v>
      </c>
    </row>
    <row r="57" spans="1:15" ht="12.75" customHeight="1" x14ac:dyDescent="0.3">
      <c r="A57" s="158">
        <v>46082</v>
      </c>
      <c r="B57" s="159" t="s">
        <v>4922</v>
      </c>
      <c r="C57" s="160" t="s">
        <v>4923</v>
      </c>
      <c r="D57" s="161" t="s">
        <v>498</v>
      </c>
      <c r="E57" s="160" t="s">
        <v>4271</v>
      </c>
      <c r="F57" s="162">
        <f t="shared" si="2"/>
        <v>230</v>
      </c>
      <c r="G57" s="163">
        <v>224</v>
      </c>
      <c r="H57" s="163">
        <v>6</v>
      </c>
      <c r="I57" s="163">
        <v>0</v>
      </c>
      <c r="J57" s="154"/>
      <c r="K57" s="155">
        <f>IFERROR(G57*INDEX('0_Jornales_MO'!$G$4:$J$21,MATCH(A57,'0_Jornales_MO'!$A$4:$A$21,0),MATCH(D57,{"ESPECIALIZADO","OFICIAL","MEDIO OFICIAL","AYUDANTE"},0)),"-")</f>
        <v>2856813.872717896</v>
      </c>
      <c r="L57" s="156">
        <f>IFERROR(H57*INDEX('0_Jornales_MO'!$G$4:$J$21,MATCH(A57,'0_Jornales_MO'!$A$4:$A$21,0),MATCH(D57,{"ESPECIALIZADO","OFICIAL","MEDIO OFICIAL","AYUDANTE"},0))*1.5,"-")</f>
        <v>114782.70024312974</v>
      </c>
      <c r="M57" s="156">
        <f>IFERROR(I57*INDEX('0_Jornales_MO'!$G$4:$J$21,MATCH(A57,'0_Jornales_MO'!$A$4:$A$21,0),MATCH(D57,{"ESPECIALIZADO","OFICIAL","MEDIO OFICIAL","AYUDANTE"},0))*2,"-")</f>
        <v>0</v>
      </c>
      <c r="N57" s="157">
        <f t="shared" si="3"/>
        <v>2971596.5729610259</v>
      </c>
      <c r="O57" s="157">
        <f>IFERROR($N57 * SUMIF('0_Indice_CAC'!$A:$A,$A57,'0_Indice_CAC'!$D:$D),"-")</f>
        <v>2360560.7970560146</v>
      </c>
    </row>
    <row r="58" spans="1:15" ht="12.75" customHeight="1" x14ac:dyDescent="0.3">
      <c r="A58" s="164">
        <v>46082</v>
      </c>
      <c r="B58" s="165" t="s">
        <v>4922</v>
      </c>
      <c r="C58" s="166" t="s">
        <v>4923</v>
      </c>
      <c r="D58" s="167" t="s">
        <v>498</v>
      </c>
      <c r="E58" s="166" t="s">
        <v>4165</v>
      </c>
      <c r="F58" s="168">
        <f t="shared" si="2"/>
        <v>124</v>
      </c>
      <c r="G58" s="169">
        <v>124</v>
      </c>
      <c r="H58" s="169">
        <v>0</v>
      </c>
      <c r="I58" s="169">
        <v>0</v>
      </c>
      <c r="J58" s="154"/>
      <c r="K58" s="155">
        <f>IFERROR(G58*INDEX('0_Jornales_MO'!$G$4:$J$21,MATCH(A58,'0_Jornales_MO'!$A$4:$A$21,0),MATCH(D58,{"ESPECIALIZADO","OFICIAL","MEDIO OFICIAL","AYUDANTE"},0)),"-")</f>
        <v>1581450.536683121</v>
      </c>
      <c r="L58" s="156">
        <f>IFERROR(H58*INDEX('0_Jornales_MO'!$G$4:$J$21,MATCH(A58,'0_Jornales_MO'!$A$4:$A$21,0),MATCH(D58,{"ESPECIALIZADO","OFICIAL","MEDIO OFICIAL","AYUDANTE"},0))*1.5,"-")</f>
        <v>0</v>
      </c>
      <c r="M58" s="156">
        <f>IFERROR(I58*INDEX('0_Jornales_MO'!$G$4:$J$21,MATCH(A58,'0_Jornales_MO'!$A$4:$A$21,0),MATCH(D58,{"ESPECIALIZADO","OFICIAL","MEDIO OFICIAL","AYUDANTE"},0))*2,"-")</f>
        <v>0</v>
      </c>
      <c r="N58" s="157">
        <f t="shared" si="3"/>
        <v>1581450.536683121</v>
      </c>
      <c r="O58" s="157">
        <f>IFERROR($N58 * SUMIF('0_Indice_CAC'!$A:$A,$A58,'0_Indice_CAC'!$D:$D),"-")</f>
        <v>1256264.1151714411</v>
      </c>
    </row>
    <row r="59" spans="1:15" ht="12.75" customHeight="1" x14ac:dyDescent="0.3">
      <c r="A59" s="158">
        <v>46082</v>
      </c>
      <c r="B59" s="159" t="s">
        <v>4922</v>
      </c>
      <c r="C59" s="160" t="s">
        <v>4923</v>
      </c>
      <c r="D59" s="161" t="s">
        <v>498</v>
      </c>
      <c r="E59" s="160" t="s">
        <v>476</v>
      </c>
      <c r="F59" s="162">
        <f t="shared" si="2"/>
        <v>40</v>
      </c>
      <c r="G59" s="163">
        <v>40</v>
      </c>
      <c r="H59" s="163">
        <v>0</v>
      </c>
      <c r="I59" s="163">
        <v>0</v>
      </c>
      <c r="J59" s="154"/>
      <c r="K59" s="155">
        <f>IFERROR(G59*INDEX('0_Jornales_MO'!$G$4:$J$21,MATCH(A59,'0_Jornales_MO'!$A$4:$A$21,0),MATCH(D59,{"ESPECIALIZADO","OFICIAL","MEDIO OFICIAL","AYUDANTE"},0)),"-")</f>
        <v>510145.33441391005</v>
      </c>
      <c r="L59" s="156">
        <f>IFERROR(H59*INDEX('0_Jornales_MO'!$G$4:$J$21,MATCH(A59,'0_Jornales_MO'!$A$4:$A$21,0),MATCH(D59,{"ESPECIALIZADO","OFICIAL","MEDIO OFICIAL","AYUDANTE"},0))*1.5,"-")</f>
        <v>0</v>
      </c>
      <c r="M59" s="156">
        <f>IFERROR(I59*INDEX('0_Jornales_MO'!$G$4:$J$21,MATCH(A59,'0_Jornales_MO'!$A$4:$A$21,0),MATCH(D59,{"ESPECIALIZADO","OFICIAL","MEDIO OFICIAL","AYUDANTE"},0))*2,"-")</f>
        <v>0</v>
      </c>
      <c r="N59" s="157">
        <f t="shared" si="3"/>
        <v>510145.33441391005</v>
      </c>
      <c r="O59" s="157">
        <f>IFERROR($N59 * SUMIF('0_Indice_CAC'!$A:$A,$A59,'0_Indice_CAC'!$D:$D),"-")</f>
        <v>405246.48876498104</v>
      </c>
    </row>
    <row r="60" spans="1:15" ht="12.75" customHeight="1" x14ac:dyDescent="0.3">
      <c r="A60" s="164">
        <v>46082</v>
      </c>
      <c r="B60" s="165" t="s">
        <v>4924</v>
      </c>
      <c r="C60" s="166" t="s">
        <v>4923</v>
      </c>
      <c r="D60" s="167" t="s">
        <v>414</v>
      </c>
      <c r="E60" s="166" t="s">
        <v>106</v>
      </c>
      <c r="F60" s="168">
        <f t="shared" si="2"/>
        <v>196</v>
      </c>
      <c r="G60" s="169">
        <v>180</v>
      </c>
      <c r="H60" s="169">
        <v>14</v>
      </c>
      <c r="I60" s="169">
        <v>2</v>
      </c>
      <c r="J60" s="154"/>
      <c r="K60" s="155">
        <f>IFERROR(G60*INDEX('0_Jornales_MO'!$G$4:$J$21,MATCH(A60,'0_Jornales_MO'!$A$4:$A$21,0),MATCH(D60,{"ESPECIALIZADO","OFICIAL","MEDIO OFICIAL","AYUDANTE"},0)),"-")</f>
        <v>1959760.5728995216</v>
      </c>
      <c r="L60" s="156">
        <f>IFERROR(H60*INDEX('0_Jornales_MO'!$G$4:$J$21,MATCH(A60,'0_Jornales_MO'!$A$4:$A$21,0),MATCH(D60,{"ESPECIALIZADO","OFICIAL","MEDIO OFICIAL","AYUDANTE"},0))*1.5,"-")</f>
        <v>228638.73350494419</v>
      </c>
      <c r="M60" s="156">
        <f>IFERROR(I60*INDEX('0_Jornales_MO'!$G$4:$J$21,MATCH(A60,'0_Jornales_MO'!$A$4:$A$21,0),MATCH(D60,{"ESPECIALIZADO","OFICIAL","MEDIO OFICIAL","AYUDANTE"},0))*2,"-")</f>
        <v>43550.234953322702</v>
      </c>
      <c r="N60" s="157">
        <f t="shared" si="3"/>
        <v>2231949.5413577887</v>
      </c>
      <c r="O60" s="157">
        <f>IFERROR($N60 * SUMIF('0_Indice_CAC'!$A:$A,$A60,'0_Indice_CAC'!$D:$D),"-")</f>
        <v>1773003.992626912</v>
      </c>
    </row>
    <row r="61" spans="1:15" ht="12.75" customHeight="1" x14ac:dyDescent="0.3">
      <c r="A61" s="158">
        <v>46082</v>
      </c>
      <c r="B61" s="159" t="s">
        <v>4924</v>
      </c>
      <c r="C61" s="160" t="s">
        <v>4923</v>
      </c>
      <c r="D61" s="161" t="s">
        <v>414</v>
      </c>
      <c r="E61" s="160" t="s">
        <v>3219</v>
      </c>
      <c r="F61" s="162">
        <f t="shared" si="2"/>
        <v>86</v>
      </c>
      <c r="G61" s="163">
        <v>80</v>
      </c>
      <c r="H61" s="163">
        <v>6</v>
      </c>
      <c r="I61" s="163">
        <v>0</v>
      </c>
      <c r="J61" s="154"/>
      <c r="K61" s="155">
        <f>IFERROR(G61*INDEX('0_Jornales_MO'!$G$4:$J$21,MATCH(A61,'0_Jornales_MO'!$A$4:$A$21,0),MATCH(D61,{"ESPECIALIZADO","OFICIAL","MEDIO OFICIAL","AYUDANTE"},0)),"-")</f>
        <v>871004.69906645408</v>
      </c>
      <c r="L61" s="156">
        <f>IFERROR(H61*INDEX('0_Jornales_MO'!$G$4:$J$21,MATCH(A61,'0_Jornales_MO'!$A$4:$A$21,0),MATCH(D61,{"ESPECIALIZADO","OFICIAL","MEDIO OFICIAL","AYUDANTE"},0))*1.5,"-")</f>
        <v>97988.028644976075</v>
      </c>
      <c r="M61" s="156">
        <f>IFERROR(I61*INDEX('0_Jornales_MO'!$G$4:$J$21,MATCH(A61,'0_Jornales_MO'!$A$4:$A$21,0),MATCH(D61,{"ESPECIALIZADO","OFICIAL","MEDIO OFICIAL","AYUDANTE"},0))*2,"-")</f>
        <v>0</v>
      </c>
      <c r="N61" s="157">
        <f t="shared" si="3"/>
        <v>968992.72771143017</v>
      </c>
      <c r="O61" s="157">
        <f>IFERROR($N61 * SUMIF('0_Indice_CAC'!$A:$A,$A61,'0_Indice_CAC'!$D:$D),"-")</f>
        <v>769743.19679900084</v>
      </c>
    </row>
    <row r="62" spans="1:15" ht="12.75" customHeight="1" x14ac:dyDescent="0.3">
      <c r="A62" s="164">
        <v>46082</v>
      </c>
      <c r="B62" s="165" t="s">
        <v>4924</v>
      </c>
      <c r="C62" s="166" t="s">
        <v>4923</v>
      </c>
      <c r="D62" s="167" t="s">
        <v>59</v>
      </c>
      <c r="E62" s="166" t="s">
        <v>106</v>
      </c>
      <c r="F62" s="168">
        <f t="shared" si="2"/>
        <v>408</v>
      </c>
      <c r="G62" s="169">
        <v>380</v>
      </c>
      <c r="H62" s="169">
        <v>26</v>
      </c>
      <c r="I62" s="169">
        <v>2</v>
      </c>
      <c r="J62" s="154"/>
      <c r="K62" s="155">
        <f>IFERROR(G62*INDEX('0_Jornales_MO'!$G$4:$J$21,MATCH(A62,'0_Jornales_MO'!$A$4:$A$21,0),MATCH(D62,{"ESPECIALIZADO","OFICIAL","MEDIO OFICIAL","AYUDANTE"},0)),"-")</f>
        <v>3869051.6683719065</v>
      </c>
      <c r="L62" s="156">
        <f>IFERROR(H62*INDEX('0_Jornales_MO'!$G$4:$J$21,MATCH(A62,'0_Jornales_MO'!$A$4:$A$21,0),MATCH(D62,{"ESPECIALIZADO","OFICIAL","MEDIO OFICIAL","AYUDANTE"},0))*1.5,"-")</f>
        <v>397086.88175395882</v>
      </c>
      <c r="M62" s="156">
        <f>IFERROR(I62*INDEX('0_Jornales_MO'!$G$4:$J$21,MATCH(A62,'0_Jornales_MO'!$A$4:$A$21,0),MATCH(D62,{"ESPECIALIZADO","OFICIAL","MEDIO OFICIAL","AYUDANTE"},0))*2,"-")</f>
        <v>40726.859667072698</v>
      </c>
      <c r="N62" s="157">
        <f t="shared" si="3"/>
        <v>4306865.4097929383</v>
      </c>
      <c r="O62" s="157">
        <f>IFERROR($N62 * SUMIF('0_Indice_CAC'!$A:$A,$A62,'0_Indice_CAC'!$D:$D),"-")</f>
        <v>3421264.4263562816</v>
      </c>
    </row>
    <row r="63" spans="1:15" ht="12.75" customHeight="1" x14ac:dyDescent="0.3">
      <c r="A63" s="158">
        <v>46082</v>
      </c>
      <c r="B63" s="159" t="s">
        <v>4924</v>
      </c>
      <c r="C63" s="160" t="s">
        <v>4923</v>
      </c>
      <c r="D63" s="161" t="s">
        <v>64</v>
      </c>
      <c r="E63" s="160" t="s">
        <v>106</v>
      </c>
      <c r="F63" s="162">
        <f t="shared" si="2"/>
        <v>182</v>
      </c>
      <c r="G63" s="163">
        <v>168</v>
      </c>
      <c r="H63" s="163">
        <v>14</v>
      </c>
      <c r="I63" s="163">
        <v>0</v>
      </c>
      <c r="J63" s="154"/>
      <c r="K63" s="155">
        <f>IFERROR(G63*INDEX('0_Jornales_MO'!$G$4:$J$21,MATCH(A63,'0_Jornales_MO'!$A$4:$A$21,0),MATCH(D63,{"ESPECIALIZADO","OFICIAL","MEDIO OFICIAL","AYUDANTE"},0)),"-")</f>
        <v>2571361.6023195451</v>
      </c>
      <c r="L63" s="156">
        <f>IFERROR(H63*INDEX('0_Jornales_MO'!$G$4:$J$21,MATCH(A63,'0_Jornales_MO'!$A$4:$A$21,0),MATCH(D63,{"ESPECIALIZADO","OFICIAL","MEDIO OFICIAL","AYUDANTE"},0))*1.5,"-")</f>
        <v>321420.20028994314</v>
      </c>
      <c r="M63" s="156">
        <f>IFERROR(I63*INDEX('0_Jornales_MO'!$G$4:$J$21,MATCH(A63,'0_Jornales_MO'!$A$4:$A$21,0),MATCH(D63,{"ESPECIALIZADO","OFICIAL","MEDIO OFICIAL","AYUDANTE"},0))*2,"-")</f>
        <v>0</v>
      </c>
      <c r="N63" s="157">
        <f t="shared" si="3"/>
        <v>2892781.8026094884</v>
      </c>
      <c r="O63" s="157">
        <f>IFERROR($N63 * SUMIF('0_Indice_CAC'!$A:$A,$A63,'0_Indice_CAC'!$D:$D),"-")</f>
        <v>2297952.3464965811</v>
      </c>
    </row>
    <row r="64" spans="1:15" ht="12.75" customHeight="1" x14ac:dyDescent="0.3">
      <c r="A64" s="164">
        <v>46082</v>
      </c>
      <c r="B64" s="165" t="s">
        <v>4924</v>
      </c>
      <c r="C64" s="166" t="s">
        <v>4923</v>
      </c>
      <c r="D64" s="167" t="s">
        <v>498</v>
      </c>
      <c r="E64" s="166" t="s">
        <v>106</v>
      </c>
      <c r="F64" s="168">
        <f t="shared" si="2"/>
        <v>407</v>
      </c>
      <c r="G64" s="169">
        <v>376</v>
      </c>
      <c r="H64" s="169">
        <v>31</v>
      </c>
      <c r="I64" s="169">
        <v>0</v>
      </c>
      <c r="J64" s="154"/>
      <c r="K64" s="155">
        <f>IFERROR(G64*INDEX('0_Jornales_MO'!$G$4:$J$21,MATCH(A64,'0_Jornales_MO'!$A$4:$A$21,0),MATCH(D64,{"ESPECIALIZADO","OFICIAL","MEDIO OFICIAL","AYUDANTE"},0)),"-")</f>
        <v>4795366.1434907541</v>
      </c>
      <c r="L64" s="156">
        <f>IFERROR(H64*INDEX('0_Jornales_MO'!$G$4:$J$21,MATCH(A64,'0_Jornales_MO'!$A$4:$A$21,0),MATCH(D64,{"ESPECIALIZADO","OFICIAL","MEDIO OFICIAL","AYUDANTE"},0))*1.5,"-")</f>
        <v>593043.9512561704</v>
      </c>
      <c r="M64" s="156">
        <f>IFERROR(I64*INDEX('0_Jornales_MO'!$G$4:$J$21,MATCH(A64,'0_Jornales_MO'!$A$4:$A$21,0),MATCH(D64,{"ESPECIALIZADO","OFICIAL","MEDIO OFICIAL","AYUDANTE"},0))*2,"-")</f>
        <v>0</v>
      </c>
      <c r="N64" s="157">
        <f t="shared" si="3"/>
        <v>5388410.0947469249</v>
      </c>
      <c r="O64" s="157">
        <f>IFERROR($N64 * SUMIF('0_Indice_CAC'!$A:$A,$A64,'0_Indice_CAC'!$D:$D),"-")</f>
        <v>4280416.0375801129</v>
      </c>
    </row>
    <row r="65" spans="1:15" ht="12.75" customHeight="1" x14ac:dyDescent="0.3">
      <c r="A65" s="158">
        <v>46082</v>
      </c>
      <c r="B65" s="159" t="s">
        <v>4924</v>
      </c>
      <c r="C65" s="160" t="s">
        <v>4923</v>
      </c>
      <c r="D65" s="161" t="s">
        <v>498</v>
      </c>
      <c r="E65" s="160" t="s">
        <v>3219</v>
      </c>
      <c r="F65" s="162">
        <f t="shared" si="2"/>
        <v>86</v>
      </c>
      <c r="G65" s="163">
        <v>80</v>
      </c>
      <c r="H65" s="163">
        <v>6</v>
      </c>
      <c r="I65" s="163">
        <v>0</v>
      </c>
      <c r="J65" s="154"/>
      <c r="K65" s="155">
        <f>IFERROR(G65*INDEX('0_Jornales_MO'!$G$4:$J$21,MATCH(A65,'0_Jornales_MO'!$A$4:$A$21,0),MATCH(D65,{"ESPECIALIZADO","OFICIAL","MEDIO OFICIAL","AYUDANTE"},0)),"-")</f>
        <v>1020290.6688278201</v>
      </c>
      <c r="L65" s="156">
        <f>IFERROR(H65*INDEX('0_Jornales_MO'!$G$4:$J$21,MATCH(A65,'0_Jornales_MO'!$A$4:$A$21,0),MATCH(D65,{"ESPECIALIZADO","OFICIAL","MEDIO OFICIAL","AYUDANTE"},0))*1.5,"-")</f>
        <v>114782.70024312974</v>
      </c>
      <c r="M65" s="156">
        <f>IFERROR(I65*INDEX('0_Jornales_MO'!$G$4:$J$21,MATCH(A65,'0_Jornales_MO'!$A$4:$A$21,0),MATCH(D65,{"ESPECIALIZADO","OFICIAL","MEDIO OFICIAL","AYUDANTE"},0))*2,"-")</f>
        <v>0</v>
      </c>
      <c r="N65" s="157">
        <f t="shared" si="3"/>
        <v>1135073.36907095</v>
      </c>
      <c r="O65" s="157">
        <f>IFERROR($N65 * SUMIF('0_Indice_CAC'!$A:$A,$A65,'0_Indice_CAC'!$D:$D),"-")</f>
        <v>901673.4375020829</v>
      </c>
    </row>
    <row r="66" spans="1:15" ht="12.75" customHeight="1" x14ac:dyDescent="0.3">
      <c r="A66" s="164">
        <v>46082</v>
      </c>
      <c r="B66" s="165" t="s">
        <v>4924</v>
      </c>
      <c r="C66" s="166" t="s">
        <v>4923</v>
      </c>
      <c r="D66" s="167" t="s">
        <v>498</v>
      </c>
      <c r="E66" s="166" t="s">
        <v>4271</v>
      </c>
      <c r="F66" s="168">
        <f t="shared" si="2"/>
        <v>277</v>
      </c>
      <c r="G66" s="169">
        <v>256</v>
      </c>
      <c r="H66" s="169">
        <v>17</v>
      </c>
      <c r="I66" s="169">
        <v>4</v>
      </c>
      <c r="J66" s="154"/>
      <c r="K66" s="155">
        <f>IFERROR(G66*INDEX('0_Jornales_MO'!$G$4:$J$21,MATCH(A66,'0_Jornales_MO'!$A$4:$A$21,0),MATCH(D66,{"ESPECIALIZADO","OFICIAL","MEDIO OFICIAL","AYUDANTE"},0)),"-")</f>
        <v>3264930.1402490241</v>
      </c>
      <c r="L66" s="156">
        <f>IFERROR(H66*INDEX('0_Jornales_MO'!$G$4:$J$21,MATCH(A66,'0_Jornales_MO'!$A$4:$A$21,0),MATCH(D66,{"ESPECIALIZADO","OFICIAL","MEDIO OFICIAL","AYUDANTE"},0))*1.5,"-")</f>
        <v>325217.65068886761</v>
      </c>
      <c r="M66" s="156">
        <f>IFERROR(I66*INDEX('0_Jornales_MO'!$G$4:$J$21,MATCH(A66,'0_Jornales_MO'!$A$4:$A$21,0),MATCH(D66,{"ESPECIALIZADO","OFICIAL","MEDIO OFICIAL","AYUDANTE"},0))*2,"-")</f>
        <v>102029.066882782</v>
      </c>
      <c r="N66" s="157">
        <f t="shared" si="3"/>
        <v>3692176.8578206738</v>
      </c>
      <c r="O66" s="157">
        <f>IFERROR($N66 * SUMIF('0_Indice_CAC'!$A:$A,$A66,'0_Indice_CAC'!$D:$D),"-")</f>
        <v>2932971.4624365503</v>
      </c>
    </row>
    <row r="67" spans="1:15" ht="12.75" customHeight="1" x14ac:dyDescent="0.3">
      <c r="A67" s="158">
        <v>46082</v>
      </c>
      <c r="B67" s="159" t="s">
        <v>4924</v>
      </c>
      <c r="C67" s="160" t="s">
        <v>4923</v>
      </c>
      <c r="D67" s="161" t="s">
        <v>498</v>
      </c>
      <c r="E67" s="160" t="s">
        <v>4165</v>
      </c>
      <c r="F67" s="162">
        <f t="shared" si="2"/>
        <v>100</v>
      </c>
      <c r="G67" s="163">
        <v>100</v>
      </c>
      <c r="H67" s="163">
        <v>0</v>
      </c>
      <c r="I67" s="163">
        <v>0</v>
      </c>
      <c r="J67" s="154"/>
      <c r="K67" s="155">
        <f>IFERROR(G67*INDEX('0_Jornales_MO'!$G$4:$J$21,MATCH(A67,'0_Jornales_MO'!$A$4:$A$21,0),MATCH(D67,{"ESPECIALIZADO","OFICIAL","MEDIO OFICIAL","AYUDANTE"},0)),"-")</f>
        <v>1275363.336034775</v>
      </c>
      <c r="L67" s="156">
        <f>IFERROR(H67*INDEX('0_Jornales_MO'!$G$4:$J$21,MATCH(A67,'0_Jornales_MO'!$A$4:$A$21,0),MATCH(D67,{"ESPECIALIZADO","OFICIAL","MEDIO OFICIAL","AYUDANTE"},0))*1.5,"-")</f>
        <v>0</v>
      </c>
      <c r="M67" s="156">
        <f>IFERROR(I67*INDEX('0_Jornales_MO'!$G$4:$J$21,MATCH(A67,'0_Jornales_MO'!$A$4:$A$21,0),MATCH(D67,{"ESPECIALIZADO","OFICIAL","MEDIO OFICIAL","AYUDANTE"},0))*2,"-")</f>
        <v>0</v>
      </c>
      <c r="N67" s="157">
        <f t="shared" si="3"/>
        <v>1275363.336034775</v>
      </c>
      <c r="O67" s="157">
        <f>IFERROR($N67 * SUMIF('0_Indice_CAC'!$A:$A,$A67,'0_Indice_CAC'!$D:$D),"-")</f>
        <v>1013116.2219124526</v>
      </c>
    </row>
    <row r="68" spans="1:15" ht="12.75" customHeight="1" x14ac:dyDescent="0.3">
      <c r="A68" s="164">
        <v>46082</v>
      </c>
      <c r="B68" s="165" t="s">
        <v>4924</v>
      </c>
      <c r="C68" s="166" t="s">
        <v>4923</v>
      </c>
      <c r="D68" s="167" t="s">
        <v>498</v>
      </c>
      <c r="E68" s="166" t="s">
        <v>476</v>
      </c>
      <c r="F68" s="168">
        <f t="shared" ref="F68:F99" si="4">G68+H68+I68</f>
        <v>32</v>
      </c>
      <c r="G68" s="169">
        <v>32</v>
      </c>
      <c r="H68" s="169">
        <v>0</v>
      </c>
      <c r="I68" s="169">
        <v>0</v>
      </c>
      <c r="J68" s="154"/>
      <c r="K68" s="155">
        <f>IFERROR(G68*INDEX('0_Jornales_MO'!$G$4:$J$21,MATCH(A68,'0_Jornales_MO'!$A$4:$A$21,0),MATCH(D68,{"ESPECIALIZADO","OFICIAL","MEDIO OFICIAL","AYUDANTE"},0)),"-")</f>
        <v>408116.26753112802</v>
      </c>
      <c r="L68" s="156">
        <f>IFERROR(H68*INDEX('0_Jornales_MO'!$G$4:$J$21,MATCH(A68,'0_Jornales_MO'!$A$4:$A$21,0),MATCH(D68,{"ESPECIALIZADO","OFICIAL","MEDIO OFICIAL","AYUDANTE"},0))*1.5,"-")</f>
        <v>0</v>
      </c>
      <c r="M68" s="156">
        <f>IFERROR(I68*INDEX('0_Jornales_MO'!$G$4:$J$21,MATCH(A68,'0_Jornales_MO'!$A$4:$A$21,0),MATCH(D68,{"ESPECIALIZADO","OFICIAL","MEDIO OFICIAL","AYUDANTE"},0))*2,"-")</f>
        <v>0</v>
      </c>
      <c r="N68" s="157">
        <f t="shared" ref="N68:N99" si="5">IFERROR(SUM(K68:M68),"-")</f>
        <v>408116.26753112802</v>
      </c>
      <c r="O68" s="157">
        <f>IFERROR($N68 * SUMIF('0_Indice_CAC'!$A:$A,$A68,'0_Indice_CAC'!$D:$D),"-")</f>
        <v>324197.19101198483</v>
      </c>
    </row>
    <row r="69" spans="1:15" ht="12.75" customHeight="1" x14ac:dyDescent="0.3">
      <c r="A69" s="158">
        <v>46113</v>
      </c>
      <c r="B69" s="159" t="s">
        <v>4922</v>
      </c>
      <c r="C69" s="160" t="s">
        <v>4923</v>
      </c>
      <c r="D69" s="161" t="s">
        <v>414</v>
      </c>
      <c r="E69" s="160" t="s">
        <v>106</v>
      </c>
      <c r="F69" s="162">
        <f t="shared" si="4"/>
        <v>180</v>
      </c>
      <c r="G69" s="163">
        <v>164</v>
      </c>
      <c r="H69" s="163">
        <v>14</v>
      </c>
      <c r="I69" s="163">
        <v>2</v>
      </c>
      <c r="J69" s="154"/>
      <c r="K69" s="155">
        <f>IFERROR(G69*INDEX('0_Jornales_MO'!$G$4:$J$21,MATCH(A69,'0_Jornales_MO'!$A$4:$A$21,0),MATCH(D69,{"ESPECIALIZADO","OFICIAL","MEDIO OFICIAL","AYUDANTE"},0)),"-")</f>
        <v>1785559.6330862308</v>
      </c>
      <c r="L69" s="156">
        <f>IFERROR(H69*INDEX('0_Jornales_MO'!$G$4:$J$21,MATCH(A69,'0_Jornales_MO'!$A$4:$A$21,0),MATCH(D69,{"ESPECIALIZADO","OFICIAL","MEDIO OFICIAL","AYUDANTE"},0))*1.5,"-")</f>
        <v>228638.73350494419</v>
      </c>
      <c r="M69" s="156">
        <f>IFERROR(I69*INDEX('0_Jornales_MO'!$G$4:$J$21,MATCH(A69,'0_Jornales_MO'!$A$4:$A$21,0),MATCH(D69,{"ESPECIALIZADO","OFICIAL","MEDIO OFICIAL","AYUDANTE"},0))*2,"-")</f>
        <v>43550.234953322702</v>
      </c>
      <c r="N69" s="157">
        <f t="shared" si="5"/>
        <v>2057748.6015444978</v>
      </c>
      <c r="O69" s="157">
        <f>IFERROR($N69 * SUMIF('0_Indice_CAC'!$A:$A,$A69,'0_Indice_CAC'!$D:$D),"-")</f>
        <v>1634623.1932023724</v>
      </c>
    </row>
    <row r="70" spans="1:15" ht="12.75" customHeight="1" x14ac:dyDescent="0.3">
      <c r="A70" s="164">
        <v>46113</v>
      </c>
      <c r="B70" s="165" t="s">
        <v>4922</v>
      </c>
      <c r="C70" s="166" t="s">
        <v>4923</v>
      </c>
      <c r="D70" s="167" t="s">
        <v>414</v>
      </c>
      <c r="E70" s="166" t="s">
        <v>3219</v>
      </c>
      <c r="F70" s="168">
        <f t="shared" si="4"/>
        <v>89</v>
      </c>
      <c r="G70" s="169">
        <v>85</v>
      </c>
      <c r="H70" s="169">
        <v>4</v>
      </c>
      <c r="I70" s="169">
        <v>0</v>
      </c>
      <c r="J70" s="154"/>
      <c r="K70" s="155">
        <f>IFERROR(G70*INDEX('0_Jornales_MO'!$G$4:$J$21,MATCH(A70,'0_Jornales_MO'!$A$4:$A$21,0),MATCH(D70,{"ESPECIALIZADO","OFICIAL","MEDIO OFICIAL","AYUDANTE"},0)),"-")</f>
        <v>925442.49275810737</v>
      </c>
      <c r="L70" s="156">
        <f>IFERROR(H70*INDEX('0_Jornales_MO'!$G$4:$J$21,MATCH(A70,'0_Jornales_MO'!$A$4:$A$21,0),MATCH(D70,{"ESPECIALIZADO","OFICIAL","MEDIO OFICIAL","AYUDANTE"},0))*1.5,"-")</f>
        <v>65325.35242998405</v>
      </c>
      <c r="M70" s="156">
        <f>IFERROR(I70*INDEX('0_Jornales_MO'!$G$4:$J$21,MATCH(A70,'0_Jornales_MO'!$A$4:$A$21,0),MATCH(D70,{"ESPECIALIZADO","OFICIAL","MEDIO OFICIAL","AYUDANTE"},0))*2,"-")</f>
        <v>0</v>
      </c>
      <c r="N70" s="157">
        <f t="shared" si="5"/>
        <v>990767.84518809139</v>
      </c>
      <c r="O70" s="157">
        <f>IFERROR($N70 * SUMIF('0_Indice_CAC'!$A:$A,$A70,'0_Indice_CAC'!$D:$D),"-")</f>
        <v>787040.79672706814</v>
      </c>
    </row>
    <row r="71" spans="1:15" ht="12.75" customHeight="1" x14ac:dyDescent="0.3">
      <c r="A71" s="158">
        <v>46113</v>
      </c>
      <c r="B71" s="159" t="s">
        <v>4922</v>
      </c>
      <c r="C71" s="160" t="s">
        <v>4923</v>
      </c>
      <c r="D71" s="161" t="s">
        <v>59</v>
      </c>
      <c r="E71" s="160" t="s">
        <v>106</v>
      </c>
      <c r="F71" s="162">
        <f t="shared" si="4"/>
        <v>356</v>
      </c>
      <c r="G71" s="163">
        <v>328</v>
      </c>
      <c r="H71" s="163">
        <v>24</v>
      </c>
      <c r="I71" s="163">
        <v>4</v>
      </c>
      <c r="J71" s="154"/>
      <c r="K71" s="155">
        <f>IFERROR(G71*INDEX('0_Jornales_MO'!$G$4:$J$21,MATCH(A71,'0_Jornales_MO'!$A$4:$A$21,0),MATCH(D71,{"ESPECIALIZADO","OFICIAL","MEDIO OFICIAL","AYUDANTE"},0)),"-")</f>
        <v>3339602.4926999612</v>
      </c>
      <c r="L71" s="156">
        <f>IFERROR(H71*INDEX('0_Jornales_MO'!$G$4:$J$21,MATCH(A71,'0_Jornales_MO'!$A$4:$A$21,0),MATCH(D71,{"ESPECIALIZADO","OFICIAL","MEDIO OFICIAL","AYUDANTE"},0))*1.5,"-")</f>
        <v>366541.7370036543</v>
      </c>
      <c r="M71" s="156">
        <f>IFERROR(I71*INDEX('0_Jornales_MO'!$G$4:$J$21,MATCH(A71,'0_Jornales_MO'!$A$4:$A$21,0),MATCH(D71,{"ESPECIALIZADO","OFICIAL","MEDIO OFICIAL","AYUDANTE"},0))*2,"-")</f>
        <v>81453.719334145397</v>
      </c>
      <c r="N71" s="157">
        <f t="shared" si="5"/>
        <v>3787597.949037761</v>
      </c>
      <c r="O71" s="157">
        <f>IFERROR($N71 * SUMIF('0_Indice_CAC'!$A:$A,$A71,'0_Indice_CAC'!$D:$D),"-")</f>
        <v>3008771.5522565879</v>
      </c>
    </row>
    <row r="72" spans="1:15" ht="12.75" customHeight="1" x14ac:dyDescent="0.3">
      <c r="A72" s="164">
        <v>46113</v>
      </c>
      <c r="B72" s="165" t="s">
        <v>4922</v>
      </c>
      <c r="C72" s="166" t="s">
        <v>4923</v>
      </c>
      <c r="D72" s="167" t="s">
        <v>64</v>
      </c>
      <c r="E72" s="166" t="s">
        <v>106</v>
      </c>
      <c r="F72" s="168">
        <f t="shared" si="4"/>
        <v>172</v>
      </c>
      <c r="G72" s="169">
        <v>164</v>
      </c>
      <c r="H72" s="169">
        <v>8</v>
      </c>
      <c r="I72" s="169">
        <v>0</v>
      </c>
      <c r="J72" s="154"/>
      <c r="K72" s="155">
        <f>IFERROR(G72*INDEX('0_Jornales_MO'!$G$4:$J$21,MATCH(A72,'0_Jornales_MO'!$A$4:$A$21,0),MATCH(D72,{"ESPECIALIZADO","OFICIAL","MEDIO OFICIAL","AYUDANTE"},0)),"-")</f>
        <v>2510138.7070262227</v>
      </c>
      <c r="L72" s="156">
        <f>IFERROR(H72*INDEX('0_Jornales_MO'!$G$4:$J$21,MATCH(A72,'0_Jornales_MO'!$A$4:$A$21,0),MATCH(D72,{"ESPECIALIZADO","OFICIAL","MEDIO OFICIAL","AYUDANTE"},0))*1.5,"-")</f>
        <v>183668.6858799675</v>
      </c>
      <c r="M72" s="156">
        <f>IFERROR(I72*INDEX('0_Jornales_MO'!$G$4:$J$21,MATCH(A72,'0_Jornales_MO'!$A$4:$A$21,0),MATCH(D72,{"ESPECIALIZADO","OFICIAL","MEDIO OFICIAL","AYUDANTE"},0))*2,"-")</f>
        <v>0</v>
      </c>
      <c r="N72" s="157">
        <f t="shared" si="5"/>
        <v>2693807.3929061904</v>
      </c>
      <c r="O72" s="157">
        <f>IFERROR($N72 * SUMIF('0_Indice_CAC'!$A:$A,$A72,'0_Indice_CAC'!$D:$D),"-")</f>
        <v>2139892.1321872924</v>
      </c>
    </row>
    <row r="73" spans="1:15" ht="12.75" customHeight="1" x14ac:dyDescent="0.3">
      <c r="A73" s="158">
        <v>46113</v>
      </c>
      <c r="B73" s="159" t="s">
        <v>4922</v>
      </c>
      <c r="C73" s="160" t="s">
        <v>4923</v>
      </c>
      <c r="D73" s="161" t="s">
        <v>498</v>
      </c>
      <c r="E73" s="160" t="s">
        <v>106</v>
      </c>
      <c r="F73" s="162">
        <f t="shared" si="4"/>
        <v>295</v>
      </c>
      <c r="G73" s="163">
        <v>272</v>
      </c>
      <c r="H73" s="163">
        <v>23</v>
      </c>
      <c r="I73" s="163">
        <v>0</v>
      </c>
      <c r="J73" s="154"/>
      <c r="K73" s="155">
        <f>IFERROR(G73*INDEX('0_Jornales_MO'!$G$4:$J$21,MATCH(A73,'0_Jornales_MO'!$A$4:$A$21,0),MATCH(D73,{"ESPECIALIZADO","OFICIAL","MEDIO OFICIAL","AYUDANTE"},0)),"-")</f>
        <v>3468988.274014588</v>
      </c>
      <c r="L73" s="156">
        <f>IFERROR(H73*INDEX('0_Jornales_MO'!$G$4:$J$21,MATCH(A73,'0_Jornales_MO'!$A$4:$A$21,0),MATCH(D73,{"ESPECIALIZADO","OFICIAL","MEDIO OFICIAL","AYUDANTE"},0))*1.5,"-")</f>
        <v>440000.35093199741</v>
      </c>
      <c r="M73" s="156">
        <f>IFERROR(I73*INDEX('0_Jornales_MO'!$G$4:$J$21,MATCH(A73,'0_Jornales_MO'!$A$4:$A$21,0),MATCH(D73,{"ESPECIALIZADO","OFICIAL","MEDIO OFICIAL","AYUDANTE"},0))*2,"-")</f>
        <v>0</v>
      </c>
      <c r="N73" s="157">
        <f t="shared" si="5"/>
        <v>3908988.6249465854</v>
      </c>
      <c r="O73" s="157">
        <f>IFERROR($N73 * SUMIF('0_Indice_CAC'!$A:$A,$A73,'0_Indice_CAC'!$D:$D),"-")</f>
        <v>3105201.2201616671</v>
      </c>
    </row>
    <row r="74" spans="1:15" ht="12.75" customHeight="1" x14ac:dyDescent="0.3">
      <c r="A74" s="164">
        <v>46113</v>
      </c>
      <c r="B74" s="165" t="s">
        <v>4922</v>
      </c>
      <c r="C74" s="166" t="s">
        <v>4923</v>
      </c>
      <c r="D74" s="167" t="s">
        <v>498</v>
      </c>
      <c r="E74" s="166" t="s">
        <v>3219</v>
      </c>
      <c r="F74" s="168">
        <f t="shared" si="4"/>
        <v>84</v>
      </c>
      <c r="G74" s="169">
        <v>80</v>
      </c>
      <c r="H74" s="169">
        <v>4</v>
      </c>
      <c r="I74" s="169">
        <v>0</v>
      </c>
      <c r="J74" s="154"/>
      <c r="K74" s="155">
        <f>IFERROR(G74*INDEX('0_Jornales_MO'!$G$4:$J$21,MATCH(A74,'0_Jornales_MO'!$A$4:$A$21,0),MATCH(D74,{"ESPECIALIZADO","OFICIAL","MEDIO OFICIAL","AYUDANTE"},0)),"-")</f>
        <v>1020290.6688278201</v>
      </c>
      <c r="L74" s="156">
        <f>IFERROR(H74*INDEX('0_Jornales_MO'!$G$4:$J$21,MATCH(A74,'0_Jornales_MO'!$A$4:$A$21,0),MATCH(D74,{"ESPECIALIZADO","OFICIAL","MEDIO OFICIAL","AYUDANTE"},0))*1.5,"-")</f>
        <v>76521.800162086496</v>
      </c>
      <c r="M74" s="156">
        <f>IFERROR(I74*INDEX('0_Jornales_MO'!$G$4:$J$21,MATCH(A74,'0_Jornales_MO'!$A$4:$A$21,0),MATCH(D74,{"ESPECIALIZADO","OFICIAL","MEDIO OFICIAL","AYUDANTE"},0))*2,"-")</f>
        <v>0</v>
      </c>
      <c r="N74" s="157">
        <f t="shared" si="5"/>
        <v>1096812.4689899066</v>
      </c>
      <c r="O74" s="157">
        <f>IFERROR($N74 * SUMIF('0_Indice_CAC'!$A:$A,$A74,'0_Indice_CAC'!$D:$D),"-")</f>
        <v>871279.9508447093</v>
      </c>
    </row>
    <row r="75" spans="1:15" ht="12.75" customHeight="1" x14ac:dyDescent="0.3">
      <c r="A75" s="158">
        <v>46113</v>
      </c>
      <c r="B75" s="159" t="s">
        <v>4922</v>
      </c>
      <c r="C75" s="160" t="s">
        <v>4923</v>
      </c>
      <c r="D75" s="161" t="s">
        <v>498</v>
      </c>
      <c r="E75" s="160" t="s">
        <v>4271</v>
      </c>
      <c r="F75" s="162">
        <f t="shared" si="4"/>
        <v>225</v>
      </c>
      <c r="G75" s="163">
        <v>208</v>
      </c>
      <c r="H75" s="163">
        <v>17</v>
      </c>
      <c r="I75" s="163">
        <v>0</v>
      </c>
      <c r="J75" s="154"/>
      <c r="K75" s="155">
        <f>IFERROR(G75*INDEX('0_Jornales_MO'!$G$4:$J$21,MATCH(A75,'0_Jornales_MO'!$A$4:$A$21,0),MATCH(D75,{"ESPECIALIZADO","OFICIAL","MEDIO OFICIAL","AYUDANTE"},0)),"-")</f>
        <v>2652755.7389523322</v>
      </c>
      <c r="L75" s="156">
        <f>IFERROR(H75*INDEX('0_Jornales_MO'!$G$4:$J$21,MATCH(A75,'0_Jornales_MO'!$A$4:$A$21,0),MATCH(D75,{"ESPECIALIZADO","OFICIAL","MEDIO OFICIAL","AYUDANTE"},0))*1.5,"-")</f>
        <v>325217.65068886761</v>
      </c>
      <c r="M75" s="156">
        <f>IFERROR(I75*INDEX('0_Jornales_MO'!$G$4:$J$21,MATCH(A75,'0_Jornales_MO'!$A$4:$A$21,0),MATCH(D75,{"ESPECIALIZADO","OFICIAL","MEDIO OFICIAL","AYUDANTE"},0))*2,"-")</f>
        <v>0</v>
      </c>
      <c r="N75" s="157">
        <f t="shared" si="5"/>
        <v>2977973.3896411997</v>
      </c>
      <c r="O75" s="157">
        <f>IFERROR($N75 * SUMIF('0_Indice_CAC'!$A:$A,$A75,'0_Indice_CAC'!$D:$D),"-")</f>
        <v>2365626.3781655766</v>
      </c>
    </row>
    <row r="76" spans="1:15" ht="12.75" customHeight="1" x14ac:dyDescent="0.3">
      <c r="A76" s="164">
        <v>46113</v>
      </c>
      <c r="B76" s="165" t="s">
        <v>4922</v>
      </c>
      <c r="C76" s="166" t="s">
        <v>4923</v>
      </c>
      <c r="D76" s="167" t="s">
        <v>498</v>
      </c>
      <c r="E76" s="166" t="s">
        <v>4165</v>
      </c>
      <c r="F76" s="168">
        <f t="shared" si="4"/>
        <v>116</v>
      </c>
      <c r="G76" s="169">
        <v>116</v>
      </c>
      <c r="H76" s="169">
        <v>0</v>
      </c>
      <c r="I76" s="169">
        <v>0</v>
      </c>
      <c r="J76" s="154"/>
      <c r="K76" s="155">
        <f>IFERROR(G76*INDEX('0_Jornales_MO'!$G$4:$J$21,MATCH(A76,'0_Jornales_MO'!$A$4:$A$21,0),MATCH(D76,{"ESPECIALIZADO","OFICIAL","MEDIO OFICIAL","AYUDANTE"},0)),"-")</f>
        <v>1479421.4698003391</v>
      </c>
      <c r="L76" s="156">
        <f>IFERROR(H76*INDEX('0_Jornales_MO'!$G$4:$J$21,MATCH(A76,'0_Jornales_MO'!$A$4:$A$21,0),MATCH(D76,{"ESPECIALIZADO","OFICIAL","MEDIO OFICIAL","AYUDANTE"},0))*1.5,"-")</f>
        <v>0</v>
      </c>
      <c r="M76" s="156">
        <f>IFERROR(I76*INDEX('0_Jornales_MO'!$G$4:$J$21,MATCH(A76,'0_Jornales_MO'!$A$4:$A$21,0),MATCH(D76,{"ESPECIALIZADO","OFICIAL","MEDIO OFICIAL","AYUDANTE"},0))*2,"-")</f>
        <v>0</v>
      </c>
      <c r="N76" s="157">
        <f t="shared" si="5"/>
        <v>1479421.4698003391</v>
      </c>
      <c r="O76" s="157">
        <f>IFERROR($N76 * SUMIF('0_Indice_CAC'!$A:$A,$A76,'0_Indice_CAC'!$D:$D),"-")</f>
        <v>1175214.8174184451</v>
      </c>
    </row>
    <row r="77" spans="1:15" ht="12.75" customHeight="1" x14ac:dyDescent="0.3">
      <c r="A77" s="158">
        <v>46113</v>
      </c>
      <c r="B77" s="159" t="s">
        <v>4922</v>
      </c>
      <c r="C77" s="160" t="s">
        <v>4923</v>
      </c>
      <c r="D77" s="161" t="s">
        <v>498</v>
      </c>
      <c r="E77" s="160" t="s">
        <v>476</v>
      </c>
      <c r="F77" s="162">
        <f t="shared" si="4"/>
        <v>4</v>
      </c>
      <c r="G77" s="163">
        <v>4</v>
      </c>
      <c r="H77" s="163">
        <v>0</v>
      </c>
      <c r="I77" s="163">
        <v>0</v>
      </c>
      <c r="J77" s="154"/>
      <c r="K77" s="155">
        <f>IFERROR(G77*INDEX('0_Jornales_MO'!$G$4:$J$21,MATCH(A77,'0_Jornales_MO'!$A$4:$A$21,0),MATCH(D77,{"ESPECIALIZADO","OFICIAL","MEDIO OFICIAL","AYUDANTE"},0)),"-")</f>
        <v>51014.533441391002</v>
      </c>
      <c r="L77" s="156">
        <f>IFERROR(H77*INDEX('0_Jornales_MO'!$G$4:$J$21,MATCH(A77,'0_Jornales_MO'!$A$4:$A$21,0),MATCH(D77,{"ESPECIALIZADO","OFICIAL","MEDIO OFICIAL","AYUDANTE"},0))*1.5,"-")</f>
        <v>0</v>
      </c>
      <c r="M77" s="156">
        <f>IFERROR(I77*INDEX('0_Jornales_MO'!$G$4:$J$21,MATCH(A77,'0_Jornales_MO'!$A$4:$A$21,0),MATCH(D77,{"ESPECIALIZADO","OFICIAL","MEDIO OFICIAL","AYUDANTE"},0))*2,"-")</f>
        <v>0</v>
      </c>
      <c r="N77" s="157">
        <f t="shared" si="5"/>
        <v>51014.533441391002</v>
      </c>
      <c r="O77" s="157">
        <f>IFERROR($N77 * SUMIF('0_Indice_CAC'!$A:$A,$A77,'0_Indice_CAC'!$D:$D),"-")</f>
        <v>40524.648876498104</v>
      </c>
    </row>
    <row r="78" spans="1:15" ht="12.75" customHeight="1" x14ac:dyDescent="0.3">
      <c r="A78" s="164"/>
      <c r="B78" s="165"/>
      <c r="C78" s="166"/>
      <c r="D78" s="167"/>
      <c r="E78" s="166"/>
      <c r="F78" s="168"/>
      <c r="G78" s="170"/>
      <c r="H78" s="170"/>
      <c r="I78" s="170"/>
      <c r="K78" s="155" t="str">
        <f>IFERROR(G78*INDEX('0_Jornales_MO'!$G$4:$J$21,MATCH(A78,'0_Jornales_MO'!$A$4:$A$21,0),MATCH(D78,{"ESPECIALIZADO","OFICIAL","MEDIO OFICIAL","AYUDANTE"},0)),"-")</f>
        <v>-</v>
      </c>
      <c r="L78" s="156" t="str">
        <f>IFERROR(H78*INDEX('0_Jornales_MO'!$G$4:$J$21,MATCH(A78,'0_Jornales_MO'!$A$4:$A$21,0),MATCH(D78,{"ESPECIALIZADO","OFICIAL","MEDIO OFICIAL","AYUDANTE"},0))*1.5,"-")</f>
        <v>-</v>
      </c>
      <c r="M78" s="156" t="str">
        <f>IFERROR(I78*INDEX('0_Jornales_MO'!$G$4:$J$21,MATCH(A78,'0_Jornales_MO'!$A$4:$A$21,0),MATCH(D78,{"ESPECIALIZADO","OFICIAL","MEDIO OFICIAL","AYUDANTE"},0))*2,"-")</f>
        <v>-</v>
      </c>
      <c r="N78" s="157">
        <f t="shared" si="5"/>
        <v>0</v>
      </c>
      <c r="O78" s="157">
        <f>IFERROR($N78 * SUMIF('0_Indice_CAC'!$A:$A,$A78,'0_Indice_CAC'!$D:$D),"-")</f>
        <v>0</v>
      </c>
    </row>
    <row r="79" spans="1:15" ht="12.75" customHeight="1" x14ac:dyDescent="0.3">
      <c r="A79" s="158"/>
      <c r="B79" s="159"/>
      <c r="C79" s="160"/>
      <c r="D79" s="161"/>
      <c r="E79" s="160"/>
      <c r="F79" s="162"/>
      <c r="G79" s="154"/>
      <c r="H79" s="154"/>
      <c r="I79" s="154"/>
      <c r="K79" s="155" t="str">
        <f>IFERROR(G79*INDEX('0_Jornales_MO'!$G$4:$J$21,MATCH(A79,'0_Jornales_MO'!$A$4:$A$21,0),MATCH(D79,{"ESPECIALIZADO","OFICIAL","MEDIO OFICIAL","AYUDANTE"},0)),"-")</f>
        <v>-</v>
      </c>
      <c r="L79" s="156" t="str">
        <f>IFERROR(H79*INDEX('0_Jornales_MO'!$G$4:$J$21,MATCH(A79,'0_Jornales_MO'!$A$4:$A$21,0),MATCH(D79,{"ESPECIALIZADO","OFICIAL","MEDIO OFICIAL","AYUDANTE"},0))*1.5,"-")</f>
        <v>-</v>
      </c>
      <c r="M79" s="156" t="str">
        <f>IFERROR(I79*INDEX('0_Jornales_MO'!$G$4:$J$21,MATCH(A79,'0_Jornales_MO'!$A$4:$A$21,0),MATCH(D79,{"ESPECIALIZADO","OFICIAL","MEDIO OFICIAL","AYUDANTE"},0))*2,"-")</f>
        <v>-</v>
      </c>
      <c r="N79" s="157">
        <f t="shared" si="5"/>
        <v>0</v>
      </c>
      <c r="O79" s="157">
        <f>IFERROR($N79 * SUMIF('0_Indice_CAC'!$A:$A,$A79,'0_Indice_CAC'!$D:$D),"-")</f>
        <v>0</v>
      </c>
    </row>
    <row r="80" spans="1:15" ht="12.75" customHeight="1" x14ac:dyDescent="0.3">
      <c r="A80" s="164"/>
      <c r="B80" s="165"/>
      <c r="C80" s="166"/>
      <c r="D80" s="167"/>
      <c r="E80" s="166"/>
      <c r="F80" s="168"/>
      <c r="G80" s="170"/>
      <c r="H80" s="170"/>
      <c r="I80" s="170"/>
      <c r="K80" s="155" t="str">
        <f>IFERROR(G80*INDEX('0_Jornales_MO'!$G$4:$J$21,MATCH(A80,'0_Jornales_MO'!$A$4:$A$21,0),MATCH(D80,{"ESPECIALIZADO","OFICIAL","MEDIO OFICIAL","AYUDANTE"},0)),"-")</f>
        <v>-</v>
      </c>
      <c r="L80" s="156" t="str">
        <f>IFERROR(H80*INDEX('0_Jornales_MO'!$G$4:$J$21,MATCH(A80,'0_Jornales_MO'!$A$4:$A$21,0),MATCH(D80,{"ESPECIALIZADO","OFICIAL","MEDIO OFICIAL","AYUDANTE"},0))*1.5,"-")</f>
        <v>-</v>
      </c>
      <c r="M80" s="156" t="str">
        <f>IFERROR(I80*INDEX('0_Jornales_MO'!$G$4:$J$21,MATCH(A80,'0_Jornales_MO'!$A$4:$A$21,0),MATCH(D80,{"ESPECIALIZADO","OFICIAL","MEDIO OFICIAL","AYUDANTE"},0))*2,"-")</f>
        <v>-</v>
      </c>
      <c r="N80" s="157">
        <f t="shared" si="5"/>
        <v>0</v>
      </c>
      <c r="O80" s="157">
        <f>IFERROR($N80 * SUMIF('0_Indice_CAC'!$A:$A,$A80,'0_Indice_CAC'!$D:$D),"-")</f>
        <v>0</v>
      </c>
    </row>
    <row r="81" spans="1:15" ht="12.75" customHeight="1" x14ac:dyDescent="0.3">
      <c r="A81" s="158"/>
      <c r="B81" s="159"/>
      <c r="C81" s="160"/>
      <c r="D81" s="161"/>
      <c r="E81" s="160"/>
      <c r="F81" s="162"/>
      <c r="G81" s="154"/>
      <c r="H81" s="154"/>
      <c r="I81" s="154"/>
      <c r="K81" s="155" t="str">
        <f>IFERROR(G81*INDEX('0_Jornales_MO'!$G$4:$J$21,MATCH(A81,'0_Jornales_MO'!$A$4:$A$21,0),MATCH(D81,{"ESPECIALIZADO","OFICIAL","MEDIO OFICIAL","AYUDANTE"},0)),"-")</f>
        <v>-</v>
      </c>
      <c r="L81" s="156" t="str">
        <f>IFERROR(H81*INDEX('0_Jornales_MO'!$G$4:$J$21,MATCH(A81,'0_Jornales_MO'!$A$4:$A$21,0),MATCH(D81,{"ESPECIALIZADO","OFICIAL","MEDIO OFICIAL","AYUDANTE"},0))*1.5,"-")</f>
        <v>-</v>
      </c>
      <c r="M81" s="156" t="str">
        <f>IFERROR(I81*INDEX('0_Jornales_MO'!$G$4:$J$21,MATCH(A81,'0_Jornales_MO'!$A$4:$A$21,0),MATCH(D81,{"ESPECIALIZADO","OFICIAL","MEDIO OFICIAL","AYUDANTE"},0))*2,"-")</f>
        <v>-</v>
      </c>
      <c r="N81" s="157">
        <f t="shared" si="5"/>
        <v>0</v>
      </c>
      <c r="O81" s="157">
        <f>IFERROR($N81 * SUMIF('0_Indice_CAC'!$A:$A,$A81,'0_Indice_CAC'!$D:$D),"-")</f>
        <v>0</v>
      </c>
    </row>
    <row r="82" spans="1:15" ht="12.75" customHeight="1" x14ac:dyDescent="0.3">
      <c r="A82" s="164"/>
      <c r="B82" s="165"/>
      <c r="C82" s="166"/>
      <c r="D82" s="167"/>
      <c r="E82" s="166"/>
      <c r="F82" s="168"/>
      <c r="G82" s="170"/>
      <c r="H82" s="170"/>
      <c r="I82" s="170"/>
      <c r="K82" s="155" t="str">
        <f>IFERROR(G82*INDEX('0_Jornales_MO'!$G$4:$J$21,MATCH(A82,'0_Jornales_MO'!$A$4:$A$21,0),MATCH(D82,{"ESPECIALIZADO","OFICIAL","MEDIO OFICIAL","AYUDANTE"},0)),"-")</f>
        <v>-</v>
      </c>
      <c r="L82" s="156" t="str">
        <f>IFERROR(H82*INDEX('0_Jornales_MO'!$G$4:$J$21,MATCH(A82,'0_Jornales_MO'!$A$4:$A$21,0),MATCH(D82,{"ESPECIALIZADO","OFICIAL","MEDIO OFICIAL","AYUDANTE"},0))*1.5,"-")</f>
        <v>-</v>
      </c>
      <c r="M82" s="156" t="str">
        <f>IFERROR(I82*INDEX('0_Jornales_MO'!$G$4:$J$21,MATCH(A82,'0_Jornales_MO'!$A$4:$A$21,0),MATCH(D82,{"ESPECIALIZADO","OFICIAL","MEDIO OFICIAL","AYUDANTE"},0))*2,"-")</f>
        <v>-</v>
      </c>
      <c r="N82" s="157">
        <f t="shared" si="5"/>
        <v>0</v>
      </c>
      <c r="O82" s="157">
        <f>IFERROR($N82 * SUMIF('0_Indice_CAC'!$A:$A,$A82,'0_Indice_CAC'!$D:$D),"-")</f>
        <v>0</v>
      </c>
    </row>
    <row r="83" spans="1:15" ht="12.75" customHeight="1" x14ac:dyDescent="0.3">
      <c r="A83" s="158"/>
      <c r="B83" s="159"/>
      <c r="C83" s="160"/>
      <c r="D83" s="161"/>
      <c r="E83" s="160"/>
      <c r="F83" s="162"/>
      <c r="G83" s="154"/>
      <c r="H83" s="154"/>
      <c r="I83" s="154"/>
      <c r="K83" s="155" t="str">
        <f>IFERROR(G83*INDEX('0_Jornales_MO'!$G$4:$J$21,MATCH(A83,'0_Jornales_MO'!$A$4:$A$21,0),MATCH(D83,{"ESPECIALIZADO","OFICIAL","MEDIO OFICIAL","AYUDANTE"},0)),"-")</f>
        <v>-</v>
      </c>
      <c r="L83" s="156" t="str">
        <f>IFERROR(H83*INDEX('0_Jornales_MO'!$G$4:$J$21,MATCH(A83,'0_Jornales_MO'!$A$4:$A$21,0),MATCH(D83,{"ESPECIALIZADO","OFICIAL","MEDIO OFICIAL","AYUDANTE"},0))*1.5,"-")</f>
        <v>-</v>
      </c>
      <c r="M83" s="156" t="str">
        <f>IFERROR(I83*INDEX('0_Jornales_MO'!$G$4:$J$21,MATCH(A83,'0_Jornales_MO'!$A$4:$A$21,0),MATCH(D83,{"ESPECIALIZADO","OFICIAL","MEDIO OFICIAL","AYUDANTE"},0))*2,"-")</f>
        <v>-</v>
      </c>
      <c r="N83" s="157">
        <f t="shared" si="5"/>
        <v>0</v>
      </c>
      <c r="O83" s="157">
        <f>IFERROR($N83 * SUMIF('0_Indice_CAC'!$A:$A,$A83,'0_Indice_CAC'!$D:$D),"-")</f>
        <v>0</v>
      </c>
    </row>
    <row r="84" spans="1:15" ht="12.75" customHeight="1" x14ac:dyDescent="0.3">
      <c r="A84" s="164"/>
      <c r="B84" s="165"/>
      <c r="C84" s="166"/>
      <c r="D84" s="167"/>
      <c r="E84" s="166"/>
      <c r="F84" s="168"/>
      <c r="G84" s="170"/>
      <c r="H84" s="170"/>
      <c r="I84" s="170"/>
      <c r="K84" s="155" t="str">
        <f>IFERROR(G84*INDEX('0_Jornales_MO'!$G$4:$J$21,MATCH(A84,'0_Jornales_MO'!$A$4:$A$21,0),MATCH(D84,{"ESPECIALIZADO","OFICIAL","MEDIO OFICIAL","AYUDANTE"},0)),"-")</f>
        <v>-</v>
      </c>
      <c r="L84" s="156" t="str">
        <f>IFERROR(H84*INDEX('0_Jornales_MO'!$G$4:$J$21,MATCH(A84,'0_Jornales_MO'!$A$4:$A$21,0),MATCH(D84,{"ESPECIALIZADO","OFICIAL","MEDIO OFICIAL","AYUDANTE"},0))*1.5,"-")</f>
        <v>-</v>
      </c>
      <c r="M84" s="156" t="str">
        <f>IFERROR(I84*INDEX('0_Jornales_MO'!$G$4:$J$21,MATCH(A84,'0_Jornales_MO'!$A$4:$A$21,0),MATCH(D84,{"ESPECIALIZADO","OFICIAL","MEDIO OFICIAL","AYUDANTE"},0))*2,"-")</f>
        <v>-</v>
      </c>
      <c r="N84" s="157">
        <f t="shared" si="5"/>
        <v>0</v>
      </c>
      <c r="O84" s="157">
        <f>IFERROR($N84 * SUMIF('0_Indice_CAC'!$A:$A,$A84,'0_Indice_CAC'!$D:$D),"-")</f>
        <v>0</v>
      </c>
    </row>
    <row r="85" spans="1:15" ht="12.75" customHeight="1" x14ac:dyDescent="0.3">
      <c r="A85" s="158"/>
      <c r="B85" s="159"/>
      <c r="C85" s="160"/>
      <c r="D85" s="161"/>
      <c r="E85" s="160"/>
      <c r="F85" s="162"/>
      <c r="G85" s="154"/>
      <c r="H85" s="154"/>
      <c r="I85" s="154"/>
      <c r="K85" s="155" t="str">
        <f>IFERROR(G85*INDEX('0_Jornales_MO'!$G$4:$J$21,MATCH(A85,'0_Jornales_MO'!$A$4:$A$21,0),MATCH(D85,{"ESPECIALIZADO","OFICIAL","MEDIO OFICIAL","AYUDANTE"},0)),"-")</f>
        <v>-</v>
      </c>
      <c r="L85" s="156" t="str">
        <f>IFERROR(H85*INDEX('0_Jornales_MO'!$G$4:$J$21,MATCH(A85,'0_Jornales_MO'!$A$4:$A$21,0),MATCH(D85,{"ESPECIALIZADO","OFICIAL","MEDIO OFICIAL","AYUDANTE"},0))*1.5,"-")</f>
        <v>-</v>
      </c>
      <c r="M85" s="156" t="str">
        <f>IFERROR(I85*INDEX('0_Jornales_MO'!$G$4:$J$21,MATCH(A85,'0_Jornales_MO'!$A$4:$A$21,0),MATCH(D85,{"ESPECIALIZADO","OFICIAL","MEDIO OFICIAL","AYUDANTE"},0))*2,"-")</f>
        <v>-</v>
      </c>
      <c r="N85" s="157">
        <f t="shared" si="5"/>
        <v>0</v>
      </c>
      <c r="O85" s="157">
        <f>IFERROR($N85 * SUMIF('0_Indice_CAC'!$A:$A,$A85,'0_Indice_CAC'!$D:$D),"-")</f>
        <v>0</v>
      </c>
    </row>
    <row r="86" spans="1:15" ht="12.75" customHeight="1" x14ac:dyDescent="0.3">
      <c r="A86" s="164"/>
      <c r="B86" s="165"/>
      <c r="C86" s="166"/>
      <c r="D86" s="167"/>
      <c r="E86" s="166"/>
      <c r="F86" s="168"/>
      <c r="G86" s="170"/>
      <c r="H86" s="170"/>
      <c r="I86" s="170"/>
      <c r="K86" s="155" t="str">
        <f>IFERROR(G86*INDEX('0_Jornales_MO'!$G$4:$J$21,MATCH(A86,'0_Jornales_MO'!$A$4:$A$21,0),MATCH(D86,{"ESPECIALIZADO","OFICIAL","MEDIO OFICIAL","AYUDANTE"},0)),"-")</f>
        <v>-</v>
      </c>
      <c r="L86" s="156" t="str">
        <f>IFERROR(H86*INDEX('0_Jornales_MO'!$G$4:$J$21,MATCH(A86,'0_Jornales_MO'!$A$4:$A$21,0),MATCH(D86,{"ESPECIALIZADO","OFICIAL","MEDIO OFICIAL","AYUDANTE"},0))*1.5,"-")</f>
        <v>-</v>
      </c>
      <c r="M86" s="156" t="str">
        <f>IFERROR(I86*INDEX('0_Jornales_MO'!$G$4:$J$21,MATCH(A86,'0_Jornales_MO'!$A$4:$A$21,0),MATCH(D86,{"ESPECIALIZADO","OFICIAL","MEDIO OFICIAL","AYUDANTE"},0))*2,"-")</f>
        <v>-</v>
      </c>
      <c r="N86" s="157">
        <f t="shared" si="5"/>
        <v>0</v>
      </c>
      <c r="O86" s="157">
        <f>IFERROR($N86 * SUMIF('0_Indice_CAC'!$A:$A,$A86,'0_Indice_CAC'!$D:$D),"-")</f>
        <v>0</v>
      </c>
    </row>
    <row r="87" spans="1:15" ht="12.75" customHeight="1" x14ac:dyDescent="0.3">
      <c r="A87" s="158"/>
      <c r="B87" s="159"/>
      <c r="C87" s="160"/>
      <c r="D87" s="161"/>
      <c r="E87" s="160"/>
      <c r="F87" s="162"/>
      <c r="G87" s="154"/>
      <c r="H87" s="154"/>
      <c r="I87" s="154"/>
      <c r="K87" s="155" t="str">
        <f>IFERROR(G87*INDEX('0_Jornales_MO'!$G$4:$J$21,MATCH(A87,'0_Jornales_MO'!$A$4:$A$21,0),MATCH(D87,{"ESPECIALIZADO","OFICIAL","MEDIO OFICIAL","AYUDANTE"},0)),"-")</f>
        <v>-</v>
      </c>
      <c r="L87" s="156" t="str">
        <f>IFERROR(H87*INDEX('0_Jornales_MO'!$G$4:$J$21,MATCH(A87,'0_Jornales_MO'!$A$4:$A$21,0),MATCH(D87,{"ESPECIALIZADO","OFICIAL","MEDIO OFICIAL","AYUDANTE"},0))*1.5,"-")</f>
        <v>-</v>
      </c>
      <c r="M87" s="156" t="str">
        <f>IFERROR(I87*INDEX('0_Jornales_MO'!$G$4:$J$21,MATCH(A87,'0_Jornales_MO'!$A$4:$A$21,0),MATCH(D87,{"ESPECIALIZADO","OFICIAL","MEDIO OFICIAL","AYUDANTE"},0))*2,"-")</f>
        <v>-</v>
      </c>
      <c r="N87" s="157">
        <f t="shared" si="5"/>
        <v>0</v>
      </c>
      <c r="O87" s="157">
        <f>IFERROR($N87 * SUMIF('0_Indice_CAC'!$A:$A,$A87,'0_Indice_CAC'!$D:$D),"-")</f>
        <v>0</v>
      </c>
    </row>
    <row r="88" spans="1:15" ht="12.75" customHeight="1" x14ac:dyDescent="0.3">
      <c r="A88" s="164"/>
      <c r="B88" s="165"/>
      <c r="C88" s="166"/>
      <c r="D88" s="167"/>
      <c r="E88" s="166"/>
      <c r="F88" s="168"/>
      <c r="G88" s="170"/>
      <c r="H88" s="170"/>
      <c r="I88" s="170"/>
      <c r="K88" s="155" t="str">
        <f>IFERROR(G88*INDEX('0_Jornales_MO'!$G$4:$J$21,MATCH(A88,'0_Jornales_MO'!$A$4:$A$21,0),MATCH(D88,{"ESPECIALIZADO","OFICIAL","MEDIO OFICIAL","AYUDANTE"},0)),"-")</f>
        <v>-</v>
      </c>
      <c r="L88" s="156" t="str">
        <f>IFERROR(H88*INDEX('0_Jornales_MO'!$G$4:$J$21,MATCH(A88,'0_Jornales_MO'!$A$4:$A$21,0),MATCH(D88,{"ESPECIALIZADO","OFICIAL","MEDIO OFICIAL","AYUDANTE"},0))*1.5,"-")</f>
        <v>-</v>
      </c>
      <c r="M88" s="156" t="str">
        <f>IFERROR(I88*INDEX('0_Jornales_MO'!$G$4:$J$21,MATCH(A88,'0_Jornales_MO'!$A$4:$A$21,0),MATCH(D88,{"ESPECIALIZADO","OFICIAL","MEDIO OFICIAL","AYUDANTE"},0))*2,"-")</f>
        <v>-</v>
      </c>
      <c r="N88" s="157">
        <f t="shared" si="5"/>
        <v>0</v>
      </c>
      <c r="O88" s="157">
        <f>IFERROR($N88 * SUMIF('0_Indice_CAC'!$A:$A,$A88,'0_Indice_CAC'!$D:$D),"-")</f>
        <v>0</v>
      </c>
    </row>
    <row r="89" spans="1:15" ht="12.75" customHeight="1" x14ac:dyDescent="0.3">
      <c r="A89" s="158"/>
      <c r="B89" s="159"/>
      <c r="C89" s="160"/>
      <c r="D89" s="161"/>
      <c r="E89" s="160"/>
      <c r="F89" s="162"/>
      <c r="G89" s="154"/>
      <c r="H89" s="154"/>
      <c r="I89" s="154"/>
      <c r="K89" s="155" t="str">
        <f>IFERROR(G89*INDEX('0_Jornales_MO'!$G$4:$J$21,MATCH(A89,'0_Jornales_MO'!$A$4:$A$21,0),MATCH(D89,{"ESPECIALIZADO","OFICIAL","MEDIO OFICIAL","AYUDANTE"},0)),"-")</f>
        <v>-</v>
      </c>
      <c r="L89" s="156" t="str">
        <f>IFERROR(H89*INDEX('0_Jornales_MO'!$G$4:$J$21,MATCH(A89,'0_Jornales_MO'!$A$4:$A$21,0),MATCH(D89,{"ESPECIALIZADO","OFICIAL","MEDIO OFICIAL","AYUDANTE"},0))*1.5,"-")</f>
        <v>-</v>
      </c>
      <c r="M89" s="156" t="str">
        <f>IFERROR(I89*INDEX('0_Jornales_MO'!$G$4:$J$21,MATCH(A89,'0_Jornales_MO'!$A$4:$A$21,0),MATCH(D89,{"ESPECIALIZADO","OFICIAL","MEDIO OFICIAL","AYUDANTE"},0))*2,"-")</f>
        <v>-</v>
      </c>
      <c r="N89" s="157">
        <f t="shared" si="5"/>
        <v>0</v>
      </c>
      <c r="O89" s="157">
        <f>IFERROR($N89 * SUMIF('0_Indice_CAC'!$A:$A,$A89,'0_Indice_CAC'!$D:$D),"-")</f>
        <v>0</v>
      </c>
    </row>
    <row r="90" spans="1:15" ht="12.75" customHeight="1" x14ac:dyDescent="0.3">
      <c r="A90" s="164"/>
      <c r="B90" s="165"/>
      <c r="C90" s="166"/>
      <c r="D90" s="167"/>
      <c r="E90" s="166"/>
      <c r="F90" s="168"/>
      <c r="G90" s="170"/>
      <c r="H90" s="170"/>
      <c r="I90" s="170"/>
      <c r="K90" s="155" t="str">
        <f>IFERROR(G90*INDEX('0_Jornales_MO'!$G$4:$J$21,MATCH(A90,'0_Jornales_MO'!$A$4:$A$21,0),MATCH(D90,{"ESPECIALIZADO","OFICIAL","MEDIO OFICIAL","AYUDANTE"},0)),"-")</f>
        <v>-</v>
      </c>
      <c r="L90" s="156" t="str">
        <f>IFERROR(H90*INDEX('0_Jornales_MO'!$G$4:$J$21,MATCH(A90,'0_Jornales_MO'!$A$4:$A$21,0),MATCH(D90,{"ESPECIALIZADO","OFICIAL","MEDIO OFICIAL","AYUDANTE"},0))*1.5,"-")</f>
        <v>-</v>
      </c>
      <c r="M90" s="156" t="str">
        <f>IFERROR(I90*INDEX('0_Jornales_MO'!$G$4:$J$21,MATCH(A90,'0_Jornales_MO'!$A$4:$A$21,0),MATCH(D90,{"ESPECIALIZADO","OFICIAL","MEDIO OFICIAL","AYUDANTE"},0))*2,"-")</f>
        <v>-</v>
      </c>
      <c r="N90" s="157">
        <f t="shared" si="5"/>
        <v>0</v>
      </c>
      <c r="O90" s="157">
        <f>IFERROR($N90 * SUMIF('0_Indice_CAC'!$A:$A,$A90,'0_Indice_CAC'!$D:$D),"-")</f>
        <v>0</v>
      </c>
    </row>
    <row r="91" spans="1:15" ht="12.75" customHeight="1" x14ac:dyDescent="0.3">
      <c r="A91" s="158"/>
      <c r="B91" s="159"/>
      <c r="C91" s="160"/>
      <c r="D91" s="161"/>
      <c r="E91" s="160"/>
      <c r="F91" s="162"/>
      <c r="G91" s="154"/>
      <c r="H91" s="154"/>
      <c r="I91" s="154"/>
      <c r="K91" s="155" t="str">
        <f>IFERROR(G91*INDEX('0_Jornales_MO'!$G$4:$J$21,MATCH(A91,'0_Jornales_MO'!$A$4:$A$21,0),MATCH(D91,{"ESPECIALIZADO","OFICIAL","MEDIO OFICIAL","AYUDANTE"},0)),"-")</f>
        <v>-</v>
      </c>
      <c r="L91" s="156" t="str">
        <f>IFERROR(H91*INDEX('0_Jornales_MO'!$G$4:$J$21,MATCH(A91,'0_Jornales_MO'!$A$4:$A$21,0),MATCH(D91,{"ESPECIALIZADO","OFICIAL","MEDIO OFICIAL","AYUDANTE"},0))*1.5,"-")</f>
        <v>-</v>
      </c>
      <c r="M91" s="156" t="str">
        <f>IFERROR(I91*INDEX('0_Jornales_MO'!$G$4:$J$21,MATCH(A91,'0_Jornales_MO'!$A$4:$A$21,0),MATCH(D91,{"ESPECIALIZADO","OFICIAL","MEDIO OFICIAL","AYUDANTE"},0))*2,"-")</f>
        <v>-</v>
      </c>
      <c r="N91" s="157">
        <f t="shared" si="5"/>
        <v>0</v>
      </c>
      <c r="O91" s="157">
        <f>IFERROR($N91 * SUMIF('0_Indice_CAC'!$A:$A,$A91,'0_Indice_CAC'!$D:$D),"-")</f>
        <v>0</v>
      </c>
    </row>
    <row r="92" spans="1:15" ht="12.75" customHeight="1" x14ac:dyDescent="0.3">
      <c r="A92" s="164"/>
      <c r="B92" s="165"/>
      <c r="C92" s="166"/>
      <c r="D92" s="167"/>
      <c r="E92" s="166"/>
      <c r="F92" s="168"/>
      <c r="G92" s="170"/>
      <c r="H92" s="170"/>
      <c r="I92" s="170"/>
      <c r="K92" s="155" t="str">
        <f>IFERROR(G92*INDEX('0_Jornales_MO'!$G$4:$J$21,MATCH(A92,'0_Jornales_MO'!$A$4:$A$21,0),MATCH(D92,{"ESPECIALIZADO","OFICIAL","MEDIO OFICIAL","AYUDANTE"},0)),"-")</f>
        <v>-</v>
      </c>
      <c r="L92" s="156" t="str">
        <f>IFERROR(H92*INDEX('0_Jornales_MO'!$G$4:$J$21,MATCH(A92,'0_Jornales_MO'!$A$4:$A$21,0),MATCH(D92,{"ESPECIALIZADO","OFICIAL","MEDIO OFICIAL","AYUDANTE"},0))*1.5,"-")</f>
        <v>-</v>
      </c>
      <c r="M92" s="156" t="str">
        <f>IFERROR(I92*INDEX('0_Jornales_MO'!$G$4:$J$21,MATCH(A92,'0_Jornales_MO'!$A$4:$A$21,0),MATCH(D92,{"ESPECIALIZADO","OFICIAL","MEDIO OFICIAL","AYUDANTE"},0))*2,"-")</f>
        <v>-</v>
      </c>
      <c r="N92" s="157">
        <f t="shared" si="5"/>
        <v>0</v>
      </c>
      <c r="O92" s="157">
        <f>IFERROR($N92 * SUMIF('0_Indice_CAC'!$A:$A,$A92,'0_Indice_CAC'!$D:$D),"-")</f>
        <v>0</v>
      </c>
    </row>
    <row r="93" spans="1:15" ht="12.75" customHeight="1" x14ac:dyDescent="0.3">
      <c r="A93" s="158"/>
      <c r="B93" s="159"/>
      <c r="C93" s="160"/>
      <c r="D93" s="161"/>
      <c r="E93" s="160"/>
      <c r="F93" s="162"/>
      <c r="G93" s="154"/>
      <c r="H93" s="154"/>
      <c r="I93" s="154"/>
      <c r="K93" s="155" t="str">
        <f>IFERROR(G93*INDEX('0_Jornales_MO'!$G$4:$J$21,MATCH(A93,'0_Jornales_MO'!$A$4:$A$21,0),MATCH(D93,{"ESPECIALIZADO","OFICIAL","MEDIO OFICIAL","AYUDANTE"},0)),"-")</f>
        <v>-</v>
      </c>
      <c r="L93" s="156" t="str">
        <f>IFERROR(H93*INDEX('0_Jornales_MO'!$G$4:$J$21,MATCH(A93,'0_Jornales_MO'!$A$4:$A$21,0),MATCH(D93,{"ESPECIALIZADO","OFICIAL","MEDIO OFICIAL","AYUDANTE"},0))*1.5,"-")</f>
        <v>-</v>
      </c>
      <c r="M93" s="156" t="str">
        <f>IFERROR(I93*INDEX('0_Jornales_MO'!$G$4:$J$21,MATCH(A93,'0_Jornales_MO'!$A$4:$A$21,0),MATCH(D93,{"ESPECIALIZADO","OFICIAL","MEDIO OFICIAL","AYUDANTE"},0))*2,"-")</f>
        <v>-</v>
      </c>
      <c r="N93" s="157">
        <f t="shared" si="5"/>
        <v>0</v>
      </c>
      <c r="O93" s="157">
        <f>IFERROR($N93 * SUMIF('0_Indice_CAC'!$A:$A,$A93,'0_Indice_CAC'!$D:$D),"-")</f>
        <v>0</v>
      </c>
    </row>
    <row r="94" spans="1:15" ht="12.75" customHeight="1" x14ac:dyDescent="0.3">
      <c r="A94" s="164"/>
      <c r="B94" s="165"/>
      <c r="C94" s="166"/>
      <c r="D94" s="167"/>
      <c r="E94" s="166"/>
      <c r="F94" s="168"/>
      <c r="G94" s="170"/>
      <c r="H94" s="170"/>
      <c r="I94" s="170"/>
      <c r="K94" s="155" t="str">
        <f>IFERROR(G94*INDEX('0_Jornales_MO'!$G$4:$J$21,MATCH(A94,'0_Jornales_MO'!$A$4:$A$21,0),MATCH(D94,{"ESPECIALIZADO","OFICIAL","MEDIO OFICIAL","AYUDANTE"},0)),"-")</f>
        <v>-</v>
      </c>
      <c r="L94" s="156" t="str">
        <f>IFERROR(H94*INDEX('0_Jornales_MO'!$G$4:$J$21,MATCH(A94,'0_Jornales_MO'!$A$4:$A$21,0),MATCH(D94,{"ESPECIALIZADO","OFICIAL","MEDIO OFICIAL","AYUDANTE"},0))*1.5,"-")</f>
        <v>-</v>
      </c>
      <c r="M94" s="156" t="str">
        <f>IFERROR(I94*INDEX('0_Jornales_MO'!$G$4:$J$21,MATCH(A94,'0_Jornales_MO'!$A$4:$A$21,0),MATCH(D94,{"ESPECIALIZADO","OFICIAL","MEDIO OFICIAL","AYUDANTE"},0))*2,"-")</f>
        <v>-</v>
      </c>
      <c r="N94" s="157">
        <f t="shared" si="5"/>
        <v>0</v>
      </c>
      <c r="O94" s="157">
        <f>IFERROR($N94 * SUMIF('0_Indice_CAC'!$A:$A,$A94,'0_Indice_CAC'!$D:$D),"-")</f>
        <v>0</v>
      </c>
    </row>
    <row r="95" spans="1:15" ht="12.75" customHeight="1" x14ac:dyDescent="0.3">
      <c r="A95" s="158"/>
    </row>
  </sheetData>
  <autoFilter ref="A3:O77" xr:uid="{00000000-0009-0000-0000-000008000000}"/>
  <dataValidations count="1">
    <dataValidation type="list" allowBlank="1" showInputMessage="1" showErrorMessage="1" errorTitle="Categoría inválida" error="Categoría inválida. Elegir: ESPECIALIZADO, OFICIAL, MEDIO OFICIAL o AYUDANTE." sqref="D3:D80" xr:uid="{00000000-0002-0000-0800-000000000000}">
      <formula1>"ESPECIALIZADO,OFICIAL,MEDIO OFICIAL,AYUDANTE"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E75B6"/>
  </sheetPr>
  <dimension ref="A1:M20"/>
  <sheetViews>
    <sheetView zoomScaleNormal="100" workbookViewId="0">
      <pane ySplit="3" topLeftCell="A4" activePane="bottomLeft" state="frozen"/>
      <selection pane="bottomLeft" activeCell="A3" sqref="A3"/>
    </sheetView>
  </sheetViews>
  <sheetFormatPr defaultColWidth="8.54296875" defaultRowHeight="13" x14ac:dyDescent="0.3"/>
  <cols>
    <col min="1" max="1" width="14.54296875" style="2" customWidth="1"/>
    <col min="2" max="2" width="20.08984375" style="2" customWidth="1"/>
    <col min="3" max="3" width="18.1796875" style="2" customWidth="1"/>
    <col min="4" max="4" width="22.453125" style="2" customWidth="1"/>
    <col min="5" max="5" width="16.1796875" style="2" customWidth="1"/>
    <col min="6" max="8" width="14.54296875" style="2" customWidth="1"/>
    <col min="9" max="9" width="17.26953125" style="2" customWidth="1"/>
    <col min="10" max="10" width="21.81640625" style="2" customWidth="1"/>
    <col min="11" max="11" width="19.6328125" style="2" customWidth="1"/>
    <col min="12" max="12" width="15.26953125" style="2" customWidth="1"/>
    <col min="13" max="16" width="8.54296875" style="2" customWidth="1"/>
    <col min="17" max="16384" width="8.54296875" style="2"/>
  </cols>
  <sheetData>
    <row r="1" spans="1:13" ht="16.5" customHeight="1" x14ac:dyDescent="0.3">
      <c r="A1" s="16" t="s">
        <v>4925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3" spans="1:13" ht="14.25" customHeight="1" x14ac:dyDescent="0.3">
      <c r="A3" s="254" t="s">
        <v>4926</v>
      </c>
      <c r="B3" s="254" t="s">
        <v>4927</v>
      </c>
      <c r="C3" s="254" t="s">
        <v>4399</v>
      </c>
      <c r="D3" s="254" t="s">
        <v>4</v>
      </c>
      <c r="E3" s="254" t="s">
        <v>4928</v>
      </c>
      <c r="F3" s="254" t="s">
        <v>4929</v>
      </c>
      <c r="G3" s="254" t="s">
        <v>4930</v>
      </c>
      <c r="H3" s="254" t="s">
        <v>4931</v>
      </c>
      <c r="I3" s="254" t="s">
        <v>4932</v>
      </c>
      <c r="J3" s="254" t="s">
        <v>4933</v>
      </c>
      <c r="K3" s="254" t="s">
        <v>4934</v>
      </c>
      <c r="L3" s="254" t="s">
        <v>4935</v>
      </c>
      <c r="M3" s="254" t="s">
        <v>4936</v>
      </c>
    </row>
    <row r="4" spans="1:13" ht="14.25" customHeight="1" x14ac:dyDescent="0.3">
      <c r="A4" s="346" t="s">
        <v>4838</v>
      </c>
      <c r="B4" s="160" t="s">
        <v>4937</v>
      </c>
      <c r="C4" s="160" t="s">
        <v>4165</v>
      </c>
      <c r="D4" s="160" t="s">
        <v>4938</v>
      </c>
      <c r="E4" s="347">
        <v>14940000</v>
      </c>
      <c r="F4" s="159" t="s">
        <v>4939</v>
      </c>
      <c r="G4" s="348">
        <v>0</v>
      </c>
      <c r="H4" s="156">
        <f t="shared" ref="H4:H13" si="0">IF(E4="","",E4*G4)</f>
        <v>0</v>
      </c>
      <c r="I4" s="349">
        <f>IF(A4="","",SUMIFS(Tabla18[Monto Base],Tabla18[Contrato],A4)+SUMIFS('2_Pagos_Quincena_SC'!H:H,'2_Pagos_Quincena_SC'!A:A,A4))</f>
        <v>12177465</v>
      </c>
      <c r="J4" s="156">
        <f t="shared" ref="J4:J13" si="1">IF(E4="","",E4-I4)</f>
        <v>2762535</v>
      </c>
      <c r="K4" s="349">
        <f>IF(A4="","",SUMIFS(Tabla18[Monto CAC],Tabla18[Contrato],A4))</f>
        <v>150000</v>
      </c>
      <c r="L4" s="157">
        <f t="shared" ref="L4:L13" si="2">IF(I4="","",I4+K4)</f>
        <v>12327465</v>
      </c>
      <c r="M4" s="263" t="str">
        <f t="shared" ref="M4:M14" si="3">IF($J4&lt;0,"🔴","⚪")</f>
        <v>⚪</v>
      </c>
    </row>
    <row r="5" spans="1:13" ht="14.25" customHeight="1" x14ac:dyDescent="0.3">
      <c r="A5" s="346" t="s">
        <v>4846</v>
      </c>
      <c r="B5" s="160" t="s">
        <v>4937</v>
      </c>
      <c r="C5" s="160" t="s">
        <v>4940</v>
      </c>
      <c r="D5" s="160" t="s">
        <v>4940</v>
      </c>
      <c r="E5" s="347">
        <v>8360000</v>
      </c>
      <c r="F5" s="159" t="s">
        <v>4939</v>
      </c>
      <c r="G5" s="348">
        <v>0</v>
      </c>
      <c r="H5" s="156">
        <f t="shared" si="0"/>
        <v>0</v>
      </c>
      <c r="I5" s="349">
        <f>IF(A5="","",SUMIFS(Tabla18[Monto Base],Tabla18[Contrato],A5)+SUMIFS('2_Pagos_Quincena_SC'!H:H,'2_Pagos_Quincena_SC'!A:A,A5))</f>
        <v>6586265</v>
      </c>
      <c r="J5" s="156">
        <f t="shared" si="1"/>
        <v>1773735</v>
      </c>
      <c r="K5" s="349">
        <f>IF(A5="","",SUMIFS(Tabla18[Monto CAC],Tabla18[Contrato],A5))</f>
        <v>151330</v>
      </c>
      <c r="L5" s="157">
        <f t="shared" si="2"/>
        <v>6737595</v>
      </c>
      <c r="M5" s="263" t="str">
        <f t="shared" si="3"/>
        <v>⚪</v>
      </c>
    </row>
    <row r="6" spans="1:13" ht="14.25" customHeight="1" x14ac:dyDescent="0.3">
      <c r="A6" s="346" t="s">
        <v>4474</v>
      </c>
      <c r="B6" s="160" t="s">
        <v>4941</v>
      </c>
      <c r="C6" s="160" t="s">
        <v>4942</v>
      </c>
      <c r="D6" s="160" t="s">
        <v>4942</v>
      </c>
      <c r="E6" s="347">
        <v>3037256.14</v>
      </c>
      <c r="F6" s="159" t="s">
        <v>4939</v>
      </c>
      <c r="G6" s="348">
        <v>0.3</v>
      </c>
      <c r="H6" s="156">
        <f t="shared" si="0"/>
        <v>911176.84200000006</v>
      </c>
      <c r="I6" s="349">
        <f>IF(A6="","",SUMIFS(Tabla18[Monto Base],Tabla18[Contrato],A6)+SUMIFS('2_Pagos_Quincena_SC'!H:H,'2_Pagos_Quincena_SC'!A:A,A6))</f>
        <v>3105970</v>
      </c>
      <c r="J6" s="156">
        <f t="shared" si="1"/>
        <v>-68713.85999999987</v>
      </c>
      <c r="K6" s="349">
        <f>IF(A6="","",SUMIFS(Tabla18[Monto CAC],Tabla18[Contrato],A6))</f>
        <v>29430</v>
      </c>
      <c r="L6" s="157">
        <f t="shared" si="2"/>
        <v>3135400</v>
      </c>
      <c r="M6" s="263" t="str">
        <f t="shared" si="3"/>
        <v>🔴</v>
      </c>
    </row>
    <row r="7" spans="1:13" ht="14.25" customHeight="1" x14ac:dyDescent="0.3">
      <c r="A7" s="346" t="s">
        <v>4525</v>
      </c>
      <c r="B7" s="160" t="s">
        <v>4943</v>
      </c>
      <c r="C7" s="160" t="s">
        <v>4944</v>
      </c>
      <c r="D7" s="160" t="s">
        <v>4945</v>
      </c>
      <c r="E7" s="347">
        <v>0</v>
      </c>
      <c r="F7" s="159" t="s">
        <v>4939</v>
      </c>
      <c r="G7" s="348">
        <v>0</v>
      </c>
      <c r="H7" s="156">
        <f t="shared" si="0"/>
        <v>0</v>
      </c>
      <c r="I7" s="349">
        <f>IF(A7="","",SUMIFS(Tabla18[Monto Base],Tabla18[Contrato],A7)+SUMIFS('2_Pagos_Quincena_SC'!H:H,'2_Pagos_Quincena_SC'!A:A,A7))</f>
        <v>8696000</v>
      </c>
      <c r="J7" s="156">
        <f t="shared" si="1"/>
        <v>-8696000</v>
      </c>
      <c r="K7" s="349">
        <f>IF(A7="","",SUMIFS(Tabla18[Monto CAC],Tabla18[Contrato],A7))</f>
        <v>0</v>
      </c>
      <c r="L7" s="157">
        <f t="shared" si="2"/>
        <v>8696000</v>
      </c>
      <c r="M7" s="263" t="str">
        <f t="shared" si="3"/>
        <v>🔴</v>
      </c>
    </row>
    <row r="8" spans="1:13" ht="14.25" customHeight="1" x14ac:dyDescent="0.3">
      <c r="A8" s="346" t="s">
        <v>4668</v>
      </c>
      <c r="B8" s="160" t="s">
        <v>4946</v>
      </c>
      <c r="C8" s="160" t="s">
        <v>4947</v>
      </c>
      <c r="D8" s="160" t="s">
        <v>4948</v>
      </c>
      <c r="E8" s="347">
        <v>89779071.329999998</v>
      </c>
      <c r="F8" s="159" t="s">
        <v>4939</v>
      </c>
      <c r="G8" s="348">
        <v>0</v>
      </c>
      <c r="H8" s="156">
        <f t="shared" si="0"/>
        <v>0</v>
      </c>
      <c r="I8" s="349">
        <f>IF(A8="","",SUMIFS(Tabla18[Monto Base],Tabla18[Contrato],A8)+SUMIFS('2_Pagos_Quincena_SC'!H:H,'2_Pagos_Quincena_SC'!A:A,A8))</f>
        <v>73369894.43977198</v>
      </c>
      <c r="J8" s="156">
        <f t="shared" si="1"/>
        <v>16409176.890228018</v>
      </c>
      <c r="K8" s="349">
        <f>IF(A8="","",SUMIFS(Tabla18[Monto CAC],Tabla18[Contrato],A8))</f>
        <v>236874</v>
      </c>
      <c r="L8" s="157">
        <f t="shared" si="2"/>
        <v>73606768.43977198</v>
      </c>
      <c r="M8" s="263" t="str">
        <f t="shared" si="3"/>
        <v>⚪</v>
      </c>
    </row>
    <row r="9" spans="1:13" ht="14.25" customHeight="1" x14ac:dyDescent="0.3">
      <c r="A9" s="346"/>
      <c r="B9" s="160"/>
      <c r="C9" s="160"/>
      <c r="D9" s="160"/>
      <c r="E9" s="347"/>
      <c r="F9" s="159" t="s">
        <v>4939</v>
      </c>
      <c r="G9" s="348">
        <v>0</v>
      </c>
      <c r="H9" s="156" t="str">
        <f t="shared" si="0"/>
        <v/>
      </c>
      <c r="I9" s="349" t="str">
        <f>IF(A9="","",SUMIFS(Tabla18[Monto Base],Tabla18[Contrato],A9)+SUMIFS('2_Pagos_Quincena_SC'!H:H,'2_Pagos_Quincena_SC'!A:A,A9))</f>
        <v/>
      </c>
      <c r="J9" s="156" t="str">
        <f t="shared" si="1"/>
        <v/>
      </c>
      <c r="K9" s="349" t="str">
        <f>IF(A9="","",SUMIFS(Tabla18[Monto CAC],Tabla18[Contrato],A9))</f>
        <v/>
      </c>
      <c r="L9" s="157" t="str">
        <f t="shared" si="2"/>
        <v/>
      </c>
      <c r="M9" s="263" t="str">
        <f t="shared" si="3"/>
        <v>⚪</v>
      </c>
    </row>
    <row r="10" spans="1:13" ht="14.25" customHeight="1" x14ac:dyDescent="0.3">
      <c r="A10" s="346"/>
      <c r="B10" s="160"/>
      <c r="C10" s="160"/>
      <c r="D10" s="160"/>
      <c r="E10" s="347"/>
      <c r="F10" s="159" t="s">
        <v>4939</v>
      </c>
      <c r="G10" s="348">
        <v>0</v>
      </c>
      <c r="H10" s="156" t="str">
        <f t="shared" si="0"/>
        <v/>
      </c>
      <c r="I10" s="349" t="str">
        <f>IF(A10="","",SUMIFS(Tabla18[Monto Base],Tabla18[Contrato],A10)+SUMIFS('2_Pagos_Quincena_SC'!H:H,'2_Pagos_Quincena_SC'!A:A,A10))</f>
        <v/>
      </c>
      <c r="J10" s="156" t="str">
        <f t="shared" si="1"/>
        <v/>
      </c>
      <c r="K10" s="349" t="str">
        <f>IF(A10="","",SUMIFS(Tabla18[Monto CAC],Tabla18[Contrato],A10))</f>
        <v/>
      </c>
      <c r="L10" s="157" t="str">
        <f t="shared" si="2"/>
        <v/>
      </c>
      <c r="M10" s="263" t="str">
        <f t="shared" si="3"/>
        <v>⚪</v>
      </c>
    </row>
    <row r="11" spans="1:13" ht="14.25" customHeight="1" x14ac:dyDescent="0.3">
      <c r="A11" s="346"/>
      <c r="B11" s="160"/>
      <c r="C11" s="160"/>
      <c r="D11" s="160"/>
      <c r="E11" s="347"/>
      <c r="F11" s="159" t="s">
        <v>4939</v>
      </c>
      <c r="G11" s="348">
        <v>0</v>
      </c>
      <c r="H11" s="156" t="str">
        <f t="shared" si="0"/>
        <v/>
      </c>
      <c r="I11" s="349" t="str">
        <f>IF(A11="","",SUMIFS(Tabla18[Monto Base],Tabla18[Contrato],A11)+SUMIFS('2_Pagos_Quincena_SC'!H:H,'2_Pagos_Quincena_SC'!A:A,A11))</f>
        <v/>
      </c>
      <c r="J11" s="156" t="str">
        <f t="shared" si="1"/>
        <v/>
      </c>
      <c r="K11" s="349" t="str">
        <f>IF(A11="","",SUMIFS(Tabla18[Monto CAC],Tabla18[Contrato],A11))</f>
        <v/>
      </c>
      <c r="L11" s="157" t="str">
        <f t="shared" si="2"/>
        <v/>
      </c>
      <c r="M11" s="263" t="str">
        <f t="shared" si="3"/>
        <v>⚪</v>
      </c>
    </row>
    <row r="12" spans="1:13" ht="14.25" customHeight="1" x14ac:dyDescent="0.3">
      <c r="A12" s="346"/>
      <c r="B12" s="160"/>
      <c r="C12" s="160"/>
      <c r="D12" s="160"/>
      <c r="E12" s="347"/>
      <c r="F12" s="159" t="s">
        <v>4939</v>
      </c>
      <c r="G12" s="348">
        <v>0</v>
      </c>
      <c r="H12" s="156" t="str">
        <f t="shared" si="0"/>
        <v/>
      </c>
      <c r="I12" s="349" t="str">
        <f>IF(A12="","",SUMIFS(Tabla18[Monto Base],Tabla18[Contrato],A12)+SUMIFS('2_Pagos_Quincena_SC'!H:H,'2_Pagos_Quincena_SC'!A:A,A12))</f>
        <v/>
      </c>
      <c r="J12" s="156" t="str">
        <f t="shared" si="1"/>
        <v/>
      </c>
      <c r="K12" s="349" t="str">
        <f>IF(A12="","",SUMIFS(Tabla18[Monto CAC],Tabla18[Contrato],A12))</f>
        <v/>
      </c>
      <c r="L12" s="157" t="str">
        <f t="shared" si="2"/>
        <v/>
      </c>
      <c r="M12" s="263" t="str">
        <f t="shared" si="3"/>
        <v>⚪</v>
      </c>
    </row>
    <row r="13" spans="1:13" ht="14.25" customHeight="1" x14ac:dyDescent="0.3">
      <c r="A13" s="346"/>
      <c r="B13" s="160"/>
      <c r="C13" s="160"/>
      <c r="D13" s="160"/>
      <c r="E13" s="347"/>
      <c r="F13" s="159" t="s">
        <v>4939</v>
      </c>
      <c r="G13" s="348">
        <v>0</v>
      </c>
      <c r="H13" s="156" t="str">
        <f t="shared" si="0"/>
        <v/>
      </c>
      <c r="I13" s="349" t="str">
        <f>IF(A13="","",SUMIFS(Tabla18[Monto Base],Tabla18[Contrato],A13)+SUMIFS('2_Pagos_Quincena_SC'!H:H,'2_Pagos_Quincena_SC'!A:A,A13))</f>
        <v/>
      </c>
      <c r="J13" s="156" t="str">
        <f t="shared" si="1"/>
        <v/>
      </c>
      <c r="K13" s="349" t="str">
        <f>IF(A13="","",SUMIFS(Tabla18[Monto CAC],Tabla18[Contrato],A13))</f>
        <v/>
      </c>
      <c r="L13" s="157" t="str">
        <f t="shared" si="2"/>
        <v/>
      </c>
      <c r="M13" s="263" t="str">
        <f t="shared" si="3"/>
        <v>⚪</v>
      </c>
    </row>
    <row r="14" spans="1:13" ht="14.25" customHeight="1" x14ac:dyDescent="0.3">
      <c r="A14" s="350" t="s">
        <v>4324</v>
      </c>
      <c r="B14" s="351"/>
      <c r="C14" s="351"/>
      <c r="D14" s="351"/>
      <c r="E14" s="352">
        <f>SUM(E4:E13)</f>
        <v>116116327.47</v>
      </c>
      <c r="F14" s="351"/>
      <c r="G14" s="351"/>
      <c r="H14" s="352">
        <f>SUM(H4:H13)</f>
        <v>911176.84200000006</v>
      </c>
      <c r="I14" s="352">
        <f>SUM(I4:I13)</f>
        <v>103935594.43977198</v>
      </c>
      <c r="J14" s="352">
        <f>SUM(J4:J13)</f>
        <v>12180733.030228019</v>
      </c>
      <c r="K14" s="352">
        <f>SUM(K4:K13)</f>
        <v>567634</v>
      </c>
      <c r="L14" s="352">
        <f>SUM(L4:L13)</f>
        <v>104503228.43977198</v>
      </c>
      <c r="M14" s="263" t="str">
        <f t="shared" si="3"/>
        <v>⚪</v>
      </c>
    </row>
    <row r="16" spans="1:13" ht="14.25" customHeight="1" x14ac:dyDescent="0.3">
      <c r="A16" s="3" t="s">
        <v>4949</v>
      </c>
    </row>
    <row r="17" spans="1:10" ht="14.25" customHeight="1" x14ac:dyDescent="0.3">
      <c r="A17" s="564" t="s">
        <v>4950</v>
      </c>
      <c r="B17" s="565"/>
      <c r="C17" s="565"/>
      <c r="D17" s="565"/>
      <c r="E17" s="565"/>
      <c r="F17" s="565"/>
      <c r="G17" s="565"/>
      <c r="H17" s="565"/>
      <c r="I17" s="565"/>
      <c r="J17" s="565"/>
    </row>
    <row r="18" spans="1:10" ht="14.25" customHeight="1" x14ac:dyDescent="0.3">
      <c r="A18" s="564" t="s">
        <v>4951</v>
      </c>
      <c r="B18" s="565"/>
      <c r="C18" s="565"/>
      <c r="D18" s="565"/>
      <c r="E18" s="565"/>
      <c r="F18" s="565"/>
      <c r="G18" s="565"/>
      <c r="H18" s="565"/>
      <c r="I18" s="565"/>
      <c r="J18" s="565"/>
    </row>
    <row r="19" spans="1:10" ht="14.25" customHeight="1" x14ac:dyDescent="0.3">
      <c r="A19" s="564" t="s">
        <v>4952</v>
      </c>
      <c r="B19" s="565"/>
      <c r="C19" s="565"/>
      <c r="D19" s="565"/>
      <c r="E19" s="565"/>
      <c r="F19" s="565"/>
      <c r="G19" s="565"/>
      <c r="H19" s="565"/>
      <c r="I19" s="565"/>
      <c r="J19" s="565"/>
    </row>
    <row r="20" spans="1:10" ht="14.25" customHeight="1" x14ac:dyDescent="0.3">
      <c r="A20" s="564" t="s">
        <v>4953</v>
      </c>
      <c r="B20" s="565"/>
      <c r="C20" s="565"/>
      <c r="D20" s="565"/>
      <c r="E20" s="565"/>
      <c r="F20" s="565"/>
      <c r="G20" s="565"/>
      <c r="H20" s="565"/>
      <c r="I20" s="565"/>
      <c r="J20" s="565"/>
    </row>
  </sheetData>
  <mergeCells count="4">
    <mergeCell ref="A17:J17"/>
    <mergeCell ref="A18:J18"/>
    <mergeCell ref="A20:J20"/>
    <mergeCell ref="A19:J19"/>
  </mergeCells>
  <conditionalFormatting sqref="M4:M14">
    <cfRule type="expression" dxfId="8" priority="1">
      <formula>L4=0</formula>
    </cfRule>
    <cfRule type="expression" dxfId="7" priority="2">
      <formula>L4&lt;0</formula>
    </cfRule>
    <cfRule type="expression" dxfId="6" priority="3">
      <formula>L4&gt;0</formula>
    </cfRule>
  </conditionalFormatting>
  <dataValidations disablePrompts="1" count="1">
    <dataValidation type="list" allowBlank="1" showInputMessage="1" showErrorMessage="1" sqref="F4:F13" xr:uid="{00000000-0002-0000-0900-000000000000}">
      <formula1>"SI,NO"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E75B6"/>
  </sheetPr>
  <dimension ref="A1:K68"/>
  <sheetViews>
    <sheetView zoomScaleNormal="100" workbookViewId="0">
      <pane ySplit="3" topLeftCell="A4" activePane="bottomLeft" state="frozen"/>
      <selection pane="bottomLeft"/>
    </sheetView>
  </sheetViews>
  <sheetFormatPr defaultColWidth="8.54296875" defaultRowHeight="13" x14ac:dyDescent="0.3"/>
  <cols>
    <col min="1" max="1" width="12" style="353" customWidth="1"/>
    <col min="2" max="2" width="24" style="353" customWidth="1"/>
    <col min="3" max="3" width="14" style="353" customWidth="1"/>
    <col min="4" max="4" width="12" style="353" customWidth="1"/>
    <col min="5" max="5" width="38" style="353" customWidth="1"/>
    <col min="6" max="7" width="15" style="353" customWidth="1"/>
    <col min="8" max="8" width="14" style="353" customWidth="1"/>
    <col min="9" max="9" width="17" style="353" customWidth="1"/>
    <col min="10" max="10" width="14" style="353" customWidth="1"/>
    <col min="11" max="11" width="48.1796875" style="353" customWidth="1"/>
    <col min="12" max="15" width="8.54296875" style="353" customWidth="1"/>
    <col min="16" max="16384" width="8.54296875" style="353"/>
  </cols>
  <sheetData>
    <row r="1" spans="1:11" ht="16.5" customHeight="1" x14ac:dyDescent="0.3">
      <c r="A1" s="16" t="s">
        <v>4954</v>
      </c>
      <c r="B1" s="16"/>
      <c r="C1" s="16"/>
      <c r="D1" s="16"/>
      <c r="E1" s="16"/>
      <c r="F1" s="16"/>
      <c r="G1" s="16"/>
      <c r="H1" s="16"/>
      <c r="I1" s="16"/>
      <c r="J1" s="16"/>
    </row>
    <row r="2" spans="1:11" ht="14.25" customHeight="1" x14ac:dyDescent="0.3">
      <c r="A2" s="566" t="s">
        <v>4955</v>
      </c>
      <c r="B2" s="567"/>
      <c r="C2" s="567"/>
      <c r="D2" s="567"/>
      <c r="E2" s="567"/>
      <c r="F2" s="567"/>
      <c r="G2" s="567"/>
      <c r="H2" s="567"/>
      <c r="I2" s="567"/>
      <c r="J2" s="567"/>
    </row>
    <row r="3" spans="1:11" ht="36" customHeight="1" x14ac:dyDescent="0.3">
      <c r="A3" s="254" t="s">
        <v>4384</v>
      </c>
      <c r="B3" s="254" t="s">
        <v>4927</v>
      </c>
      <c r="C3" s="254" t="s">
        <v>4399</v>
      </c>
      <c r="D3" s="254" t="s">
        <v>4956</v>
      </c>
      <c r="E3" s="254" t="s">
        <v>4957</v>
      </c>
      <c r="F3" s="254" t="s">
        <v>4958</v>
      </c>
      <c r="G3" s="254" t="s">
        <v>4959</v>
      </c>
      <c r="H3" s="254" t="s">
        <v>4960</v>
      </c>
      <c r="I3" s="254" t="s">
        <v>4961</v>
      </c>
      <c r="J3" s="254" t="s">
        <v>4962</v>
      </c>
      <c r="K3" s="355"/>
    </row>
    <row r="4" spans="1:11" ht="14.25" customHeight="1" x14ac:dyDescent="0.3">
      <c r="A4" s="356"/>
      <c r="B4" s="356"/>
      <c r="C4" s="356"/>
      <c r="D4" s="357"/>
      <c r="E4" s="357"/>
      <c r="F4" s="358"/>
      <c r="G4" s="358"/>
      <c r="H4" s="358"/>
      <c r="I4" s="358" t="str">
        <f>IF(A4="","",SUMIFS(Tabla18[Monto Base],Tabla18[Contrato],A4,Tabla18[Fecha Asiento],"&lt;="&amp;D4))</f>
        <v/>
      </c>
      <c r="J4" s="359" t="str">
        <f>IFERROR(I4/INDEX('2_Subcontratos'!$E:$E,MATCH(A4,'2_Subcontratos'!$A:$A,0)),"")</f>
        <v/>
      </c>
      <c r="K4" s="360"/>
    </row>
    <row r="5" spans="1:11" ht="14.25" customHeight="1" x14ac:dyDescent="0.3">
      <c r="A5" s="356"/>
      <c r="B5" s="356"/>
      <c r="C5" s="356"/>
      <c r="D5" s="357"/>
      <c r="E5" s="357"/>
      <c r="F5" s="358"/>
      <c r="G5" s="358"/>
      <c r="H5" s="358"/>
      <c r="I5" s="358" t="str">
        <f>IF(A5="","",SUMIFS(Tabla18[Monto Base],Tabla18[Contrato],A5,Tabla18[Fecha Asiento],"&lt;="&amp;D5))</f>
        <v/>
      </c>
      <c r="J5" s="359" t="str">
        <f>IFERROR(I5/INDEX('2_Subcontratos'!$E:$E,MATCH(A5,'2_Subcontratos'!$A:$A,0)),"")</f>
        <v/>
      </c>
      <c r="K5" s="360"/>
    </row>
    <row r="6" spans="1:11" ht="14.25" customHeight="1" x14ac:dyDescent="0.3">
      <c r="A6" s="356"/>
      <c r="B6" s="356"/>
      <c r="C6" s="356"/>
      <c r="D6" s="357"/>
      <c r="E6" s="357"/>
      <c r="F6" s="358"/>
      <c r="G6" s="358"/>
      <c r="H6" s="358"/>
      <c r="I6" s="358" t="str">
        <f>IF(A6="","",SUMIFS(Tabla18[Monto Base],Tabla18[Contrato],A6,Tabla18[Fecha Asiento],"&lt;="&amp;D6))</f>
        <v/>
      </c>
      <c r="J6" s="359" t="str">
        <f>IFERROR(I6/INDEX('2_Subcontratos'!$E:$E,MATCH(A6,'2_Subcontratos'!$A:$A,0)),"")</f>
        <v/>
      </c>
      <c r="K6" s="361"/>
    </row>
    <row r="7" spans="1:11" ht="14.25" customHeight="1" x14ac:dyDescent="0.3">
      <c r="A7" s="356"/>
      <c r="B7" s="356"/>
      <c r="C7" s="356"/>
      <c r="D7" s="357"/>
      <c r="E7" s="357"/>
      <c r="F7" s="358"/>
      <c r="G7" s="358"/>
      <c r="H7" s="358"/>
      <c r="I7" s="358" t="str">
        <f>IF(A7="","",SUMIFS(Tabla18[Monto Base],Tabla18[Contrato],A7,Tabla18[Fecha Asiento],"&lt;="&amp;D7))</f>
        <v/>
      </c>
      <c r="J7" s="359" t="str">
        <f>IFERROR(I7/INDEX('2_Subcontratos'!$E:$E,MATCH(A7,'2_Subcontratos'!$A:$A,0)),"")</f>
        <v/>
      </c>
      <c r="K7" s="360"/>
    </row>
    <row r="8" spans="1:11" ht="14.25" customHeight="1" x14ac:dyDescent="0.3">
      <c r="A8" s="356"/>
      <c r="B8" s="356"/>
      <c r="C8" s="356"/>
      <c r="D8" s="357"/>
      <c r="E8" s="357"/>
      <c r="F8" s="358"/>
      <c r="G8" s="358"/>
      <c r="H8" s="358"/>
      <c r="I8" s="358" t="str">
        <f>IF(A8="","",SUMIFS(Tabla18[Monto Base],Tabla18[Contrato],A8,Tabla18[Fecha Asiento],"&lt;="&amp;D8))</f>
        <v/>
      </c>
      <c r="J8" s="359" t="str">
        <f>IFERROR(I8/INDEX('2_Subcontratos'!$E:$E,MATCH(A8,'2_Subcontratos'!$A:$A,0)),"")</f>
        <v/>
      </c>
      <c r="K8" s="360"/>
    </row>
    <row r="9" spans="1:11" ht="14.25" customHeight="1" x14ac:dyDescent="0.3">
      <c r="A9" s="356"/>
      <c r="B9" s="356"/>
      <c r="C9" s="356"/>
      <c r="D9" s="357"/>
      <c r="E9" s="357"/>
      <c r="F9" s="358"/>
      <c r="G9" s="358"/>
      <c r="H9" s="358"/>
      <c r="I9" s="358" t="str">
        <f>IF(A9="","",SUMIFS(Tabla18[Monto Base],Tabla18[Contrato],A9,Tabla18[Fecha Asiento],"&lt;="&amp;D9))</f>
        <v/>
      </c>
      <c r="J9" s="359" t="str">
        <f>IFERROR(I9/INDEX('2_Subcontratos'!$E:$E,MATCH(A9,'2_Subcontratos'!$A:$A,0)),"")</f>
        <v/>
      </c>
    </row>
    <row r="10" spans="1:11" ht="14.25" customHeight="1" x14ac:dyDescent="0.3">
      <c r="A10" s="356"/>
      <c r="B10" s="356"/>
      <c r="C10" s="356"/>
      <c r="D10" s="357"/>
      <c r="E10" s="357"/>
      <c r="F10" s="358"/>
      <c r="G10" s="358"/>
      <c r="H10" s="358"/>
      <c r="I10" s="358" t="str">
        <f>IF(A10="","",SUMIFS(Tabla18[Monto Base],Tabla18[Contrato],A10,Tabla18[Fecha Asiento],"&lt;="&amp;D10))</f>
        <v/>
      </c>
      <c r="J10" s="359" t="str">
        <f>IFERROR(I10/INDEX('2_Subcontratos'!$E:$E,MATCH(A10,'2_Subcontratos'!$A:$A,0)),"")</f>
        <v/>
      </c>
      <c r="K10" s="362"/>
    </row>
    <row r="11" spans="1:11" ht="14.25" customHeight="1" x14ac:dyDescent="0.3">
      <c r="A11" s="356"/>
      <c r="B11" s="356"/>
      <c r="C11" s="356"/>
      <c r="D11" s="357"/>
      <c r="E11" s="357"/>
      <c r="F11" s="358"/>
      <c r="G11" s="358"/>
      <c r="H11" s="358"/>
      <c r="I11" s="358" t="str">
        <f>IF(A11="","",SUMIFS(Tabla18[Monto Base],Tabla18[Contrato],A11,Tabla18[Fecha Asiento],"&lt;="&amp;D11))</f>
        <v/>
      </c>
      <c r="J11" s="359" t="str">
        <f>IFERROR(I11/INDEX('2_Subcontratos'!$E:$E,MATCH(A11,'2_Subcontratos'!$A:$A,0)),"")</f>
        <v/>
      </c>
      <c r="K11" s="360"/>
    </row>
    <row r="12" spans="1:11" ht="14.25" customHeight="1" x14ac:dyDescent="0.3">
      <c r="A12" s="356"/>
      <c r="B12" s="356"/>
      <c r="C12" s="356"/>
      <c r="D12" s="357"/>
      <c r="E12" s="357"/>
      <c r="F12" s="358"/>
      <c r="G12" s="358"/>
      <c r="H12" s="358"/>
      <c r="I12" s="358" t="str">
        <f>IF(A12="","",SUMIFS(Tabla18[Monto Base],Tabla18[Contrato],A12,Tabla18[Fecha Asiento],"&lt;="&amp;D12))</f>
        <v/>
      </c>
      <c r="J12" s="359" t="str">
        <f>IFERROR(I12/INDEX('2_Subcontratos'!$E:$E,MATCH(A12,'2_Subcontratos'!$A:$A,0)),"")</f>
        <v/>
      </c>
      <c r="K12" s="360"/>
    </row>
    <row r="13" spans="1:11" ht="14.25" customHeight="1" x14ac:dyDescent="0.3">
      <c r="A13" s="356"/>
      <c r="B13" s="356"/>
      <c r="C13" s="356"/>
      <c r="D13" s="357"/>
      <c r="E13" s="357"/>
      <c r="F13" s="358"/>
      <c r="G13" s="358"/>
      <c r="H13" s="358"/>
      <c r="I13" s="358" t="str">
        <f>IF(A13="","",SUMIFS(Tabla18[Monto Base],Tabla18[Contrato],A13,Tabla18[Fecha Asiento],"&lt;="&amp;D13))</f>
        <v/>
      </c>
      <c r="J13" s="359" t="str">
        <f>IFERROR(I13/INDEX('2_Subcontratos'!$E:$E,MATCH(A13,'2_Subcontratos'!$A:$A,0)),"")</f>
        <v/>
      </c>
      <c r="K13" s="360"/>
    </row>
    <row r="14" spans="1:11" ht="14.25" customHeight="1" x14ac:dyDescent="0.3">
      <c r="A14" s="356"/>
      <c r="B14" s="356"/>
      <c r="C14" s="356"/>
      <c r="D14" s="357"/>
      <c r="E14" s="357"/>
      <c r="F14" s="358"/>
      <c r="G14" s="358"/>
      <c r="H14" s="358"/>
      <c r="I14" s="358" t="str">
        <f>IF(A14="","",SUMIFS(Tabla18[Monto Base],Tabla18[Contrato],A14,Tabla18[Fecha Asiento],"&lt;="&amp;D14))</f>
        <v/>
      </c>
      <c r="J14" s="359" t="str">
        <f>IFERROR(I14/INDEX('2_Subcontratos'!$E:$E,MATCH(A14,'2_Subcontratos'!$A:$A,0)),"")</f>
        <v/>
      </c>
      <c r="K14" s="360"/>
    </row>
    <row r="15" spans="1:11" ht="14.25" customHeight="1" x14ac:dyDescent="0.3">
      <c r="A15" s="356"/>
      <c r="B15" s="356"/>
      <c r="C15" s="356"/>
      <c r="D15" s="357"/>
      <c r="E15" s="357"/>
      <c r="F15" s="358"/>
      <c r="G15" s="358"/>
      <c r="H15" s="358"/>
      <c r="I15" s="358" t="str">
        <f>IF(A15="","",SUMIFS(Tabla18[Monto Base],Tabla18[Contrato],A15,Tabla18[Fecha Asiento],"&lt;="&amp;D15))</f>
        <v/>
      </c>
      <c r="J15" s="359" t="str">
        <f>IFERROR(I15/INDEX('2_Subcontratos'!$E:$E,MATCH(A15,'2_Subcontratos'!$A:$A,0)),"")</f>
        <v/>
      </c>
      <c r="K15" s="360"/>
    </row>
    <row r="16" spans="1:11" ht="14.25" customHeight="1" x14ac:dyDescent="0.3">
      <c r="A16" s="356"/>
      <c r="B16" s="356"/>
      <c r="C16" s="356"/>
      <c r="D16" s="357"/>
      <c r="E16" s="357"/>
      <c r="F16" s="358"/>
      <c r="G16" s="358"/>
      <c r="H16" s="358"/>
      <c r="I16" s="358" t="str">
        <f>IF(A16="","",SUMIFS(Tabla18[Monto Base],Tabla18[Contrato],A16,Tabla18[Fecha Asiento],"&lt;="&amp;D16))</f>
        <v/>
      </c>
      <c r="J16" s="359" t="str">
        <f>IFERROR(I16/INDEX('2_Subcontratos'!$E:$E,MATCH(A16,'2_Subcontratos'!$A:$A,0)),"")</f>
        <v/>
      </c>
    </row>
    <row r="17" spans="1:11" ht="14.25" customHeight="1" x14ac:dyDescent="0.3">
      <c r="A17" s="356"/>
      <c r="B17" s="356"/>
      <c r="C17" s="356"/>
      <c r="D17" s="357"/>
      <c r="E17" s="357"/>
      <c r="F17" s="358"/>
      <c r="G17" s="358"/>
      <c r="H17" s="358"/>
      <c r="I17" s="358" t="str">
        <f>IF(A17="","",SUMIFS(Tabla18[Monto Base],Tabla18[Contrato],A17,Tabla18[Fecha Asiento],"&lt;="&amp;D17))</f>
        <v/>
      </c>
      <c r="J17" s="359" t="str">
        <f>IFERROR(I17/INDEX('2_Subcontratos'!$E:$E,MATCH(A17,'2_Subcontratos'!$A:$A,0)),"")</f>
        <v/>
      </c>
      <c r="K17" s="362"/>
    </row>
    <row r="18" spans="1:11" ht="14.25" customHeight="1" x14ac:dyDescent="0.3">
      <c r="A18" s="356"/>
      <c r="B18" s="356"/>
      <c r="C18" s="356"/>
      <c r="D18" s="357"/>
      <c r="E18" s="357"/>
      <c r="F18" s="358"/>
      <c r="G18" s="358"/>
      <c r="H18" s="358"/>
      <c r="I18" s="358" t="str">
        <f>IF(A18="","",SUMIFS(Tabla18[Monto Base],Tabla18[Contrato],A18,Tabla18[Fecha Asiento],"&lt;="&amp;D18))</f>
        <v/>
      </c>
      <c r="J18" s="359" t="str">
        <f>IFERROR(I18/INDEX('2_Subcontratos'!$E:$E,MATCH(A18,'2_Subcontratos'!$A:$A,0)),"")</f>
        <v/>
      </c>
      <c r="K18" s="360"/>
    </row>
    <row r="19" spans="1:11" ht="14.25" customHeight="1" x14ac:dyDescent="0.3">
      <c r="A19" s="356"/>
      <c r="B19" s="356"/>
      <c r="C19" s="356"/>
      <c r="D19" s="357"/>
      <c r="E19" s="357"/>
      <c r="F19" s="358"/>
      <c r="G19" s="358"/>
      <c r="H19" s="358"/>
      <c r="I19" s="358" t="str">
        <f>IF(A19="","",SUMIFS(Tabla18[Monto Base],Tabla18[Contrato],A19,Tabla18[Fecha Asiento],"&lt;="&amp;D19))</f>
        <v/>
      </c>
      <c r="J19" s="359" t="str">
        <f>IFERROR(I19/INDEX('2_Subcontratos'!$E:$E,MATCH(A19,'2_Subcontratos'!$A:$A,0)),"")</f>
        <v/>
      </c>
      <c r="K19" s="360"/>
    </row>
    <row r="20" spans="1:11" ht="14.25" customHeight="1" x14ac:dyDescent="0.3">
      <c r="A20" s="356"/>
      <c r="B20" s="356"/>
      <c r="C20" s="356"/>
      <c r="D20" s="357"/>
      <c r="E20" s="357"/>
      <c r="F20" s="358"/>
      <c r="G20" s="358"/>
      <c r="H20" s="358"/>
      <c r="I20" s="358" t="str">
        <f>IF(A20="","",SUMIFS(Tabla18[Monto Base],Tabla18[Contrato],A20,Tabla18[Fecha Asiento],"&lt;="&amp;D20))</f>
        <v/>
      </c>
      <c r="J20" s="359" t="str">
        <f>IFERROR(I20/INDEX('2_Subcontratos'!$E:$E,MATCH(A20,'2_Subcontratos'!$A:$A,0)),"")</f>
        <v/>
      </c>
      <c r="K20" s="360"/>
    </row>
    <row r="21" spans="1:11" ht="14.25" customHeight="1" x14ac:dyDescent="0.3">
      <c r="A21" s="356"/>
      <c r="B21" s="356"/>
      <c r="C21" s="356"/>
      <c r="D21" s="357"/>
      <c r="E21" s="357"/>
      <c r="F21" s="358"/>
      <c r="G21" s="358"/>
      <c r="H21" s="358"/>
      <c r="I21" s="358" t="str">
        <f>IF(A21="","",SUMIFS(Tabla18[Monto Base],Tabla18[Contrato],A21,Tabla18[Fecha Asiento],"&lt;="&amp;D21))</f>
        <v/>
      </c>
      <c r="J21" s="359" t="str">
        <f>IFERROR(I21/INDEX('2_Subcontratos'!$E:$E,MATCH(A21,'2_Subcontratos'!$A:$A,0)),"")</f>
        <v/>
      </c>
    </row>
    <row r="22" spans="1:11" ht="14.25" customHeight="1" x14ac:dyDescent="0.3">
      <c r="A22" s="356"/>
      <c r="B22" s="356"/>
      <c r="C22" s="356"/>
      <c r="D22" s="357"/>
      <c r="E22" s="357"/>
      <c r="F22" s="358"/>
      <c r="G22" s="358"/>
      <c r="H22" s="358"/>
      <c r="I22" s="358" t="str">
        <f>IF(A22="","",SUMIFS(Tabla18[Monto Base],Tabla18[Contrato],A22,Tabla18[Fecha Asiento],"&lt;="&amp;D22))</f>
        <v/>
      </c>
      <c r="J22" s="359" t="str">
        <f>IFERROR(I22/INDEX('2_Subcontratos'!$E:$E,MATCH(A22,'2_Subcontratos'!$A:$A,0)),"")</f>
        <v/>
      </c>
    </row>
    <row r="23" spans="1:11" ht="14.25" customHeight="1" x14ac:dyDescent="0.3">
      <c r="A23" s="356"/>
      <c r="B23" s="356"/>
      <c r="C23" s="356"/>
      <c r="D23" s="357"/>
      <c r="E23" s="357"/>
      <c r="F23" s="358"/>
      <c r="G23" s="358"/>
      <c r="H23" s="358"/>
      <c r="I23" s="358" t="str">
        <f>IF(A23="","",SUMIFS(Tabla18[Monto Base],Tabla18[Contrato],A23,Tabla18[Fecha Asiento],"&lt;="&amp;D23))</f>
        <v/>
      </c>
      <c r="J23" s="359" t="str">
        <f>IFERROR(I23/INDEX('2_Subcontratos'!$E:$E,MATCH(A23,'2_Subcontratos'!$A:$A,0)),"")</f>
        <v/>
      </c>
    </row>
    <row r="24" spans="1:11" ht="14.25" customHeight="1" x14ac:dyDescent="0.3">
      <c r="A24" s="356"/>
      <c r="B24" s="356"/>
      <c r="C24" s="356"/>
      <c r="D24" s="357"/>
      <c r="E24" s="357"/>
      <c r="F24" s="358"/>
      <c r="G24" s="358"/>
      <c r="H24" s="358"/>
      <c r="I24" s="358" t="str">
        <f>IF(A24="","",SUMIFS(Tabla18[Monto Base],Tabla18[Contrato],A24,Tabla18[Fecha Asiento],"&lt;="&amp;D24))</f>
        <v/>
      </c>
      <c r="J24" s="359" t="str">
        <f>IFERROR(I24/INDEX('2_Subcontratos'!$E:$E,MATCH(A24,'2_Subcontratos'!$A:$A,0)),"")</f>
        <v/>
      </c>
    </row>
    <row r="25" spans="1:11" ht="14.25" customHeight="1" x14ac:dyDescent="0.3">
      <c r="A25" s="356"/>
      <c r="B25" s="356"/>
      <c r="C25" s="356"/>
      <c r="D25" s="357"/>
      <c r="E25" s="357"/>
      <c r="F25" s="358"/>
      <c r="G25" s="358"/>
      <c r="H25" s="358"/>
      <c r="I25" s="358" t="str">
        <f>IF(A25="","",SUMIFS(Tabla18[Monto Base],Tabla18[Contrato],A25,Tabla18[Fecha Asiento],"&lt;="&amp;D25))</f>
        <v/>
      </c>
      <c r="J25" s="359" t="str">
        <f>IFERROR(I25/INDEX('2_Subcontratos'!$E:$E,MATCH(A25,'2_Subcontratos'!$A:$A,0)),"")</f>
        <v/>
      </c>
    </row>
    <row r="26" spans="1:11" ht="14.25" customHeight="1" x14ac:dyDescent="0.3">
      <c r="A26" s="356"/>
      <c r="B26" s="356"/>
      <c r="C26" s="356"/>
      <c r="D26" s="357"/>
      <c r="E26" s="357"/>
      <c r="F26" s="358"/>
      <c r="G26" s="358"/>
      <c r="H26" s="358"/>
      <c r="I26" s="358" t="str">
        <f>IF(A26="","",SUMIFS(Tabla18[Monto Base],Tabla18[Contrato],A26,Tabla18[Fecha Asiento],"&lt;="&amp;D26))</f>
        <v/>
      </c>
      <c r="J26" s="359" t="str">
        <f>IFERROR(I26/INDEX('2_Subcontratos'!$E:$E,MATCH(A26,'2_Subcontratos'!$A:$A,0)),"")</f>
        <v/>
      </c>
    </row>
    <row r="27" spans="1:11" ht="14.25" customHeight="1" x14ac:dyDescent="0.3">
      <c r="A27" s="356"/>
      <c r="B27" s="356"/>
      <c r="C27" s="356"/>
      <c r="D27" s="357"/>
      <c r="E27" s="357"/>
      <c r="F27" s="358"/>
      <c r="G27" s="358"/>
      <c r="H27" s="358"/>
      <c r="I27" s="358" t="str">
        <f>IF(A27="","",SUMIFS(Tabla18[Monto Base],Tabla18[Contrato],A27,Tabla18[Fecha Asiento],"&lt;="&amp;D27))</f>
        <v/>
      </c>
      <c r="J27" s="359" t="str">
        <f>IFERROR(I27/INDEX('2_Subcontratos'!$E:$E,MATCH(A27,'2_Subcontratos'!$A:$A,0)),"")</f>
        <v/>
      </c>
    </row>
    <row r="28" spans="1:11" ht="14.25" customHeight="1" x14ac:dyDescent="0.3">
      <c r="A28" s="356"/>
      <c r="B28" s="356"/>
      <c r="C28" s="356"/>
      <c r="D28" s="357"/>
      <c r="E28" s="357"/>
      <c r="F28" s="358"/>
      <c r="G28" s="358"/>
      <c r="H28" s="358"/>
      <c r="I28" s="358" t="str">
        <f>IF(A28="","",SUMIFS(Tabla18[Monto Base],Tabla18[Contrato],A28,Tabla18[Fecha Asiento],"&lt;="&amp;D28))</f>
        <v/>
      </c>
      <c r="J28" s="359" t="str">
        <f>IFERROR(I28/INDEX('2_Subcontratos'!$E:$E,MATCH(A28,'2_Subcontratos'!$A:$A,0)),"")</f>
        <v/>
      </c>
    </row>
    <row r="29" spans="1:11" ht="14.25" customHeight="1" x14ac:dyDescent="0.3">
      <c r="A29" s="356"/>
      <c r="B29" s="356"/>
      <c r="C29" s="356"/>
      <c r="D29" s="357"/>
      <c r="E29" s="357"/>
      <c r="F29" s="358"/>
      <c r="G29" s="358"/>
      <c r="H29" s="358"/>
      <c r="I29" s="358" t="str">
        <f>IF(A29="","",SUMIFS(Tabla18[Monto Base],Tabla18[Contrato],A29,Tabla18[Fecha Asiento],"&lt;="&amp;D29))</f>
        <v/>
      </c>
      <c r="J29" s="359" t="str">
        <f>IFERROR(I29/INDEX('2_Subcontratos'!$E:$E,MATCH(A29,'2_Subcontratos'!$A:$A,0)),"")</f>
        <v/>
      </c>
    </row>
    <row r="30" spans="1:11" ht="14.25" customHeight="1" x14ac:dyDescent="0.3">
      <c r="A30" s="356"/>
      <c r="B30" s="356"/>
      <c r="C30" s="356"/>
      <c r="D30" s="357"/>
      <c r="E30" s="357"/>
      <c r="F30" s="358"/>
      <c r="G30" s="358"/>
      <c r="H30" s="358"/>
      <c r="I30" s="358" t="str">
        <f>IF(A30="","",SUMIFS(Tabla18[Monto Base],Tabla18[Contrato],A30,Tabla18[Fecha Asiento],"&lt;="&amp;D30))</f>
        <v/>
      </c>
      <c r="J30" s="359" t="str">
        <f>IFERROR(I30/INDEX('2_Subcontratos'!$E:$E,MATCH(A30,'2_Subcontratos'!$A:$A,0)),"")</f>
        <v/>
      </c>
    </row>
    <row r="31" spans="1:11" ht="14.25" customHeight="1" x14ac:dyDescent="0.3">
      <c r="A31" s="356"/>
      <c r="B31" s="356"/>
      <c r="C31" s="356"/>
      <c r="D31" s="357"/>
      <c r="E31" s="357"/>
      <c r="F31" s="358"/>
      <c r="G31" s="358"/>
      <c r="H31" s="358"/>
      <c r="I31" s="358" t="str">
        <f>IF(A31="","",SUMIFS(Tabla18[Monto Base],Tabla18[Contrato],A31,Tabla18[Fecha Asiento],"&lt;="&amp;D31))</f>
        <v/>
      </c>
      <c r="J31" s="359" t="str">
        <f>IFERROR(I31/INDEX('2_Subcontratos'!$E:$E,MATCH(A31,'2_Subcontratos'!$A:$A,0)),"")</f>
        <v/>
      </c>
    </row>
    <row r="32" spans="1:11" ht="14.25" customHeight="1" x14ac:dyDescent="0.3">
      <c r="A32" s="356"/>
      <c r="B32" s="356"/>
      <c r="C32" s="356"/>
      <c r="D32" s="357"/>
      <c r="E32" s="357"/>
      <c r="F32" s="358"/>
      <c r="G32" s="358"/>
      <c r="H32" s="358"/>
      <c r="I32" s="358" t="str">
        <f>IF(A32="","",SUMIFS(Tabla18[Monto Base],Tabla18[Contrato],A32,Tabla18[Fecha Asiento],"&lt;="&amp;D32))</f>
        <v/>
      </c>
      <c r="J32" s="359" t="str">
        <f>IFERROR(I32/INDEX('2_Subcontratos'!$E:$E,MATCH(A32,'2_Subcontratos'!$A:$A,0)),"")</f>
        <v/>
      </c>
    </row>
    <row r="33" spans="1:10" ht="14.25" customHeight="1" x14ac:dyDescent="0.3">
      <c r="A33" s="356"/>
      <c r="B33" s="356"/>
      <c r="C33" s="356"/>
      <c r="D33" s="357"/>
      <c r="E33" s="357"/>
      <c r="F33" s="358"/>
      <c r="G33" s="358"/>
      <c r="H33" s="358"/>
      <c r="I33" s="358" t="str">
        <f>IF(A33="","",SUMIFS(Tabla18[Monto Base],Tabla18[Contrato],A33,Tabla18[Fecha Asiento],"&lt;="&amp;D33))</f>
        <v/>
      </c>
      <c r="J33" s="359" t="str">
        <f>IFERROR(I33/INDEX('2_Subcontratos'!$E:$E,MATCH(A33,'2_Subcontratos'!$A:$A,0)),"")</f>
        <v/>
      </c>
    </row>
    <row r="34" spans="1:10" ht="14.25" customHeight="1" x14ac:dyDescent="0.3">
      <c r="A34" s="356"/>
      <c r="B34" s="356"/>
      <c r="C34" s="356"/>
      <c r="D34" s="357"/>
      <c r="E34" s="357"/>
      <c r="F34" s="358"/>
      <c r="G34" s="358"/>
      <c r="H34" s="358"/>
      <c r="I34" s="358" t="str">
        <f>IF(A34="","",SUMIFS(Tabla18[Monto Base],Tabla18[Contrato],A34,Tabla18[Fecha Asiento],"&lt;="&amp;D34))</f>
        <v/>
      </c>
      <c r="J34" s="359" t="str">
        <f>IFERROR(I34/INDEX('2_Subcontratos'!$E:$E,MATCH(A34,'2_Subcontratos'!$A:$A,0)),"")</f>
        <v/>
      </c>
    </row>
    <row r="35" spans="1:10" ht="14.25" customHeight="1" x14ac:dyDescent="0.3">
      <c r="A35" s="356"/>
      <c r="B35" s="356"/>
      <c r="C35" s="356"/>
      <c r="D35" s="357"/>
      <c r="E35" s="357"/>
      <c r="F35" s="358"/>
      <c r="G35" s="358"/>
      <c r="H35" s="358"/>
      <c r="I35" s="358" t="str">
        <f>IF(A35="","",SUMIFS(Tabla18[Monto Base],Tabla18[Contrato],A35,Tabla18[Fecha Asiento],"&lt;="&amp;D35))</f>
        <v/>
      </c>
      <c r="J35" s="359" t="str">
        <f>IFERROR(I35/INDEX('2_Subcontratos'!$E:$E,MATCH(A35,'2_Subcontratos'!$A:$A,0)),"")</f>
        <v/>
      </c>
    </row>
    <row r="36" spans="1:10" ht="14.25" customHeight="1" x14ac:dyDescent="0.3">
      <c r="A36" s="356"/>
      <c r="B36" s="356"/>
      <c r="C36" s="356"/>
      <c r="D36" s="357"/>
      <c r="E36" s="357"/>
      <c r="F36" s="358"/>
      <c r="G36" s="358"/>
      <c r="H36" s="358"/>
      <c r="I36" s="358" t="str">
        <f>IF(A36="","",SUMIFS(Tabla18[Monto Base],Tabla18[Contrato],A36,Tabla18[Fecha Asiento],"&lt;="&amp;D36))</f>
        <v/>
      </c>
      <c r="J36" s="359" t="str">
        <f>IFERROR(I36/INDEX('2_Subcontratos'!$E:$E,MATCH(A36,'2_Subcontratos'!$A:$A,0)),"")</f>
        <v/>
      </c>
    </row>
    <row r="37" spans="1:10" ht="14.25" customHeight="1" x14ac:dyDescent="0.3">
      <c r="A37" s="356"/>
      <c r="B37" s="356"/>
      <c r="C37" s="356"/>
      <c r="D37" s="357"/>
      <c r="E37" s="357"/>
      <c r="F37" s="358"/>
      <c r="G37" s="358"/>
      <c r="H37" s="358"/>
      <c r="I37" s="358" t="str">
        <f>IF(A37="","",SUMIFS(Tabla18[Monto Base],Tabla18[Contrato],A37,Tabla18[Fecha Asiento],"&lt;="&amp;D37))</f>
        <v/>
      </c>
      <c r="J37" s="359" t="str">
        <f>IFERROR(I37/INDEX('2_Subcontratos'!$E:$E,MATCH(A37,'2_Subcontratos'!$A:$A,0)),"")</f>
        <v/>
      </c>
    </row>
    <row r="38" spans="1:10" ht="14.25" customHeight="1" x14ac:dyDescent="0.3">
      <c r="A38" s="356"/>
      <c r="B38" s="356"/>
      <c r="C38" s="356"/>
      <c r="D38" s="357"/>
      <c r="E38" s="357"/>
      <c r="F38" s="358"/>
      <c r="G38" s="358"/>
      <c r="H38" s="358"/>
      <c r="I38" s="358" t="str">
        <f>IF(A38="","",SUMIFS(Tabla18[Monto Base],Tabla18[Contrato],A38,Tabla18[Fecha Asiento],"&lt;="&amp;D38))</f>
        <v/>
      </c>
      <c r="J38" s="359" t="str">
        <f>IFERROR(I38/INDEX('2_Subcontratos'!$E:$E,MATCH(A38,'2_Subcontratos'!$A:$A,0)),"")</f>
        <v/>
      </c>
    </row>
    <row r="39" spans="1:10" ht="14.25" customHeight="1" x14ac:dyDescent="0.3">
      <c r="A39" s="356"/>
      <c r="B39" s="356"/>
      <c r="C39" s="356"/>
      <c r="D39" s="357"/>
      <c r="E39" s="357"/>
      <c r="F39" s="358"/>
      <c r="G39" s="358"/>
      <c r="H39" s="358"/>
      <c r="I39" s="358" t="str">
        <f>IF(A39="","",SUMIFS(Tabla18[Monto Base],Tabla18[Contrato],A39,Tabla18[Fecha Asiento],"&lt;="&amp;D39))</f>
        <v/>
      </c>
      <c r="J39" s="359" t="str">
        <f>IFERROR(I39/INDEX('2_Subcontratos'!$E:$E,MATCH(A39,'2_Subcontratos'!$A:$A,0)),"")</f>
        <v/>
      </c>
    </row>
    <row r="40" spans="1:10" ht="14.25" customHeight="1" x14ac:dyDescent="0.3">
      <c r="A40" s="356"/>
      <c r="B40" s="356"/>
      <c r="C40" s="356"/>
      <c r="D40" s="357"/>
      <c r="E40" s="357"/>
      <c r="F40" s="358"/>
      <c r="G40" s="358"/>
      <c r="H40" s="358"/>
      <c r="I40" s="358" t="str">
        <f>IF(A40="","",SUMIFS(Tabla18[Monto Base],Tabla18[Contrato],A40,Tabla18[Fecha Asiento],"&lt;="&amp;D40))</f>
        <v/>
      </c>
      <c r="J40" s="359" t="str">
        <f>IFERROR(I40/INDEX('2_Subcontratos'!$E:$E,MATCH(A40,'2_Subcontratos'!$A:$A,0)),"")</f>
        <v/>
      </c>
    </row>
    <row r="41" spans="1:10" ht="14.25" customHeight="1" x14ac:dyDescent="0.3">
      <c r="A41" s="356"/>
      <c r="B41" s="356"/>
      <c r="C41" s="356"/>
      <c r="D41" s="357"/>
      <c r="E41" s="357"/>
      <c r="F41" s="358"/>
      <c r="G41" s="358"/>
      <c r="H41" s="358"/>
      <c r="I41" s="358" t="str">
        <f>IF(A41="","",SUMIFS(Tabla18[Monto Base],Tabla18[Contrato],A41,Tabla18[Fecha Asiento],"&lt;="&amp;D41))</f>
        <v/>
      </c>
      <c r="J41" s="359" t="str">
        <f>IFERROR(I41/INDEX('2_Subcontratos'!$E:$E,MATCH(A41,'2_Subcontratos'!$A:$A,0)),"")</f>
        <v/>
      </c>
    </row>
    <row r="42" spans="1:10" ht="14.25" customHeight="1" x14ac:dyDescent="0.3">
      <c r="A42" s="356"/>
      <c r="B42" s="356"/>
      <c r="C42" s="356"/>
      <c r="D42" s="357"/>
      <c r="E42" s="357"/>
      <c r="F42" s="358"/>
      <c r="G42" s="358"/>
      <c r="H42" s="358"/>
      <c r="I42" s="358" t="str">
        <f>IF(A42="","",SUMIFS(Tabla18[Monto Base],Tabla18[Contrato],A42,Tabla18[Fecha Asiento],"&lt;="&amp;D42))</f>
        <v/>
      </c>
      <c r="J42" s="359" t="str">
        <f>IFERROR(I42/INDEX('2_Subcontratos'!$E:$E,MATCH(A42,'2_Subcontratos'!$A:$A,0)),"")</f>
        <v/>
      </c>
    </row>
    <row r="43" spans="1:10" ht="14.25" customHeight="1" x14ac:dyDescent="0.3">
      <c r="A43" s="356"/>
      <c r="B43" s="356"/>
      <c r="C43" s="356"/>
      <c r="D43" s="357"/>
      <c r="E43" s="357"/>
      <c r="F43" s="358"/>
      <c r="G43" s="358"/>
      <c r="H43" s="358"/>
      <c r="I43" s="358" t="str">
        <f>IF(A43="","",SUMIFS(Tabla18[Monto Base],Tabla18[Contrato],A43,Tabla18[Fecha Asiento],"&lt;="&amp;D43))</f>
        <v/>
      </c>
      <c r="J43" s="359" t="str">
        <f>IFERROR(I43/INDEX('2_Subcontratos'!$E:$E,MATCH(A43,'2_Subcontratos'!$A:$A,0)),"")</f>
        <v/>
      </c>
    </row>
    <row r="44" spans="1:10" ht="14.25" customHeight="1" x14ac:dyDescent="0.3">
      <c r="A44" s="356"/>
      <c r="B44" s="356"/>
      <c r="C44" s="356"/>
      <c r="D44" s="357"/>
      <c r="E44" s="357"/>
      <c r="F44" s="358"/>
      <c r="G44" s="358"/>
      <c r="H44" s="358"/>
      <c r="I44" s="358" t="str">
        <f>IF(A44="","",SUMIFS(Tabla18[Monto Base],Tabla18[Contrato],A44,Tabla18[Fecha Asiento],"&lt;="&amp;D44))</f>
        <v/>
      </c>
      <c r="J44" s="359" t="str">
        <f>IFERROR(I44/INDEX('2_Subcontratos'!$E:$E,MATCH(A44,'2_Subcontratos'!$A:$A,0)),"")</f>
        <v/>
      </c>
    </row>
    <row r="45" spans="1:10" ht="14.25" customHeight="1" x14ac:dyDescent="0.3">
      <c r="A45" s="356"/>
      <c r="B45" s="356"/>
      <c r="C45" s="356"/>
      <c r="D45" s="357"/>
      <c r="E45" s="357"/>
      <c r="F45" s="358"/>
      <c r="G45" s="358"/>
      <c r="H45" s="358"/>
      <c r="I45" s="358" t="str">
        <f>IF(A45="","",SUMIFS(Tabla18[Monto Base],Tabla18[Contrato],A45,Tabla18[Fecha Asiento],"&lt;="&amp;D45))</f>
        <v/>
      </c>
      <c r="J45" s="359" t="str">
        <f>IFERROR(I45/INDEX('2_Subcontratos'!$E:$E,MATCH(A45,'2_Subcontratos'!$A:$A,0)),"")</f>
        <v/>
      </c>
    </row>
    <row r="46" spans="1:10" ht="14.25" customHeight="1" x14ac:dyDescent="0.3">
      <c r="A46" s="356"/>
      <c r="B46" s="356"/>
      <c r="C46" s="356"/>
      <c r="D46" s="357"/>
      <c r="E46" s="357"/>
      <c r="F46" s="358"/>
      <c r="G46" s="358"/>
      <c r="H46" s="358"/>
      <c r="I46" s="358" t="str">
        <f>IF(A46="","",SUMIFS(Tabla18[Monto Base],Tabla18[Contrato],A46,Tabla18[Fecha Asiento],"&lt;="&amp;D46))</f>
        <v/>
      </c>
      <c r="J46" s="359" t="str">
        <f>IFERROR(I46/INDEX('2_Subcontratos'!$E:$E,MATCH(A46,'2_Subcontratos'!$A:$A,0)),"")</f>
        <v/>
      </c>
    </row>
    <row r="47" spans="1:10" ht="14.25" customHeight="1" x14ac:dyDescent="0.3">
      <c r="A47" s="356"/>
      <c r="B47" s="356"/>
      <c r="C47" s="356"/>
      <c r="D47" s="357"/>
      <c r="E47" s="357"/>
      <c r="F47" s="358"/>
      <c r="G47" s="358"/>
      <c r="H47" s="358"/>
      <c r="I47" s="358" t="str">
        <f>IF(A47="","",SUMIFS(Tabla18[Monto Base],Tabla18[Contrato],A47,Tabla18[Fecha Asiento],"&lt;="&amp;D47))</f>
        <v/>
      </c>
      <c r="J47" s="359" t="str">
        <f>IFERROR(I47/INDEX('2_Subcontratos'!$E:$E,MATCH(A47,'2_Subcontratos'!$A:$A,0)),"")</f>
        <v/>
      </c>
    </row>
    <row r="48" spans="1:10" ht="14.25" customHeight="1" x14ac:dyDescent="0.3">
      <c r="A48" s="356"/>
      <c r="B48" s="356"/>
      <c r="C48" s="356"/>
      <c r="D48" s="357"/>
      <c r="E48" s="357"/>
      <c r="F48" s="358"/>
      <c r="G48" s="358"/>
      <c r="H48" s="358"/>
      <c r="I48" s="358" t="str">
        <f>IF(A48="","",SUMIFS(Tabla18[Monto Base],Tabla18[Contrato],A48,Tabla18[Fecha Asiento],"&lt;="&amp;D48))</f>
        <v/>
      </c>
      <c r="J48" s="359" t="str">
        <f>IFERROR(I48/INDEX('2_Subcontratos'!$E:$E,MATCH(A48,'2_Subcontratos'!$A:$A,0)),"")</f>
        <v/>
      </c>
    </row>
    <row r="49" spans="1:10" ht="14.25" customHeight="1" x14ac:dyDescent="0.3">
      <c r="A49" s="356"/>
      <c r="B49" s="356"/>
      <c r="C49" s="356"/>
      <c r="D49" s="357"/>
      <c r="E49" s="357"/>
      <c r="F49" s="358"/>
      <c r="G49" s="358"/>
      <c r="H49" s="358"/>
      <c r="I49" s="358" t="str">
        <f>IF(A49="","",SUMIFS(Tabla18[Monto Base],Tabla18[Contrato],A49,Tabla18[Fecha Asiento],"&lt;="&amp;D49))</f>
        <v/>
      </c>
      <c r="J49" s="359" t="str">
        <f>IFERROR(I49/INDEX('2_Subcontratos'!$E:$E,MATCH(A49,'2_Subcontratos'!$A:$A,0)),"")</f>
        <v/>
      </c>
    </row>
    <row r="50" spans="1:10" ht="14.25" customHeight="1" x14ac:dyDescent="0.3">
      <c r="A50" s="356"/>
      <c r="B50" s="356"/>
      <c r="C50" s="356"/>
      <c r="D50" s="357"/>
      <c r="E50" s="357"/>
      <c r="F50" s="358"/>
      <c r="G50" s="358"/>
      <c r="H50" s="358"/>
      <c r="I50" s="358" t="str">
        <f>IF(A50="","",SUMIFS(Tabla18[Monto Base],Tabla18[Contrato],A50,Tabla18[Fecha Asiento],"&lt;="&amp;D50))</f>
        <v/>
      </c>
      <c r="J50" s="359" t="str">
        <f>IFERROR(I50/INDEX('2_Subcontratos'!$E:$E,MATCH(A50,'2_Subcontratos'!$A:$A,0)),"")</f>
        <v/>
      </c>
    </row>
    <row r="51" spans="1:10" ht="14.25" customHeight="1" x14ac:dyDescent="0.3">
      <c r="A51" s="356"/>
      <c r="B51" s="356"/>
      <c r="C51" s="356"/>
      <c r="D51" s="357"/>
      <c r="E51" s="357"/>
      <c r="F51" s="358"/>
      <c r="G51" s="358"/>
      <c r="H51" s="358"/>
      <c r="I51" s="358" t="str">
        <f>IF(A51="","",SUMIFS(Tabla18[Monto Base],Tabla18[Contrato],A51,Tabla18[Fecha Asiento],"&lt;="&amp;D51))</f>
        <v/>
      </c>
      <c r="J51" s="359" t="str">
        <f>IFERROR(I51/INDEX('2_Subcontratos'!$E:$E,MATCH(A51,'2_Subcontratos'!$A:$A,0)),"")</f>
        <v/>
      </c>
    </row>
    <row r="52" spans="1:10" ht="14.25" customHeight="1" x14ac:dyDescent="0.3">
      <c r="A52" s="356"/>
      <c r="B52" s="356"/>
      <c r="C52" s="356"/>
      <c r="D52" s="357"/>
      <c r="E52" s="357"/>
      <c r="F52" s="358"/>
      <c r="G52" s="358"/>
      <c r="H52" s="358"/>
      <c r="I52" s="358" t="str">
        <f>IF(A52="","",SUMIFS(Tabla18[Monto Base],Tabla18[Contrato],A52,Tabla18[Fecha Asiento],"&lt;="&amp;D52))</f>
        <v/>
      </c>
      <c r="J52" s="359" t="str">
        <f>IFERROR(I52/INDEX('2_Subcontratos'!$E:$E,MATCH(A52,'2_Subcontratos'!$A:$A,0)),"")</f>
        <v/>
      </c>
    </row>
    <row r="53" spans="1:10" ht="14.25" customHeight="1" x14ac:dyDescent="0.3">
      <c r="A53" s="356"/>
      <c r="B53" s="356"/>
      <c r="C53" s="356"/>
      <c r="D53" s="357"/>
      <c r="E53" s="357"/>
      <c r="F53" s="358"/>
      <c r="G53" s="358"/>
      <c r="H53" s="358"/>
      <c r="I53" s="358" t="str">
        <f>IF(A53="","",SUMIFS(Tabla18[Monto Base],Tabla18[Contrato],A53,Tabla18[Fecha Asiento],"&lt;="&amp;D53))</f>
        <v/>
      </c>
      <c r="J53" s="359" t="str">
        <f>IFERROR(I53/INDEX('2_Subcontratos'!$E:$E,MATCH(A53,'2_Subcontratos'!$A:$A,0)),"")</f>
        <v/>
      </c>
    </row>
    <row r="56" spans="1:10" ht="15" customHeight="1" x14ac:dyDescent="0.3">
      <c r="A56" s="363" t="s">
        <v>4963</v>
      </c>
    </row>
    <row r="58" spans="1:10" ht="31.5" customHeight="1" x14ac:dyDescent="0.3">
      <c r="A58" s="354" t="s">
        <v>4384</v>
      </c>
      <c r="B58" s="354" t="s">
        <v>4927</v>
      </c>
      <c r="C58" s="354" t="s">
        <v>4964</v>
      </c>
      <c r="D58" s="354" t="s">
        <v>4965</v>
      </c>
      <c r="E58" s="354" t="s">
        <v>4966</v>
      </c>
      <c r="F58" s="354" t="s">
        <v>4967</v>
      </c>
      <c r="G58" s="354" t="s">
        <v>4968</v>
      </c>
      <c r="H58" s="354" t="s">
        <v>4969</v>
      </c>
    </row>
    <row r="59" spans="1:10" ht="14.25" customHeight="1" x14ac:dyDescent="0.3">
      <c r="A59" s="364" t="str">
        <f>'2_Subcontratos'!A4</f>
        <v>SC-001</v>
      </c>
      <c r="B59" s="364" t="str">
        <f>'2_Subcontratos'!B4</f>
        <v>ELVIO CESPEDES</v>
      </c>
      <c r="C59" s="365">
        <f>IF('2_Subcontratos'!A4="","",'2_Subcontratos'!E4)</f>
        <v>14940000</v>
      </c>
      <c r="D59" s="365">
        <f>IF('2_Subcontratos'!A4="","",'2_Subcontratos'!I4)</f>
        <v>12177465</v>
      </c>
      <c r="E59" s="365">
        <f>IF('2_Subcontratos'!A4="","",'2_Subcontratos'!K4)</f>
        <v>150000</v>
      </c>
      <c r="F59" s="365">
        <f t="shared" ref="F59:F68" si="0">IFERROR(D59+E59,"")</f>
        <v>12327465</v>
      </c>
      <c r="G59" s="365">
        <f>IF('2_Subcontratos'!A4="","",'2_Subcontratos'!J4)</f>
        <v>2762535</v>
      </c>
      <c r="H59" s="366">
        <f t="shared" ref="H59:H68" si="1">IFERROR(D59/C59,"")</f>
        <v>0.81509136546184735</v>
      </c>
    </row>
    <row r="60" spans="1:10" ht="14.25" customHeight="1" x14ac:dyDescent="0.3">
      <c r="A60" s="364" t="str">
        <f>'2_Subcontratos'!A5</f>
        <v>SC-002</v>
      </c>
      <c r="B60" s="364" t="str">
        <f>'2_Subcontratos'!B5</f>
        <v>ELVIO CESPEDES</v>
      </c>
      <c r="C60" s="365">
        <f>IF('2_Subcontratos'!A5="","",'2_Subcontratos'!E5)</f>
        <v>8360000</v>
      </c>
      <c r="D60" s="365">
        <f>IF('2_Subcontratos'!A5="","",'2_Subcontratos'!I5)</f>
        <v>6586265</v>
      </c>
      <c r="E60" s="365">
        <f>IF('2_Subcontratos'!A5="","",'2_Subcontratos'!K5)</f>
        <v>151330</v>
      </c>
      <c r="F60" s="365">
        <f t="shared" si="0"/>
        <v>6737595</v>
      </c>
      <c r="G60" s="365">
        <f>IF('2_Subcontratos'!A5="","",'2_Subcontratos'!J5)</f>
        <v>1773735</v>
      </c>
      <c r="H60" s="366">
        <f t="shared" si="1"/>
        <v>0.78783074162679423</v>
      </c>
    </row>
    <row r="61" spans="1:10" ht="14.25" customHeight="1" x14ac:dyDescent="0.3">
      <c r="A61" s="364" t="str">
        <f>'2_Subcontratos'!A6</f>
        <v>SC-003</v>
      </c>
      <c r="B61" s="364" t="str">
        <f>'2_Subcontratos'!B6</f>
        <v>ANCLAJES CIMA</v>
      </c>
      <c r="C61" s="365">
        <f>IF('2_Subcontratos'!A6="","",'2_Subcontratos'!E6)</f>
        <v>3037256.14</v>
      </c>
      <c r="D61" s="365">
        <f>IF('2_Subcontratos'!A6="","",'2_Subcontratos'!I6)</f>
        <v>3105970</v>
      </c>
      <c r="E61" s="365">
        <f>IF('2_Subcontratos'!A6="","",'2_Subcontratos'!K6)</f>
        <v>29430</v>
      </c>
      <c r="F61" s="365">
        <f t="shared" si="0"/>
        <v>3135400</v>
      </c>
      <c r="G61" s="365">
        <f>IF('2_Subcontratos'!A6="","",'2_Subcontratos'!J6)</f>
        <v>-68713.85999999987</v>
      </c>
      <c r="H61" s="366">
        <f t="shared" si="1"/>
        <v>1.02262366321202</v>
      </c>
    </row>
    <row r="62" spans="1:10" ht="14.25" customHeight="1" x14ac:dyDescent="0.3">
      <c r="A62" s="364" t="str">
        <f>'2_Subcontratos'!A7</f>
        <v>SC-004</v>
      </c>
      <c r="B62" s="364" t="str">
        <f>'2_Subcontratos'!B7</f>
        <v>CELSI VIAL S.A.</v>
      </c>
      <c r="C62" s="365">
        <f>IF('2_Subcontratos'!A7="","",'2_Subcontratos'!E7)</f>
        <v>0</v>
      </c>
      <c r="D62" s="365">
        <f>IF('2_Subcontratos'!A7="","",'2_Subcontratos'!I7)</f>
        <v>8696000</v>
      </c>
      <c r="E62" s="365">
        <f>IF('2_Subcontratos'!A7="","",'2_Subcontratos'!K7)</f>
        <v>0</v>
      </c>
      <c r="F62" s="365">
        <f t="shared" si="0"/>
        <v>8696000</v>
      </c>
      <c r="G62" s="365">
        <f>IF('2_Subcontratos'!A7="","",'2_Subcontratos'!J7)</f>
        <v>-8696000</v>
      </c>
      <c r="H62" s="366" t="str">
        <f t="shared" si="1"/>
        <v/>
      </c>
    </row>
    <row r="63" spans="1:10" ht="14.25" customHeight="1" x14ac:dyDescent="0.3">
      <c r="A63" s="364" t="str">
        <f>'2_Subcontratos'!A8</f>
        <v>SC-005</v>
      </c>
      <c r="B63" s="364" t="str">
        <f>'2_Subcontratos'!B8</f>
        <v>CUADRILLA HORMIGON</v>
      </c>
      <c r="C63" s="365">
        <f>IF('2_Subcontratos'!A8="","",'2_Subcontratos'!E8)</f>
        <v>89779071.329999998</v>
      </c>
      <c r="D63" s="365">
        <f>IF('2_Subcontratos'!A8="","",'2_Subcontratos'!I8)</f>
        <v>73369894.43977198</v>
      </c>
      <c r="E63" s="365">
        <f>IF('2_Subcontratos'!A8="","",'2_Subcontratos'!K8)</f>
        <v>236874</v>
      </c>
      <c r="F63" s="365">
        <f t="shared" si="0"/>
        <v>73606768.43977198</v>
      </c>
      <c r="G63" s="365">
        <f>IF('2_Subcontratos'!A8="","",'2_Subcontratos'!J8)</f>
        <v>16409176.890228018</v>
      </c>
      <c r="H63" s="366">
        <f t="shared" si="1"/>
        <v>0.81722714829703491</v>
      </c>
    </row>
    <row r="64" spans="1:10" ht="14.25" customHeight="1" x14ac:dyDescent="0.3">
      <c r="A64" s="364">
        <f>'2_Subcontratos'!A9</f>
        <v>0</v>
      </c>
      <c r="B64" s="364">
        <f>'2_Subcontratos'!B9</f>
        <v>0</v>
      </c>
      <c r="C64" s="365" t="str">
        <f>IF('2_Subcontratos'!A9="","",'2_Subcontratos'!E9)</f>
        <v/>
      </c>
      <c r="D64" s="365" t="str">
        <f>IF('2_Subcontratos'!A9="","",'2_Subcontratos'!I9)</f>
        <v/>
      </c>
      <c r="E64" s="365" t="str">
        <f>IF('2_Subcontratos'!A9="","",'2_Subcontratos'!K9)</f>
        <v/>
      </c>
      <c r="F64" s="365" t="str">
        <f t="shared" si="0"/>
        <v/>
      </c>
      <c r="G64" s="365" t="str">
        <f>IF('2_Subcontratos'!A9="","",'2_Subcontratos'!J9)</f>
        <v/>
      </c>
      <c r="H64" s="366" t="str">
        <f t="shared" si="1"/>
        <v/>
      </c>
    </row>
    <row r="65" spans="1:8" ht="14.25" customHeight="1" x14ac:dyDescent="0.3">
      <c r="A65" s="364">
        <f>'2_Subcontratos'!A10</f>
        <v>0</v>
      </c>
      <c r="B65" s="364">
        <f>'2_Subcontratos'!B10</f>
        <v>0</v>
      </c>
      <c r="C65" s="365" t="str">
        <f>IF('2_Subcontratos'!A10="","",'2_Subcontratos'!E10)</f>
        <v/>
      </c>
      <c r="D65" s="365" t="str">
        <f>IF('2_Subcontratos'!A10="","",'2_Subcontratos'!I10)</f>
        <v/>
      </c>
      <c r="E65" s="365" t="str">
        <f>IF('2_Subcontratos'!A10="","",'2_Subcontratos'!K10)</f>
        <v/>
      </c>
      <c r="F65" s="365" t="str">
        <f t="shared" si="0"/>
        <v/>
      </c>
      <c r="G65" s="365" t="str">
        <f>IF('2_Subcontratos'!A10="","",'2_Subcontratos'!J10)</f>
        <v/>
      </c>
      <c r="H65" s="366" t="str">
        <f t="shared" si="1"/>
        <v/>
      </c>
    </row>
    <row r="66" spans="1:8" ht="14.25" customHeight="1" x14ac:dyDescent="0.3">
      <c r="A66" s="364">
        <f>'2_Subcontratos'!A11</f>
        <v>0</v>
      </c>
      <c r="B66" s="364">
        <f>'2_Subcontratos'!B11</f>
        <v>0</v>
      </c>
      <c r="C66" s="365" t="str">
        <f>IF('2_Subcontratos'!A11="","",'2_Subcontratos'!E11)</f>
        <v/>
      </c>
      <c r="D66" s="365" t="str">
        <f>IF('2_Subcontratos'!A11="","",'2_Subcontratos'!I11)</f>
        <v/>
      </c>
      <c r="E66" s="365" t="str">
        <f>IF('2_Subcontratos'!A11="","",'2_Subcontratos'!K11)</f>
        <v/>
      </c>
      <c r="F66" s="365" t="str">
        <f t="shared" si="0"/>
        <v/>
      </c>
      <c r="G66" s="365" t="str">
        <f>IF('2_Subcontratos'!A11="","",'2_Subcontratos'!J11)</f>
        <v/>
      </c>
      <c r="H66" s="366" t="str">
        <f t="shared" si="1"/>
        <v/>
      </c>
    </row>
    <row r="67" spans="1:8" ht="14.25" customHeight="1" x14ac:dyDescent="0.3">
      <c r="A67" s="364">
        <f>'2_Subcontratos'!A12</f>
        <v>0</v>
      </c>
      <c r="B67" s="364">
        <f>'2_Subcontratos'!B12</f>
        <v>0</v>
      </c>
      <c r="C67" s="365" t="str">
        <f>IF('2_Subcontratos'!A12="","",'2_Subcontratos'!E12)</f>
        <v/>
      </c>
      <c r="D67" s="365" t="str">
        <f>IF('2_Subcontratos'!A12="","",'2_Subcontratos'!I12)</f>
        <v/>
      </c>
      <c r="E67" s="365" t="str">
        <f>IF('2_Subcontratos'!A12="","",'2_Subcontratos'!K12)</f>
        <v/>
      </c>
      <c r="F67" s="365" t="str">
        <f t="shared" si="0"/>
        <v/>
      </c>
      <c r="G67" s="365" t="str">
        <f>IF('2_Subcontratos'!A12="","",'2_Subcontratos'!J12)</f>
        <v/>
      </c>
      <c r="H67" s="366" t="str">
        <f t="shared" si="1"/>
        <v/>
      </c>
    </row>
    <row r="68" spans="1:8" ht="14.25" customHeight="1" x14ac:dyDescent="0.3">
      <c r="A68" s="364">
        <f>'2_Subcontratos'!A13</f>
        <v>0</v>
      </c>
      <c r="B68" s="364">
        <f>'2_Subcontratos'!B13</f>
        <v>0</v>
      </c>
      <c r="C68" s="365" t="str">
        <f>IF('2_Subcontratos'!A13="","",'2_Subcontratos'!E13)</f>
        <v/>
      </c>
      <c r="D68" s="365" t="str">
        <f>IF('2_Subcontratos'!A13="","",'2_Subcontratos'!I13)</f>
        <v/>
      </c>
      <c r="E68" s="365" t="str">
        <f>IF('2_Subcontratos'!A13="","",'2_Subcontratos'!K13)</f>
        <v/>
      </c>
      <c r="F68" s="365" t="str">
        <f t="shared" si="0"/>
        <v/>
      </c>
      <c r="G68" s="365" t="str">
        <f>IF('2_Subcontratos'!A13="","",'2_Subcontratos'!J13)</f>
        <v/>
      </c>
      <c r="H68" s="366" t="str">
        <f t="shared" si="1"/>
        <v/>
      </c>
    </row>
  </sheetData>
  <mergeCells count="1">
    <mergeCell ref="A2:J2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70C0"/>
  </sheetPr>
  <dimension ref="A1:I22"/>
  <sheetViews>
    <sheetView zoomScaleNormal="100" workbookViewId="0"/>
  </sheetViews>
  <sheetFormatPr defaultColWidth="8.54296875" defaultRowHeight="14.5" x14ac:dyDescent="0.35"/>
  <cols>
    <col min="1" max="1" width="12" customWidth="1"/>
    <col min="2" max="2" width="12" style="317" customWidth="1"/>
    <col min="3" max="3" width="10" style="317" customWidth="1"/>
    <col min="4" max="4" width="12" customWidth="1"/>
    <col min="5" max="5" width="12" style="317" customWidth="1"/>
    <col min="6" max="6" width="13.90625" style="317" bestFit="1" customWidth="1"/>
    <col min="7" max="7" width="8.36328125" style="317" bestFit="1" customWidth="1"/>
    <col min="8" max="8" width="17.36328125" style="317" bestFit="1" customWidth="1"/>
    <col min="9" max="9" width="30" style="318" customWidth="1"/>
  </cols>
  <sheetData>
    <row r="1" spans="1:9" ht="15" customHeight="1" x14ac:dyDescent="0.35">
      <c r="A1" s="16" t="s">
        <v>4970</v>
      </c>
      <c r="B1" s="16"/>
      <c r="C1" s="16"/>
      <c r="D1" s="16"/>
      <c r="E1" s="16"/>
      <c r="F1" s="16"/>
      <c r="G1" s="16"/>
      <c r="H1" s="16"/>
      <c r="I1" s="16"/>
    </row>
    <row r="2" spans="1:9" ht="15" customHeight="1" x14ac:dyDescent="0.35">
      <c r="A2" s="321"/>
      <c r="B2" s="321"/>
      <c r="C2" s="321"/>
      <c r="D2" s="321"/>
      <c r="E2" s="321"/>
      <c r="F2" s="321"/>
      <c r="G2" s="321"/>
      <c r="H2" s="321"/>
      <c r="I2" s="321"/>
    </row>
    <row r="3" spans="1:9" ht="15" customHeight="1" x14ac:dyDescent="0.35">
      <c r="A3" s="254" t="s">
        <v>4384</v>
      </c>
      <c r="B3" s="254" t="s">
        <v>4329</v>
      </c>
      <c r="C3" s="254" t="s">
        <v>4971</v>
      </c>
      <c r="D3" s="254" t="s">
        <v>4972</v>
      </c>
      <c r="E3" s="254" t="s">
        <v>4399</v>
      </c>
      <c r="F3" s="254" t="s">
        <v>4973</v>
      </c>
      <c r="G3" s="254" t="s">
        <v>4899</v>
      </c>
      <c r="H3" s="254" t="s">
        <v>4974</v>
      </c>
      <c r="I3" s="254" t="s">
        <v>4957</v>
      </c>
    </row>
    <row r="4" spans="1:9" ht="15" customHeight="1" x14ac:dyDescent="0.35">
      <c r="A4" s="159" t="s">
        <v>4668</v>
      </c>
      <c r="B4" s="312">
        <v>45748</v>
      </c>
      <c r="C4" s="159" t="s">
        <v>4922</v>
      </c>
      <c r="D4" s="313"/>
      <c r="E4" s="159" t="s">
        <v>4947</v>
      </c>
      <c r="F4" s="314">
        <v>3126233.38</v>
      </c>
      <c r="G4" s="315">
        <f>IFERROR(VLOOKUP(B4,'0_Indice_CAC'!$A:$D,4,FALSE()),0)</f>
        <v>0.94480573414956781</v>
      </c>
      <c r="H4" s="316">
        <f t="shared" ref="H4:H22" si="0">IF(F4="","",F4*G4)</f>
        <v>2953683.2237137845</v>
      </c>
      <c r="I4" s="160" t="s">
        <v>4975</v>
      </c>
    </row>
    <row r="5" spans="1:9" ht="15" customHeight="1" x14ac:dyDescent="0.35">
      <c r="A5" s="159" t="s">
        <v>4668</v>
      </c>
      <c r="B5" s="312">
        <v>45748</v>
      </c>
      <c r="C5" s="159" t="s">
        <v>4924</v>
      </c>
      <c r="D5" s="160"/>
      <c r="E5" s="159" t="s">
        <v>4947</v>
      </c>
      <c r="F5" s="314">
        <v>3199438.64</v>
      </c>
      <c r="G5" s="315">
        <f>IFERROR(VLOOKUP(B5,'0_Indice_CAC'!$A:$D,4,FALSE()),0)</f>
        <v>0.94480573414956781</v>
      </c>
      <c r="H5" s="316">
        <f t="shared" si="0"/>
        <v>3022847.9731316948</v>
      </c>
      <c r="I5" s="160" t="s">
        <v>4976</v>
      </c>
    </row>
    <row r="6" spans="1:9" ht="15" customHeight="1" x14ac:dyDescent="0.35">
      <c r="A6" s="159" t="s">
        <v>4668</v>
      </c>
      <c r="B6" s="312">
        <v>45778</v>
      </c>
      <c r="C6" s="159" t="s">
        <v>4922</v>
      </c>
      <c r="D6" s="160"/>
      <c r="E6" s="159" t="s">
        <v>4947</v>
      </c>
      <c r="F6" s="314">
        <v>2759345.88</v>
      </c>
      <c r="G6" s="315">
        <f>IFERROR(VLOOKUP(B6,'0_Indice_CAC'!$A:$D,4,FALSE()),0)</f>
        <v>0.92949102068239187</v>
      </c>
      <c r="H6" s="316">
        <f t="shared" si="0"/>
        <v>2564787.2184169525</v>
      </c>
      <c r="I6" s="160" t="s">
        <v>4977</v>
      </c>
    </row>
    <row r="7" spans="1:9" ht="15" customHeight="1" x14ac:dyDescent="0.35">
      <c r="A7" s="159" t="s">
        <v>4668</v>
      </c>
      <c r="B7" s="312">
        <v>45778</v>
      </c>
      <c r="C7" s="159" t="s">
        <v>4924</v>
      </c>
      <c r="D7" s="160"/>
      <c r="E7" s="159" t="s">
        <v>4947</v>
      </c>
      <c r="F7" s="314">
        <v>3249575</v>
      </c>
      <c r="G7" s="315">
        <f>IFERROR(VLOOKUP(B7,'0_Indice_CAC'!$A:$D,4,FALSE()),0)</f>
        <v>0.92949102068239187</v>
      </c>
      <c r="H7" s="316">
        <f t="shared" si="0"/>
        <v>3020450.7835339834</v>
      </c>
      <c r="I7" s="160" t="s">
        <v>4978</v>
      </c>
    </row>
    <row r="8" spans="1:9" ht="15" customHeight="1" x14ac:dyDescent="0.35">
      <c r="A8" s="159" t="s">
        <v>4668</v>
      </c>
      <c r="B8" s="312">
        <v>45809</v>
      </c>
      <c r="C8" s="159" t="s">
        <v>4922</v>
      </c>
      <c r="D8" s="160"/>
      <c r="E8" s="159" t="s">
        <v>4947</v>
      </c>
      <c r="F8" s="314">
        <v>2891567.77</v>
      </c>
      <c r="G8" s="315">
        <f>IFERROR(VLOOKUP(B8,'0_Indice_CAC'!$A:$D,4,FALSE()),0)</f>
        <v>0.922672050182054</v>
      </c>
      <c r="H8" s="316">
        <f t="shared" si="0"/>
        <v>2667968.76258625</v>
      </c>
      <c r="I8" s="160" t="s">
        <v>4979</v>
      </c>
    </row>
    <row r="9" spans="1:9" ht="15" customHeight="1" x14ac:dyDescent="0.35">
      <c r="A9" s="159" t="s">
        <v>4668</v>
      </c>
      <c r="B9" s="312">
        <v>45809</v>
      </c>
      <c r="C9" s="159" t="s">
        <v>4924</v>
      </c>
      <c r="D9" s="160"/>
      <c r="E9" s="159" t="s">
        <v>4947</v>
      </c>
      <c r="F9" s="314">
        <v>3128229.65</v>
      </c>
      <c r="G9" s="315">
        <f>IFERROR(VLOOKUP(B9,'0_Indice_CAC'!$A:$D,4,FALSE()),0)</f>
        <v>0.922672050182054</v>
      </c>
      <c r="H9" s="316">
        <f t="shared" si="0"/>
        <v>2886330.0646057893</v>
      </c>
      <c r="I9" s="160" t="s">
        <v>4980</v>
      </c>
    </row>
    <row r="10" spans="1:9" ht="15" customHeight="1" x14ac:dyDescent="0.35">
      <c r="A10" s="159" t="s">
        <v>4668</v>
      </c>
      <c r="B10" s="312">
        <v>45839</v>
      </c>
      <c r="C10" s="159" t="s">
        <v>4922</v>
      </c>
      <c r="D10" s="160"/>
      <c r="E10" s="159" t="s">
        <v>4947</v>
      </c>
      <c r="F10" s="314">
        <v>4477445.58</v>
      </c>
      <c r="G10" s="315">
        <f>IFERROR(VLOOKUP(B10,'0_Indice_CAC'!$A:$D,4,FALSE()),0)</f>
        <v>0.90654387673780212</v>
      </c>
      <c r="H10" s="316">
        <f t="shared" si="0"/>
        <v>4059000.873975737</v>
      </c>
      <c r="I10" s="160" t="s">
        <v>4981</v>
      </c>
    </row>
    <row r="11" spans="1:9" ht="15" customHeight="1" x14ac:dyDescent="0.35">
      <c r="A11" s="159" t="s">
        <v>4668</v>
      </c>
      <c r="B11" s="312">
        <v>45839</v>
      </c>
      <c r="C11" s="159" t="s">
        <v>4924</v>
      </c>
      <c r="D11" s="160"/>
      <c r="E11" s="159" t="s">
        <v>4947</v>
      </c>
      <c r="F11" s="314">
        <v>5021968</v>
      </c>
      <c r="G11" s="315">
        <f>IFERROR(VLOOKUP(B11,'0_Indice_CAC'!$A:$D,4,FALSE()),0)</f>
        <v>0.90654387673780212</v>
      </c>
      <c r="H11" s="316">
        <f t="shared" si="0"/>
        <v>4552634.3395731868</v>
      </c>
      <c r="I11" s="160" t="s">
        <v>4982</v>
      </c>
    </row>
    <row r="12" spans="1:9" ht="15" customHeight="1" x14ac:dyDescent="0.35">
      <c r="A12" s="159" t="s">
        <v>4668</v>
      </c>
      <c r="B12" s="312">
        <v>45870</v>
      </c>
      <c r="C12" s="159" t="s">
        <v>4922</v>
      </c>
      <c r="D12" s="160"/>
      <c r="E12" s="159" t="s">
        <v>4947</v>
      </c>
      <c r="F12" s="314">
        <v>2147885.38</v>
      </c>
      <c r="G12" s="315">
        <f>IFERROR(VLOOKUP(B12,'0_Indice_CAC'!$A:$D,4,FALSE()),0)</f>
        <v>0.89345807442574887</v>
      </c>
      <c r="H12" s="316">
        <f t="shared" si="0"/>
        <v>1919045.5357020178</v>
      </c>
      <c r="I12" s="160" t="s">
        <v>4983</v>
      </c>
    </row>
    <row r="13" spans="1:9" ht="15" customHeight="1" x14ac:dyDescent="0.35">
      <c r="A13" s="159" t="s">
        <v>4668</v>
      </c>
      <c r="B13" s="312">
        <v>45870</v>
      </c>
      <c r="C13" s="159" t="s">
        <v>4922</v>
      </c>
      <c r="D13" s="160"/>
      <c r="E13" s="159" t="s">
        <v>4947</v>
      </c>
      <c r="F13" s="314">
        <v>2455944.62</v>
      </c>
      <c r="G13" s="315">
        <f>IFERROR(VLOOKUP(B13,'0_Indice_CAC'!$A:$D,4,FALSE()),0)</f>
        <v>0.89345807442574887</v>
      </c>
      <c r="H13" s="316">
        <f t="shared" si="0"/>
        <v>2194283.5510814777</v>
      </c>
      <c r="I13" s="160" t="s">
        <v>4984</v>
      </c>
    </row>
    <row r="14" spans="1:9" ht="15" customHeight="1" x14ac:dyDescent="0.35">
      <c r="A14" s="159" t="s">
        <v>4668</v>
      </c>
      <c r="B14" s="312">
        <v>45870</v>
      </c>
      <c r="C14" s="159" t="s">
        <v>4924</v>
      </c>
      <c r="D14" s="160"/>
      <c r="E14" s="159" t="s">
        <v>4947</v>
      </c>
      <c r="F14" s="314">
        <v>4159148.64</v>
      </c>
      <c r="G14" s="315">
        <f>IFERROR(VLOOKUP(B14,'0_Indice_CAC'!$A:$D,4,FALSE()),0)</f>
        <v>0.89345807442574887</v>
      </c>
      <c r="H14" s="316">
        <f t="shared" si="0"/>
        <v>3716024.9351448724</v>
      </c>
      <c r="I14" s="160" t="s">
        <v>4985</v>
      </c>
    </row>
    <row r="15" spans="1:9" ht="15" customHeight="1" x14ac:dyDescent="0.35">
      <c r="A15" s="159" t="s">
        <v>4668</v>
      </c>
      <c r="B15" s="312">
        <v>45901</v>
      </c>
      <c r="C15" s="159" t="s">
        <v>4922</v>
      </c>
      <c r="D15" s="160"/>
      <c r="E15" s="159" t="s">
        <v>4947</v>
      </c>
      <c r="F15" s="314">
        <v>2647015.44</v>
      </c>
      <c r="G15" s="315">
        <f>IFERROR(VLOOKUP(B15,'0_Indice_CAC'!$A:$D,4,FALSE()),0)</f>
        <v>0.86455019901701924</v>
      </c>
      <c r="H15" s="316">
        <f t="shared" si="0"/>
        <v>2288477.7254531225</v>
      </c>
      <c r="I15" s="160" t="s">
        <v>4986</v>
      </c>
    </row>
    <row r="16" spans="1:9" ht="15" customHeight="1" x14ac:dyDescent="0.35">
      <c r="A16" s="159" t="s">
        <v>4668</v>
      </c>
      <c r="B16" s="312">
        <v>45901</v>
      </c>
      <c r="C16" s="159"/>
      <c r="D16" s="160"/>
      <c r="E16" s="159" t="s">
        <v>4947</v>
      </c>
      <c r="F16" s="314">
        <v>1265804.75</v>
      </c>
      <c r="G16" s="315">
        <f>IFERROR(VLOOKUP(B16,'0_Indice_CAC'!$A:$D,4,FALSE()),0)</f>
        <v>0.86455019901701924</v>
      </c>
      <c r="H16" s="316">
        <f t="shared" si="0"/>
        <v>1094351.7485291883</v>
      </c>
      <c r="I16" s="160" t="s">
        <v>4987</v>
      </c>
    </row>
    <row r="17" spans="1:9" ht="15" customHeight="1" x14ac:dyDescent="0.35">
      <c r="A17" s="159" t="s">
        <v>4668</v>
      </c>
      <c r="B17" s="312">
        <v>45901</v>
      </c>
      <c r="C17" s="159" t="s">
        <v>4922</v>
      </c>
      <c r="D17" s="160"/>
      <c r="E17" s="159" t="s">
        <v>4947</v>
      </c>
      <c r="F17" s="314">
        <v>2248365.59</v>
      </c>
      <c r="G17" s="315">
        <f>IFERROR(VLOOKUP(B17,'0_Indice_CAC'!$A:$D,4,FALSE()),0)</f>
        <v>0.86455019901701924</v>
      </c>
      <c r="H17" s="316">
        <f t="shared" si="0"/>
        <v>1943824.9182975178</v>
      </c>
      <c r="I17" s="160" t="s">
        <v>4988</v>
      </c>
    </row>
    <row r="18" spans="1:9" ht="15" customHeight="1" x14ac:dyDescent="0.35">
      <c r="A18" s="159" t="s">
        <v>4668</v>
      </c>
      <c r="B18" s="312">
        <v>45901</v>
      </c>
      <c r="C18" s="159" t="s">
        <v>4924</v>
      </c>
      <c r="D18" s="160"/>
      <c r="E18" s="159" t="s">
        <v>4947</v>
      </c>
      <c r="F18" s="314">
        <v>5351748.0199999996</v>
      </c>
      <c r="G18" s="315">
        <f>IFERROR(VLOOKUP(B18,'0_Indice_CAC'!$A:$D,4,FALSE()),0)</f>
        <v>0.86455019901701924</v>
      </c>
      <c r="H18" s="316">
        <f t="shared" si="0"/>
        <v>4626854.8157799384</v>
      </c>
      <c r="I18" s="160" t="s">
        <v>4989</v>
      </c>
    </row>
    <row r="19" spans="1:9" ht="15" customHeight="1" x14ac:dyDescent="0.35">
      <c r="A19" s="159" t="s">
        <v>4668</v>
      </c>
      <c r="B19" s="312">
        <v>45931</v>
      </c>
      <c r="C19" s="159" t="s">
        <v>4922</v>
      </c>
      <c r="D19" s="160"/>
      <c r="E19" s="159" t="s">
        <v>4947</v>
      </c>
      <c r="F19" s="314">
        <v>5995300</v>
      </c>
      <c r="G19" s="315">
        <f>IFERROR(VLOOKUP(B19,'0_Indice_CAC'!$A:$D,4,FALSE()),0)</f>
        <v>0.84502113048071847</v>
      </c>
      <c r="H19" s="316">
        <f t="shared" si="0"/>
        <v>5066155.1835710518</v>
      </c>
      <c r="I19" s="160" t="s">
        <v>4990</v>
      </c>
    </row>
    <row r="20" spans="1:9" ht="15" customHeight="1" x14ac:dyDescent="0.35">
      <c r="A20" s="159" t="s">
        <v>4668</v>
      </c>
      <c r="B20" s="312">
        <v>45931</v>
      </c>
      <c r="C20" s="159" t="s">
        <v>4924</v>
      </c>
      <c r="D20" s="160"/>
      <c r="E20" s="159" t="s">
        <v>4947</v>
      </c>
      <c r="F20" s="314">
        <v>3149970</v>
      </c>
      <c r="G20" s="315">
        <f>IFERROR(VLOOKUP(B20,'0_Indice_CAC'!$A:$D,4,FALSE()),0)</f>
        <v>0.84502113048071847</v>
      </c>
      <c r="H20" s="316">
        <f t="shared" si="0"/>
        <v>2661791.2103803488</v>
      </c>
      <c r="I20" s="160" t="s">
        <v>4991</v>
      </c>
    </row>
    <row r="21" spans="1:9" ht="15" customHeight="1" x14ac:dyDescent="0.35">
      <c r="A21" s="159" t="s">
        <v>4668</v>
      </c>
      <c r="B21" s="312">
        <v>45931</v>
      </c>
      <c r="C21" s="159" t="s">
        <v>4924</v>
      </c>
      <c r="D21" s="160"/>
      <c r="E21" s="159" t="s">
        <v>4947</v>
      </c>
      <c r="F21" s="314">
        <v>4199960</v>
      </c>
      <c r="G21" s="315">
        <f>IFERROR(VLOOKUP(B21,'0_Indice_CAC'!$A:$D,4,FALSE()),0)</f>
        <v>0.84502113048071847</v>
      </c>
      <c r="H21" s="316">
        <f t="shared" si="0"/>
        <v>3549054.9471737985</v>
      </c>
      <c r="I21" s="160" t="s">
        <v>4992</v>
      </c>
    </row>
    <row r="22" spans="1:9" ht="15" customHeight="1" x14ac:dyDescent="0.35">
      <c r="A22" s="159" t="s">
        <v>4668</v>
      </c>
      <c r="B22" s="312">
        <v>45962</v>
      </c>
      <c r="C22" s="159" t="s">
        <v>4922</v>
      </c>
      <c r="D22" s="160"/>
      <c r="E22" s="159" t="s">
        <v>4947</v>
      </c>
      <c r="F22" s="314">
        <v>5440300</v>
      </c>
      <c r="G22" s="315">
        <f>IFERROR(VLOOKUP(B22,'0_Indice_CAC'!$A:$D,4,FALSE()),0)</f>
        <v>0.82851269766764313</v>
      </c>
      <c r="H22" s="316">
        <f t="shared" si="0"/>
        <v>4507357.6291212793</v>
      </c>
      <c r="I22" s="160" t="s">
        <v>4993</v>
      </c>
    </row>
  </sheetData>
  <dataValidations count="1">
    <dataValidation type="list" allowBlank="1" sqref="C4:C22" xr:uid="{00000000-0002-0000-0B00-000000000000}">
      <formula1>"1Q,2Q"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70"/>
  <sheetViews>
    <sheetView zoomScaleNormal="100" workbookViewId="0">
      <pane ySplit="4" topLeftCell="A5" activePane="bottomLeft" state="frozen"/>
      <selection pane="bottomLeft"/>
    </sheetView>
  </sheetViews>
  <sheetFormatPr defaultColWidth="8.54296875" defaultRowHeight="13" x14ac:dyDescent="0.3"/>
  <cols>
    <col min="1" max="2" width="12" style="2" customWidth="1"/>
    <col min="3" max="3" width="7" style="2" customWidth="1"/>
    <col min="4" max="4" width="11" style="2" customWidth="1"/>
    <col min="5" max="5" width="26" style="2" customWidth="1"/>
    <col min="6" max="6" width="11" style="2" customWidth="1"/>
    <col min="7" max="7" width="15" style="2" customWidth="1"/>
    <col min="8" max="8" width="8" style="2" customWidth="1"/>
    <col min="9" max="9" width="14" style="2" customWidth="1"/>
    <col min="10" max="10" width="13" style="2" customWidth="1"/>
    <col min="11" max="11" width="15" style="2" customWidth="1"/>
    <col min="12" max="12" width="13" style="2" customWidth="1"/>
    <col min="13" max="13" width="16" style="2" customWidth="1"/>
    <col min="14" max="16" width="13" style="2" customWidth="1"/>
    <col min="17" max="17" width="15" style="2" customWidth="1"/>
    <col min="18" max="18" width="14" style="2" customWidth="1"/>
    <col min="19" max="19" width="8.54296875" style="2" customWidth="1"/>
    <col min="20" max="20" width="8.7265625" style="2" customWidth="1"/>
    <col min="21" max="21" width="8" style="2" customWidth="1"/>
    <col min="22" max="22" width="22" style="2" customWidth="1"/>
    <col min="23" max="25" width="14" style="2" customWidth="1"/>
    <col min="26" max="26" width="10.36328125" style="2" customWidth="1"/>
    <col min="27" max="30" width="8.54296875" style="2" customWidth="1"/>
    <col min="31" max="16384" width="8.54296875" style="2"/>
  </cols>
  <sheetData>
    <row r="1" spans="1:26" ht="17.25" customHeight="1" x14ac:dyDescent="0.3">
      <c r="A1" s="16" t="s">
        <v>4994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26" ht="15" customHeight="1" x14ac:dyDescent="0.3">
      <c r="A2" s="568" t="s">
        <v>4995</v>
      </c>
      <c r="B2" s="565"/>
      <c r="C2" s="565"/>
      <c r="D2" s="565"/>
      <c r="E2" s="565"/>
      <c r="F2" s="565"/>
      <c r="G2" s="565"/>
      <c r="H2" s="565"/>
      <c r="I2" s="565"/>
      <c r="J2" s="565"/>
      <c r="K2" s="565"/>
      <c r="L2" s="565"/>
      <c r="M2" s="565"/>
      <c r="N2" s="565"/>
      <c r="O2" s="565"/>
      <c r="P2" s="565"/>
      <c r="Q2" s="565"/>
      <c r="R2" s="565"/>
    </row>
    <row r="3" spans="1:26" ht="30" customHeight="1" x14ac:dyDescent="0.3">
      <c r="A3" s="189" t="s">
        <v>4996</v>
      </c>
      <c r="B3" s="189" t="s">
        <v>4997</v>
      </c>
      <c r="C3" s="189" t="s">
        <v>4998</v>
      </c>
      <c r="D3" s="189" t="s">
        <v>4999</v>
      </c>
      <c r="E3" s="189" t="s">
        <v>5000</v>
      </c>
      <c r="F3" s="189" t="s">
        <v>5001</v>
      </c>
      <c r="G3" s="189" t="s">
        <v>5002</v>
      </c>
      <c r="H3" s="189" t="s">
        <v>5003</v>
      </c>
      <c r="I3" s="189" t="s">
        <v>5004</v>
      </c>
      <c r="J3" s="189" t="s">
        <v>5005</v>
      </c>
      <c r="K3" s="189" t="s">
        <v>5006</v>
      </c>
      <c r="L3" s="189" t="s">
        <v>5007</v>
      </c>
      <c r="M3" s="189" t="s">
        <v>5008</v>
      </c>
      <c r="P3" s="189" t="s">
        <v>5009</v>
      </c>
      <c r="Q3" s="189" t="s">
        <v>5010</v>
      </c>
      <c r="R3" s="189" t="s">
        <v>5011</v>
      </c>
    </row>
    <row r="4" spans="1:26" ht="31.5" customHeight="1" x14ac:dyDescent="0.3">
      <c r="A4" s="171" t="s">
        <v>5012</v>
      </c>
      <c r="B4" s="171" t="s">
        <v>5013</v>
      </c>
      <c r="C4" s="171" t="s">
        <v>5014</v>
      </c>
      <c r="D4" s="171" t="s">
        <v>5015</v>
      </c>
      <c r="E4" s="171" t="s">
        <v>4896</v>
      </c>
      <c r="F4" s="171" t="s">
        <v>5016</v>
      </c>
      <c r="G4" s="171" t="s">
        <v>5017</v>
      </c>
      <c r="H4" s="171" t="s">
        <v>5018</v>
      </c>
      <c r="I4" s="171" t="s">
        <v>4418</v>
      </c>
      <c r="J4" s="171" t="s">
        <v>5019</v>
      </c>
      <c r="K4" s="171" t="s">
        <v>5020</v>
      </c>
      <c r="L4" s="171" t="s">
        <v>3966</v>
      </c>
      <c r="M4" s="171" t="s">
        <v>5021</v>
      </c>
      <c r="N4" s="171" t="s">
        <v>5022</v>
      </c>
      <c r="O4" s="171" t="s">
        <v>5023</v>
      </c>
      <c r="P4" s="171" t="s">
        <v>5024</v>
      </c>
      <c r="Q4" s="171" t="s">
        <v>5025</v>
      </c>
      <c r="R4" s="171" t="s">
        <v>5026</v>
      </c>
      <c r="T4" s="190" t="s">
        <v>5027</v>
      </c>
      <c r="U4" s="191"/>
      <c r="V4" s="191"/>
      <c r="W4" s="191"/>
      <c r="X4" s="191"/>
      <c r="Y4" s="191"/>
      <c r="Z4" s="191"/>
    </row>
    <row r="5" spans="1:26" ht="15" customHeight="1" x14ac:dyDescent="0.3">
      <c r="A5" s="192" t="s">
        <v>5028</v>
      </c>
      <c r="B5" s="193">
        <v>45689</v>
      </c>
      <c r="C5" s="192">
        <v>1</v>
      </c>
      <c r="D5" s="192" t="s">
        <v>5029</v>
      </c>
      <c r="E5" s="192" t="s">
        <v>5030</v>
      </c>
      <c r="F5" s="194"/>
      <c r="G5" s="195">
        <v>140254161.59999999</v>
      </c>
      <c r="H5" s="196">
        <f t="shared" ref="H5:H12" si="0">+I5/G5</f>
        <v>3.229923680029171E-2</v>
      </c>
      <c r="I5" s="195">
        <v>4530102.3777447799</v>
      </c>
      <c r="J5" s="197">
        <f t="shared" ref="J5:J12" si="1">IF(D5="B70",(G5+I5)*0.105,0)</f>
        <v>15202347.717663202</v>
      </c>
      <c r="K5" s="197">
        <f t="shared" ref="K5:K12" si="2">G5+I5+J5</f>
        <v>159986611.69540799</v>
      </c>
      <c r="L5" s="198" t="str">
        <f t="shared" ref="L5:L12" si="3">IF(O5&lt;&gt;"","Cobrado",IF(M5&lt;&gt;"","Facturado","Certificado"))</f>
        <v>Cobrado</v>
      </c>
      <c r="M5" s="192" t="s">
        <v>5031</v>
      </c>
      <c r="N5" s="193">
        <v>45784</v>
      </c>
      <c r="O5" s="193">
        <v>45784</v>
      </c>
      <c r="P5" s="195"/>
      <c r="Q5" s="195">
        <v>48620000</v>
      </c>
      <c r="R5" s="197">
        <f t="shared" ref="R5:R12" si="4">K5-IF(Q5="",0,Q5)</f>
        <v>111366611.69540799</v>
      </c>
      <c r="T5" s="199" t="s">
        <v>5032</v>
      </c>
      <c r="U5" s="200"/>
      <c r="V5" s="200"/>
      <c r="W5" s="200"/>
      <c r="X5" s="200"/>
      <c r="Y5" s="200"/>
      <c r="Z5" s="200"/>
    </row>
    <row r="6" spans="1:26" ht="15" customHeight="1" x14ac:dyDescent="0.3">
      <c r="A6" s="192" t="s">
        <v>5033</v>
      </c>
      <c r="B6" s="193">
        <v>45689</v>
      </c>
      <c r="C6" s="192">
        <v>1</v>
      </c>
      <c r="D6" s="192" t="s">
        <v>5034</v>
      </c>
      <c r="E6" s="192" t="s">
        <v>5035</v>
      </c>
      <c r="F6" s="194"/>
      <c r="G6" s="195">
        <v>60108926.399999999</v>
      </c>
      <c r="H6" s="196">
        <f t="shared" si="0"/>
        <v>3.2299236800291613E-2</v>
      </c>
      <c r="I6" s="195">
        <v>1941472.4476049</v>
      </c>
      <c r="J6" s="197">
        <f t="shared" si="1"/>
        <v>0</v>
      </c>
      <c r="K6" s="197">
        <f t="shared" si="2"/>
        <v>62050398.847604901</v>
      </c>
      <c r="L6" s="198" t="str">
        <f t="shared" si="3"/>
        <v>Cobrado</v>
      </c>
      <c r="M6" s="192" t="s">
        <v>5031</v>
      </c>
      <c r="N6" s="193">
        <v>45784</v>
      </c>
      <c r="O6" s="193">
        <v>45784</v>
      </c>
      <c r="P6" s="195"/>
      <c r="Q6" s="195"/>
      <c r="R6" s="197">
        <f t="shared" si="4"/>
        <v>62050398.847604901</v>
      </c>
      <c r="T6" s="201" t="s">
        <v>5014</v>
      </c>
      <c r="U6" s="201" t="s">
        <v>1</v>
      </c>
      <c r="V6" s="201" t="s">
        <v>4</v>
      </c>
      <c r="W6" s="201" t="s">
        <v>5036</v>
      </c>
      <c r="X6" s="201" t="s">
        <v>5037</v>
      </c>
      <c r="Y6" s="201" t="s">
        <v>5038</v>
      </c>
      <c r="Z6" s="201" t="s">
        <v>5039</v>
      </c>
    </row>
    <row r="7" spans="1:26" ht="15" customHeight="1" x14ac:dyDescent="0.3">
      <c r="A7" s="192" t="s">
        <v>5040</v>
      </c>
      <c r="B7" s="193">
        <v>45689</v>
      </c>
      <c r="C7" s="192">
        <v>2</v>
      </c>
      <c r="D7" s="192" t="s">
        <v>5029</v>
      </c>
      <c r="E7" s="192" t="s">
        <v>5030</v>
      </c>
      <c r="F7" s="194"/>
      <c r="G7" s="195">
        <v>59139167.359999999</v>
      </c>
      <c r="H7" s="196">
        <f t="shared" si="0"/>
        <v>3.2299236800291675E-2</v>
      </c>
      <c r="I7" s="195">
        <v>1910149.9707327201</v>
      </c>
      <c r="J7" s="197">
        <f t="shared" si="1"/>
        <v>6410178.3197269356</v>
      </c>
      <c r="K7" s="197">
        <f t="shared" si="2"/>
        <v>67459495.650459647</v>
      </c>
      <c r="L7" s="198" t="str">
        <f t="shared" si="3"/>
        <v>Certificado</v>
      </c>
      <c r="M7" s="192"/>
      <c r="N7" s="193"/>
      <c r="O7" s="193"/>
      <c r="P7" s="195"/>
      <c r="Q7" s="195"/>
      <c r="R7" s="197">
        <f t="shared" si="4"/>
        <v>67459495.650459647</v>
      </c>
      <c r="T7" s="202">
        <v>1</v>
      </c>
      <c r="U7" s="202" t="s">
        <v>5029</v>
      </c>
      <c r="V7" s="203" t="s">
        <v>5041</v>
      </c>
      <c r="W7" s="204">
        <v>350635404</v>
      </c>
      <c r="X7" s="204">
        <f>SUMIFS($G$5:$G$200,$C$5:$C$200,T7,$D$5:$D$200,U7)</f>
        <v>310716636.67609996</v>
      </c>
      <c r="Y7" s="204">
        <f>W7-X7</f>
        <v>39918767.323900044</v>
      </c>
      <c r="Z7" s="205">
        <f t="shared" ref="Z7:Z12" si="5">IFERROR(X7/W7,0)</f>
        <v>0.88615306136085437</v>
      </c>
    </row>
    <row r="8" spans="1:26" ht="15" customHeight="1" x14ac:dyDescent="0.3">
      <c r="A8" s="192" t="s">
        <v>5042</v>
      </c>
      <c r="B8" s="193">
        <v>45689</v>
      </c>
      <c r="C8" s="192">
        <v>2</v>
      </c>
      <c r="D8" s="192" t="s">
        <v>5034</v>
      </c>
      <c r="E8" s="192" t="s">
        <v>5035</v>
      </c>
      <c r="F8" s="194"/>
      <c r="G8" s="195">
        <v>25345357.440000001</v>
      </c>
      <c r="H8" s="196">
        <f t="shared" si="0"/>
        <v>3.2299236800291661E-2</v>
      </c>
      <c r="I8" s="195">
        <v>818635.70174259401</v>
      </c>
      <c r="J8" s="197">
        <f t="shared" si="1"/>
        <v>0</v>
      </c>
      <c r="K8" s="197">
        <f t="shared" si="2"/>
        <v>26163993.141742595</v>
      </c>
      <c r="L8" s="198" t="str">
        <f t="shared" si="3"/>
        <v>Certificado</v>
      </c>
      <c r="M8" s="192"/>
      <c r="N8" s="193"/>
      <c r="O8" s="193"/>
      <c r="P8" s="195"/>
      <c r="Q8" s="195"/>
      <c r="R8" s="197">
        <f t="shared" si="4"/>
        <v>26163993.141742595</v>
      </c>
      <c r="T8" s="202">
        <v>1</v>
      </c>
      <c r="U8" s="202" t="s">
        <v>5034</v>
      </c>
      <c r="V8" s="203" t="s">
        <v>5043</v>
      </c>
      <c r="W8" s="204">
        <v>150272316</v>
      </c>
      <c r="X8" s="204">
        <f>SUMIFS($G$5:$G$200,$C$5:$C$200,T8,$D$5:$D$200,U8)</f>
        <v>102371044.7261</v>
      </c>
      <c r="Y8" s="204">
        <f>W8-X8</f>
        <v>47901271.273900002</v>
      </c>
      <c r="Z8" s="205">
        <f t="shared" si="5"/>
        <v>0.68123688681353656</v>
      </c>
    </row>
    <row r="9" spans="1:26" ht="13.5" customHeight="1" x14ac:dyDescent="0.35">
      <c r="A9" s="206" t="s">
        <v>5044</v>
      </c>
      <c r="B9" s="207">
        <v>45747</v>
      </c>
      <c r="C9" s="206">
        <v>1</v>
      </c>
      <c r="D9" s="206" t="s">
        <v>5029</v>
      </c>
      <c r="E9" s="192" t="s">
        <v>5045</v>
      </c>
      <c r="F9" s="208"/>
      <c r="G9" s="195">
        <v>13722580.199999999</v>
      </c>
      <c r="H9" s="196">
        <f t="shared" si="0"/>
        <v>3.229923604898137E-2</v>
      </c>
      <c r="I9" s="195">
        <v>443228.85708087799</v>
      </c>
      <c r="J9" s="209">
        <f t="shared" si="1"/>
        <v>1487409.950993492</v>
      </c>
      <c r="K9" s="209">
        <f t="shared" si="2"/>
        <v>15653219.008074369</v>
      </c>
      <c r="L9" s="210" t="str">
        <f t="shared" si="3"/>
        <v>Cobrado</v>
      </c>
      <c r="M9" s="206" t="s">
        <v>5046</v>
      </c>
      <c r="N9" s="207">
        <v>45869</v>
      </c>
      <c r="O9" s="207">
        <v>45835</v>
      </c>
      <c r="P9" s="211"/>
      <c r="Q9" s="211">
        <v>12000000</v>
      </c>
      <c r="R9" s="209">
        <f t="shared" si="4"/>
        <v>3653219.0080743693</v>
      </c>
      <c r="T9" s="202">
        <v>2</v>
      </c>
      <c r="U9" s="202" t="s">
        <v>5029</v>
      </c>
      <c r="V9" s="203" t="s">
        <v>5047</v>
      </c>
      <c r="W9" s="204">
        <v>591391673.60000002</v>
      </c>
      <c r="X9" s="204">
        <f>SUMIFS($G$5:$G$200,$C$5:$C$200,T9,$D$5:$D$200,U9)</f>
        <v>215575740.01099998</v>
      </c>
      <c r="Y9" s="204">
        <f>W9-X9</f>
        <v>375815933.58900005</v>
      </c>
      <c r="Z9" s="205">
        <f t="shared" si="5"/>
        <v>0.36452278521054909</v>
      </c>
    </row>
    <row r="10" spans="1:26" ht="13.5" customHeight="1" x14ac:dyDescent="0.35">
      <c r="A10" s="206" t="s">
        <v>5048</v>
      </c>
      <c r="B10" s="207">
        <v>45747</v>
      </c>
      <c r="C10" s="206">
        <v>1</v>
      </c>
      <c r="D10" s="206" t="s">
        <v>5034</v>
      </c>
      <c r="E10" s="192" t="s">
        <v>5049</v>
      </c>
      <c r="F10" s="208"/>
      <c r="G10" s="195">
        <v>5881105.7999999998</v>
      </c>
      <c r="H10" s="196">
        <f t="shared" si="0"/>
        <v>3.22992360489813E-2</v>
      </c>
      <c r="I10" s="195">
        <v>189955.224463233</v>
      </c>
      <c r="J10" s="209">
        <f t="shared" si="1"/>
        <v>0</v>
      </c>
      <c r="K10" s="209">
        <f t="shared" si="2"/>
        <v>6071061.0244632326</v>
      </c>
      <c r="L10" s="210" t="str">
        <f t="shared" si="3"/>
        <v>Facturado</v>
      </c>
      <c r="M10" s="206" t="s">
        <v>5046</v>
      </c>
      <c r="N10" s="207">
        <v>45869</v>
      </c>
      <c r="O10" s="207"/>
      <c r="P10" s="211"/>
      <c r="Q10" s="211"/>
      <c r="R10" s="209">
        <f t="shared" si="4"/>
        <v>6071061.0244632326</v>
      </c>
      <c r="T10" s="202">
        <v>2</v>
      </c>
      <c r="U10" s="202" t="s">
        <v>5034</v>
      </c>
      <c r="V10" s="203" t="s">
        <v>5050</v>
      </c>
      <c r="W10" s="204">
        <v>253453574.40000001</v>
      </c>
      <c r="X10" s="204">
        <f>SUMIFS($G$5:$G$200,$C$5:$C$200,T10,$D$5:$D$200,U10)</f>
        <v>117216081.07880001</v>
      </c>
      <c r="Y10" s="204">
        <f>W10-X10</f>
        <v>136237493.32120001</v>
      </c>
      <c r="Z10" s="205">
        <f t="shared" si="5"/>
        <v>0.4624755494424781</v>
      </c>
    </row>
    <row r="11" spans="1:26" ht="13.5" customHeight="1" x14ac:dyDescent="0.35">
      <c r="A11" s="206" t="s">
        <v>5051</v>
      </c>
      <c r="B11" s="207">
        <v>45747</v>
      </c>
      <c r="C11" s="206">
        <v>2</v>
      </c>
      <c r="D11" s="206" t="s">
        <v>5029</v>
      </c>
      <c r="E11" s="192" t="s">
        <v>5045</v>
      </c>
      <c r="F11" s="208"/>
      <c r="G11" s="195">
        <v>5608959.2999999998</v>
      </c>
      <c r="H11" s="196">
        <f t="shared" si="0"/>
        <v>3.2299236292391356E-2</v>
      </c>
      <c r="I11" s="195">
        <v>181165.101785106</v>
      </c>
      <c r="J11" s="209">
        <f t="shared" si="1"/>
        <v>607963.06218743604</v>
      </c>
      <c r="K11" s="209">
        <f t="shared" si="2"/>
        <v>6398087.4639725415</v>
      </c>
      <c r="L11" s="210" t="str">
        <f t="shared" si="3"/>
        <v>Cobrado</v>
      </c>
      <c r="M11" s="206" t="s">
        <v>5046</v>
      </c>
      <c r="N11" s="207">
        <v>45869</v>
      </c>
      <c r="O11" s="207">
        <v>45845</v>
      </c>
      <c r="P11" s="211"/>
      <c r="Q11" s="211">
        <v>20000000</v>
      </c>
      <c r="R11" s="209">
        <f t="shared" si="4"/>
        <v>-13601912.536027458</v>
      </c>
      <c r="T11" s="202" t="s">
        <v>5052</v>
      </c>
      <c r="U11" s="202" t="s">
        <v>5034</v>
      </c>
      <c r="V11" s="203" t="s">
        <v>5053</v>
      </c>
      <c r="W11" s="204">
        <v>96300019</v>
      </c>
      <c r="X11" s="204">
        <f>SUMIFS($G$5:$G$200,$C$5:$C$200,T11,$D$5:$D$200,U11)</f>
        <v>93845459</v>
      </c>
      <c r="Y11" s="204">
        <f>W11-X11</f>
        <v>2454560</v>
      </c>
      <c r="Z11" s="205">
        <f t="shared" si="5"/>
        <v>0.97451132382434935</v>
      </c>
    </row>
    <row r="12" spans="1:26" ht="13.5" customHeight="1" x14ac:dyDescent="0.35">
      <c r="A12" s="206" t="s">
        <v>5054</v>
      </c>
      <c r="B12" s="207">
        <v>45747</v>
      </c>
      <c r="C12" s="206">
        <v>2</v>
      </c>
      <c r="D12" s="206" t="s">
        <v>5034</v>
      </c>
      <c r="E12" s="192" t="s">
        <v>5049</v>
      </c>
      <c r="F12" s="208"/>
      <c r="G12" s="195">
        <v>2403839.7000000002</v>
      </c>
      <c r="H12" s="196">
        <f t="shared" si="0"/>
        <v>3.2299236292391287E-2</v>
      </c>
      <c r="I12" s="195">
        <v>77642.186479330994</v>
      </c>
      <c r="J12" s="209">
        <f t="shared" si="1"/>
        <v>0</v>
      </c>
      <c r="K12" s="209">
        <f t="shared" si="2"/>
        <v>2481481.8864793312</v>
      </c>
      <c r="L12" s="210" t="str">
        <f t="shared" si="3"/>
        <v>Facturado</v>
      </c>
      <c r="M12" s="206" t="s">
        <v>5046</v>
      </c>
      <c r="N12" s="207">
        <v>45869</v>
      </c>
      <c r="O12" s="207"/>
      <c r="P12" s="211"/>
      <c r="Q12" s="211"/>
      <c r="R12" s="209">
        <f t="shared" si="4"/>
        <v>2481481.8864793312</v>
      </c>
      <c r="T12" s="212" t="s">
        <v>4324</v>
      </c>
      <c r="U12" s="213"/>
      <c r="V12" s="213"/>
      <c r="W12" s="214">
        <f>SUM(W7:W11)</f>
        <v>1442052987</v>
      </c>
      <c r="X12" s="214">
        <f>SUM(X7:X11)</f>
        <v>839724961.49199986</v>
      </c>
      <c r="Y12" s="214">
        <f>SUM(Y7:Y11)</f>
        <v>602328025.50800014</v>
      </c>
      <c r="Z12" s="215">
        <f t="shared" si="5"/>
        <v>0.58231214044286705</v>
      </c>
    </row>
    <row r="13" spans="1:26" ht="13.5" customHeight="1" x14ac:dyDescent="0.35">
      <c r="A13" s="216" t="s">
        <v>5055</v>
      </c>
      <c r="B13" s="217">
        <v>45747</v>
      </c>
      <c r="C13" s="216">
        <v>3</v>
      </c>
      <c r="D13" s="216" t="s">
        <v>5056</v>
      </c>
      <c r="E13" s="218" t="s">
        <v>5057</v>
      </c>
      <c r="F13" s="219"/>
      <c r="G13" s="220"/>
      <c r="H13" s="221"/>
      <c r="I13" s="220"/>
      <c r="J13" s="222"/>
      <c r="K13" s="222"/>
      <c r="L13" s="223"/>
      <c r="M13" s="216"/>
      <c r="N13" s="217"/>
      <c r="O13" s="217"/>
      <c r="P13" s="224"/>
      <c r="Q13" s="224"/>
      <c r="R13" s="225"/>
      <c r="T13" s="191"/>
      <c r="U13" s="191"/>
      <c r="V13" s="191"/>
      <c r="W13" s="191"/>
      <c r="X13" s="191"/>
      <c r="Y13" s="191"/>
      <c r="Z13" s="191"/>
    </row>
    <row r="14" spans="1:26" ht="13.5" customHeight="1" x14ac:dyDescent="0.35">
      <c r="A14" s="206" t="s">
        <v>5058</v>
      </c>
      <c r="B14" s="207">
        <v>45777</v>
      </c>
      <c r="C14" s="206">
        <v>1</v>
      </c>
      <c r="D14" s="206" t="s">
        <v>5029</v>
      </c>
      <c r="E14" s="192" t="s">
        <v>5059</v>
      </c>
      <c r="F14" s="208"/>
      <c r="G14" s="195">
        <v>11526171.300000001</v>
      </c>
      <c r="H14" s="196">
        <f>+I14/G14</f>
        <v>4.1611316365002309E-2</v>
      </c>
      <c r="I14" s="195">
        <v>479619.16044150997</v>
      </c>
      <c r="J14" s="209">
        <f>IF(D14="B70",(G14+I14)*0.105,0)</f>
        <v>1260607.9983463585</v>
      </c>
      <c r="K14" s="209">
        <f>G14+I14+J14</f>
        <v>13266398.45878787</v>
      </c>
      <c r="L14" s="210" t="str">
        <f>IF(O14&lt;&gt;"","Cobrado",IF(M14&lt;&gt;"","Facturado","Certificado"))</f>
        <v>Cobrado</v>
      </c>
      <c r="M14" s="206" t="s">
        <v>5060</v>
      </c>
      <c r="N14" s="207">
        <v>45891</v>
      </c>
      <c r="O14" s="207">
        <v>45860</v>
      </c>
      <c r="P14" s="211"/>
      <c r="Q14" s="211">
        <v>10000000</v>
      </c>
      <c r="R14" s="209">
        <f>K14-IF(Q14="",0,Q14)</f>
        <v>3266398.4587878697</v>
      </c>
      <c r="T14" s="199" t="s">
        <v>5061</v>
      </c>
      <c r="U14" s="200"/>
      <c r="V14" s="200"/>
      <c r="W14" s="200"/>
      <c r="X14" s="200"/>
      <c r="Y14" s="200"/>
      <c r="Z14" s="200"/>
    </row>
    <row r="15" spans="1:26" ht="13.5" customHeight="1" x14ac:dyDescent="0.35">
      <c r="A15" s="206" t="s">
        <v>5062</v>
      </c>
      <c r="B15" s="207">
        <v>45777</v>
      </c>
      <c r="C15" s="206">
        <v>1</v>
      </c>
      <c r="D15" s="206" t="s">
        <v>5034</v>
      </c>
      <c r="E15" s="192" t="s">
        <v>5063</v>
      </c>
      <c r="F15" s="208"/>
      <c r="G15" s="195">
        <v>4939787.7</v>
      </c>
      <c r="H15" s="196">
        <f>+I15/G15</f>
        <v>4.1611316365002288E-2</v>
      </c>
      <c r="I15" s="195">
        <v>205551.068760647</v>
      </c>
      <c r="J15" s="209">
        <f>IF(D15="B70",(G15+I15)*0.105,0)</f>
        <v>0</v>
      </c>
      <c r="K15" s="209">
        <f>G15+I15+J15</f>
        <v>5145338.7687606476</v>
      </c>
      <c r="L15" s="210" t="str">
        <f>IF(O15&lt;&gt;"","Cobrado",IF(M15&lt;&gt;"","Facturado","Certificado"))</f>
        <v>Facturado</v>
      </c>
      <c r="M15" s="206" t="s">
        <v>5060</v>
      </c>
      <c r="N15" s="207">
        <v>45891</v>
      </c>
      <c r="O15" s="207"/>
      <c r="P15" s="211"/>
      <c r="Q15" s="211"/>
      <c r="R15" s="209">
        <f>K15-IF(Q15="",0,Q15)</f>
        <v>5145338.7687606476</v>
      </c>
      <c r="T15" s="201" t="s">
        <v>5014</v>
      </c>
      <c r="U15" s="201" t="s">
        <v>1</v>
      </c>
      <c r="V15" s="201" t="s">
        <v>5064</v>
      </c>
      <c r="W15" s="201" t="s">
        <v>5065</v>
      </c>
      <c r="X15" s="201" t="s">
        <v>5066</v>
      </c>
      <c r="Y15" s="201" t="s">
        <v>5067</v>
      </c>
      <c r="Z15" s="201" t="s">
        <v>5068</v>
      </c>
    </row>
    <row r="16" spans="1:26" ht="13.5" customHeight="1" x14ac:dyDescent="0.35">
      <c r="A16" s="206" t="s">
        <v>5069</v>
      </c>
      <c r="B16" s="207">
        <v>45777</v>
      </c>
      <c r="C16" s="206">
        <v>2</v>
      </c>
      <c r="D16" s="206" t="s">
        <v>5029</v>
      </c>
      <c r="E16" s="192" t="s">
        <v>5059</v>
      </c>
      <c r="F16" s="208"/>
      <c r="G16" s="195">
        <v>5497256.7999999998</v>
      </c>
      <c r="H16" s="196">
        <f>+I16/G16</f>
        <v>4.1611316799862255E-2</v>
      </c>
      <c r="I16" s="195">
        <v>228748.094234997</v>
      </c>
      <c r="J16" s="209">
        <f>IF(D16="B70",(G16+I16)*0.105,0)</f>
        <v>601230.51389467472</v>
      </c>
      <c r="K16" s="209">
        <f>G16+I16+J16</f>
        <v>6327235.4081296716</v>
      </c>
      <c r="L16" s="210" t="str">
        <f>IF(O16&lt;&gt;"","Cobrado",IF(M16&lt;&gt;"","Facturado","Certificado"))</f>
        <v>Cobrado</v>
      </c>
      <c r="M16" s="206" t="s">
        <v>5060</v>
      </c>
      <c r="N16" s="207">
        <v>45891</v>
      </c>
      <c r="O16" s="207">
        <v>45869</v>
      </c>
      <c r="P16" s="211"/>
      <c r="Q16" s="211">
        <v>20000000</v>
      </c>
      <c r="R16" s="209">
        <f>K16-IF(Q16="",0,Q16)</f>
        <v>-13672764.591870328</v>
      </c>
      <c r="T16" s="202">
        <v>1</v>
      </c>
      <c r="U16" s="202" t="s">
        <v>5029</v>
      </c>
      <c r="V16" s="204">
        <f>IF(U16="B70",SUMIFS($K$5:$K$200,$C$5:$C$200,T16,$D$5:$D$200,"B70"),0)</f>
        <v>365582305.77486998</v>
      </c>
      <c r="W16" s="204">
        <f>SUMIFS($K$5:$K$200,$C$5:$C$200,T16,$D$5:$D$200,U16,$L$5:$L$200,"Facturado")+SUMIFS($K$5:$K$200,$C$5:$C$200,T16,$D$5:$D$200,U16,$L$5:$L$200,"Cobrado")</f>
        <v>365582305.77486998</v>
      </c>
      <c r="X16" s="204">
        <f>SUMIFS($Q$5:$Q$200,$C$5:$C$200,T16,$D$5:$D$200,U16)</f>
        <v>194279502.12</v>
      </c>
      <c r="Y16" s="204">
        <f>W16-X16</f>
        <v>171302803.65486997</v>
      </c>
      <c r="Z16" s="205">
        <f t="shared" ref="Z16:Z21" si="6">IFERROR(X16/W16,0)</f>
        <v>0.53142479559620615</v>
      </c>
    </row>
    <row r="17" spans="1:26" ht="13.5" customHeight="1" x14ac:dyDescent="0.35">
      <c r="A17" s="206" t="s">
        <v>5070</v>
      </c>
      <c r="B17" s="207">
        <v>45777</v>
      </c>
      <c r="C17" s="206">
        <v>2</v>
      </c>
      <c r="D17" s="206" t="s">
        <v>5034</v>
      </c>
      <c r="E17" s="192" t="s">
        <v>5063</v>
      </c>
      <c r="F17" s="208"/>
      <c r="G17" s="195">
        <v>2355967.2000000002</v>
      </c>
      <c r="H17" s="196">
        <f>+I17/G17</f>
        <v>4.1611316799862193E-2</v>
      </c>
      <c r="I17" s="195">
        <v>98034.897529284295</v>
      </c>
      <c r="J17" s="209">
        <f>IF(D17="B70",(G17+I17)*0.105,0)</f>
        <v>0</v>
      </c>
      <c r="K17" s="209">
        <f>G17+I17+J17</f>
        <v>2454002.0975292847</v>
      </c>
      <c r="L17" s="210" t="str">
        <f>IF(O17&lt;&gt;"","Cobrado",IF(M17&lt;&gt;"","Facturado","Certificado"))</f>
        <v>Facturado</v>
      </c>
      <c r="M17" s="206" t="s">
        <v>5060</v>
      </c>
      <c r="N17" s="207">
        <v>45891</v>
      </c>
      <c r="O17" s="207"/>
      <c r="P17" s="211"/>
      <c r="Q17" s="211"/>
      <c r="R17" s="209">
        <f>K17-IF(Q17="",0,Q17)</f>
        <v>2454002.0975292847</v>
      </c>
      <c r="T17" s="202">
        <v>1</v>
      </c>
      <c r="U17" s="202" t="s">
        <v>5034</v>
      </c>
      <c r="V17" s="204">
        <f>IF(U17="B70",SUMIFS($K$5:$K$200,$C$5:$C$200,T17,$D$5:$D$200,"B70"),0)</f>
        <v>0</v>
      </c>
      <c r="W17" s="204">
        <f>SUMIFS($K$5:$K$200,$C$5:$C$200,T17,$D$5:$D$200,U17,$L$5:$L$200,"Facturado")+SUMIFS($K$5:$K$200,$C$5:$C$200,T17,$D$5:$D$200,U17,$L$5:$L$200,"Cobrado")</f>
        <v>111678809.65749991</v>
      </c>
      <c r="X17" s="204">
        <f>SUMIFS($Q$5:$Q$200,$C$5:$C$200,T17,$D$5:$D$200,U17)</f>
        <v>0</v>
      </c>
      <c r="Y17" s="204">
        <f>W17-X17</f>
        <v>111678809.65749991</v>
      </c>
      <c r="Z17" s="205">
        <f t="shared" si="6"/>
        <v>0</v>
      </c>
    </row>
    <row r="18" spans="1:26" ht="13.5" customHeight="1" x14ac:dyDescent="0.35">
      <c r="A18" s="216" t="s">
        <v>5071</v>
      </c>
      <c r="B18" s="217">
        <v>45777</v>
      </c>
      <c r="C18" s="216">
        <v>3</v>
      </c>
      <c r="D18" s="216" t="s">
        <v>5056</v>
      </c>
      <c r="E18" s="218" t="s">
        <v>5072</v>
      </c>
      <c r="F18" s="219"/>
      <c r="G18" s="220"/>
      <c r="H18" s="221"/>
      <c r="I18" s="220"/>
      <c r="J18" s="222"/>
      <c r="K18" s="222"/>
      <c r="L18" s="223"/>
      <c r="M18" s="216"/>
      <c r="N18" s="217"/>
      <c r="O18" s="217"/>
      <c r="P18" s="224"/>
      <c r="Q18" s="224"/>
      <c r="R18" s="225"/>
      <c r="T18" s="202">
        <v>2</v>
      </c>
      <c r="U18" s="202" t="s">
        <v>5029</v>
      </c>
      <c r="V18" s="204">
        <f>IF(U18="B70",SUMIFS($K$5:$K$200,$C$5:$C$200,T18,$D$5:$D$200,"B70"),0)</f>
        <v>272215982.51518756</v>
      </c>
      <c r="W18" s="204">
        <f>SUMIFS($K$5:$K$200,$C$5:$C$200,T18,$D$5:$D$200,U18,$L$5:$L$200,"Facturado")+SUMIFS($K$5:$K$200,$C$5:$C$200,T18,$D$5:$D$200,U18,$L$5:$L$200,"Cobrado")</f>
        <v>105141966.57325986</v>
      </c>
      <c r="X18" s="204">
        <f>SUMIFS($Q$5:$Q$200,$C$5:$C$200,T18,$D$5:$D$200,U18)</f>
        <v>155421965.84999999</v>
      </c>
      <c r="Y18" s="204">
        <f>W18-X18</f>
        <v>-50279999.276740134</v>
      </c>
      <c r="Z18" s="205">
        <f t="shared" si="6"/>
        <v>1.4782105653474391</v>
      </c>
    </row>
    <row r="19" spans="1:26" ht="13.5" customHeight="1" x14ac:dyDescent="0.35">
      <c r="A19" s="206" t="s">
        <v>5073</v>
      </c>
      <c r="B19" s="207">
        <v>45808</v>
      </c>
      <c r="C19" s="206">
        <v>1</v>
      </c>
      <c r="D19" s="206" t="s">
        <v>5029</v>
      </c>
      <c r="E19" s="192" t="s">
        <v>5074</v>
      </c>
      <c r="F19" s="208"/>
      <c r="G19" s="195">
        <v>27228966.100000001</v>
      </c>
      <c r="H19" s="196">
        <f>+I19/G19</f>
        <v>5.841864038309115E-2</v>
      </c>
      <c r="I19" s="195">
        <v>1590679.1785992801</v>
      </c>
      <c r="J19" s="209">
        <f>IF(D19="B70",(G19+I19)*0.105,0)</f>
        <v>3026062.7542529246</v>
      </c>
      <c r="K19" s="209">
        <f>G19+I19+J19</f>
        <v>31845708.032852206</v>
      </c>
      <c r="L19" s="210" t="str">
        <f>IF(O19&lt;&gt;"","Cobrado",IF(M19&lt;&gt;"","Facturado","Certificado"))</f>
        <v>Cobrado</v>
      </c>
      <c r="M19" s="206" t="s">
        <v>5075</v>
      </c>
      <c r="N19" s="207">
        <v>45900</v>
      </c>
      <c r="O19" s="207">
        <v>45933</v>
      </c>
      <c r="P19" s="211">
        <v>188701.85</v>
      </c>
      <c r="Q19" s="211">
        <v>10311298.15</v>
      </c>
      <c r="R19" s="209">
        <f>K19-IF(Q19="",0,Q19)</f>
        <v>21534409.882852204</v>
      </c>
      <c r="T19" s="202">
        <v>2</v>
      </c>
      <c r="U19" s="202" t="s">
        <v>5034</v>
      </c>
      <c r="V19" s="204">
        <f>IF(U19="B70",SUMIFS($K$5:$K$200,$C$5:$C$200,T19,$D$5:$D$200,"B70"),0)</f>
        <v>0</v>
      </c>
      <c r="W19" s="204">
        <f>SUMIFS($K$5:$K$200,$C$5:$C$200,T19,$D$5:$D$200,U19,$L$5:$L$200,"Facturado")+SUMIFS($K$5:$K$200,$C$5:$C$200,T19,$D$5:$D$200,U19,$L$5:$L$200,"Cobrado")</f>
        <v>49864308.468561105</v>
      </c>
      <c r="X19" s="204">
        <f>SUMIFS($Q$5:$Q$200,$C$5:$C$200,T19,$D$5:$D$200,U19)</f>
        <v>0</v>
      </c>
      <c r="Y19" s="204">
        <f>W19-X19</f>
        <v>49864308.468561105</v>
      </c>
      <c r="Z19" s="205">
        <f t="shared" si="6"/>
        <v>0</v>
      </c>
    </row>
    <row r="20" spans="1:26" ht="13.5" customHeight="1" x14ac:dyDescent="0.35">
      <c r="A20" s="206" t="s">
        <v>5076</v>
      </c>
      <c r="B20" s="207">
        <v>45808</v>
      </c>
      <c r="C20" s="206">
        <v>1</v>
      </c>
      <c r="D20" s="206" t="s">
        <v>5034</v>
      </c>
      <c r="E20" s="192" t="s">
        <v>5077</v>
      </c>
      <c r="F20" s="208"/>
      <c r="G20" s="195">
        <v>11669556.9</v>
      </c>
      <c r="H20" s="196">
        <f>+I20/G20</f>
        <v>5.8418640383091316E-2</v>
      </c>
      <c r="I20" s="195">
        <v>681719.64797112194</v>
      </c>
      <c r="J20" s="209">
        <f>IF(D20="B70",(G20+I20)*0.105,0)</f>
        <v>0</v>
      </c>
      <c r="K20" s="209">
        <f>G20+I20+J20</f>
        <v>12351276.547971122</v>
      </c>
      <c r="L20" s="210" t="str">
        <f>IF(O20&lt;&gt;"","Cobrado",IF(M20&lt;&gt;"","Facturado","Certificado"))</f>
        <v>Facturado</v>
      </c>
      <c r="M20" s="206" t="s">
        <v>5075</v>
      </c>
      <c r="N20" s="207">
        <v>45900</v>
      </c>
      <c r="O20" s="207"/>
      <c r="P20" s="211"/>
      <c r="Q20" s="211"/>
      <c r="R20" s="209">
        <f>K20-IF(Q20="",0,Q20)</f>
        <v>12351276.547971122</v>
      </c>
      <c r="T20" s="202" t="s">
        <v>5052</v>
      </c>
      <c r="U20" s="202" t="s">
        <v>5034</v>
      </c>
      <c r="V20" s="204">
        <f>IF(U20="B70",SUMIFS($K$5:$K$200,$C$5:$C$200,T20,$D$5:$D$200,"B70"),0)</f>
        <v>0</v>
      </c>
      <c r="W20" s="204">
        <f>SUMIFS($K$5:$K$200,$C$5:$C$200,T20,$D$5:$D$200,U20,$L$5:$L$200,"Facturado")+SUMIFS($K$5:$K$200,$C$5:$C$200,T20,$D$5:$D$200,U20,$L$5:$L$200,"Cobrado")</f>
        <v>0</v>
      </c>
      <c r="X20" s="204">
        <f>SUMIFS($Q$5:$Q$200,$C$5:$C$200,T20,$D$5:$D$200,U20)</f>
        <v>0</v>
      </c>
      <c r="Y20" s="204">
        <f>W20-X20</f>
        <v>0</v>
      </c>
      <c r="Z20" s="205">
        <f t="shared" si="6"/>
        <v>0</v>
      </c>
    </row>
    <row r="21" spans="1:26" ht="13.5" customHeight="1" x14ac:dyDescent="0.35">
      <c r="A21" s="206" t="s">
        <v>5078</v>
      </c>
      <c r="B21" s="207">
        <v>45808</v>
      </c>
      <c r="C21" s="206">
        <v>2</v>
      </c>
      <c r="D21" s="206" t="s">
        <v>5029</v>
      </c>
      <c r="E21" s="192" t="s">
        <v>5074</v>
      </c>
      <c r="F21" s="208"/>
      <c r="G21" s="195">
        <v>6274306.5</v>
      </c>
      <c r="H21" s="196">
        <f>+I21/G21</f>
        <v>5.841864080210267E-2</v>
      </c>
      <c r="I21" s="195">
        <v>366536.45770579798</v>
      </c>
      <c r="J21" s="209">
        <f>IF(D21="B70",(G21+I21)*0.105,0)</f>
        <v>697288.51055910869</v>
      </c>
      <c r="K21" s="209">
        <f>G21+I21+J21</f>
        <v>7338131.4682649067</v>
      </c>
      <c r="L21" s="210" t="str">
        <f>IF(O21&lt;&gt;"","Cobrado",IF(M21&lt;&gt;"","Facturado","Certificado"))</f>
        <v>Cobrado</v>
      </c>
      <c r="M21" s="206" t="s">
        <v>5075</v>
      </c>
      <c r="N21" s="207">
        <v>45900</v>
      </c>
      <c r="O21" s="207">
        <v>45945</v>
      </c>
      <c r="P21" s="211">
        <v>216787.33</v>
      </c>
      <c r="Q21" s="211">
        <v>21760712.670000002</v>
      </c>
      <c r="R21" s="209">
        <f>K21-IF(Q21="",0,Q21)</f>
        <v>-14422581.201735094</v>
      </c>
      <c r="T21" s="212" t="s">
        <v>4324</v>
      </c>
      <c r="U21" s="213"/>
      <c r="V21" s="214">
        <f>SUM(V16:V20)</f>
        <v>637798288.29005754</v>
      </c>
      <c r="W21" s="214">
        <f>SUM(W16:W20)</f>
        <v>632267390.47419083</v>
      </c>
      <c r="X21" s="214">
        <f>SUM(X16:X20)</f>
        <v>349701467.97000003</v>
      </c>
      <c r="Y21" s="214">
        <f>SUM(Y16:Y20)</f>
        <v>282565922.50419086</v>
      </c>
      <c r="Z21" s="215">
        <f t="shared" si="6"/>
        <v>0.55309110233840986</v>
      </c>
    </row>
    <row r="22" spans="1:26" ht="13.5" customHeight="1" x14ac:dyDescent="0.35">
      <c r="A22" s="206" t="s">
        <v>5079</v>
      </c>
      <c r="B22" s="207">
        <v>45808</v>
      </c>
      <c r="C22" s="206">
        <v>2</v>
      </c>
      <c r="D22" s="206" t="s">
        <v>5034</v>
      </c>
      <c r="E22" s="192" t="s">
        <v>5077</v>
      </c>
      <c r="F22" s="208"/>
      <c r="G22" s="195">
        <v>2688988.5</v>
      </c>
      <c r="H22" s="196">
        <f>+I22/G22</f>
        <v>5.8418640802102725E-2</v>
      </c>
      <c r="I22" s="195">
        <v>157087.053302485</v>
      </c>
      <c r="J22" s="209">
        <f>IF(D22="B70",(G22+I22)*0.105,0)</f>
        <v>0</v>
      </c>
      <c r="K22" s="209">
        <f>G22+I22+J22</f>
        <v>2846075.553302485</v>
      </c>
      <c r="L22" s="210" t="str">
        <f>IF(O22&lt;&gt;"","Cobrado",IF(M22&lt;&gt;"","Facturado","Certificado"))</f>
        <v>Facturado</v>
      </c>
      <c r="M22" s="206" t="s">
        <v>5075</v>
      </c>
      <c r="N22" s="207">
        <v>45900</v>
      </c>
      <c r="O22" s="207"/>
      <c r="P22" s="211"/>
      <c r="Q22" s="211"/>
      <c r="R22" s="209">
        <f>K22-IF(Q22="",0,Q22)</f>
        <v>2846075.553302485</v>
      </c>
      <c r="T22" s="191"/>
      <c r="U22" s="191"/>
      <c r="V22" s="191"/>
      <c r="W22" s="191"/>
      <c r="X22" s="191"/>
      <c r="Y22" s="191"/>
      <c r="Z22" s="191"/>
    </row>
    <row r="23" spans="1:26" ht="13.5" customHeight="1" x14ac:dyDescent="0.35">
      <c r="A23" s="216" t="s">
        <v>5080</v>
      </c>
      <c r="B23" s="217">
        <v>45808</v>
      </c>
      <c r="C23" s="216">
        <v>3</v>
      </c>
      <c r="D23" s="216" t="s">
        <v>5056</v>
      </c>
      <c r="E23" s="218" t="s">
        <v>5081</v>
      </c>
      <c r="F23" s="219"/>
      <c r="G23" s="220"/>
      <c r="H23" s="221"/>
      <c r="I23" s="220"/>
      <c r="J23" s="222"/>
      <c r="K23" s="222"/>
      <c r="L23" s="223"/>
      <c r="M23" s="216"/>
      <c r="N23" s="217"/>
      <c r="O23" s="217"/>
      <c r="P23" s="224"/>
      <c r="Q23" s="224"/>
      <c r="R23" s="225"/>
      <c r="T23" s="190" t="s">
        <v>5082</v>
      </c>
      <c r="U23" s="191"/>
      <c r="V23" s="191"/>
      <c r="W23" s="191"/>
      <c r="X23" s="191"/>
      <c r="Y23" s="191"/>
      <c r="Z23" s="191"/>
    </row>
    <row r="24" spans="1:26" ht="13.5" customHeight="1" x14ac:dyDescent="0.35">
      <c r="A24" s="206" t="s">
        <v>5083</v>
      </c>
      <c r="B24" s="207">
        <v>45838</v>
      </c>
      <c r="C24" s="206">
        <v>1</v>
      </c>
      <c r="D24" s="206" t="s">
        <v>5029</v>
      </c>
      <c r="E24" s="192" t="s">
        <v>5084</v>
      </c>
      <c r="F24" s="208"/>
      <c r="G24" s="195">
        <v>15144082.5396</v>
      </c>
      <c r="H24" s="196">
        <f>+I24/G24</f>
        <v>7.5857622850115755E-2</v>
      </c>
      <c r="I24" s="195">
        <v>1148794.1017</v>
      </c>
      <c r="J24" s="209">
        <f>IF(D24="B70",(G24+I24)*0.105,0)</f>
        <v>1710752.0473364999</v>
      </c>
      <c r="K24" s="209">
        <f>G24+I24+J24</f>
        <v>18003628.6886365</v>
      </c>
      <c r="L24" s="210" t="str">
        <f>IF(O24&lt;&gt;"","Cobrado",IF(M24&lt;&gt;"","Facturado","Certificado"))</f>
        <v>Cobrado</v>
      </c>
      <c r="M24" s="206" t="s">
        <v>5085</v>
      </c>
      <c r="N24" s="207">
        <v>45930</v>
      </c>
      <c r="O24" s="207">
        <v>45953</v>
      </c>
      <c r="P24" s="211">
        <v>241817.52</v>
      </c>
      <c r="Q24" s="211">
        <v>13118600.640000001</v>
      </c>
      <c r="R24" s="209">
        <f>K24-IF(Q24="",0,Q24)</f>
        <v>4885028.0486364998</v>
      </c>
      <c r="T24" s="226" t="s">
        <v>5086</v>
      </c>
      <c r="U24" s="191"/>
      <c r="V24" s="191"/>
      <c r="W24" s="191"/>
      <c r="X24" s="191"/>
      <c r="Y24" s="191"/>
      <c r="Z24" s="205">
        <f>IFERROR(X12/W12,0)</f>
        <v>0.58231214044286705</v>
      </c>
    </row>
    <row r="25" spans="1:26" ht="13.5" customHeight="1" x14ac:dyDescent="0.35">
      <c r="A25" s="206" t="s">
        <v>5087</v>
      </c>
      <c r="B25" s="207">
        <v>45838</v>
      </c>
      <c r="C25" s="206">
        <v>1</v>
      </c>
      <c r="D25" s="206" t="s">
        <v>5034</v>
      </c>
      <c r="E25" s="206" t="s">
        <v>5088</v>
      </c>
      <c r="F25" s="208"/>
      <c r="G25" s="195">
        <v>6490321.0883999998</v>
      </c>
      <c r="H25" s="196">
        <f>+I25/G25</f>
        <v>7.5857622850115755E-2</v>
      </c>
      <c r="I25" s="195">
        <v>492340.32929999998</v>
      </c>
      <c r="J25" s="209">
        <f>IF(D25="B70",(G25+I25)*0.105,0)</f>
        <v>0</v>
      </c>
      <c r="K25" s="209">
        <f>G25+I25+J25</f>
        <v>6982661.4177000001</v>
      </c>
      <c r="L25" s="210" t="str">
        <f>IF(O25&lt;&gt;"","Cobrado",IF(M25&lt;&gt;"","Facturado","Certificado"))</f>
        <v>Facturado</v>
      </c>
      <c r="M25" s="206" t="s">
        <v>5085</v>
      </c>
      <c r="N25" s="207">
        <v>45930</v>
      </c>
      <c r="O25" s="207"/>
      <c r="P25" s="211"/>
      <c r="Q25" s="211"/>
      <c r="R25" s="209">
        <f>K25-IF(Q25="",0,Q25)</f>
        <v>6982661.4177000001</v>
      </c>
      <c r="T25" s="226" t="s">
        <v>5089</v>
      </c>
      <c r="U25" s="191"/>
      <c r="V25" s="191"/>
      <c r="W25" s="191"/>
      <c r="X25" s="191"/>
      <c r="Y25" s="191"/>
      <c r="Z25" s="205">
        <f>IFERROR(W21/V21,0)</f>
        <v>0.99132813944876663</v>
      </c>
    </row>
    <row r="26" spans="1:26" ht="13.5" customHeight="1" x14ac:dyDescent="0.35">
      <c r="A26" s="206" t="s">
        <v>5090</v>
      </c>
      <c r="B26" s="207">
        <v>45838</v>
      </c>
      <c r="C26" s="206">
        <v>2</v>
      </c>
      <c r="D26" s="206" t="s">
        <v>5029</v>
      </c>
      <c r="E26" s="206" t="s">
        <v>5084</v>
      </c>
      <c r="F26" s="208"/>
      <c r="G26" s="211">
        <v>5768966.9771999996</v>
      </c>
      <c r="H26" s="227">
        <f>+I26/G26</f>
        <v>7.585762276496881E-2</v>
      </c>
      <c r="I26" s="211">
        <v>437620.12070000003</v>
      </c>
      <c r="J26" s="209">
        <f>IF(D26="B70",(G26+I26)*0.105,0)</f>
        <v>651691.64527949993</v>
      </c>
      <c r="K26" s="209">
        <f>G26+I26+J26</f>
        <v>6858278.7431794992</v>
      </c>
      <c r="L26" s="210" t="str">
        <f>IF(O26&lt;&gt;"","Cobrado",IF(M26&lt;&gt;"","Facturado","Certificado"))</f>
        <v>Cobrado</v>
      </c>
      <c r="M26" s="206" t="s">
        <v>5085</v>
      </c>
      <c r="N26" s="207">
        <v>45930</v>
      </c>
      <c r="O26" s="207">
        <v>45959</v>
      </c>
      <c r="P26" s="211">
        <v>469244.84</v>
      </c>
      <c r="Q26" s="211">
        <v>25530755.16</v>
      </c>
      <c r="R26" s="209">
        <f>K26-IF(Q26="",0,Q26)</f>
        <v>-18672476.4168205</v>
      </c>
      <c r="T26" s="226" t="s">
        <v>5091</v>
      </c>
      <c r="U26" s="191"/>
      <c r="V26" s="191"/>
      <c r="W26" s="191"/>
      <c r="X26" s="191"/>
      <c r="Y26" s="191"/>
      <c r="Z26" s="205">
        <f>IFERROR(X21/W21,0)</f>
        <v>0.55309110233840986</v>
      </c>
    </row>
    <row r="27" spans="1:26" ht="13.5" customHeight="1" x14ac:dyDescent="0.35">
      <c r="A27" s="206" t="s">
        <v>5092</v>
      </c>
      <c r="B27" s="207">
        <v>45838</v>
      </c>
      <c r="C27" s="206">
        <v>2</v>
      </c>
      <c r="D27" s="206" t="s">
        <v>5034</v>
      </c>
      <c r="E27" s="206" t="s">
        <v>5088</v>
      </c>
      <c r="F27" s="208"/>
      <c r="G27" s="211">
        <v>2472414.4188000001</v>
      </c>
      <c r="H27" s="227">
        <f>+I27/G27</f>
        <v>7.5857622764968796E-2</v>
      </c>
      <c r="I27" s="211">
        <v>187551.4803</v>
      </c>
      <c r="J27" s="209">
        <f>IF(D27="B70",(G27+I27)*0.105,0)</f>
        <v>0</v>
      </c>
      <c r="K27" s="209">
        <f>G27+I27+J27</f>
        <v>2659965.8991</v>
      </c>
      <c r="L27" s="210" t="str">
        <f>IF(O27&lt;&gt;"","Cobrado",IF(M27&lt;&gt;"","Facturado","Certificado"))</f>
        <v>Facturado</v>
      </c>
      <c r="M27" s="206" t="s">
        <v>5085</v>
      </c>
      <c r="N27" s="207">
        <v>45930</v>
      </c>
      <c r="O27" s="207"/>
      <c r="P27" s="211"/>
      <c r="Q27" s="211"/>
      <c r="R27" s="209">
        <f>K27-IF(Q27="",0,Q27)</f>
        <v>2659965.8991</v>
      </c>
      <c r="T27" s="226" t="s">
        <v>5093</v>
      </c>
      <c r="U27" s="191"/>
      <c r="V27" s="191"/>
      <c r="W27" s="191"/>
      <c r="X27" s="191"/>
      <c r="Y27" s="191"/>
      <c r="Z27" s="204">
        <f>Y21</f>
        <v>282565922.50419086</v>
      </c>
    </row>
    <row r="28" spans="1:26" ht="13.5" customHeight="1" x14ac:dyDescent="0.35">
      <c r="A28" s="216" t="s">
        <v>5094</v>
      </c>
      <c r="B28" s="217">
        <v>45838</v>
      </c>
      <c r="C28" s="216">
        <v>3</v>
      </c>
      <c r="D28" s="216" t="s">
        <v>5056</v>
      </c>
      <c r="E28" s="216" t="s">
        <v>5095</v>
      </c>
      <c r="F28" s="219"/>
      <c r="G28" s="224"/>
      <c r="H28" s="228"/>
      <c r="I28" s="224"/>
      <c r="J28" s="222"/>
      <c r="K28" s="222"/>
      <c r="L28" s="223"/>
      <c r="M28" s="216"/>
      <c r="N28" s="217"/>
      <c r="O28" s="217"/>
      <c r="P28" s="224"/>
      <c r="Q28" s="224"/>
      <c r="R28" s="225"/>
      <c r="T28" s="191"/>
      <c r="U28" s="191"/>
      <c r="V28" s="191"/>
      <c r="W28" s="191"/>
      <c r="X28" s="191"/>
      <c r="Y28" s="191"/>
      <c r="Z28" s="191"/>
    </row>
    <row r="29" spans="1:26" ht="13.5" customHeight="1" x14ac:dyDescent="0.35">
      <c r="A29" s="206" t="s">
        <v>5096</v>
      </c>
      <c r="B29" s="207">
        <v>45869</v>
      </c>
      <c r="C29" s="206">
        <v>1</v>
      </c>
      <c r="D29" s="206" t="s">
        <v>5029</v>
      </c>
      <c r="E29" s="206" t="s">
        <v>5097</v>
      </c>
      <c r="F29" s="208"/>
      <c r="G29" s="211">
        <v>39462458</v>
      </c>
      <c r="H29" s="227">
        <f>+I29/G29</f>
        <v>8.3808692301934162E-2</v>
      </c>
      <c r="I29" s="211">
        <v>3307297</v>
      </c>
      <c r="J29" s="209">
        <f>IF(D29="B70",(G29+I29)*0.105,0)</f>
        <v>4490824.2749999994</v>
      </c>
      <c r="K29" s="209">
        <f>G29+I29+J29</f>
        <v>47260579.274999999</v>
      </c>
      <c r="L29" s="210" t="str">
        <f>IF(O29&lt;&gt;"","Cobrado",IF(M29&lt;&gt;"","Facturado","Certificado"))</f>
        <v>Cobrado</v>
      </c>
      <c r="M29" s="206" t="s">
        <v>5098</v>
      </c>
      <c r="N29" s="207">
        <v>45959</v>
      </c>
      <c r="O29" s="207">
        <v>45980</v>
      </c>
      <c r="P29" s="211"/>
      <c r="Q29" s="211">
        <v>6000000</v>
      </c>
      <c r="R29" s="209">
        <f>K29-IF(Q29="",0,Q29)</f>
        <v>41260579.274999999</v>
      </c>
      <c r="T29" s="191"/>
      <c r="U29" s="191"/>
      <c r="V29" s="191"/>
      <c r="W29" s="191"/>
      <c r="X29" s="191"/>
      <c r="Y29" s="191"/>
      <c r="Z29" s="191"/>
    </row>
    <row r="30" spans="1:26" ht="15" customHeight="1" x14ac:dyDescent="0.35">
      <c r="A30" s="206" t="s">
        <v>5099</v>
      </c>
      <c r="B30" s="207">
        <v>45869</v>
      </c>
      <c r="C30" s="206">
        <v>1</v>
      </c>
      <c r="D30" s="206" t="s">
        <v>5034</v>
      </c>
      <c r="E30" s="206" t="s">
        <v>5100</v>
      </c>
      <c r="F30" s="208"/>
      <c r="G30" s="211">
        <v>16912482</v>
      </c>
      <c r="H30" s="227">
        <f>+I30/G30</f>
        <v>8.3808692301934162E-2</v>
      </c>
      <c r="I30" s="211">
        <v>1417413</v>
      </c>
      <c r="J30" s="209">
        <f>IF(D30="B70",(G30+I30)*0.105,0)</f>
        <v>0</v>
      </c>
      <c r="K30" s="209">
        <f>G30+I30+J30</f>
        <v>18329895</v>
      </c>
      <c r="L30" s="210" t="str">
        <f>IF(O30&lt;&gt;"","Cobrado",IF(M30&lt;&gt;"","Facturado","Certificado"))</f>
        <v>Facturado</v>
      </c>
      <c r="M30" s="206" t="s">
        <v>5098</v>
      </c>
      <c r="N30" s="207">
        <v>45959</v>
      </c>
      <c r="O30" s="207"/>
      <c r="P30" s="211"/>
      <c r="Q30" s="211"/>
      <c r="R30" s="209">
        <f>K30-IF(Q30="",0,Q30)</f>
        <v>18329895</v>
      </c>
      <c r="T30" s="191"/>
      <c r="U30" s="191"/>
      <c r="V30" s="191"/>
      <c r="W30" s="191"/>
      <c r="X30" s="191"/>
      <c r="Y30" s="191"/>
      <c r="Z30" s="191"/>
    </row>
    <row r="31" spans="1:26" ht="13.5" customHeight="1" x14ac:dyDescent="0.35">
      <c r="A31" s="206" t="s">
        <v>5101</v>
      </c>
      <c r="B31" s="207">
        <v>45869</v>
      </c>
      <c r="C31" s="206">
        <v>2</v>
      </c>
      <c r="D31" s="206" t="s">
        <v>5029</v>
      </c>
      <c r="E31" s="206" t="s">
        <v>5097</v>
      </c>
      <c r="F31" s="208"/>
      <c r="G31" s="211">
        <v>7502414.1009999998</v>
      </c>
      <c r="H31" s="227">
        <f>+I31/G31</f>
        <v>8.3808704709620249E-2</v>
      </c>
      <c r="I31" s="211">
        <v>628767.60800000001</v>
      </c>
      <c r="J31" s="209">
        <f>IF(D31="B70",(G31+I31)*0.105,0)</f>
        <v>853774.07944499992</v>
      </c>
      <c r="K31" s="209">
        <f>G31+I31+J31</f>
        <v>8984955.7884449996</v>
      </c>
      <c r="L31" s="210" t="str">
        <f>IF(O31&lt;&gt;"","Cobrado",IF(M31&lt;&gt;"","Facturado","Certificado"))</f>
        <v>Cobrado</v>
      </c>
      <c r="M31" s="206" t="s">
        <v>5098</v>
      </c>
      <c r="N31" s="207">
        <v>45959</v>
      </c>
      <c r="O31" s="207">
        <v>45986</v>
      </c>
      <c r="P31" s="211">
        <v>382074.51</v>
      </c>
      <c r="Q31" s="211">
        <v>20801765</v>
      </c>
      <c r="R31" s="209">
        <f>K31-IF(Q31="",0,Q31)</f>
        <v>-11816809.211555</v>
      </c>
    </row>
    <row r="32" spans="1:26" ht="15" customHeight="1" x14ac:dyDescent="0.35">
      <c r="A32" s="206" t="s">
        <v>5102</v>
      </c>
      <c r="B32" s="207">
        <v>45869</v>
      </c>
      <c r="C32" s="206">
        <v>2</v>
      </c>
      <c r="D32" s="206" t="s">
        <v>5034</v>
      </c>
      <c r="E32" s="206" t="s">
        <v>5100</v>
      </c>
      <c r="F32" s="208"/>
      <c r="G32" s="211">
        <v>3215320.3289999999</v>
      </c>
      <c r="H32" s="227">
        <f>+I32/G32</f>
        <v>8.3808704709620235E-2</v>
      </c>
      <c r="I32" s="211">
        <v>269471.83199999999</v>
      </c>
      <c r="J32" s="209">
        <f>IF(D32="B70",(G32+I32)*0.105,0)</f>
        <v>0</v>
      </c>
      <c r="K32" s="209">
        <f>G32+I32+J32</f>
        <v>3484792.1609999998</v>
      </c>
      <c r="L32" s="210" t="str">
        <f>IF(O32&lt;&gt;"","Cobrado",IF(M32&lt;&gt;"","Facturado","Certificado"))</f>
        <v>Facturado</v>
      </c>
      <c r="M32" s="206" t="s">
        <v>5098</v>
      </c>
      <c r="N32" s="207">
        <v>45959</v>
      </c>
      <c r="O32" s="207"/>
      <c r="P32" s="211"/>
      <c r="Q32" s="211"/>
      <c r="R32" s="209">
        <f>K32-IF(Q32="",0,Q32)</f>
        <v>3484792.1609999998</v>
      </c>
    </row>
    <row r="33" spans="1:18" ht="15" customHeight="1" x14ac:dyDescent="0.35">
      <c r="A33" s="216" t="s">
        <v>5103</v>
      </c>
      <c r="B33" s="217">
        <v>45869</v>
      </c>
      <c r="C33" s="216">
        <v>3</v>
      </c>
      <c r="D33" s="216" t="s">
        <v>5056</v>
      </c>
      <c r="E33" s="216" t="s">
        <v>5104</v>
      </c>
      <c r="F33" s="219"/>
      <c r="G33" s="224"/>
      <c r="H33" s="228"/>
      <c r="I33" s="224"/>
      <c r="J33" s="222"/>
      <c r="K33" s="222"/>
      <c r="L33" s="223"/>
      <c r="M33" s="216"/>
      <c r="N33" s="217"/>
      <c r="O33" s="217"/>
      <c r="P33" s="224"/>
      <c r="Q33" s="224"/>
      <c r="R33" s="225"/>
    </row>
    <row r="34" spans="1:18" ht="15" customHeight="1" x14ac:dyDescent="0.35">
      <c r="A34" s="206" t="s">
        <v>5105</v>
      </c>
      <c r="B34" s="207">
        <v>45900</v>
      </c>
      <c r="C34" s="206">
        <v>1</v>
      </c>
      <c r="D34" s="206" t="s">
        <v>5029</v>
      </c>
      <c r="E34" s="206" t="s">
        <v>5106</v>
      </c>
      <c r="F34" s="208"/>
      <c r="G34" s="211">
        <v>23496866.728999998</v>
      </c>
      <c r="H34" s="227">
        <f>+I34/G34</f>
        <v>0.10309056808456822</v>
      </c>
      <c r="I34" s="211">
        <v>2422305.3393000001</v>
      </c>
      <c r="J34" s="209">
        <f>IF(D34="B70",(G34+I34)*0.105,0)</f>
        <v>2721513.0671714996</v>
      </c>
      <c r="K34" s="209">
        <f>G34+I34+J34</f>
        <v>28640685.135471497</v>
      </c>
      <c r="L34" s="210" t="str">
        <f>IF(O34&lt;&gt;"","Cobrado",IF(M34&lt;&gt;"","Facturado","Certificado"))</f>
        <v>Cobrado</v>
      </c>
      <c r="M34" s="206" t="s">
        <v>5107</v>
      </c>
      <c r="N34" s="207">
        <v>46009</v>
      </c>
      <c r="O34" s="207">
        <v>45995</v>
      </c>
      <c r="P34" s="211">
        <v>469997.04</v>
      </c>
      <c r="Q34" s="211">
        <v>25571562.469999999</v>
      </c>
      <c r="R34" s="209">
        <f>K34-IF(Q34="",0,Q34)</f>
        <v>3069122.6654714979</v>
      </c>
    </row>
    <row r="35" spans="1:18" ht="15" customHeight="1" x14ac:dyDescent="0.35">
      <c r="A35" s="206" t="s">
        <v>5108</v>
      </c>
      <c r="B35" s="207">
        <v>45900</v>
      </c>
      <c r="C35" s="206">
        <v>1</v>
      </c>
      <c r="D35" s="206" t="s">
        <v>5034</v>
      </c>
      <c r="E35" s="206" t="s">
        <v>5109</v>
      </c>
      <c r="F35" s="208"/>
      <c r="G35" s="211">
        <v>10070085.741</v>
      </c>
      <c r="H35" s="227">
        <f>+I35/G35</f>
        <v>0.10309056808456821</v>
      </c>
      <c r="I35" s="211">
        <v>1038130.8597</v>
      </c>
      <c r="J35" s="209">
        <f>IF(D35="B70",(G35+I35)*0.105,0)</f>
        <v>0</v>
      </c>
      <c r="K35" s="209">
        <f>G35+I35+J35</f>
        <v>11108216.6007</v>
      </c>
      <c r="L35" s="210" t="str">
        <f>IF(O35&lt;&gt;"","Cobrado",IF(M35&lt;&gt;"","Facturado","Certificado"))</f>
        <v>Facturado</v>
      </c>
      <c r="M35" s="206" t="s">
        <v>5107</v>
      </c>
      <c r="N35" s="207">
        <v>46009</v>
      </c>
      <c r="O35" s="207"/>
      <c r="P35" s="211"/>
      <c r="Q35" s="211"/>
      <c r="R35" s="209">
        <f>K35-IF(Q35="",0,Q35)</f>
        <v>11108216.6007</v>
      </c>
    </row>
    <row r="36" spans="1:18" ht="13.5" customHeight="1" x14ac:dyDescent="0.35">
      <c r="A36" s="206" t="s">
        <v>5110</v>
      </c>
      <c r="B36" s="207">
        <v>45900</v>
      </c>
      <c r="C36" s="206">
        <v>2</v>
      </c>
      <c r="D36" s="206" t="s">
        <v>5029</v>
      </c>
      <c r="E36" s="206" t="s">
        <v>5106</v>
      </c>
      <c r="F36" s="208"/>
      <c r="G36" s="211">
        <v>7122914.0324999997</v>
      </c>
      <c r="H36" s="227">
        <f>+I36/G36</f>
        <v>0.1030905680104458</v>
      </c>
      <c r="I36" s="211">
        <v>734305.25349999999</v>
      </c>
      <c r="J36" s="209">
        <f>IF(D36="B70",(G36+I36)*0.105,0)</f>
        <v>825008.0250299999</v>
      </c>
      <c r="K36" s="209">
        <f>G36+I36+J36</f>
        <v>8682227.3110299986</v>
      </c>
      <c r="L36" s="210" t="str">
        <f>IF(O36&lt;&gt;"","Cobrado",IF(M36&lt;&gt;"","Facturado","Certificado"))</f>
        <v>Cobrado</v>
      </c>
      <c r="M36" s="206" t="s">
        <v>5107</v>
      </c>
      <c r="N36" s="207">
        <v>46009</v>
      </c>
      <c r="O36" s="207">
        <v>46009</v>
      </c>
      <c r="P36" s="211">
        <v>565530.05000000005</v>
      </c>
      <c r="Q36" s="211">
        <v>30680005.010000002</v>
      </c>
      <c r="R36" s="209">
        <f>K36-IF(Q36="",0,Q36)</f>
        <v>-21997777.698970005</v>
      </c>
    </row>
    <row r="37" spans="1:18" ht="15" customHeight="1" x14ac:dyDescent="0.35">
      <c r="A37" s="206" t="s">
        <v>5111</v>
      </c>
      <c r="B37" s="207">
        <v>45900</v>
      </c>
      <c r="C37" s="206">
        <v>2</v>
      </c>
      <c r="D37" s="206" t="s">
        <v>5034</v>
      </c>
      <c r="E37" s="206" t="s">
        <v>5109</v>
      </c>
      <c r="F37" s="208"/>
      <c r="G37" s="211">
        <v>3052677.4424999999</v>
      </c>
      <c r="H37" s="227">
        <f>+I37/G37</f>
        <v>0.1030905680104458</v>
      </c>
      <c r="I37" s="211">
        <v>314702.25150000001</v>
      </c>
      <c r="J37" s="209">
        <f>IF(D37="B70",(G37+I37)*0.105,0)</f>
        <v>0</v>
      </c>
      <c r="K37" s="209">
        <f>G37+I37+J37</f>
        <v>3367379.6940000001</v>
      </c>
      <c r="L37" s="210" t="str">
        <f>IF(O37&lt;&gt;"","Cobrado",IF(M37&lt;&gt;"","Facturado","Certificado"))</f>
        <v>Facturado</v>
      </c>
      <c r="M37" s="206" t="s">
        <v>5107</v>
      </c>
      <c r="N37" s="207">
        <v>46009</v>
      </c>
      <c r="O37" s="207"/>
      <c r="P37" s="211"/>
      <c r="Q37" s="211"/>
      <c r="R37" s="209">
        <f>K37-IF(Q37="",0,Q37)</f>
        <v>3367379.6940000001</v>
      </c>
    </row>
    <row r="38" spans="1:18" ht="13.5" customHeight="1" x14ac:dyDescent="0.35">
      <c r="A38" s="206" t="s">
        <v>5112</v>
      </c>
      <c r="B38" s="207">
        <v>45900</v>
      </c>
      <c r="C38" s="206" t="s">
        <v>5052</v>
      </c>
      <c r="D38" s="206" t="s">
        <v>5034</v>
      </c>
      <c r="E38" s="206" t="s">
        <v>5113</v>
      </c>
      <c r="F38" s="208"/>
      <c r="G38" s="211">
        <v>2212945</v>
      </c>
      <c r="H38" s="227">
        <f>+I38/G38</f>
        <v>0.10309067780717551</v>
      </c>
      <c r="I38" s="211">
        <v>228134</v>
      </c>
      <c r="J38" s="209">
        <f>IF(D38="B70",(G38+I38)*0.105,0)</f>
        <v>0</v>
      </c>
      <c r="K38" s="209">
        <f>G38+I38+J38</f>
        <v>2441079</v>
      </c>
      <c r="L38" s="210" t="str">
        <f>IF(O38&lt;&gt;"","Cobrado",IF(M38&lt;&gt;"","Facturado","Certificado"))</f>
        <v>Certificado</v>
      </c>
      <c r="M38" s="206"/>
      <c r="N38" s="207"/>
      <c r="O38" s="207"/>
      <c r="P38" s="211"/>
      <c r="Q38" s="211"/>
      <c r="R38" s="209">
        <f>K38-IF(Q38="",0,Q38)</f>
        <v>2441079</v>
      </c>
    </row>
    <row r="39" spans="1:18" ht="13.5" customHeight="1" x14ac:dyDescent="0.35">
      <c r="A39" s="216" t="s">
        <v>5114</v>
      </c>
      <c r="B39" s="217">
        <v>45900</v>
      </c>
      <c r="C39" s="216">
        <v>3</v>
      </c>
      <c r="D39" s="216" t="s">
        <v>5056</v>
      </c>
      <c r="E39" s="216" t="s">
        <v>5115</v>
      </c>
      <c r="F39" s="219"/>
      <c r="G39" s="224"/>
      <c r="H39" s="228"/>
      <c r="I39" s="224"/>
      <c r="J39" s="222"/>
      <c r="K39" s="222"/>
      <c r="L39" s="223"/>
      <c r="M39" s="216"/>
      <c r="N39" s="217"/>
      <c r="O39" s="217"/>
      <c r="P39" s="224"/>
      <c r="Q39" s="224"/>
      <c r="R39" s="225"/>
    </row>
    <row r="40" spans="1:18" ht="15" customHeight="1" x14ac:dyDescent="0.35">
      <c r="A40" s="206" t="s">
        <v>5116</v>
      </c>
      <c r="B40" s="207">
        <v>45930</v>
      </c>
      <c r="C40" s="206">
        <v>1</v>
      </c>
      <c r="D40" s="206" t="s">
        <v>5029</v>
      </c>
      <c r="E40" s="206" t="s">
        <v>5117</v>
      </c>
      <c r="F40" s="208"/>
      <c r="G40" s="211">
        <v>13175989.710000001</v>
      </c>
      <c r="H40" s="227">
        <f>+I40/G40</f>
        <v>0.11924669854648816</v>
      </c>
      <c r="I40" s="211">
        <v>1571193.273</v>
      </c>
      <c r="J40" s="209">
        <f>IF(D40="B70",(G40+I40)*0.105,0)</f>
        <v>1548454.213215</v>
      </c>
      <c r="K40" s="209">
        <f>G40+I40+J40</f>
        <v>16295637.196215</v>
      </c>
      <c r="L40" s="210" t="str">
        <f>IF(O40&lt;&gt;"","Cobrado",IF(M40&lt;&gt;"","Facturado","Certificado"))</f>
        <v>Cobrado</v>
      </c>
      <c r="M40" s="206" t="s">
        <v>5118</v>
      </c>
      <c r="N40" s="207">
        <v>46041</v>
      </c>
      <c r="O40" s="207">
        <v>46024</v>
      </c>
      <c r="P40" s="211"/>
      <c r="Q40" s="211">
        <v>20000000</v>
      </c>
      <c r="R40" s="209">
        <f>K40-IF(Q40="",0,Q40)</f>
        <v>-3704362.803785</v>
      </c>
    </row>
    <row r="41" spans="1:18" ht="13.5" customHeight="1" x14ac:dyDescent="0.35">
      <c r="A41" s="206" t="s">
        <v>5119</v>
      </c>
      <c r="B41" s="207">
        <v>45930</v>
      </c>
      <c r="C41" s="206">
        <v>1</v>
      </c>
      <c r="D41" s="206" t="s">
        <v>5034</v>
      </c>
      <c r="E41" s="206" t="s">
        <v>5120</v>
      </c>
      <c r="F41" s="208"/>
      <c r="G41" s="211">
        <v>7094763.6900000004</v>
      </c>
      <c r="H41" s="227">
        <f>+I41/G41</f>
        <v>0.11924669854648816</v>
      </c>
      <c r="I41" s="211">
        <v>846027.147</v>
      </c>
      <c r="J41" s="209">
        <f>IF(D41="B70",(G41+I41)*0.105,0)</f>
        <v>0</v>
      </c>
      <c r="K41" s="209">
        <f>G41+I41+J41</f>
        <v>7940790.8370000003</v>
      </c>
      <c r="L41" s="210" t="str">
        <f>IF(O41&lt;&gt;"","Cobrado",IF(M41&lt;&gt;"","Facturado","Certificado"))</f>
        <v>Facturado</v>
      </c>
      <c r="M41" s="206" t="s">
        <v>5118</v>
      </c>
      <c r="N41" s="207">
        <v>46041</v>
      </c>
      <c r="O41" s="207"/>
      <c r="P41" s="211"/>
      <c r="Q41" s="211"/>
      <c r="R41" s="209">
        <f>K41-IF(Q41="",0,Q41)</f>
        <v>7940790.8370000003</v>
      </c>
    </row>
    <row r="42" spans="1:18" ht="15" customHeight="1" x14ac:dyDescent="0.35">
      <c r="A42" s="206" t="s">
        <v>5121</v>
      </c>
      <c r="B42" s="207">
        <v>45930</v>
      </c>
      <c r="C42" s="206">
        <v>2</v>
      </c>
      <c r="D42" s="206" t="s">
        <v>5029</v>
      </c>
      <c r="E42" s="206" t="s">
        <v>5117</v>
      </c>
      <c r="F42" s="208"/>
      <c r="G42" s="211">
        <v>8268517.5039999997</v>
      </c>
      <c r="H42" s="227">
        <f>+I42/G42</f>
        <v>0.11924669815635187</v>
      </c>
      <c r="I42" s="211">
        <v>985993.41099999996</v>
      </c>
      <c r="J42" s="209">
        <f>IF(D42="B70",(G42+I42)*0.105,0)</f>
        <v>971723.64607499982</v>
      </c>
      <c r="K42" s="209">
        <f>G42+I42+J42</f>
        <v>10226234.561074998</v>
      </c>
      <c r="L42" s="210" t="str">
        <f>IF(O42&lt;&gt;"","Cobrado",IF(M42&lt;&gt;"","Facturado","Certificado"))</f>
        <v>Cobrado</v>
      </c>
      <c r="M42" s="206" t="s">
        <v>5118</v>
      </c>
      <c r="N42" s="207">
        <v>46041</v>
      </c>
      <c r="O42" s="207">
        <v>46029</v>
      </c>
      <c r="P42" s="211">
        <v>674184.83</v>
      </c>
      <c r="Q42" s="211">
        <v>16648728.01</v>
      </c>
      <c r="R42" s="209">
        <f>K42-IF(Q42="",0,Q42)</f>
        <v>-6422493.4489250015</v>
      </c>
    </row>
    <row r="43" spans="1:18" ht="15" customHeight="1" x14ac:dyDescent="0.35">
      <c r="A43" s="206" t="s">
        <v>5122</v>
      </c>
      <c r="B43" s="207">
        <v>45930</v>
      </c>
      <c r="C43" s="206">
        <v>2</v>
      </c>
      <c r="D43" s="206" t="s">
        <v>5034</v>
      </c>
      <c r="E43" s="206" t="s">
        <v>5120</v>
      </c>
      <c r="F43" s="208"/>
      <c r="G43" s="211">
        <v>4452278.6560000004</v>
      </c>
      <c r="H43" s="227">
        <f>+I43/G43</f>
        <v>0.11924669815635186</v>
      </c>
      <c r="I43" s="211">
        <v>530919.52899999998</v>
      </c>
      <c r="J43" s="209">
        <f>IF(D43="B70",(G43+I43)*0.105,0)</f>
        <v>0</v>
      </c>
      <c r="K43" s="209">
        <f>G43+I43+J43</f>
        <v>4983198.1850000005</v>
      </c>
      <c r="L43" s="210" t="str">
        <f>IF(O43&lt;&gt;"","Cobrado",IF(M43&lt;&gt;"","Facturado","Certificado"))</f>
        <v>Facturado</v>
      </c>
      <c r="M43" s="206" t="s">
        <v>5118</v>
      </c>
      <c r="N43" s="207">
        <v>46041</v>
      </c>
      <c r="O43" s="207"/>
      <c r="P43" s="211"/>
      <c r="Q43" s="211"/>
      <c r="R43" s="209">
        <f>K43-IF(Q43="",0,Q43)</f>
        <v>4983198.1850000005</v>
      </c>
    </row>
    <row r="44" spans="1:18" ht="15" customHeight="1" x14ac:dyDescent="0.35">
      <c r="A44" s="206" t="s">
        <v>5123</v>
      </c>
      <c r="B44" s="207">
        <v>45930</v>
      </c>
      <c r="C44" s="206" t="s">
        <v>5052</v>
      </c>
      <c r="D44" s="206" t="s">
        <v>5034</v>
      </c>
      <c r="E44" s="206" t="s">
        <v>5124</v>
      </c>
      <c r="F44" s="208"/>
      <c r="G44" s="211">
        <v>23811290</v>
      </c>
      <c r="H44" s="227">
        <f>+I44/G44</f>
        <v>0.1192467102790315</v>
      </c>
      <c r="I44" s="211">
        <v>2839418</v>
      </c>
      <c r="J44" s="209">
        <f>IF(D44="B70",(G44+I44)*0.105,0)</f>
        <v>0</v>
      </c>
      <c r="K44" s="209">
        <f>G44+I44+J44</f>
        <v>26650708</v>
      </c>
      <c r="L44" s="210" t="str">
        <f>IF(O44&lt;&gt;"","Cobrado",IF(M44&lt;&gt;"","Facturado","Certificado"))</f>
        <v>Certificado</v>
      </c>
      <c r="M44" s="206"/>
      <c r="N44" s="207"/>
      <c r="O44" s="207"/>
      <c r="P44" s="211"/>
      <c r="Q44" s="211"/>
      <c r="R44" s="209">
        <f>K44-IF(Q44="",0,Q44)</f>
        <v>26650708</v>
      </c>
    </row>
    <row r="45" spans="1:18" ht="13.5" customHeight="1" x14ac:dyDescent="0.35">
      <c r="A45" s="216" t="s">
        <v>5125</v>
      </c>
      <c r="B45" s="217">
        <v>45930</v>
      </c>
      <c r="C45" s="216">
        <v>3</v>
      </c>
      <c r="D45" s="216" t="s">
        <v>5056</v>
      </c>
      <c r="E45" s="216" t="s">
        <v>5126</v>
      </c>
      <c r="F45" s="219"/>
      <c r="G45" s="224"/>
      <c r="H45" s="228"/>
      <c r="I45" s="224"/>
      <c r="J45" s="222"/>
      <c r="K45" s="222"/>
      <c r="L45" s="223"/>
      <c r="M45" s="216"/>
      <c r="N45" s="217"/>
      <c r="O45" s="217"/>
      <c r="P45" s="224"/>
      <c r="Q45" s="224"/>
      <c r="R45" s="225"/>
    </row>
    <row r="46" spans="1:18" ht="13.5" customHeight="1" x14ac:dyDescent="0.35">
      <c r="A46" s="206" t="s">
        <v>5127</v>
      </c>
      <c r="B46" s="207">
        <v>45958</v>
      </c>
      <c r="C46" s="206">
        <v>1</v>
      </c>
      <c r="D46" s="206" t="s">
        <v>5029</v>
      </c>
      <c r="E46" s="206" t="s">
        <v>5128</v>
      </c>
      <c r="F46" s="208"/>
      <c r="G46" s="211">
        <v>9874713.5500000007</v>
      </c>
      <c r="H46" s="227">
        <f>+I46/G46</f>
        <v>0.15667080287103619</v>
      </c>
      <c r="I46" s="211">
        <v>1547079.3</v>
      </c>
      <c r="J46" s="209">
        <f>IF(D46="B70",(G46+I46)*0.105,0)</f>
        <v>1199288.2492500001</v>
      </c>
      <c r="K46" s="209">
        <f>G46+I46+J46</f>
        <v>12621081.099250002</v>
      </c>
      <c r="L46" s="210" t="str">
        <f>IF(O46&lt;&gt;"","Cobrado",IF(M46&lt;&gt;"","Facturado","Certificado"))</f>
        <v>Cobrado</v>
      </c>
      <c r="M46" s="206" t="s">
        <v>5129</v>
      </c>
      <c r="N46" s="207">
        <v>46041</v>
      </c>
      <c r="O46" s="207">
        <v>46045</v>
      </c>
      <c r="P46" s="211"/>
      <c r="Q46" s="211">
        <v>48658040.859999999</v>
      </c>
      <c r="R46" s="209">
        <f>K46-IF(Q46="",0,Q46)</f>
        <v>-36036959.760749996</v>
      </c>
    </row>
    <row r="47" spans="1:18" ht="13.5" customHeight="1" x14ac:dyDescent="0.35">
      <c r="A47" s="206" t="s">
        <v>5130</v>
      </c>
      <c r="B47" s="207">
        <v>45958</v>
      </c>
      <c r="C47" s="206">
        <v>1</v>
      </c>
      <c r="D47" s="206" t="s">
        <v>5034</v>
      </c>
      <c r="E47" s="206" t="s">
        <v>5131</v>
      </c>
      <c r="F47" s="208"/>
      <c r="G47" s="211">
        <v>5317153.45</v>
      </c>
      <c r="H47" s="227">
        <f>+I47/G47</f>
        <v>0.15667080287103619</v>
      </c>
      <c r="I47" s="211">
        <v>833042.7</v>
      </c>
      <c r="J47" s="209">
        <f>IF(D47="B70",(G47+I47)*0.105,0)</f>
        <v>0</v>
      </c>
      <c r="K47" s="209">
        <f>G47+I47+J47</f>
        <v>6150196.1500000004</v>
      </c>
      <c r="L47" s="210" t="str">
        <f>IF(O47&lt;&gt;"","Cobrado",IF(M47&lt;&gt;"","Facturado","Certificado"))</f>
        <v>Facturado</v>
      </c>
      <c r="M47" s="206" t="s">
        <v>5129</v>
      </c>
      <c r="N47" s="207">
        <v>46041</v>
      </c>
      <c r="O47" s="207"/>
      <c r="P47" s="211"/>
      <c r="Q47" s="211"/>
      <c r="R47" s="209">
        <f>K47-IF(Q47="",0,Q47)</f>
        <v>6150196.1500000004</v>
      </c>
    </row>
    <row r="48" spans="1:18" ht="13.5" customHeight="1" x14ac:dyDescent="0.35">
      <c r="A48" s="206" t="s">
        <v>5132</v>
      </c>
      <c r="B48" s="207">
        <v>45958</v>
      </c>
      <c r="C48" s="206">
        <v>2</v>
      </c>
      <c r="D48" s="206" t="s">
        <v>5029</v>
      </c>
      <c r="E48" s="206" t="s">
        <v>5128</v>
      </c>
      <c r="F48" s="208"/>
      <c r="G48" s="211">
        <v>7165595.4500000002</v>
      </c>
      <c r="H48" s="227">
        <f>+I48/G48</f>
        <v>0.15667081791506943</v>
      </c>
      <c r="I48" s="211">
        <v>1122639.7</v>
      </c>
      <c r="J48" s="209">
        <f>IF(D48="B70",(G48+I48)*0.105,0)</f>
        <v>870264.69074999995</v>
      </c>
      <c r="K48" s="209">
        <f>G48+I48+J48</f>
        <v>9158499.8407499995</v>
      </c>
      <c r="L48" s="210" t="str">
        <f>IF(O48&lt;&gt;"","Cobrado",IF(M48&lt;&gt;"","Facturado","Certificado"))</f>
        <v>Facturado</v>
      </c>
      <c r="M48" s="206" t="s">
        <v>5129</v>
      </c>
      <c r="N48" s="207">
        <v>46041</v>
      </c>
      <c r="O48" s="207"/>
      <c r="P48" s="211"/>
      <c r="Q48" s="211"/>
      <c r="R48" s="209">
        <f>K48-IF(Q48="",0,Q48)</f>
        <v>9158499.8407499995</v>
      </c>
    </row>
    <row r="49" spans="1:18" ht="13.5" customHeight="1" x14ac:dyDescent="0.35">
      <c r="A49" s="206" t="s">
        <v>5133</v>
      </c>
      <c r="B49" s="207">
        <v>45958</v>
      </c>
      <c r="C49" s="206">
        <v>2</v>
      </c>
      <c r="D49" s="206" t="s">
        <v>5034</v>
      </c>
      <c r="E49" s="206" t="s">
        <v>5131</v>
      </c>
      <c r="F49" s="208"/>
      <c r="G49" s="211">
        <v>3858397.55</v>
      </c>
      <c r="H49" s="227">
        <f>+I49/G49</f>
        <v>0.15667081791506945</v>
      </c>
      <c r="I49" s="211">
        <v>604498.30000000005</v>
      </c>
      <c r="J49" s="209">
        <f>IF(D49="B70",(G49+I49)*0.105,0)</f>
        <v>0</v>
      </c>
      <c r="K49" s="209">
        <f>G49+I49+J49</f>
        <v>4462895.8499999996</v>
      </c>
      <c r="L49" s="210" t="str">
        <f>IF(O49&lt;&gt;"","Cobrado",IF(M49&lt;&gt;"","Facturado","Certificado"))</f>
        <v>Facturado</v>
      </c>
      <c r="M49" s="206" t="s">
        <v>5129</v>
      </c>
      <c r="N49" s="207">
        <v>46041</v>
      </c>
      <c r="O49" s="207"/>
      <c r="P49" s="211"/>
      <c r="Q49" s="211"/>
      <c r="R49" s="209">
        <f>K49-IF(Q49="",0,Q49)</f>
        <v>4462895.8499999996</v>
      </c>
    </row>
    <row r="50" spans="1:18" ht="13.5" customHeight="1" x14ac:dyDescent="0.35">
      <c r="A50" s="206" t="s">
        <v>5134</v>
      </c>
      <c r="B50" s="207">
        <v>45958</v>
      </c>
      <c r="C50" s="206" t="s">
        <v>5052</v>
      </c>
      <c r="D50" s="206" t="s">
        <v>5034</v>
      </c>
      <c r="E50" s="206" t="s">
        <v>5135</v>
      </c>
      <c r="F50" s="208"/>
      <c r="G50" s="211">
        <v>35176921</v>
      </c>
      <c r="H50" s="227">
        <f>+I50/G50</f>
        <v>0.15667084677479307</v>
      </c>
      <c r="I50" s="211">
        <v>5511198</v>
      </c>
      <c r="J50" s="209">
        <f>IF(D50="B70",(G50+I50)*0.105,0)</f>
        <v>0</v>
      </c>
      <c r="K50" s="209">
        <f>G50+I50+J50</f>
        <v>40688119</v>
      </c>
      <c r="L50" s="210" t="str">
        <f>IF(O50&lt;&gt;"","Cobrado",IF(M50&lt;&gt;"","Facturado","Certificado"))</f>
        <v>Certificado</v>
      </c>
      <c r="M50" s="206"/>
      <c r="N50" s="207"/>
      <c r="O50" s="207"/>
      <c r="P50" s="211"/>
      <c r="Q50" s="211"/>
      <c r="R50" s="209">
        <f>K50-IF(Q50="",0,Q50)</f>
        <v>40688119</v>
      </c>
    </row>
    <row r="51" spans="1:18" ht="13.5" customHeight="1" x14ac:dyDescent="0.35">
      <c r="A51" s="216" t="s">
        <v>5136</v>
      </c>
      <c r="B51" s="217">
        <v>45958</v>
      </c>
      <c r="C51" s="216">
        <v>3</v>
      </c>
      <c r="D51" s="216" t="s">
        <v>5056</v>
      </c>
      <c r="E51" s="216" t="s">
        <v>5137</v>
      </c>
      <c r="F51" s="219"/>
      <c r="G51" s="224"/>
      <c r="H51" s="228"/>
      <c r="I51" s="224"/>
      <c r="J51" s="222"/>
      <c r="K51" s="222"/>
      <c r="L51" s="223"/>
      <c r="M51" s="216"/>
      <c r="N51" s="217"/>
      <c r="O51" s="217"/>
      <c r="P51" s="224"/>
      <c r="Q51" s="224"/>
      <c r="R51" s="225"/>
    </row>
    <row r="52" spans="1:18" ht="13.5" customHeight="1" x14ac:dyDescent="0.35">
      <c r="A52" s="206" t="s">
        <v>5138</v>
      </c>
      <c r="B52" s="207">
        <v>45988</v>
      </c>
      <c r="C52" s="206">
        <v>1</v>
      </c>
      <c r="D52" s="206" t="s">
        <v>5029</v>
      </c>
      <c r="E52" s="206" t="s">
        <v>5139</v>
      </c>
      <c r="F52" s="208"/>
      <c r="G52" s="211">
        <v>16830646.947500002</v>
      </c>
      <c r="H52" s="227">
        <f>+I52/G52</f>
        <v>0.18340235993474427</v>
      </c>
      <c r="I52" s="211">
        <v>3086780.3694000002</v>
      </c>
      <c r="J52" s="209">
        <f>IF(D52="B70",(G52+I52)*0.105,0)</f>
        <v>2091329.8682744999</v>
      </c>
      <c r="K52" s="209">
        <f>G52+I52+J52</f>
        <v>22008757.185174499</v>
      </c>
      <c r="L52" s="210" t="str">
        <f>IF(O52&lt;&gt;"","Cobrado",IF(M52&lt;&gt;"","Facturado","Certificado"))</f>
        <v>Facturado</v>
      </c>
      <c r="M52" s="206" t="s">
        <v>5140</v>
      </c>
      <c r="N52" s="207">
        <v>46057</v>
      </c>
      <c r="O52" s="207"/>
      <c r="P52" s="211"/>
      <c r="Q52" s="211"/>
      <c r="R52" s="209">
        <f>K52-IF(Q52="",0,Q52)</f>
        <v>22008757.185174499</v>
      </c>
    </row>
    <row r="53" spans="1:18" ht="13.5" customHeight="1" x14ac:dyDescent="0.35">
      <c r="A53" s="206" t="s">
        <v>5141</v>
      </c>
      <c r="B53" s="207">
        <v>45988</v>
      </c>
      <c r="C53" s="206">
        <v>1</v>
      </c>
      <c r="D53" s="206" t="s">
        <v>5034</v>
      </c>
      <c r="E53" s="206" t="s">
        <v>5142</v>
      </c>
      <c r="F53" s="208"/>
      <c r="G53" s="211">
        <v>9062656.0486999992</v>
      </c>
      <c r="H53" s="227">
        <f>+I53/G53</f>
        <v>0.18340235993381027</v>
      </c>
      <c r="I53" s="211">
        <v>1662112.5066</v>
      </c>
      <c r="J53" s="209">
        <f>IF(D53="B70",(G53+I53)*0.105,0)</f>
        <v>0</v>
      </c>
      <c r="K53" s="209">
        <f>G53+I53+J53</f>
        <v>10724768.555299999</v>
      </c>
      <c r="L53" s="210" t="str">
        <f>IF(O53&lt;&gt;"","Cobrado",IF(M53&lt;&gt;"","Facturado","Certificado"))</f>
        <v>Facturado</v>
      </c>
      <c r="M53" s="206" t="s">
        <v>5140</v>
      </c>
      <c r="N53" s="207">
        <v>46057</v>
      </c>
      <c r="O53" s="207"/>
      <c r="P53" s="211"/>
      <c r="Q53" s="211"/>
      <c r="R53" s="209">
        <f>K53-IF(Q53="",0,Q53)</f>
        <v>10724768.555299999</v>
      </c>
    </row>
    <row r="54" spans="1:18" ht="13.5" customHeight="1" x14ac:dyDescent="0.35">
      <c r="A54" s="206" t="s">
        <v>5143</v>
      </c>
      <c r="B54" s="207">
        <v>45988</v>
      </c>
      <c r="C54" s="206">
        <v>2</v>
      </c>
      <c r="D54" s="206" t="s">
        <v>5029</v>
      </c>
      <c r="E54" s="206" t="s">
        <v>5139</v>
      </c>
      <c r="F54" s="208"/>
      <c r="G54" s="211">
        <v>11291187.557499999</v>
      </c>
      <c r="H54" s="227">
        <f>+I54/G54</f>
        <v>0.18340235990274403</v>
      </c>
      <c r="I54" s="211">
        <v>2070830.4441500001</v>
      </c>
      <c r="J54" s="209">
        <f>IF(D54="B70",(G54+I54)*0.105,0)</f>
        <v>1403011.8901732499</v>
      </c>
      <c r="K54" s="209">
        <f>G54+I54+J54</f>
        <v>14765029.891823251</v>
      </c>
      <c r="L54" s="210" t="str">
        <f>IF(O54&lt;&gt;"","Cobrado",IF(M54&lt;&gt;"","Facturado","Certificado"))</f>
        <v>Facturado</v>
      </c>
      <c r="M54" s="206" t="s">
        <v>5140</v>
      </c>
      <c r="N54" s="207">
        <v>46057</v>
      </c>
      <c r="O54" s="207"/>
      <c r="P54" s="211"/>
      <c r="Q54" s="211"/>
      <c r="R54" s="209">
        <f>K54-IF(Q54="",0,Q54)</f>
        <v>14765029.891823251</v>
      </c>
    </row>
    <row r="55" spans="1:18" ht="13.5" customHeight="1" x14ac:dyDescent="0.35">
      <c r="A55" s="206" t="s">
        <v>5144</v>
      </c>
      <c r="B55" s="207">
        <v>45988</v>
      </c>
      <c r="C55" s="206">
        <v>2</v>
      </c>
      <c r="D55" s="206" t="s">
        <v>5034</v>
      </c>
      <c r="E55" s="206" t="s">
        <v>5142</v>
      </c>
      <c r="F55" s="208"/>
      <c r="G55" s="211">
        <v>6079870.2232999997</v>
      </c>
      <c r="H55" s="227">
        <f>+I55/G55</f>
        <v>0.18340235990181586</v>
      </c>
      <c r="I55" s="211">
        <v>1115062.54685</v>
      </c>
      <c r="J55" s="209">
        <f>IF(D55="B70",(G55+I55)*0.105,0)</f>
        <v>0</v>
      </c>
      <c r="K55" s="209">
        <f>G55+I55+J55</f>
        <v>7194932.7701500002</v>
      </c>
      <c r="L55" s="210" t="str">
        <f>IF(O55&lt;&gt;"","Cobrado",IF(M55&lt;&gt;"","Facturado","Certificado"))</f>
        <v>Facturado</v>
      </c>
      <c r="M55" s="206" t="s">
        <v>5140</v>
      </c>
      <c r="N55" s="207">
        <v>46057</v>
      </c>
      <c r="O55" s="207"/>
      <c r="P55" s="211"/>
      <c r="Q55" s="211"/>
      <c r="R55" s="209">
        <f>K55-IF(Q55="",0,Q55)</f>
        <v>7194932.7701500002</v>
      </c>
    </row>
    <row r="56" spans="1:18" ht="13.5" customHeight="1" x14ac:dyDescent="0.35">
      <c r="A56" s="206" t="s">
        <v>5145</v>
      </c>
      <c r="B56" s="207">
        <v>45988</v>
      </c>
      <c r="C56" s="206" t="s">
        <v>5052</v>
      </c>
      <c r="D56" s="206" t="s">
        <v>5034</v>
      </c>
      <c r="E56" s="206" t="s">
        <v>5146</v>
      </c>
      <c r="F56" s="208"/>
      <c r="G56" s="211">
        <v>32644303</v>
      </c>
      <c r="H56" s="227">
        <f>+I56/G56</f>
        <v>0.183402353543894</v>
      </c>
      <c r="I56" s="211">
        <v>5987042</v>
      </c>
      <c r="J56" s="209">
        <f>IF(D56="B70",(G56+I56)*0.105,0)</f>
        <v>0</v>
      </c>
      <c r="K56" s="209">
        <f>G56+I56+J56</f>
        <v>38631345</v>
      </c>
      <c r="L56" s="210" t="str">
        <f>IF(O56&lt;&gt;"","Cobrado",IF(M56&lt;&gt;"","Facturado","Certificado"))</f>
        <v>Certificado</v>
      </c>
      <c r="M56" s="206"/>
      <c r="N56" s="207"/>
      <c r="O56" s="207"/>
      <c r="P56" s="211"/>
      <c r="Q56" s="211"/>
      <c r="R56" s="209">
        <f>K56-IF(Q56="",0,Q56)</f>
        <v>38631345</v>
      </c>
    </row>
    <row r="57" spans="1:18" ht="13.5" customHeight="1" x14ac:dyDescent="0.35">
      <c r="A57" s="216" t="s">
        <v>5147</v>
      </c>
      <c r="B57" s="217">
        <v>45988</v>
      </c>
      <c r="C57" s="216">
        <v>3</v>
      </c>
      <c r="D57" s="216" t="s">
        <v>5056</v>
      </c>
      <c r="E57" s="216" t="s">
        <v>5148</v>
      </c>
      <c r="F57" s="219"/>
      <c r="G57" s="224"/>
      <c r="H57" s="228"/>
      <c r="I57" s="224"/>
      <c r="J57" s="222"/>
      <c r="K57" s="222"/>
      <c r="L57" s="223"/>
      <c r="M57" s="216"/>
      <c r="N57" s="217"/>
      <c r="O57" s="217"/>
      <c r="P57" s="224"/>
      <c r="Q57" s="224"/>
      <c r="R57" s="225"/>
    </row>
    <row r="58" spans="1:18" ht="13.5" customHeight="1" x14ac:dyDescent="0.35">
      <c r="A58" s="206" t="s">
        <v>5149</v>
      </c>
      <c r="B58" s="207">
        <v>45988</v>
      </c>
      <c r="C58" s="206">
        <v>1</v>
      </c>
      <c r="D58" s="206" t="s">
        <v>5034</v>
      </c>
      <c r="E58" s="206" t="s">
        <v>5150</v>
      </c>
      <c r="F58" s="208"/>
      <c r="G58" s="211">
        <v>-35175794.092</v>
      </c>
      <c r="H58" s="227">
        <f>+I58/G58</f>
        <v>0</v>
      </c>
      <c r="I58" s="211">
        <v>0</v>
      </c>
      <c r="J58" s="209">
        <f>IF(D58="B70",(G58+I58)*0.105,0)</f>
        <v>0</v>
      </c>
      <c r="K58" s="209">
        <f>G58+I58+J58</f>
        <v>-35175794.092</v>
      </c>
      <c r="L58" s="210" t="str">
        <f>IF(O58&lt;&gt;"","Cobrado",IF(M58&lt;&gt;"","Facturado","Certificado"))</f>
        <v>Cobrado</v>
      </c>
      <c r="M58" s="206" t="s">
        <v>5031</v>
      </c>
      <c r="N58" s="207">
        <v>45784</v>
      </c>
      <c r="O58" s="207">
        <v>45784</v>
      </c>
      <c r="P58" s="211"/>
      <c r="Q58" s="211"/>
      <c r="R58" s="209">
        <f>K58-IF(Q58="",0,Q58)</f>
        <v>-35175794.092</v>
      </c>
    </row>
    <row r="59" spans="1:18" ht="13.5" customHeight="1" x14ac:dyDescent="0.35">
      <c r="A59" s="206" t="s">
        <v>5151</v>
      </c>
      <c r="B59" s="207">
        <v>46017</v>
      </c>
      <c r="C59" s="206">
        <v>2</v>
      </c>
      <c r="D59" s="206" t="s">
        <v>5029</v>
      </c>
      <c r="E59" s="206" t="s">
        <v>5152</v>
      </c>
      <c r="F59" s="208"/>
      <c r="G59" s="211">
        <v>19796794.379999999</v>
      </c>
      <c r="H59" s="227">
        <f>+I59/G59</f>
        <v>0.20698210525132504</v>
      </c>
      <c r="I59" s="211">
        <v>4097582.1779999998</v>
      </c>
      <c r="J59" s="209">
        <f>IF(D59="B70",(G59+I59)*0.105,0)</f>
        <v>2508909.5385899995</v>
      </c>
      <c r="K59" s="209">
        <f>G59+I59+J59</f>
        <v>26403286.096589997</v>
      </c>
      <c r="L59" s="210" t="str">
        <f>IF(O59&lt;&gt;"","Cobrado",IF(M59&lt;&gt;"","Facturado","Certificado"))</f>
        <v>Facturado</v>
      </c>
      <c r="M59" s="206" t="s">
        <v>5153</v>
      </c>
      <c r="N59" s="207">
        <v>46100</v>
      </c>
      <c r="O59" s="207"/>
      <c r="P59" s="211"/>
      <c r="Q59" s="211"/>
      <c r="R59" s="209">
        <f>K59-IF(Q59="",0,Q59)</f>
        <v>26403286.096589997</v>
      </c>
    </row>
    <row r="60" spans="1:18" ht="13.5" customHeight="1" x14ac:dyDescent="0.35">
      <c r="A60" s="206" t="s">
        <v>5154</v>
      </c>
      <c r="B60" s="207">
        <v>46017</v>
      </c>
      <c r="C60" s="206">
        <v>2</v>
      </c>
      <c r="D60" s="206" t="s">
        <v>5034</v>
      </c>
      <c r="E60" s="206" t="s">
        <v>5155</v>
      </c>
      <c r="F60" s="208"/>
      <c r="G60" s="211">
        <v>13197862.92</v>
      </c>
      <c r="H60" s="227">
        <f>+I60/G60</f>
        <v>0.20698210525132504</v>
      </c>
      <c r="I60" s="211">
        <v>2731721.452</v>
      </c>
      <c r="J60" s="209">
        <f>IF(D60="B70",(G60+I60)*0.105,0)</f>
        <v>0</v>
      </c>
      <c r="K60" s="209">
        <f>G60+I60+J60</f>
        <v>15929584.372</v>
      </c>
      <c r="L60" s="210" t="str">
        <f>IF(O60&lt;&gt;"","Cobrado",IF(M60&lt;&gt;"","Facturado","Certificado"))</f>
        <v>Facturado</v>
      </c>
      <c r="M60" s="206" t="s">
        <v>5153</v>
      </c>
      <c r="N60" s="207">
        <v>46100</v>
      </c>
      <c r="O60" s="207"/>
      <c r="P60" s="211"/>
      <c r="Q60" s="211"/>
      <c r="R60" s="209">
        <f>K60-IF(Q60="",0,Q60)</f>
        <v>15929584.372</v>
      </c>
    </row>
    <row r="61" spans="1:18" ht="13.5" customHeight="1" x14ac:dyDescent="0.35">
      <c r="A61" s="216" t="s">
        <v>5156</v>
      </c>
      <c r="B61" s="217">
        <v>46017</v>
      </c>
      <c r="C61" s="216">
        <v>3</v>
      </c>
      <c r="D61" s="216" t="s">
        <v>5056</v>
      </c>
      <c r="E61" s="216" t="s">
        <v>5157</v>
      </c>
      <c r="F61" s="219"/>
      <c r="G61" s="224"/>
      <c r="H61" s="228"/>
      <c r="I61" s="224"/>
      <c r="J61" s="222"/>
      <c r="K61" s="222"/>
      <c r="L61" s="223"/>
      <c r="M61" s="216"/>
      <c r="N61" s="217"/>
      <c r="O61" s="217"/>
      <c r="P61" s="224"/>
      <c r="Q61" s="224"/>
      <c r="R61" s="225"/>
    </row>
    <row r="62" spans="1:18" ht="13.5" customHeight="1" x14ac:dyDescent="0.35">
      <c r="A62" s="206" t="s">
        <v>5158</v>
      </c>
      <c r="B62" s="207">
        <v>46050</v>
      </c>
      <c r="C62" s="206">
        <v>2</v>
      </c>
      <c r="D62" s="206" t="s">
        <v>5029</v>
      </c>
      <c r="E62" s="206" t="s">
        <v>5159</v>
      </c>
      <c r="F62" s="208"/>
      <c r="G62" s="211">
        <v>22606447.140000001</v>
      </c>
      <c r="H62" s="227">
        <f>+I62/G62</f>
        <v>0.22271495935738622</v>
      </c>
      <c r="I62" s="211">
        <v>5034793.9560000002</v>
      </c>
      <c r="J62" s="209">
        <f>IF(D62="B70",(G62+I62)*0.105,0)</f>
        <v>2902330.3150800001</v>
      </c>
      <c r="K62" s="209">
        <f>G62+I62+J62</f>
        <v>30543571.411080003</v>
      </c>
      <c r="L62" s="210" t="str">
        <f>IF(O62&lt;&gt;"","Cobrado",IF(M62&lt;&gt;"","Facturado","Certificado"))</f>
        <v>Certificado</v>
      </c>
      <c r="M62" s="206"/>
      <c r="N62" s="207"/>
      <c r="O62" s="207"/>
      <c r="P62" s="211"/>
      <c r="Q62" s="211"/>
      <c r="R62" s="209">
        <f>K62-IF(Q62="",0,Q62)</f>
        <v>30543571.411080003</v>
      </c>
    </row>
    <row r="63" spans="1:18" ht="13.5" customHeight="1" x14ac:dyDescent="0.35">
      <c r="A63" s="206" t="s">
        <v>5160</v>
      </c>
      <c r="B63" s="207">
        <v>46050</v>
      </c>
      <c r="C63" s="206">
        <v>2</v>
      </c>
      <c r="D63" s="206" t="s">
        <v>5034</v>
      </c>
      <c r="E63" s="206" t="s">
        <v>5161</v>
      </c>
      <c r="F63" s="208"/>
      <c r="G63" s="211">
        <v>15070964.76</v>
      </c>
      <c r="H63" s="227">
        <f>+I63/G63</f>
        <v>0.22271495935738622</v>
      </c>
      <c r="I63" s="211">
        <v>3356529.304</v>
      </c>
      <c r="J63" s="209">
        <f>IF(D63="B70",(G63+I63)*0.105,0)</f>
        <v>0</v>
      </c>
      <c r="K63" s="209">
        <f>G63+I63+J63</f>
        <v>18427494.063999999</v>
      </c>
      <c r="L63" s="210" t="str">
        <f>IF(O63&lt;&gt;"","Cobrado",IF(M63&lt;&gt;"","Facturado","Certificado"))</f>
        <v>Certificado</v>
      </c>
      <c r="M63" s="206"/>
      <c r="N63" s="207"/>
      <c r="O63" s="207"/>
      <c r="P63" s="211"/>
      <c r="Q63" s="211"/>
      <c r="R63" s="209">
        <f>K63-IF(Q63="",0,Q63)</f>
        <v>18427494.063999999</v>
      </c>
    </row>
    <row r="64" spans="1:18" ht="13.5" customHeight="1" x14ac:dyDescent="0.35">
      <c r="A64" s="216" t="s">
        <v>5162</v>
      </c>
      <c r="B64" s="217">
        <v>46050</v>
      </c>
      <c r="C64" s="216">
        <v>3</v>
      </c>
      <c r="D64" s="216" t="s">
        <v>5056</v>
      </c>
      <c r="E64" s="216" t="s">
        <v>5163</v>
      </c>
      <c r="F64" s="219"/>
      <c r="G64" s="224"/>
      <c r="H64" s="228"/>
      <c r="I64" s="224"/>
      <c r="J64" s="222"/>
      <c r="K64" s="222"/>
      <c r="L64" s="223"/>
      <c r="M64" s="216"/>
      <c r="N64" s="217"/>
      <c r="O64" s="217"/>
      <c r="P64" s="224"/>
      <c r="Q64" s="224"/>
      <c r="R64" s="225"/>
    </row>
    <row r="65" spans="1:18" ht="13.5" customHeight="1" x14ac:dyDescent="0.35">
      <c r="A65" s="206" t="s">
        <v>5164</v>
      </c>
      <c r="B65" s="207">
        <v>46080</v>
      </c>
      <c r="C65" s="206">
        <v>2</v>
      </c>
      <c r="D65" s="206" t="s">
        <v>5029</v>
      </c>
      <c r="E65" s="206" t="s">
        <v>5165</v>
      </c>
      <c r="F65" s="208"/>
      <c r="G65" s="211">
        <v>15095139.282</v>
      </c>
      <c r="H65" s="227">
        <f>+I65/G65</f>
        <v>0.25090516418860032</v>
      </c>
      <c r="I65" s="211">
        <v>3787448.4</v>
      </c>
      <c r="J65" s="209">
        <f>IF(D65="B70",(G65+I65)*0.105,0)</f>
        <v>1982671.70661</v>
      </c>
      <c r="K65" s="209">
        <f>G65+I65+J65</f>
        <v>20865259.388610002</v>
      </c>
      <c r="L65" s="210" t="str">
        <f>IF(O65&lt;&gt;"","Cobrado",IF(M65&lt;&gt;"","Facturado","Certificado"))</f>
        <v>Certificado</v>
      </c>
      <c r="M65" s="206"/>
      <c r="N65" s="207"/>
      <c r="O65" s="207"/>
      <c r="P65" s="211"/>
      <c r="Q65" s="211"/>
      <c r="R65" s="209">
        <f>K65-IF(Q65="",0,Q65)</f>
        <v>20865259.388610002</v>
      </c>
    </row>
    <row r="66" spans="1:18" ht="13.5" customHeight="1" x14ac:dyDescent="0.35">
      <c r="A66" s="206" t="s">
        <v>5166</v>
      </c>
      <c r="B66" s="207">
        <v>46080</v>
      </c>
      <c r="C66" s="206">
        <v>2</v>
      </c>
      <c r="D66" s="206" t="s">
        <v>5034</v>
      </c>
      <c r="E66" s="206" t="s">
        <v>5167</v>
      </c>
      <c r="F66" s="208"/>
      <c r="G66" s="211">
        <v>10063426.187999999</v>
      </c>
      <c r="H66" s="227">
        <f>+I66/G66</f>
        <v>0.25090516418860032</v>
      </c>
      <c r="I66" s="211">
        <v>2524965.6</v>
      </c>
      <c r="J66" s="209">
        <f>IF(D66="B70",(G66+I66)*0.105,0)</f>
        <v>0</v>
      </c>
      <c r="K66" s="209">
        <f>G66+I66+J66</f>
        <v>12588391.787999999</v>
      </c>
      <c r="L66" s="210" t="str">
        <f>IF(O66&lt;&gt;"","Cobrado",IF(M66&lt;&gt;"","Facturado","Certificado"))</f>
        <v>Certificado</v>
      </c>
      <c r="M66" s="206"/>
      <c r="N66" s="207"/>
      <c r="O66" s="207"/>
      <c r="P66" s="211"/>
      <c r="Q66" s="211"/>
      <c r="R66" s="209">
        <f>K66-IF(Q66="",0,Q66)</f>
        <v>12588391.787999999</v>
      </c>
    </row>
    <row r="67" spans="1:18" ht="13.5" customHeight="1" x14ac:dyDescent="0.35">
      <c r="A67" s="216" t="s">
        <v>5168</v>
      </c>
      <c r="B67" s="217">
        <v>46080</v>
      </c>
      <c r="C67" s="216">
        <v>3</v>
      </c>
      <c r="D67" s="216" t="s">
        <v>5056</v>
      </c>
      <c r="E67" s="216" t="s">
        <v>5169</v>
      </c>
      <c r="F67" s="219"/>
      <c r="G67" s="224"/>
      <c r="H67" s="228"/>
      <c r="I67" s="224"/>
      <c r="J67" s="222"/>
      <c r="K67" s="222"/>
      <c r="L67" s="223"/>
      <c r="M67" s="216"/>
      <c r="N67" s="217"/>
      <c r="O67" s="217"/>
      <c r="P67" s="224"/>
      <c r="Q67" s="224"/>
      <c r="R67" s="225"/>
    </row>
    <row r="68" spans="1:18" ht="13.5" customHeight="1" x14ac:dyDescent="0.35">
      <c r="A68" s="206" t="s">
        <v>5170</v>
      </c>
      <c r="B68" s="207">
        <v>46108</v>
      </c>
      <c r="C68" s="206">
        <v>2</v>
      </c>
      <c r="D68" s="206" t="s">
        <v>5029</v>
      </c>
      <c r="E68" s="206" t="s">
        <v>5171</v>
      </c>
      <c r="F68" s="208"/>
      <c r="G68" s="211">
        <v>34438073.626800001</v>
      </c>
      <c r="H68" s="227">
        <f>+I68/G68</f>
        <v>0.26676825296205331</v>
      </c>
      <c r="I68" s="211">
        <v>9186984.7368000001</v>
      </c>
      <c r="J68" s="209">
        <f>IF(D68="B70",(G68+I68)*0.105,0)</f>
        <v>4580631.1281779995</v>
      </c>
      <c r="K68" s="209">
        <f>G68+I68+J68</f>
        <v>48205689.491778001</v>
      </c>
      <c r="L68" s="210" t="str">
        <f>IF(O68&lt;&gt;"","Cobrado",IF(M68&lt;&gt;"","Facturado","Certificado"))</f>
        <v>Certificado</v>
      </c>
      <c r="M68" s="206"/>
      <c r="N68" s="207"/>
      <c r="O68" s="207"/>
      <c r="P68" s="211"/>
      <c r="Q68" s="211"/>
      <c r="R68" s="209">
        <f>K68-IF(Q68="",0,Q68)</f>
        <v>48205689.491778001</v>
      </c>
    </row>
    <row r="69" spans="1:18" ht="13.5" customHeight="1" x14ac:dyDescent="0.35">
      <c r="A69" s="206" t="s">
        <v>5172</v>
      </c>
      <c r="B69" s="207">
        <v>46108</v>
      </c>
      <c r="C69" s="206">
        <v>2</v>
      </c>
      <c r="D69" s="206" t="s">
        <v>5034</v>
      </c>
      <c r="E69" s="206" t="s">
        <v>5173</v>
      </c>
      <c r="F69" s="208"/>
      <c r="G69" s="211">
        <v>22958715.751200002</v>
      </c>
      <c r="H69" s="227">
        <f>+I69/G69</f>
        <v>0.26676825296205331</v>
      </c>
      <c r="I69" s="211">
        <v>6124656.4912</v>
      </c>
      <c r="J69" s="209">
        <f>IF(D69="B70",(G69+I69)*0.105,0)</f>
        <v>0</v>
      </c>
      <c r="K69" s="209">
        <f>G69+I69+J69</f>
        <v>29083372.242400002</v>
      </c>
      <c r="L69" s="210" t="str">
        <f>IF(O69&lt;&gt;"","Cobrado",IF(M69&lt;&gt;"","Facturado","Certificado"))</f>
        <v>Certificado</v>
      </c>
      <c r="M69" s="206"/>
      <c r="N69" s="207"/>
      <c r="O69" s="207"/>
      <c r="P69" s="211"/>
      <c r="Q69" s="211"/>
      <c r="R69" s="209">
        <f>K69-IF(Q69="",0,Q69)</f>
        <v>29083372.242400002</v>
      </c>
    </row>
    <row r="70" spans="1:18" ht="13.5" customHeight="1" x14ac:dyDescent="0.35">
      <c r="A70" s="216" t="s">
        <v>5174</v>
      </c>
      <c r="B70" s="217">
        <v>46108</v>
      </c>
      <c r="C70" s="216">
        <v>3</v>
      </c>
      <c r="D70" s="216" t="s">
        <v>5056</v>
      </c>
      <c r="E70" s="216" t="s">
        <v>5175</v>
      </c>
      <c r="F70" s="219"/>
      <c r="G70" s="224"/>
      <c r="H70" s="228"/>
      <c r="I70" s="224"/>
      <c r="J70" s="224"/>
      <c r="K70" s="224"/>
      <c r="L70" s="216"/>
      <c r="M70" s="216"/>
      <c r="N70" s="217"/>
      <c r="O70" s="217"/>
      <c r="P70" s="224"/>
      <c r="Q70" s="224"/>
      <c r="R70" s="225"/>
    </row>
  </sheetData>
  <mergeCells count="1">
    <mergeCell ref="A2:R2"/>
  </mergeCells>
  <dataValidations disablePrompts="1" count="2">
    <dataValidation type="list" allowBlank="1" sqref="D5:D29 D45:D200 W4:W18" xr:uid="{00000000-0002-0000-0C00-000000000000}">
      <formula1>"B70,N30,GGN"</formula1>
      <formula2>0</formula2>
    </dataValidation>
    <dataValidation type="list" allowBlank="1" sqref="C5:C29 C45:C200 V4:V18" xr:uid="{00000000-0002-0000-0C00-000001000000}">
      <formula1>"1,2,3"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9"/>
  <sheetViews>
    <sheetView showGridLines="0" zoomScaleNormal="100" workbookViewId="0"/>
  </sheetViews>
  <sheetFormatPr defaultColWidth="8.54296875" defaultRowHeight="14.5" x14ac:dyDescent="0.35"/>
  <cols>
    <col min="1" max="1" width="4" customWidth="1"/>
    <col min="2" max="2" width="34" customWidth="1"/>
    <col min="3" max="3" width="18" customWidth="1"/>
    <col min="4" max="4" width="14" customWidth="1"/>
    <col min="5" max="5" width="4" customWidth="1"/>
  </cols>
  <sheetData>
    <row r="1" spans="1:5" ht="7.5" customHeight="1" x14ac:dyDescent="0.35"/>
    <row r="2" spans="1:5" ht="25.5" customHeight="1" x14ac:dyDescent="0.55000000000000004">
      <c r="B2" s="576" t="s">
        <v>5176</v>
      </c>
      <c r="C2" s="570"/>
      <c r="D2" s="570"/>
    </row>
    <row r="3" spans="1:5" ht="18" customHeight="1" x14ac:dyDescent="0.35">
      <c r="B3" s="572" t="str">
        <f ca="1">CONCATENATE("K = ",TEXT('0_CONFIG'!B14,"0.00")," | Mes base CAC: ",TEXT('0_CONFIG'!B8,"mmm-yyyy")," | Última actualización: ",TEXT(TODAY(),"dd/mm/yyyy"))</f>
        <v>K = 1.44 | Mes base CAC: dic-2024 | Última actualización: 14/06/2026</v>
      </c>
      <c r="C3" s="570"/>
      <c r="D3" s="570"/>
    </row>
    <row r="4" spans="1:5" ht="6" customHeight="1" x14ac:dyDescent="0.35"/>
    <row r="5" spans="1:5" ht="21.75" customHeight="1" x14ac:dyDescent="0.35">
      <c r="A5" s="569" t="s">
        <v>5177</v>
      </c>
      <c r="B5" s="570"/>
      <c r="C5" s="570"/>
      <c r="D5" s="570"/>
      <c r="E5" s="570"/>
    </row>
    <row r="6" spans="1:5" ht="15" customHeight="1" x14ac:dyDescent="0.35">
      <c r="B6" s="229" t="s">
        <v>5178</v>
      </c>
      <c r="C6" s="230">
        <f>'3_Cash_Flow'!X6</f>
        <v>660578206.04000008</v>
      </c>
      <c r="D6" s="231">
        <f>IFERROR(C6/'0_CONFIG'!B19,0)</f>
        <v>0.45283755559356614</v>
      </c>
    </row>
    <row r="7" spans="1:5" ht="15" customHeight="1" x14ac:dyDescent="0.35">
      <c r="B7" s="232" t="s">
        <v>5179</v>
      </c>
      <c r="C7" s="233">
        <f>SUMIFS('2_Certificaciones'!K5:K500,'2_Certificaciones'!L5:L500,"Facturado")</f>
        <v>207004086.38479385</v>
      </c>
      <c r="D7" s="234">
        <f>IFERROR(C7/'0_CONFIG'!B19,0)</f>
        <v>0.14190480948245701</v>
      </c>
    </row>
    <row r="8" spans="1:5" ht="15" customHeight="1" x14ac:dyDescent="0.35">
      <c r="B8" s="235" t="s">
        <v>5180</v>
      </c>
      <c r="C8" s="236">
        <f>SUMIFS('2_Certificaciones'!K5:K500,'2_Certificaciones'!L5:L500,"Certificado")</f>
        <v>361748518.17807025</v>
      </c>
      <c r="D8" s="237">
        <f>IFERROR(C8/'0_CONFIG'!B19,0)</f>
        <v>0.24798474005579385</v>
      </c>
    </row>
    <row r="9" spans="1:5" ht="15" customHeight="1" x14ac:dyDescent="0.35">
      <c r="B9" s="232" t="s">
        <v>5181</v>
      </c>
      <c r="C9" s="233">
        <f>'0_CONFIG'!B19</f>
        <v>1458753139.7967503</v>
      </c>
      <c r="D9" s="238" t="s">
        <v>5182</v>
      </c>
    </row>
    <row r="10" spans="1:5" ht="15" customHeight="1" x14ac:dyDescent="0.35">
      <c r="B10" s="229" t="s">
        <v>5183</v>
      </c>
      <c r="C10" s="230">
        <f>'0_CONFIG'!B19-C6</f>
        <v>798174933.75675023</v>
      </c>
      <c r="D10" s="239">
        <f>IFERROR(C10/'0_CONFIG'!B19,0)</f>
        <v>0.54716244440643391</v>
      </c>
    </row>
    <row r="11" spans="1:5" ht="13.5" customHeight="1" x14ac:dyDescent="0.35">
      <c r="B11" s="571" t="s">
        <v>5184</v>
      </c>
      <c r="C11" s="570"/>
      <c r="D11" s="570"/>
    </row>
    <row r="12" spans="1:5" ht="21.75" customHeight="1" x14ac:dyDescent="0.35">
      <c r="A12" s="569" t="s">
        <v>5185</v>
      </c>
      <c r="B12" s="570"/>
      <c r="C12" s="570"/>
      <c r="D12" s="570"/>
      <c r="E12" s="570"/>
    </row>
    <row r="13" spans="1:5" ht="15" customHeight="1" x14ac:dyDescent="0.35">
      <c r="B13" s="235" t="s">
        <v>3987</v>
      </c>
      <c r="C13" s="236">
        <f>'3_Control_Ppto'!D34</f>
        <v>994598033.29087806</v>
      </c>
      <c r="D13" s="240" t="s">
        <v>5182</v>
      </c>
    </row>
    <row r="14" spans="1:5" ht="15" customHeight="1" x14ac:dyDescent="0.35">
      <c r="B14" s="241" t="s">
        <v>5186</v>
      </c>
      <c r="C14" s="242">
        <f>'3_Control_Ppto'!F34</f>
        <v>440731264.61309105</v>
      </c>
      <c r="D14" s="243">
        <f>IFERROR(C14/C13,0)</f>
        <v>0.44312501117141834</v>
      </c>
    </row>
    <row r="15" spans="1:5" ht="15" customHeight="1" x14ac:dyDescent="0.35">
      <c r="B15" s="235" t="s">
        <v>5187</v>
      </c>
      <c r="C15" s="236">
        <f>'3_Control_Ppto'!H34</f>
        <v>147709624.84797835</v>
      </c>
      <c r="D15" s="237">
        <f>IFERROR(C15/C13,0)</f>
        <v>0.14851188108551136</v>
      </c>
    </row>
    <row r="16" spans="1:5" ht="15" customHeight="1" x14ac:dyDescent="0.35">
      <c r="B16" s="241" t="s">
        <v>5188</v>
      </c>
      <c r="C16" s="242">
        <f>C13-C14</f>
        <v>553866768.67778707</v>
      </c>
      <c r="D16" s="244">
        <f>IFERROR(C16/C13,0)</f>
        <v>0.55687498882858166</v>
      </c>
    </row>
    <row r="17" spans="1:5" ht="15" customHeight="1" x14ac:dyDescent="0.35">
      <c r="B17" s="229" t="s">
        <v>4048</v>
      </c>
      <c r="C17" s="239">
        <f ca="1">IFERROR((TODAY()-'0_CONFIG'!B5)/('0_CONFIG'!B6*30.44),0)</f>
        <v>0.90889180902321498</v>
      </c>
      <c r="D17" s="245"/>
    </row>
    <row r="18" spans="1:5" ht="15.75" customHeight="1" x14ac:dyDescent="0.35">
      <c r="B18" s="229" t="s">
        <v>4050</v>
      </c>
      <c r="C18" s="239">
        <f>IFERROR(SUMPRODUCT('1_Presupuesto'!AE5:AE229,'1_Presupuesto'!U5:U229,'1_Presupuesto'!J5:J229)/SUMPRODUCT('1_Presupuesto'!U5:U229,'1_Presupuesto'!J5:J229),0)</f>
        <v>0.66391178337227086</v>
      </c>
    </row>
    <row r="19" spans="1:5" ht="21.75" customHeight="1" x14ac:dyDescent="0.35">
      <c r="A19" s="575" t="s">
        <v>5189</v>
      </c>
      <c r="B19" s="570"/>
      <c r="C19" s="570"/>
      <c r="D19" s="570"/>
      <c r="E19" s="570"/>
    </row>
    <row r="20" spans="1:5" ht="15" customHeight="1" x14ac:dyDescent="0.35">
      <c r="B20" s="235" t="s">
        <v>5190</v>
      </c>
      <c r="C20" s="236">
        <f>'0_CONFIG'!B19-'3_Control_Ppto'!D34</f>
        <v>464155106.50587225</v>
      </c>
      <c r="D20" s="237">
        <f>IFERROR(C20/'0_CONFIG'!B19,0)</f>
        <v>0.31818619192178293</v>
      </c>
    </row>
    <row r="21" spans="1:5" ht="15" customHeight="1" x14ac:dyDescent="0.35">
      <c r="B21" s="241" t="s">
        <v>5191</v>
      </c>
      <c r="C21" s="242">
        <f>'3_Cash_Flow'!X17</f>
        <v>30890759.073226213</v>
      </c>
    </row>
    <row r="22" spans="1:5" ht="15" customHeight="1" x14ac:dyDescent="0.35">
      <c r="B22" s="235" t="s">
        <v>5192</v>
      </c>
      <c r="C22" s="236">
        <f ca="1">IFERROR(INDEX('3_Cash_Flow'!B16:W16,MATCH(DATE(YEAR(TODAY()),MONTH(TODAY()),1),'3_Cash_Flow'!B4:W4,0)),0)</f>
        <v>0</v>
      </c>
      <c r="D22" s="245"/>
    </row>
    <row r="23" spans="1:5" ht="7.5" customHeight="1" x14ac:dyDescent="0.35"/>
    <row r="24" spans="1:5" ht="21.75" customHeight="1" x14ac:dyDescent="0.35">
      <c r="A24" s="574" t="s">
        <v>5193</v>
      </c>
      <c r="B24" s="570"/>
      <c r="C24" s="570"/>
      <c r="D24" s="570"/>
      <c r="E24" s="570"/>
    </row>
    <row r="25" spans="1:5" ht="15" customHeight="1" x14ac:dyDescent="0.35">
      <c r="B25" s="246" t="s">
        <v>4399</v>
      </c>
      <c r="C25" s="246" t="s">
        <v>5194</v>
      </c>
      <c r="D25" s="246" t="s">
        <v>5195</v>
      </c>
    </row>
    <row r="26" spans="1:5" ht="15" customHeight="1" x14ac:dyDescent="0.35">
      <c r="B26" s="232" t="str">
        <f>IFERROR(INDEX('3_Control_Ppto'!$A$4:$A$70,MATCH(LARGE('3_Control_Ppto'!$M$4:$M$70,1),'3_Control_Ppto'!$M$4:$M$70,0))&amp;" ("&amp;INDEX('3_Control_Ppto'!$B$4:$B$70,MATCH(LARGE('3_Control_Ppto'!$M$4:$M$70,1),'3_Control_Ppto'!$M$4:$M$70,0))&amp;")","—")</f>
        <v>TOTAL Gtos Indirectos ()</v>
      </c>
      <c r="C26" s="247">
        <f>IFERROR(LARGE('3_Control_Ppto'!$M$4:$M$70,1),0)</f>
        <v>22471486.641646866</v>
      </c>
      <c r="D26" s="248">
        <f>IFERROR(INDEX('3_Control_Ppto'!$N$4:$N$70,MATCH(LARGE('3_Control_Ppto'!$M$4:$M$70,1),'3_Control_Ppto'!$M$4:$M$70,0)),0)</f>
        <v>0</v>
      </c>
    </row>
    <row r="27" spans="1:5" ht="15" customHeight="1" x14ac:dyDescent="0.35">
      <c r="B27" s="235" t="str">
        <f>IFERROR(INDEX('3_Control_Ppto'!$A$4:$A$70,MATCH(LARGE('3_Control_Ppto'!$M$4:$M$70,2),'3_Control_Ppto'!$M$4:$M$70,0))&amp;" ("&amp;INDEX('3_Control_Ppto'!$B$4:$B$70,MATCH(LARGE('3_Control_Ppto'!$M$4:$M$70,2),'3_Control_Ppto'!$M$4:$M$70,0))&amp;")","—")</f>
        <v>Payroll - Administración ()</v>
      </c>
      <c r="C27" s="236">
        <f>IFERROR(LARGE('3_Control_Ppto'!$M$4:$M$70,2),0)</f>
        <v>22394091.812282674</v>
      </c>
      <c r="D27" s="237">
        <f>IFERROR(INDEX('3_Control_Ppto'!$N$4:$N$70,MATCH(LARGE('3_Control_Ppto'!$M$4:$M$70,2),'3_Control_Ppto'!$M$4:$M$70,0)),0)</f>
        <v>0</v>
      </c>
    </row>
    <row r="28" spans="1:5" ht="15" customHeight="1" x14ac:dyDescent="0.35">
      <c r="B28" s="232" t="str">
        <f>IFERROR(INDEX('3_Control_Ppto'!$A$4:$A$70,MATCH(LARGE('3_Control_Ppto'!$M$4:$M$70,3),'3_Control_Ppto'!$M$4:$M$70,0))&amp;" ("&amp;INDEX('3_Control_Ppto'!$B$4:$B$70,MATCH(LARGE('3_Control_Ppto'!$M$4:$M$70,3),'3_Control_Ppto'!$M$4:$M$70,0))&amp;")","—")</f>
        <v>Proyecto (50%) ()</v>
      </c>
      <c r="C28" s="233">
        <f>IFERROR(LARGE('3_Control_Ppto'!$M$4:$M$70,3),0)</f>
        <v>7587054.2251312546</v>
      </c>
      <c r="D28" s="234">
        <f>IFERROR(INDEX('3_Control_Ppto'!$N$4:$N$70,MATCH(LARGE('3_Control_Ppto'!$M$4:$M$70,3),'3_Control_Ppto'!$M$4:$M$70,0)),0)</f>
        <v>0.29660804099750915</v>
      </c>
    </row>
    <row r="29" spans="1:5" ht="7.5" customHeight="1" x14ac:dyDescent="0.35"/>
    <row r="30" spans="1:5" ht="21.75" customHeight="1" x14ac:dyDescent="0.35">
      <c r="A30" s="569" t="s">
        <v>5196</v>
      </c>
      <c r="B30" s="570"/>
      <c r="C30" s="570"/>
      <c r="D30" s="570"/>
      <c r="E30" s="570"/>
    </row>
    <row r="31" spans="1:5" ht="15" customHeight="1" x14ac:dyDescent="0.35">
      <c r="B31" s="235" t="s">
        <v>5197</v>
      </c>
      <c r="C31" s="236">
        <f>'2_Subcontratos'!E14</f>
        <v>116116327.47</v>
      </c>
      <c r="D31" s="245"/>
    </row>
    <row r="32" spans="1:5" ht="15" customHeight="1" x14ac:dyDescent="0.35">
      <c r="B32" s="241" t="s">
        <v>5198</v>
      </c>
      <c r="C32" s="242">
        <f>'2_Subcontratos'!I14</f>
        <v>103935594.43977198</v>
      </c>
      <c r="D32" s="243">
        <f>IFERROR(C32/C31,0)</f>
        <v>0.89509887803353883</v>
      </c>
    </row>
    <row r="33" spans="2:4" ht="15" customHeight="1" x14ac:dyDescent="0.35">
      <c r="B33" s="235" t="s">
        <v>5199</v>
      </c>
      <c r="C33" s="236">
        <f>'2_Subcontratos'!K14</f>
        <v>567634</v>
      </c>
      <c r="D33" s="245"/>
    </row>
    <row r="34" spans="2:4" ht="15" customHeight="1" x14ac:dyDescent="0.35">
      <c r="B34" s="241" t="s">
        <v>5200</v>
      </c>
      <c r="C34" s="242">
        <f>C31-C32</f>
        <v>12180733.030228019</v>
      </c>
      <c r="D34" s="244">
        <f>IFERROR(C34/C31,0)</f>
        <v>0.1049011219664612</v>
      </c>
    </row>
    <row r="35" spans="2:4" ht="15" customHeight="1" x14ac:dyDescent="0.35">
      <c r="B35" s="235" t="s">
        <v>5201</v>
      </c>
      <c r="C35" s="249">
        <f>SUMPRODUCT(('2_Subcontratos'!A4:A13&lt;&gt;"")*(IFERROR('2_Subcontratos'!I4:I13/'2_Subcontratos'!E4:E13,0)&gt;0.8))</f>
        <v>0</v>
      </c>
      <c r="D35" s="245"/>
    </row>
    <row r="36" spans="2:4" ht="12" customHeight="1" x14ac:dyDescent="0.35"/>
    <row r="37" spans="2:4" ht="15" customHeight="1" x14ac:dyDescent="0.35">
      <c r="B37" s="573" t="s">
        <v>5202</v>
      </c>
      <c r="C37" s="570"/>
      <c r="D37" s="570"/>
    </row>
    <row r="39" spans="2:4" ht="15" customHeight="1" x14ac:dyDescent="0.35">
      <c r="B39" s="250" t="s">
        <v>5203</v>
      </c>
      <c r="C39" s="251">
        <f ca="1">SUMPRODUCT(('2_Gastos_DirInd'!C20:W20&lt;&gt;0)*('2_Gastos_DirInd'!C5:W5="")*('2_Gastos_DirInd'!C3:W3&lt;DATE(YEAR(TODAY()),MONTH(TODAY()),1)))</f>
        <v>0</v>
      </c>
    </row>
  </sheetData>
  <mergeCells count="9">
    <mergeCell ref="B2:D2"/>
    <mergeCell ref="A30:E30"/>
    <mergeCell ref="B11:D11"/>
    <mergeCell ref="B3:D3"/>
    <mergeCell ref="A12:E12"/>
    <mergeCell ref="B37:D37"/>
    <mergeCell ref="A24:E24"/>
    <mergeCell ref="A19:E19"/>
    <mergeCell ref="A5:E5"/>
  </mergeCells>
  <pageMargins left="0.5" right="0.5" top="0.5" bottom="0.5" header="0.511811023622047" footer="0.511811023622047"/>
  <pageSetup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111"/>
  <sheetViews>
    <sheetView showGridLines="0" zoomScaleNormal="100" workbookViewId="0">
      <pane ySplit="3" topLeftCell="A48" activePane="bottomLeft" state="frozen"/>
      <selection pane="bottomLeft" activeCell="D69" sqref="D69"/>
    </sheetView>
  </sheetViews>
  <sheetFormatPr defaultColWidth="8.7265625" defaultRowHeight="13" x14ac:dyDescent="0.3"/>
  <cols>
    <col min="1" max="1" width="22.81640625" style="2" customWidth="1"/>
    <col min="2" max="2" width="4.36328125" style="17" customWidth="1"/>
    <col min="3" max="3" width="2.1796875" style="17" customWidth="1"/>
    <col min="4" max="4" width="13.6328125" style="2" customWidth="1"/>
    <col min="5" max="5" width="2.1796875" style="17" customWidth="1"/>
    <col min="6" max="6" width="13.6328125" style="2" customWidth="1"/>
    <col min="7" max="7" width="2.1796875" style="17" customWidth="1"/>
    <col min="8" max="8" width="13.6328125" style="2" customWidth="1"/>
    <col min="9" max="9" width="2.1796875" style="17" customWidth="1"/>
    <col min="10" max="10" width="13.6328125" style="2" customWidth="1"/>
    <col min="11" max="11" width="7" style="17" customWidth="1"/>
    <col min="12" max="12" width="2.1796875" style="17" customWidth="1"/>
    <col min="13" max="13" width="10.7265625" style="17" customWidth="1"/>
    <col min="14" max="14" width="6" style="2" customWidth="1"/>
    <col min="15" max="15" width="3.7265625" style="252" customWidth="1"/>
    <col min="16" max="16" width="2.1796875" style="17" customWidth="1"/>
    <col min="17" max="17" width="10.6328125" style="2" customWidth="1"/>
    <col min="18" max="18" width="2.1796875" style="17" customWidth="1"/>
    <col min="19" max="19" width="10.6328125" style="2" customWidth="1"/>
    <col min="20" max="23" width="8.7265625" style="2" customWidth="1"/>
    <col min="24" max="16384" width="8.7265625" style="2"/>
  </cols>
  <sheetData>
    <row r="1" spans="1:20" ht="14.25" customHeight="1" x14ac:dyDescent="0.3">
      <c r="A1" s="16" t="s">
        <v>5204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20" ht="14.25" customHeight="1" x14ac:dyDescent="0.3">
      <c r="A2" s="321"/>
      <c r="B2" s="321"/>
      <c r="C2" s="321"/>
      <c r="D2" s="321"/>
      <c r="E2" s="321"/>
      <c r="F2" s="321"/>
      <c r="G2" s="321"/>
      <c r="H2" s="321"/>
      <c r="I2" s="321"/>
      <c r="J2" s="321"/>
      <c r="K2" s="321"/>
      <c r="L2" s="321"/>
      <c r="M2" s="321"/>
      <c r="N2" s="321"/>
      <c r="O2" s="321"/>
      <c r="P2" s="321"/>
      <c r="Q2" s="321"/>
      <c r="R2" s="321"/>
      <c r="S2" s="321"/>
    </row>
    <row r="3" spans="1:20" s="257" customFormat="1" ht="25.5" customHeight="1" x14ac:dyDescent="0.35">
      <c r="A3" s="253" t="s">
        <v>5205</v>
      </c>
      <c r="B3" s="254" t="s">
        <v>1</v>
      </c>
      <c r="C3" s="255"/>
      <c r="D3" s="254" t="s">
        <v>5206</v>
      </c>
      <c r="E3" s="255"/>
      <c r="F3" s="254" t="s">
        <v>5207</v>
      </c>
      <c r="G3" s="255"/>
      <c r="H3" s="254" t="s">
        <v>5208</v>
      </c>
      <c r="I3" s="255"/>
      <c r="J3" s="254" t="s">
        <v>5209</v>
      </c>
      <c r="K3" s="254" t="s">
        <v>5210</v>
      </c>
      <c r="L3" s="255"/>
      <c r="M3" s="254" t="s">
        <v>5211</v>
      </c>
      <c r="N3" s="254" t="s">
        <v>5210</v>
      </c>
      <c r="O3" s="254"/>
      <c r="P3" s="147"/>
      <c r="Q3" s="256" t="s">
        <v>5212</v>
      </c>
      <c r="R3" s="147"/>
      <c r="S3" s="256" t="s">
        <v>5213</v>
      </c>
    </row>
    <row r="4" spans="1:20" ht="12.75" customHeight="1" x14ac:dyDescent="0.3">
      <c r="A4" s="258" t="s">
        <v>4114</v>
      </c>
      <c r="B4" s="259" t="s">
        <v>4090</v>
      </c>
      <c r="C4" s="259"/>
      <c r="D4" s="260">
        <f>IF($B4="MT",SUMPRODUCT(('1_Presupuesto'!$A$5:$A$227=$A4)*'1_Presupuesto'!$K$5:$K$227*'1_Presupuesto'!$J$5:$J$227),IF($B4="MO",SUMPRODUCT(('1_Presupuesto'!$C$5:$C$227=$A4)*'1_Presupuesto'!$L$5:$L$227*'1_Presupuesto'!$J$5:$J$227)+SUMPRODUCT(('1_Presupuesto'!$D$5:$D$227=$A4)*'1_Presupuesto'!$M$5:$M$227*'1_Presupuesto'!$J$5:$J$227),0))</f>
        <v>75000</v>
      </c>
      <c r="E4" s="259"/>
      <c r="F4" s="260">
        <f>SUMIFS('2_Gastos'!$T:$T,'2_Gastos'!$A:$A,$A4,'2_Gastos'!$B:$B,$B4)+IF($B4="MO",SUMIFS('2_Quincenas'!$O:$O,'2_Quincenas'!$E:$E,$A4),0)</f>
        <v>0</v>
      </c>
      <c r="G4" s="259"/>
      <c r="H4" s="260">
        <f>SUMIFS('2_Gastos'!$U:$U,'2_Gastos'!$A:$A,$A4,'2_Gastos'!$B:$B,$B4)+IF($B4="MO",SUMIFS('2_Quincenas'!$N:$N,'2_Quincenas'!$E:$E,$A4),0)</f>
        <v>0</v>
      </c>
      <c r="I4" s="259"/>
      <c r="J4" s="260">
        <f t="shared" ref="J4:J33" si="0">IF(D4-F4&lt;0,0,D4-F4)</f>
        <v>75000</v>
      </c>
      <c r="K4" s="261">
        <f t="shared" ref="K4:K33" si="1">IF(J4&gt;0,J4/D4,0)</f>
        <v>1</v>
      </c>
      <c r="L4" s="259"/>
      <c r="M4" s="260">
        <f t="shared" ref="M4:M34" si="2">+IF(F4&gt;D4,F4-D4,0)</f>
        <v>0</v>
      </c>
      <c r="N4" s="262">
        <f t="shared" ref="N4:N33" si="3">IFERROR(IF(M4&gt;0,M4/D4,0),0)</f>
        <v>0</v>
      </c>
      <c r="O4" s="263" t="str">
        <f t="shared" ref="O4:O33" si="4">IF($N4&gt;0.1,"🔴",IF($N4&gt;0.05,"🟡","🟢"))</f>
        <v>🟢</v>
      </c>
      <c r="Q4" s="264">
        <f>IFERROR(IF(B4="MT",SUMIF('1_Presupuesto'!$A:$A,A4,'1_Presupuesto'!$AK:$AK)/SUMIF('1_Presupuesto'!$A:$A,A4,'1_Presupuesto'!$X:$X),IFERROR((SUMIF('1_Presupuesto'!$C:$C,A4,'1_Presupuesto'!$AL:$AL)+SUMIF('1_Presupuesto'!$D:$D,A4,'1_Presupuesto'!$AM:$AM))/(SUMPRODUCT(('1_Presupuesto'!$C$5:$C$227=A4)*'1_Presupuesto'!$S$5:$S$227*'1_Presupuesto'!$J$5:$J$227)+SUMPRODUCT(('1_Presupuesto'!$D$5:$D$227=A4)*'1_Presupuesto'!$T$5:$T$227*'1_Presupuesto'!$J$5:$J$227)),0)),0)</f>
        <v>1</v>
      </c>
      <c r="S4" s="265">
        <f t="shared" ref="S4:S33" si="5">IFERROR(+IF(AND(Q4=1,N4=0),J4,0)/D4,0)</f>
        <v>1</v>
      </c>
    </row>
    <row r="5" spans="1:20" ht="12.75" customHeight="1" x14ac:dyDescent="0.3">
      <c r="A5" s="266" t="s">
        <v>4114</v>
      </c>
      <c r="B5" s="267" t="s">
        <v>56</v>
      </c>
      <c r="C5" s="267"/>
      <c r="D5" s="268">
        <f>IF($B5="MT",SUMPRODUCT(('1_Presupuesto'!$A$5:$A$227=$A5)*'1_Presupuesto'!$K$5:$K$227*'1_Presupuesto'!$J$5:$J$227),IF($B5="MO",SUMPRODUCT(('1_Presupuesto'!$C$5:$C$227=$A5)*'1_Presupuesto'!$L$5:$L$227*'1_Presupuesto'!$J$5:$J$227)+SUMPRODUCT(('1_Presupuesto'!$D$5:$D$227=$A5)*'1_Presupuesto'!$M$5:$M$227*'1_Presupuesto'!$J$5:$J$227),0))</f>
        <v>596210.53390909114</v>
      </c>
      <c r="E5" s="267"/>
      <c r="F5" s="268">
        <f>SUMIFS('2_Gastos'!$T:$T,'2_Gastos'!$A:$A,$A5,'2_Gastos'!$B:$B,$B5)+IF($B5="MO",SUMIFS('2_Quincenas'!$O:$O,'2_Quincenas'!$E:$E,$A5),0)</f>
        <v>0</v>
      </c>
      <c r="G5" s="267"/>
      <c r="H5" s="268">
        <f>SUMIFS('2_Gastos'!$U:$U,'2_Gastos'!$A:$A,$A5,'2_Gastos'!$B:$B,$B5)+IF($B5="MO",SUMIFS('2_Quincenas'!$N:$N,'2_Quincenas'!$E:$E,$A5),0)</f>
        <v>0</v>
      </c>
      <c r="I5" s="267"/>
      <c r="J5" s="268">
        <f t="shared" si="0"/>
        <v>596210.53390909114</v>
      </c>
      <c r="K5" s="262">
        <f t="shared" si="1"/>
        <v>1</v>
      </c>
      <c r="L5" s="269"/>
      <c r="M5" s="270">
        <f t="shared" si="2"/>
        <v>0</v>
      </c>
      <c r="N5" s="262">
        <f t="shared" si="3"/>
        <v>0</v>
      </c>
      <c r="O5" s="271" t="str">
        <f t="shared" si="4"/>
        <v>🟢</v>
      </c>
      <c r="Q5" s="264">
        <f>IFERROR(IF(B5="MT",SUMIF('1_Presupuesto'!$A:$A,A5,'1_Presupuesto'!$AK:$AK)/SUMIF('1_Presupuesto'!$A:$A,A5,'1_Presupuesto'!$X:$X),IFERROR((SUMIF('1_Presupuesto'!$C:$C,A5,'1_Presupuesto'!$AL:$AL)+SUMIF('1_Presupuesto'!$D:$D,A5,'1_Presupuesto'!$AM:$AM))/(SUMPRODUCT(('1_Presupuesto'!$C$5:$C$227=A5)*'1_Presupuesto'!$S$5:$S$227*'1_Presupuesto'!$J$5:$J$227)+SUMPRODUCT(('1_Presupuesto'!$D$5:$D$227=A5)*'1_Presupuesto'!$T$5:$T$227*'1_Presupuesto'!$J$5:$J$227)),0)),0)</f>
        <v>1</v>
      </c>
      <c r="S5" s="265">
        <f t="shared" si="5"/>
        <v>1</v>
      </c>
    </row>
    <row r="6" spans="1:20" ht="12.75" customHeight="1" x14ac:dyDescent="0.3">
      <c r="A6" s="272" t="s">
        <v>1285</v>
      </c>
      <c r="B6" s="269" t="s">
        <v>4090</v>
      </c>
      <c r="C6" s="269"/>
      <c r="D6" s="260">
        <f>IF($B6="MT",SUMPRODUCT(('1_Presupuesto'!$A$5:$A$227=$A6)*'1_Presupuesto'!$K$5:$K$227*'1_Presupuesto'!$J$5:$J$227),IF($B6="MO",SUMPRODUCT(('1_Presupuesto'!$C$5:$C$227=$A6)*'1_Presupuesto'!$L$5:$L$227*'1_Presupuesto'!$J$5:$J$227)+SUMPRODUCT(('1_Presupuesto'!$D$5:$D$227=$A6)*'1_Presupuesto'!$M$5:$M$227*'1_Presupuesto'!$J$5:$J$227),0))</f>
        <v>4737331.7276033033</v>
      </c>
      <c r="E6" s="269"/>
      <c r="F6" s="260">
        <f>SUMIFS('2_Gastos'!$T:$T,'2_Gastos'!$A:$A,$A6,'2_Gastos'!$B:$B,$B6)+IF($B6="MO",SUMIFS('2_Quincenas'!$O:$O,'2_Quincenas'!$E:$E,$A6),0)</f>
        <v>4368116.6499999994</v>
      </c>
      <c r="G6" s="269"/>
      <c r="H6" s="260">
        <f>SUMIFS('2_Gastos'!$U:$U,'2_Gastos'!$A:$A,$A6,'2_Gastos'!$B:$B,$B6)+IF($B6="MO",SUMIFS('2_Quincenas'!$N:$N,'2_Quincenas'!$E:$E,$A6),0)</f>
        <v>0</v>
      </c>
      <c r="I6" s="269"/>
      <c r="J6" s="260">
        <f t="shared" si="0"/>
        <v>369215.07760330383</v>
      </c>
      <c r="K6" s="262">
        <f t="shared" si="1"/>
        <v>7.7937349299812705E-2</v>
      </c>
      <c r="L6" s="269"/>
      <c r="M6" s="273">
        <f t="shared" si="2"/>
        <v>0</v>
      </c>
      <c r="N6" s="262">
        <f t="shared" si="3"/>
        <v>0</v>
      </c>
      <c r="O6" s="274" t="str">
        <f t="shared" si="4"/>
        <v>🟢</v>
      </c>
      <c r="Q6" s="264">
        <f>IFERROR(IF(B6="MT",SUMIF('1_Presupuesto'!$A:$A,A6,'1_Presupuesto'!$AK:$AK)/SUMIF('1_Presupuesto'!$A:$A,A6,'1_Presupuesto'!$X:$X),IFERROR((SUMIF('1_Presupuesto'!$C:$C,A6,'1_Presupuesto'!$AL:$AL)+SUMIF('1_Presupuesto'!$D:$D,A6,'1_Presupuesto'!$AM:$AM))/(SUMPRODUCT(('1_Presupuesto'!$C$5:$C$227=A6)*'1_Presupuesto'!$S$5:$S$227*'1_Presupuesto'!$J$5:$J$227)+SUMPRODUCT(('1_Presupuesto'!$D$5:$D$227=A6)*'1_Presupuesto'!$T$5:$T$227*'1_Presupuesto'!$J$5:$J$227)),0)),0)</f>
        <v>1</v>
      </c>
      <c r="S6" s="265">
        <f t="shared" si="5"/>
        <v>7.7937349299812705E-2</v>
      </c>
    </row>
    <row r="7" spans="1:20" ht="12.75" customHeight="1" x14ac:dyDescent="0.3">
      <c r="A7" s="266" t="s">
        <v>1285</v>
      </c>
      <c r="B7" s="267" t="s">
        <v>56</v>
      </c>
      <c r="C7" s="267"/>
      <c r="D7" s="268">
        <f>IF($B7="MT",SUMPRODUCT(('1_Presupuesto'!$A$5:$A$227=$A7)*'1_Presupuesto'!$K$5:$K$227*'1_Presupuesto'!$J$5:$J$227),IF($B7="MO",SUMPRODUCT(('1_Presupuesto'!$C$5:$C$227=$A7)*'1_Presupuesto'!$L$5:$L$227*'1_Presupuesto'!$J$5:$J$227)+SUMPRODUCT(('1_Presupuesto'!$D$5:$D$227=$A7)*'1_Presupuesto'!$M$5:$M$227*'1_Presupuesto'!$J$5:$J$227),0))</f>
        <v>16989374.786494914</v>
      </c>
      <c r="E7" s="267"/>
      <c r="F7" s="268">
        <f>SUMIFS('2_Gastos'!$T:$T,'2_Gastos'!$A:$A,$A7,'2_Gastos'!$B:$B,$B7)+IF($B7="MO",SUMIFS('2_Quincenas'!$O:$O,'2_Quincenas'!$E:$E,$A7),0)</f>
        <v>0</v>
      </c>
      <c r="G7" s="267"/>
      <c r="H7" s="268">
        <f>SUMIFS('2_Gastos'!$U:$U,'2_Gastos'!$A:$A,$A7,'2_Gastos'!$B:$B,$B7)+IF($B7="MO",SUMIFS('2_Quincenas'!$N:$N,'2_Quincenas'!$E:$E,$A7),0)</f>
        <v>0</v>
      </c>
      <c r="I7" s="267"/>
      <c r="J7" s="268">
        <f t="shared" si="0"/>
        <v>16989374.786494914</v>
      </c>
      <c r="K7" s="262">
        <f t="shared" si="1"/>
        <v>1</v>
      </c>
      <c r="L7" s="269"/>
      <c r="M7" s="270">
        <f t="shared" si="2"/>
        <v>0</v>
      </c>
      <c r="N7" s="262">
        <f t="shared" si="3"/>
        <v>0</v>
      </c>
      <c r="O7" s="271" t="str">
        <f t="shared" si="4"/>
        <v>🟢</v>
      </c>
      <c r="Q7" s="264">
        <f>IFERROR(IF(B7="MT",SUMIF('1_Presupuesto'!$A:$A,A7,'1_Presupuesto'!$AK:$AK)/SUMIF('1_Presupuesto'!$A:$A,A7,'1_Presupuesto'!$X:$X),IFERROR((SUMIF('1_Presupuesto'!$C:$C,A7,'1_Presupuesto'!$AL:$AL)+SUMIF('1_Presupuesto'!$D:$D,A7,'1_Presupuesto'!$AM:$AM))/(SUMPRODUCT(('1_Presupuesto'!$C$5:$C$227=A7)*'1_Presupuesto'!$S$5:$S$227*'1_Presupuesto'!$J$5:$J$227)+SUMPRODUCT(('1_Presupuesto'!$D$5:$D$227=A7)*'1_Presupuesto'!$T$5:$T$227*'1_Presupuesto'!$J$5:$J$227)),0)),0)</f>
        <v>1</v>
      </c>
      <c r="S7" s="265">
        <f t="shared" si="5"/>
        <v>1</v>
      </c>
    </row>
    <row r="8" spans="1:20" ht="12.75" customHeight="1" x14ac:dyDescent="0.3">
      <c r="A8" s="272" t="s">
        <v>4119</v>
      </c>
      <c r="B8" s="269" t="s">
        <v>4090</v>
      </c>
      <c r="C8" s="269"/>
      <c r="D8" s="260">
        <f>IF($B8="MT",SUMPRODUCT(('1_Presupuesto'!$A$5:$A$227=$A8)*'1_Presupuesto'!$K$5:$K$227*'1_Presupuesto'!$J$5:$J$227),IF($B8="MO",SUMPRODUCT(('1_Presupuesto'!$C$5:$C$227=$A8)*'1_Presupuesto'!$L$5:$L$227*'1_Presupuesto'!$J$5:$J$227)+SUMPRODUCT(('1_Presupuesto'!$D$5:$D$227=$A8)*'1_Presupuesto'!$M$5:$M$227*'1_Presupuesto'!$J$5:$J$227),0))</f>
        <v>3400000</v>
      </c>
      <c r="E8" s="269"/>
      <c r="F8" s="260">
        <f>SUMIFS('2_Gastos'!$T:$T,'2_Gastos'!$A:$A,$A8,'2_Gastos'!$B:$B,$B8)+IF($B8="MO",SUMIFS('2_Quincenas'!$O:$O,'2_Quincenas'!$E:$E,$A8),0)</f>
        <v>2705818.18</v>
      </c>
      <c r="G8" s="269"/>
      <c r="H8" s="260">
        <f>SUMIFS('2_Gastos'!$U:$U,'2_Gastos'!$A:$A,$A8,'2_Gastos'!$B:$B,$B8)+IF($B8="MO",SUMIFS('2_Quincenas'!$N:$N,'2_Quincenas'!$E:$E,$A8),0)</f>
        <v>0</v>
      </c>
      <c r="I8" s="269"/>
      <c r="J8" s="260">
        <f t="shared" si="0"/>
        <v>694181.81999999983</v>
      </c>
      <c r="K8" s="262">
        <f t="shared" si="1"/>
        <v>0.20417112352941172</v>
      </c>
      <c r="L8" s="269"/>
      <c r="M8" s="273">
        <f t="shared" si="2"/>
        <v>0</v>
      </c>
      <c r="N8" s="262">
        <f t="shared" si="3"/>
        <v>0</v>
      </c>
      <c r="O8" s="274" t="str">
        <f t="shared" si="4"/>
        <v>🟢</v>
      </c>
      <c r="Q8" s="264">
        <f>IFERROR(IF(B8="MT",SUMIF('1_Presupuesto'!$A:$A,A8,'1_Presupuesto'!$AK:$AK)/SUMIF('1_Presupuesto'!$A:$A,A8,'1_Presupuesto'!$X:$X),IFERROR((SUMIF('1_Presupuesto'!$C:$C,A8,'1_Presupuesto'!$AL:$AL)+SUMIF('1_Presupuesto'!$D:$D,A8,'1_Presupuesto'!$AM:$AM))/(SUMPRODUCT(('1_Presupuesto'!$C$5:$C$227=A8)*'1_Presupuesto'!$S$5:$S$227*'1_Presupuesto'!$J$5:$J$227)+SUMPRODUCT(('1_Presupuesto'!$D$5:$D$227=A8)*'1_Presupuesto'!$T$5:$T$227*'1_Presupuesto'!$J$5:$J$227)),0)),0)</f>
        <v>0.5</v>
      </c>
      <c r="S8" s="265">
        <f t="shared" si="5"/>
        <v>0</v>
      </c>
    </row>
    <row r="9" spans="1:20" ht="12.75" customHeight="1" x14ac:dyDescent="0.3">
      <c r="A9" s="266" t="s">
        <v>4119</v>
      </c>
      <c r="B9" s="267" t="s">
        <v>56</v>
      </c>
      <c r="C9" s="267"/>
      <c r="D9" s="268">
        <f>IF($B9="MT",SUMPRODUCT(('1_Presupuesto'!$A$5:$A$227=$A9)*'1_Presupuesto'!$K$5:$K$227*'1_Presupuesto'!$J$5:$J$227),IF($B9="MO",SUMPRODUCT(('1_Presupuesto'!$C$5:$C$227=$A9)*'1_Presupuesto'!$L$5:$L$227*'1_Presupuesto'!$J$5:$J$227)+SUMPRODUCT(('1_Presupuesto'!$D$5:$D$227=$A9)*'1_Presupuesto'!$M$5:$M$227*'1_Presupuesto'!$J$5:$J$227),0))</f>
        <v>1275976.48470306</v>
      </c>
      <c r="E9" s="267"/>
      <c r="F9" s="268">
        <f>SUMIFS('2_Gastos'!$T:$T,'2_Gastos'!$A:$A,$A9,'2_Gastos'!$B:$B,$B9)+IF($B9="MO",SUMIFS('2_Quincenas'!$O:$O,'2_Quincenas'!$E:$E,$A9),0)</f>
        <v>3883000</v>
      </c>
      <c r="G9" s="267"/>
      <c r="H9" s="268">
        <f>SUMIFS('2_Gastos'!$U:$U,'2_Gastos'!$A:$A,$A9,'2_Gastos'!$B:$B,$B9)+IF($B9="MO",SUMIFS('2_Quincenas'!$N:$N,'2_Quincenas'!$E:$E,$A9),0)</f>
        <v>0</v>
      </c>
      <c r="I9" s="267"/>
      <c r="J9" s="268">
        <f t="shared" si="0"/>
        <v>0</v>
      </c>
      <c r="K9" s="262">
        <f t="shared" si="1"/>
        <v>0</v>
      </c>
      <c r="L9" s="269"/>
      <c r="M9" s="270">
        <f t="shared" si="2"/>
        <v>2607023.5152969398</v>
      </c>
      <c r="N9" s="262">
        <f t="shared" si="3"/>
        <v>2.0431595304075181</v>
      </c>
      <c r="O9" s="271" t="str">
        <f t="shared" si="4"/>
        <v>🔴</v>
      </c>
      <c r="Q9" s="264">
        <f>IFERROR(IF(B9="MT",SUMIF('1_Presupuesto'!$A:$A,A9,'1_Presupuesto'!$AK:$AK)/SUMIF('1_Presupuesto'!$A:$A,A9,'1_Presupuesto'!$X:$X),IFERROR((SUMIF('1_Presupuesto'!$C:$C,A9,'1_Presupuesto'!$AL:$AL)+SUMIF('1_Presupuesto'!$D:$D,A9,'1_Presupuesto'!$AM:$AM))/(SUMPRODUCT(('1_Presupuesto'!$C$5:$C$227=A9)*'1_Presupuesto'!$S$5:$S$227*'1_Presupuesto'!$J$5:$J$227)+SUMPRODUCT(('1_Presupuesto'!$D$5:$D$227=A9)*'1_Presupuesto'!$T$5:$T$227*'1_Presupuesto'!$J$5:$J$227)),0)),0)</f>
        <v>1</v>
      </c>
      <c r="S9" s="265">
        <f t="shared" si="5"/>
        <v>0</v>
      </c>
      <c r="T9" s="275"/>
    </row>
    <row r="10" spans="1:20" ht="12.75" customHeight="1" x14ac:dyDescent="0.3">
      <c r="A10" s="272" t="s">
        <v>4125</v>
      </c>
      <c r="B10" s="269" t="s">
        <v>4090</v>
      </c>
      <c r="C10" s="269"/>
      <c r="D10" s="260">
        <f>IF($B10="MT",SUMPRODUCT(('1_Presupuesto'!$A$5:$A$227=$A10)*'1_Presupuesto'!$K$5:$K$227*'1_Presupuesto'!$J$5:$J$227),IF($B10="MO",SUMPRODUCT(('1_Presupuesto'!$C$5:$C$227=$A10)*'1_Presupuesto'!$L$5:$L$227*'1_Presupuesto'!$J$5:$J$227)+SUMPRODUCT(('1_Presupuesto'!$D$5:$D$227=$A10)*'1_Presupuesto'!$M$5:$M$227*'1_Presupuesto'!$J$5:$J$227),0))</f>
        <v>495000</v>
      </c>
      <c r="E10" s="269"/>
      <c r="F10" s="260">
        <f>SUMIFS('2_Gastos'!$T:$T,'2_Gastos'!$A:$A,$A10,'2_Gastos'!$B:$B,$B10)+IF($B10="MO",SUMIFS('2_Quincenas'!$O:$O,'2_Quincenas'!$E:$E,$A10),0)</f>
        <v>0</v>
      </c>
      <c r="G10" s="269"/>
      <c r="H10" s="260">
        <f>SUMIFS('2_Gastos'!$U:$U,'2_Gastos'!$A:$A,$A10,'2_Gastos'!$B:$B,$B10)+IF($B10="MO",SUMIFS('2_Quincenas'!$N:$N,'2_Quincenas'!$E:$E,$A10),0)</f>
        <v>0</v>
      </c>
      <c r="I10" s="269"/>
      <c r="J10" s="260">
        <f t="shared" si="0"/>
        <v>495000</v>
      </c>
      <c r="K10" s="262">
        <f t="shared" si="1"/>
        <v>1</v>
      </c>
      <c r="L10" s="269"/>
      <c r="M10" s="273">
        <f t="shared" si="2"/>
        <v>0</v>
      </c>
      <c r="N10" s="262">
        <f t="shared" si="3"/>
        <v>0</v>
      </c>
      <c r="O10" s="274" t="str">
        <f t="shared" si="4"/>
        <v>🟢</v>
      </c>
      <c r="Q10" s="264">
        <f>IFERROR(IF(B10="MT",SUMIF('1_Presupuesto'!$A:$A,A10,'1_Presupuesto'!$AK:$AK)/SUMIF('1_Presupuesto'!$A:$A,A10,'1_Presupuesto'!$X:$X),IFERROR((SUMIF('1_Presupuesto'!$C:$C,A10,'1_Presupuesto'!$AL:$AL)+SUMIF('1_Presupuesto'!$D:$D,A10,'1_Presupuesto'!$AM:$AM))/(SUMPRODUCT(('1_Presupuesto'!$C$5:$C$227=A10)*'1_Presupuesto'!$S$5:$S$227*'1_Presupuesto'!$J$5:$J$227)+SUMPRODUCT(('1_Presupuesto'!$D$5:$D$227=A10)*'1_Presupuesto'!$T$5:$T$227*'1_Presupuesto'!$J$5:$J$227)),0)),0)</f>
        <v>1</v>
      </c>
      <c r="S10" s="265">
        <f t="shared" si="5"/>
        <v>1</v>
      </c>
    </row>
    <row r="11" spans="1:20" ht="12.75" customHeight="1" x14ac:dyDescent="0.3">
      <c r="A11" s="266" t="s">
        <v>4125</v>
      </c>
      <c r="B11" s="267" t="s">
        <v>56</v>
      </c>
      <c r="C11" s="267"/>
      <c r="D11" s="268">
        <f>IF($B11="MT",SUMPRODUCT(('1_Presupuesto'!$A$5:$A$227=$A11)*'1_Presupuesto'!$K$5:$K$227*'1_Presupuesto'!$J$5:$J$227),IF($B11="MO",SUMPRODUCT(('1_Presupuesto'!$C$5:$C$227=$A11)*'1_Presupuesto'!$L$5:$L$227*'1_Presupuesto'!$J$5:$J$227)+SUMPRODUCT(('1_Presupuesto'!$D$5:$D$227=$A11)*'1_Presupuesto'!$M$5:$M$227*'1_Presupuesto'!$J$5:$J$227),0))</f>
        <v>10619000</v>
      </c>
      <c r="E11" s="267"/>
      <c r="F11" s="268">
        <f>SUMIFS('2_Gastos'!$T:$T,'2_Gastos'!$A:$A,$A11,'2_Gastos'!$B:$B,$B11)+IF($B11="MO",SUMIFS('2_Quincenas'!$O:$O,'2_Quincenas'!$E:$E,$A11),0)</f>
        <v>8706335</v>
      </c>
      <c r="G11" s="267"/>
      <c r="H11" s="268">
        <f>SUMIFS('2_Gastos'!$U:$U,'2_Gastos'!$A:$A,$A11,'2_Gastos'!$B:$B,$B11)+IF($B11="MO",SUMIFS('2_Quincenas'!$N:$N,'2_Quincenas'!$E:$E,$A11),0)</f>
        <v>0</v>
      </c>
      <c r="I11" s="267"/>
      <c r="J11" s="268">
        <f t="shared" si="0"/>
        <v>1912665</v>
      </c>
      <c r="K11" s="262">
        <f t="shared" si="1"/>
        <v>0.1801172426782183</v>
      </c>
      <c r="L11" s="269"/>
      <c r="M11" s="270">
        <f t="shared" si="2"/>
        <v>0</v>
      </c>
      <c r="N11" s="262">
        <f t="shared" si="3"/>
        <v>0</v>
      </c>
      <c r="O11" s="271" t="str">
        <f t="shared" si="4"/>
        <v>🟢</v>
      </c>
      <c r="Q11" s="264">
        <f>IFERROR(IF(B11="MT",SUMIF('1_Presupuesto'!$A:$A,A11,'1_Presupuesto'!$AK:$AK)/SUMIF('1_Presupuesto'!$A:$A,A11,'1_Presupuesto'!$X:$X),IFERROR((SUMIF('1_Presupuesto'!$C:$C,A11,'1_Presupuesto'!$AL:$AL)+SUMIF('1_Presupuesto'!$D:$D,A11,'1_Presupuesto'!$AM:$AM))/(SUMPRODUCT(('1_Presupuesto'!$C$5:$C$227=A11)*'1_Presupuesto'!$S$5:$S$227*'1_Presupuesto'!$J$5:$J$227)+SUMPRODUCT(('1_Presupuesto'!$D$5:$D$227=A11)*'1_Presupuesto'!$T$5:$T$227*'1_Presupuesto'!$J$5:$J$227)),0)),0)</f>
        <v>1</v>
      </c>
      <c r="S11" s="265">
        <f t="shared" si="5"/>
        <v>0.1801172426782183</v>
      </c>
    </row>
    <row r="12" spans="1:20" ht="12.75" customHeight="1" x14ac:dyDescent="0.3">
      <c r="A12" s="272" t="s">
        <v>1478</v>
      </c>
      <c r="B12" s="269" t="s">
        <v>4090</v>
      </c>
      <c r="C12" s="269"/>
      <c r="D12" s="260">
        <f>IF($B12="MT",SUMPRODUCT(('1_Presupuesto'!$A$5:$A$227=$A12)*'1_Presupuesto'!$K$5:$K$227*'1_Presupuesto'!$J$5:$J$227),IF($B12="MO",SUMPRODUCT(('1_Presupuesto'!$C$5:$C$227=$A12)*'1_Presupuesto'!$L$5:$L$227*'1_Presupuesto'!$J$5:$J$227)+SUMPRODUCT(('1_Presupuesto'!$D$5:$D$227=$A12)*'1_Presupuesto'!$M$5:$M$227*'1_Presupuesto'!$J$5:$J$227),0))</f>
        <v>181072771.23882484</v>
      </c>
      <c r="E12" s="269"/>
      <c r="F12" s="260">
        <f>SUMIFS('2_Gastos'!$T:$T,'2_Gastos'!$A:$A,$A12,'2_Gastos'!$B:$B,$B12)+IF($B12="MO",SUMIFS('2_Quincenas'!$O:$O,'2_Quincenas'!$E:$E,$A12),0)</f>
        <v>162375648.09</v>
      </c>
      <c r="G12" s="269"/>
      <c r="H12" s="260">
        <f>SUMIFS('2_Gastos'!$U:$U,'2_Gastos'!$A:$A,$A12,'2_Gastos'!$B:$B,$B12)+IF($B12="MO",SUMIFS('2_Quincenas'!$N:$N,'2_Quincenas'!$E:$E,$A12),0)</f>
        <v>0</v>
      </c>
      <c r="I12" s="269"/>
      <c r="J12" s="260">
        <f t="shared" si="0"/>
        <v>18697123.148824841</v>
      </c>
      <c r="K12" s="262">
        <f t="shared" si="1"/>
        <v>0.10325750813281795</v>
      </c>
      <c r="L12" s="269"/>
      <c r="M12" s="273">
        <f t="shared" si="2"/>
        <v>0</v>
      </c>
      <c r="N12" s="262">
        <f t="shared" si="3"/>
        <v>0</v>
      </c>
      <c r="O12" s="274" t="str">
        <f t="shared" si="4"/>
        <v>🟢</v>
      </c>
      <c r="Q12" s="264">
        <f>IFERROR(IF(B12="MT",SUMIF('1_Presupuesto'!$A:$A,A12,'1_Presupuesto'!$AK:$AK)/SUMIF('1_Presupuesto'!$A:$A,A12,'1_Presupuesto'!$X:$X),IFERROR((SUMIF('1_Presupuesto'!$C:$C,A12,'1_Presupuesto'!$AL:$AL)+SUMIF('1_Presupuesto'!$D:$D,A12,'1_Presupuesto'!$AM:$AM))/(SUMPRODUCT(('1_Presupuesto'!$C$5:$C$227=A12)*'1_Presupuesto'!$S$5:$S$227*'1_Presupuesto'!$J$5:$J$227)+SUMPRODUCT(('1_Presupuesto'!$D$5:$D$227=A12)*'1_Presupuesto'!$T$5:$T$227*'1_Presupuesto'!$J$5:$J$227)),0)),0)</f>
        <v>0.78716141094909664</v>
      </c>
      <c r="S12" s="265">
        <f t="shared" si="5"/>
        <v>0</v>
      </c>
    </row>
    <row r="13" spans="1:20" ht="12.75" customHeight="1" x14ac:dyDescent="0.3">
      <c r="A13" s="266" t="s">
        <v>1478</v>
      </c>
      <c r="B13" s="267" t="s">
        <v>56</v>
      </c>
      <c r="C13" s="267"/>
      <c r="D13" s="268">
        <f>IF($B13="MT",SUMPRODUCT(('1_Presupuesto'!$A$5:$A$227=$A13)*'1_Presupuesto'!$K$5:$K$227*'1_Presupuesto'!$J$5:$J$227),IF($B13="MO",SUMPRODUCT(('1_Presupuesto'!$C$5:$C$227=$A13)*'1_Presupuesto'!$L$5:$L$227*'1_Presupuesto'!$J$5:$J$227)+SUMPRODUCT(('1_Presupuesto'!$D$5:$D$227=$A13)*'1_Presupuesto'!$M$5:$M$227*'1_Presupuesto'!$J$5:$J$227),0))</f>
        <v>146386415.30161041</v>
      </c>
      <c r="E13" s="267"/>
      <c r="F13" s="268">
        <f>SUMIFS('2_Gastos'!$T:$T,'2_Gastos'!$A:$A,$A13,'2_Gastos'!$B:$B,$B13)+IF($B13="MO",SUMIFS('2_Quincenas'!$O:$O,'2_Quincenas'!$E:$E,$A13),0)</f>
        <v>22490743</v>
      </c>
      <c r="G13" s="267"/>
      <c r="H13" s="268">
        <f>SUMIFS('2_Gastos'!$U:$U,'2_Gastos'!$A:$A,$A13,'2_Gastos'!$B:$B,$B13)+IF($B13="MO",SUMIFS('2_Quincenas'!$N:$N,'2_Quincenas'!$E:$E,$A13),0)</f>
        <v>0</v>
      </c>
      <c r="I13" s="267"/>
      <c r="J13" s="268">
        <f t="shared" si="0"/>
        <v>123895672.30161041</v>
      </c>
      <c r="K13" s="262">
        <f t="shared" si="1"/>
        <v>0.84636044981591552</v>
      </c>
      <c r="L13" s="269"/>
      <c r="M13" s="270">
        <f t="shared" si="2"/>
        <v>0</v>
      </c>
      <c r="N13" s="262">
        <f t="shared" si="3"/>
        <v>0</v>
      </c>
      <c r="O13" s="271" t="str">
        <f t="shared" si="4"/>
        <v>🟢</v>
      </c>
      <c r="Q13" s="264">
        <f>IFERROR(IF(B13="MT",SUMIF('1_Presupuesto'!$A:$A,A13,'1_Presupuesto'!$AK:$AK)/SUMIF('1_Presupuesto'!$A:$A,A13,'1_Presupuesto'!$X:$X),IFERROR((SUMIF('1_Presupuesto'!$C:$C,A13,'1_Presupuesto'!$AL:$AL)+SUMIF('1_Presupuesto'!$D:$D,A13,'1_Presupuesto'!$AM:$AM))/(SUMPRODUCT(('1_Presupuesto'!$C$5:$C$227=A13)*'1_Presupuesto'!$S$5:$S$227*'1_Presupuesto'!$J$5:$J$227)+SUMPRODUCT(('1_Presupuesto'!$D$5:$D$227=A13)*'1_Presupuesto'!$T$5:$T$227*'1_Presupuesto'!$J$5:$J$227)),0)),0)</f>
        <v>0.8197795311935675</v>
      </c>
      <c r="S13" s="265">
        <f t="shared" si="5"/>
        <v>0</v>
      </c>
    </row>
    <row r="14" spans="1:20" ht="12.75" customHeight="1" x14ac:dyDescent="0.3">
      <c r="A14" s="272" t="s">
        <v>106</v>
      </c>
      <c r="B14" s="269" t="s">
        <v>4090</v>
      </c>
      <c r="C14" s="269"/>
      <c r="D14" s="260">
        <f>IF($B14="MT",SUMPRODUCT(('1_Presupuesto'!$A$5:$A$227=$A14)*'1_Presupuesto'!$K$5:$K$227*'1_Presupuesto'!$J$5:$J$227),IF($B14="MO",SUMPRODUCT(('1_Presupuesto'!$C$5:$C$227=$A14)*'1_Presupuesto'!$L$5:$L$227*'1_Presupuesto'!$J$5:$J$227)+SUMPRODUCT(('1_Presupuesto'!$D$5:$D$227=$A14)*'1_Presupuesto'!$M$5:$M$227*'1_Presupuesto'!$J$5:$J$227),0))</f>
        <v>67667520.124783501</v>
      </c>
      <c r="E14" s="269"/>
      <c r="F14" s="260">
        <f>SUMIFS('2_Gastos'!$T:$T,'2_Gastos'!$A:$A,$A14,'2_Gastos'!$B:$B,$B14)+IF($B14="MO",SUMIFS('2_Quincenas'!$O:$O,'2_Quincenas'!$E:$E,$A14),0)</f>
        <v>41394926.68</v>
      </c>
      <c r="G14" s="269"/>
      <c r="H14" s="260">
        <f>SUMIFS('2_Gastos'!$U:$U,'2_Gastos'!$A:$A,$A14,'2_Gastos'!$B:$B,$B14)+IF($B14="MO",SUMIFS('2_Quincenas'!$N:$N,'2_Quincenas'!$E:$E,$A14),0)</f>
        <v>0</v>
      </c>
      <c r="I14" s="269"/>
      <c r="J14" s="260">
        <f t="shared" si="0"/>
        <v>26272593.444783501</v>
      </c>
      <c r="K14" s="262">
        <f t="shared" si="1"/>
        <v>0.38826003075530263</v>
      </c>
      <c r="L14" s="269"/>
      <c r="M14" s="273">
        <f t="shared" si="2"/>
        <v>0</v>
      </c>
      <c r="N14" s="262">
        <f t="shared" si="3"/>
        <v>0</v>
      </c>
      <c r="O14" s="274" t="str">
        <f t="shared" si="4"/>
        <v>🟢</v>
      </c>
      <c r="Q14" s="264">
        <f>IFERROR(IF(B14="MT",SUMIF('1_Presupuesto'!$A:$A,A14,'1_Presupuesto'!$AK:$AK)/SUMIF('1_Presupuesto'!$A:$A,A14,'1_Presupuesto'!$X:$X),IFERROR((SUMIF('1_Presupuesto'!$C:$C,A14,'1_Presupuesto'!$AL:$AL)+SUMIF('1_Presupuesto'!$D:$D,A14,'1_Presupuesto'!$AM:$AM))/(SUMPRODUCT(('1_Presupuesto'!$C$5:$C$227=A14)*'1_Presupuesto'!$S$5:$S$227*'1_Presupuesto'!$J$5:$J$227)+SUMPRODUCT(('1_Presupuesto'!$D$5:$D$227=A14)*'1_Presupuesto'!$T$5:$T$227*'1_Presupuesto'!$J$5:$J$227)),0)),0)</f>
        <v>0.24929376002890963</v>
      </c>
      <c r="S14" s="265">
        <f t="shared" si="5"/>
        <v>0</v>
      </c>
    </row>
    <row r="15" spans="1:20" ht="12.75" customHeight="1" x14ac:dyDescent="0.3">
      <c r="A15" s="266" t="s">
        <v>106</v>
      </c>
      <c r="B15" s="267" t="s">
        <v>56</v>
      </c>
      <c r="C15" s="267"/>
      <c r="D15" s="268">
        <f>IF($B15="MT",SUMPRODUCT(('1_Presupuesto'!$A$5:$A$227=$A15)*'1_Presupuesto'!$K$5:$K$227*'1_Presupuesto'!$J$5:$J$227),IF($B15="MO",SUMPRODUCT(('1_Presupuesto'!$C$5:$C$227=$A15)*'1_Presupuesto'!$L$5:$L$227*'1_Presupuesto'!$J$5:$J$227)+SUMPRODUCT(('1_Presupuesto'!$D$5:$D$227=$A15)*'1_Presupuesto'!$M$5:$M$227*'1_Presupuesto'!$J$5:$J$227),0))</f>
        <v>137661024.31395459</v>
      </c>
      <c r="E15" s="267"/>
      <c r="F15" s="268">
        <f>SUMIFS('2_Gastos'!$T:$T,'2_Gastos'!$A:$A,$A15,'2_Gastos'!$B:$B,$B15)+IF($B15="MO",SUMIFS('2_Quincenas'!$O:$O,'2_Quincenas'!$E:$E,$A15),0)</f>
        <v>85246102.546558127</v>
      </c>
      <c r="G15" s="267"/>
      <c r="H15" s="268">
        <f>SUMIFS('2_Gastos'!$U:$U,'2_Gastos'!$A:$A,$A15,'2_Gastos'!$B:$B,$B15)+IF($B15="MO",SUMIFS('2_Quincenas'!$N:$N,'2_Quincenas'!$E:$E,$A15),0)</f>
        <v>100658266.85493307</v>
      </c>
      <c r="I15" s="267"/>
      <c r="J15" s="268">
        <f t="shared" si="0"/>
        <v>52414921.767396465</v>
      </c>
      <c r="K15" s="262">
        <f t="shared" si="1"/>
        <v>0.38075353593081762</v>
      </c>
      <c r="L15" s="269"/>
      <c r="M15" s="270">
        <f t="shared" si="2"/>
        <v>0</v>
      </c>
      <c r="N15" s="262">
        <f t="shared" si="3"/>
        <v>0</v>
      </c>
      <c r="O15" s="271" t="str">
        <f t="shared" si="4"/>
        <v>🟢</v>
      </c>
      <c r="Q15" s="264">
        <f>IFERROR(IF(B15="MT",SUMIF('1_Presupuesto'!$A:$A,A15,'1_Presupuesto'!$AK:$AK)/SUMIF('1_Presupuesto'!$A:$A,A15,'1_Presupuesto'!$X:$X),IFERROR((SUMIF('1_Presupuesto'!$C:$C,A15,'1_Presupuesto'!$AL:$AL)+SUMIF('1_Presupuesto'!$D:$D,A15,'1_Presupuesto'!$AM:$AM))/(SUMPRODUCT(('1_Presupuesto'!$C$5:$C$227=A15)*'1_Presupuesto'!$S$5:$S$227*'1_Presupuesto'!$J$5:$J$227)+SUMPRODUCT(('1_Presupuesto'!$D$5:$D$227=A15)*'1_Presupuesto'!$T$5:$T$227*'1_Presupuesto'!$J$5:$J$227)),0)),0)</f>
        <v>0.32416675569095393</v>
      </c>
      <c r="S15" s="265">
        <f t="shared" si="5"/>
        <v>0</v>
      </c>
    </row>
    <row r="16" spans="1:20" ht="12.75" customHeight="1" x14ac:dyDescent="0.3">
      <c r="A16" s="272" t="s">
        <v>4165</v>
      </c>
      <c r="B16" s="269" t="s">
        <v>4090</v>
      </c>
      <c r="C16" s="269"/>
      <c r="D16" s="260">
        <f>IF($B16="MT",SUMPRODUCT(('1_Presupuesto'!$A$5:$A$227=$A16)*'1_Presupuesto'!$K$5:$K$227*'1_Presupuesto'!$J$5:$J$227),IF($B16="MO",SUMPRODUCT(('1_Presupuesto'!$C$5:$C$227=$A16)*'1_Presupuesto'!$L$5:$L$227*'1_Presupuesto'!$J$5:$J$227)+SUMPRODUCT(('1_Presupuesto'!$D$5:$D$227=$A16)*'1_Presupuesto'!$M$5:$M$227*'1_Presupuesto'!$J$5:$J$227),0))</f>
        <v>13489970.34754586</v>
      </c>
      <c r="E16" s="269"/>
      <c r="F16" s="260">
        <f>SUMIFS('2_Gastos'!$T:$T,'2_Gastos'!$A:$A,$A16,'2_Gastos'!$B:$B,$B16)+IF($B16="MO",SUMIFS('2_Quincenas'!$O:$O,'2_Quincenas'!$E:$E,$A16),0)</f>
        <v>11209789.93</v>
      </c>
      <c r="G16" s="269"/>
      <c r="H16" s="260">
        <f>SUMIFS('2_Gastos'!$U:$U,'2_Gastos'!$A:$A,$A16,'2_Gastos'!$B:$B,$B16)+IF($B16="MO",SUMIFS('2_Quincenas'!$N:$N,'2_Quincenas'!$E:$E,$A16),0)</f>
        <v>0</v>
      </c>
      <c r="I16" s="269"/>
      <c r="J16" s="260">
        <f t="shared" si="0"/>
        <v>2280180.4175458606</v>
      </c>
      <c r="K16" s="262">
        <f t="shared" si="1"/>
        <v>0.16902783021763118</v>
      </c>
      <c r="L16" s="269"/>
      <c r="M16" s="273">
        <f t="shared" si="2"/>
        <v>0</v>
      </c>
      <c r="N16" s="262">
        <f t="shared" si="3"/>
        <v>0</v>
      </c>
      <c r="O16" s="274" t="str">
        <f t="shared" si="4"/>
        <v>🟢</v>
      </c>
      <c r="Q16" s="264">
        <f>IFERROR(IF(B16="MT",SUMIF('1_Presupuesto'!$A:$A,A16,'1_Presupuesto'!$AK:$AK)/SUMIF('1_Presupuesto'!$A:$A,A16,'1_Presupuesto'!$X:$X),IFERROR((SUMIF('1_Presupuesto'!$C:$C,A16,'1_Presupuesto'!$AL:$AL)+SUMIF('1_Presupuesto'!$D:$D,A16,'1_Presupuesto'!$AM:$AM))/(SUMPRODUCT(('1_Presupuesto'!$C$5:$C$227=A16)*'1_Presupuesto'!$S$5:$S$227*'1_Presupuesto'!$J$5:$J$227)+SUMPRODUCT(('1_Presupuesto'!$D$5:$D$227=A16)*'1_Presupuesto'!$T$5:$T$227*'1_Presupuesto'!$J$5:$J$227)),0)),0)</f>
        <v>7.5563548946243564E-2</v>
      </c>
      <c r="S16" s="265">
        <f t="shared" si="5"/>
        <v>0</v>
      </c>
    </row>
    <row r="17" spans="1:19" ht="12.75" customHeight="1" x14ac:dyDescent="0.3">
      <c r="A17" s="266" t="s">
        <v>4165</v>
      </c>
      <c r="B17" s="267" t="s">
        <v>56</v>
      </c>
      <c r="C17" s="267"/>
      <c r="D17" s="268">
        <f>IF($B17="MT",SUMPRODUCT(('1_Presupuesto'!$A$5:$A$227=$A17)*'1_Presupuesto'!$K$5:$K$227*'1_Presupuesto'!$J$5:$J$227),IF($B17="MO",SUMPRODUCT(('1_Presupuesto'!$C$5:$C$227=$A17)*'1_Presupuesto'!$L$5:$L$227*'1_Presupuesto'!$J$5:$J$227)+SUMPRODUCT(('1_Presupuesto'!$D$5:$D$227=$A17)*'1_Presupuesto'!$M$5:$M$227*'1_Presupuesto'!$J$5:$J$227),0))</f>
        <v>38496186.26037021</v>
      </c>
      <c r="E17" s="267"/>
      <c r="F17" s="268">
        <f>SUMIFS('2_Gastos'!$T:$T,'2_Gastos'!$A:$A,$A17,'2_Gastos'!$B:$B,$B17)+IF($B17="MO",SUMIFS('2_Quincenas'!$O:$O,'2_Quincenas'!$E:$E,$A17),0)</f>
        <v>16091685.351963909</v>
      </c>
      <c r="G17" s="267"/>
      <c r="H17" s="268">
        <f>SUMIFS('2_Gastos'!$U:$U,'2_Gastos'!$A:$A,$A17,'2_Gastos'!$B:$B,$B17)+IF($B17="MO",SUMIFS('2_Quincenas'!$N:$N,'2_Quincenas'!$E:$E,$A17),0)</f>
        <v>4738596.1470327117</v>
      </c>
      <c r="I17" s="267"/>
      <c r="J17" s="268">
        <f t="shared" si="0"/>
        <v>22404500.908406302</v>
      </c>
      <c r="K17" s="262">
        <f t="shared" si="1"/>
        <v>0.58199273966706033</v>
      </c>
      <c r="L17" s="269"/>
      <c r="M17" s="270">
        <f t="shared" si="2"/>
        <v>0</v>
      </c>
      <c r="N17" s="262">
        <f t="shared" si="3"/>
        <v>0</v>
      </c>
      <c r="O17" s="271" t="str">
        <f t="shared" si="4"/>
        <v>🟢</v>
      </c>
      <c r="Q17" s="264">
        <f>IFERROR(IF(B17="MT",SUMIF('1_Presupuesto'!$A:$A,A17,'1_Presupuesto'!$AK:$AK)/SUMIF('1_Presupuesto'!$A:$A,A17,'1_Presupuesto'!$X:$X),IFERROR((SUMIF('1_Presupuesto'!$C:$C,A17,'1_Presupuesto'!$AL:$AL)+SUMIF('1_Presupuesto'!$D:$D,A17,'1_Presupuesto'!$AM:$AM))/(SUMPRODUCT(('1_Presupuesto'!$C$5:$C$227=A17)*'1_Presupuesto'!$S$5:$S$227*'1_Presupuesto'!$J$5:$J$227)+SUMPRODUCT(('1_Presupuesto'!$D$5:$D$227=A17)*'1_Presupuesto'!$T$5:$T$227*'1_Presupuesto'!$J$5:$J$227)),0)),0)</f>
        <v>6.32659273301793E-2</v>
      </c>
      <c r="S17" s="265">
        <f t="shared" si="5"/>
        <v>0</v>
      </c>
    </row>
    <row r="18" spans="1:19" ht="12.75" customHeight="1" x14ac:dyDescent="0.3">
      <c r="A18" s="272" t="s">
        <v>476</v>
      </c>
      <c r="B18" s="269" t="s">
        <v>4090</v>
      </c>
      <c r="C18" s="269"/>
      <c r="D18" s="260">
        <f>IF($B18="MT",SUMPRODUCT(('1_Presupuesto'!$A$5:$A$227=$A18)*'1_Presupuesto'!$K$5:$K$227*'1_Presupuesto'!$J$5:$J$227),IF($B18="MO",SUMPRODUCT(('1_Presupuesto'!$C$5:$C$227=$A18)*'1_Presupuesto'!$L$5:$L$227*'1_Presupuesto'!$J$5:$J$227)+SUMPRODUCT(('1_Presupuesto'!$D$5:$D$227=$A18)*'1_Presupuesto'!$M$5:$M$227*'1_Presupuesto'!$J$5:$J$227),0))</f>
        <v>13983960.352426291</v>
      </c>
      <c r="E18" s="269"/>
      <c r="F18" s="260">
        <f>SUMIFS('2_Gastos'!$T:$T,'2_Gastos'!$A:$A,$A18,'2_Gastos'!$B:$B,$B18)+IF($B18="MO",SUMIFS('2_Quincenas'!$O:$O,'2_Quincenas'!$E:$E,$A18),0)</f>
        <v>2012146.6</v>
      </c>
      <c r="G18" s="269"/>
      <c r="H18" s="260">
        <f>SUMIFS('2_Gastos'!$U:$U,'2_Gastos'!$A:$A,$A18,'2_Gastos'!$B:$B,$B18)+IF($B18="MO",SUMIFS('2_Quincenas'!$N:$N,'2_Quincenas'!$E:$E,$A18),0)</f>
        <v>0</v>
      </c>
      <c r="I18" s="269"/>
      <c r="J18" s="260">
        <f t="shared" si="0"/>
        <v>11971813.752426291</v>
      </c>
      <c r="K18" s="262">
        <f t="shared" si="1"/>
        <v>0.85611039009768919</v>
      </c>
      <c r="L18" s="269"/>
      <c r="M18" s="273">
        <f t="shared" si="2"/>
        <v>0</v>
      </c>
      <c r="N18" s="262">
        <f t="shared" si="3"/>
        <v>0</v>
      </c>
      <c r="O18" s="274" t="str">
        <f t="shared" si="4"/>
        <v>🟢</v>
      </c>
      <c r="Q18" s="264">
        <f>IFERROR(IF(B18="MT",SUMIF('1_Presupuesto'!$A:$A,A18,'1_Presupuesto'!$AK:$AK)/SUMIF('1_Presupuesto'!$A:$A,A18,'1_Presupuesto'!$X:$X),IFERROR((SUMIF('1_Presupuesto'!$C:$C,A18,'1_Presupuesto'!$AL:$AL)+SUMIF('1_Presupuesto'!$D:$D,A18,'1_Presupuesto'!$AM:$AM))/(SUMPRODUCT(('1_Presupuesto'!$C$5:$C$227=A18)*'1_Presupuesto'!$S$5:$S$227*'1_Presupuesto'!$J$5:$J$227)+SUMPRODUCT(('1_Presupuesto'!$D$5:$D$227=A18)*'1_Presupuesto'!$T$5:$T$227*'1_Presupuesto'!$J$5:$J$227)),0)),0)</f>
        <v>0</v>
      </c>
      <c r="S18" s="265">
        <f t="shared" si="5"/>
        <v>0</v>
      </c>
    </row>
    <row r="19" spans="1:19" ht="12.75" customHeight="1" x14ac:dyDescent="0.3">
      <c r="A19" s="266" t="s">
        <v>476</v>
      </c>
      <c r="B19" s="267" t="s">
        <v>56</v>
      </c>
      <c r="C19" s="267"/>
      <c r="D19" s="268">
        <f>IF($B19="MT",SUMPRODUCT(('1_Presupuesto'!$A$5:$A$227=$A19)*'1_Presupuesto'!$K$5:$K$227*'1_Presupuesto'!$J$5:$J$227),IF($B19="MO",SUMPRODUCT(('1_Presupuesto'!$C$5:$C$227=$A19)*'1_Presupuesto'!$L$5:$L$227*'1_Presupuesto'!$J$5:$J$227)+SUMPRODUCT(('1_Presupuesto'!$D$5:$D$227=$A19)*'1_Presupuesto'!$M$5:$M$227*'1_Presupuesto'!$J$5:$J$227),0))</f>
        <v>26733574.400345381</v>
      </c>
      <c r="E19" s="267"/>
      <c r="F19" s="268">
        <f>SUMIFS('2_Gastos'!$T:$T,'2_Gastos'!$A:$A,$A19,'2_Gastos'!$B:$B,$B19)+IF($B19="MO",SUMIFS('2_Quincenas'!$O:$O,'2_Quincenas'!$E:$E,$A19),0)</f>
        <v>3658856.7207112238</v>
      </c>
      <c r="G19" s="267"/>
      <c r="H19" s="268">
        <f>SUMIFS('2_Gastos'!$U:$U,'2_Gastos'!$A:$A,$A19,'2_Gastos'!$B:$B,$B19)+IF($B19="MO",SUMIFS('2_Quincenas'!$N:$N,'2_Quincenas'!$E:$E,$A19),0)</f>
        <v>2163030.8311061738</v>
      </c>
      <c r="I19" s="267"/>
      <c r="J19" s="268">
        <f t="shared" si="0"/>
        <v>23074717.679634158</v>
      </c>
      <c r="K19" s="262">
        <f t="shared" si="1"/>
        <v>0.86313626954935163</v>
      </c>
      <c r="L19" s="269"/>
      <c r="M19" s="270">
        <f t="shared" si="2"/>
        <v>0</v>
      </c>
      <c r="N19" s="262">
        <f t="shared" si="3"/>
        <v>0</v>
      </c>
      <c r="O19" s="271" t="str">
        <f t="shared" si="4"/>
        <v>🟢</v>
      </c>
      <c r="Q19" s="264">
        <f>IFERROR(IF(B19="MT",SUMIF('1_Presupuesto'!$A:$A,A19,'1_Presupuesto'!$AK:$AK)/SUMIF('1_Presupuesto'!$A:$A,A19,'1_Presupuesto'!$X:$X),IFERROR((SUMIF('1_Presupuesto'!$C:$C,A19,'1_Presupuesto'!$AL:$AL)+SUMIF('1_Presupuesto'!$D:$D,A19,'1_Presupuesto'!$AM:$AM))/(SUMPRODUCT(('1_Presupuesto'!$C$5:$C$227=A19)*'1_Presupuesto'!$S$5:$S$227*'1_Presupuesto'!$J$5:$J$227)+SUMPRODUCT(('1_Presupuesto'!$D$5:$D$227=A19)*'1_Presupuesto'!$T$5:$T$227*'1_Presupuesto'!$J$5:$J$227)),0)),0)</f>
        <v>0</v>
      </c>
      <c r="S19" s="265">
        <f t="shared" si="5"/>
        <v>0</v>
      </c>
    </row>
    <row r="20" spans="1:19" ht="12.75" customHeight="1" x14ac:dyDescent="0.3">
      <c r="A20" s="272" t="s">
        <v>2779</v>
      </c>
      <c r="B20" s="269" t="s">
        <v>4090</v>
      </c>
      <c r="C20" s="269"/>
      <c r="D20" s="260">
        <f>IF($B20="MT",SUMPRODUCT(('1_Presupuesto'!$A$5:$A$227=$A20)*'1_Presupuesto'!$K$5:$K$227*'1_Presupuesto'!$J$5:$J$227),IF($B20="MO",SUMPRODUCT(('1_Presupuesto'!$C$5:$C$227=$A20)*'1_Presupuesto'!$L$5:$L$227*'1_Presupuesto'!$J$5:$J$227)+SUMPRODUCT(('1_Presupuesto'!$D$5:$D$227=$A20)*'1_Presupuesto'!$M$5:$M$227*'1_Presupuesto'!$J$5:$J$227),0))</f>
        <v>19488570.160900742</v>
      </c>
      <c r="E20" s="269"/>
      <c r="F20" s="260">
        <f>SUMIFS('2_Gastos'!$T:$T,'2_Gastos'!$A:$A,$A20,'2_Gastos'!$B:$B,$B20)+IF($B20="MO",SUMIFS('2_Quincenas'!$O:$O,'2_Quincenas'!$E:$E,$A20),0)</f>
        <v>434302.18</v>
      </c>
      <c r="G20" s="269"/>
      <c r="H20" s="260">
        <f>SUMIFS('2_Gastos'!$U:$U,'2_Gastos'!$A:$A,$A20,'2_Gastos'!$B:$B,$B20)+IF($B20="MO",SUMIFS('2_Quincenas'!$N:$N,'2_Quincenas'!$E:$E,$A20),0)</f>
        <v>0</v>
      </c>
      <c r="I20" s="269"/>
      <c r="J20" s="260">
        <f t="shared" si="0"/>
        <v>19054267.980900742</v>
      </c>
      <c r="K20" s="262">
        <f t="shared" si="1"/>
        <v>0.97771503109697988</v>
      </c>
      <c r="L20" s="269"/>
      <c r="M20" s="273">
        <f t="shared" si="2"/>
        <v>0</v>
      </c>
      <c r="N20" s="262">
        <f t="shared" si="3"/>
        <v>0</v>
      </c>
      <c r="O20" s="274" t="str">
        <f t="shared" si="4"/>
        <v>🟢</v>
      </c>
      <c r="Q20" s="264">
        <f>IFERROR(IF(B20="MT",SUMIF('1_Presupuesto'!$A:$A,A20,'1_Presupuesto'!$AK:$AK)/SUMIF('1_Presupuesto'!$A:$A,A20,'1_Presupuesto'!$X:$X),IFERROR((SUMIF('1_Presupuesto'!$C:$C,A20,'1_Presupuesto'!$AL:$AL)+SUMIF('1_Presupuesto'!$D:$D,A20,'1_Presupuesto'!$AM:$AM))/(SUMPRODUCT(('1_Presupuesto'!$C$5:$C$227=A20)*'1_Presupuesto'!$S$5:$S$227*'1_Presupuesto'!$J$5:$J$227)+SUMPRODUCT(('1_Presupuesto'!$D$5:$D$227=A20)*'1_Presupuesto'!$T$5:$T$227*'1_Presupuesto'!$J$5:$J$227)),0)),0)</f>
        <v>0</v>
      </c>
      <c r="S20" s="265">
        <f t="shared" si="5"/>
        <v>0</v>
      </c>
    </row>
    <row r="21" spans="1:19" ht="12.75" customHeight="1" x14ac:dyDescent="0.3">
      <c r="A21" s="266" t="s">
        <v>2779</v>
      </c>
      <c r="B21" s="267" t="s">
        <v>56</v>
      </c>
      <c r="C21" s="267"/>
      <c r="D21" s="268">
        <f>IF($B21="MT",SUMPRODUCT(('1_Presupuesto'!$A$5:$A$227=$A21)*'1_Presupuesto'!$K$5:$K$227*'1_Presupuesto'!$J$5:$J$227),IF($B21="MO",SUMPRODUCT(('1_Presupuesto'!$C$5:$C$227=$A21)*'1_Presupuesto'!$L$5:$L$227*'1_Presupuesto'!$J$5:$J$227)+SUMPRODUCT(('1_Presupuesto'!$D$5:$D$227=$A21)*'1_Presupuesto'!$M$5:$M$227*'1_Presupuesto'!$J$5:$J$227),0))</f>
        <v>40879544.621381819</v>
      </c>
      <c r="E21" s="267"/>
      <c r="F21" s="268">
        <f>SUMIFS('2_Gastos'!$T:$T,'2_Gastos'!$A:$A,$A21,'2_Gastos'!$B:$B,$B21)+IF($B21="MO",SUMIFS('2_Quincenas'!$O:$O,'2_Quincenas'!$E:$E,$A21),0)</f>
        <v>0</v>
      </c>
      <c r="G21" s="267"/>
      <c r="H21" s="268">
        <f>SUMIFS('2_Gastos'!$U:$U,'2_Gastos'!$A:$A,$A21,'2_Gastos'!$B:$B,$B21)+IF($B21="MO",SUMIFS('2_Quincenas'!$N:$N,'2_Quincenas'!$E:$E,$A21),0)</f>
        <v>0</v>
      </c>
      <c r="I21" s="267"/>
      <c r="J21" s="268">
        <f t="shared" si="0"/>
        <v>40879544.621381819</v>
      </c>
      <c r="K21" s="262">
        <f t="shared" si="1"/>
        <v>1</v>
      </c>
      <c r="L21" s="269"/>
      <c r="M21" s="270">
        <f t="shared" si="2"/>
        <v>0</v>
      </c>
      <c r="N21" s="262">
        <f t="shared" si="3"/>
        <v>0</v>
      </c>
      <c r="O21" s="271" t="str">
        <f t="shared" si="4"/>
        <v>🟢</v>
      </c>
      <c r="Q21" s="264">
        <f>IFERROR(IF(B21="MT",SUMIF('1_Presupuesto'!$A:$A,A21,'1_Presupuesto'!$AK:$AK)/SUMIF('1_Presupuesto'!$A:$A,A21,'1_Presupuesto'!$X:$X),IFERROR((SUMIF('1_Presupuesto'!$C:$C,A21,'1_Presupuesto'!$AL:$AL)+SUMIF('1_Presupuesto'!$D:$D,A21,'1_Presupuesto'!$AM:$AM))/(SUMPRODUCT(('1_Presupuesto'!$C$5:$C$227=A21)*'1_Presupuesto'!$S$5:$S$227*'1_Presupuesto'!$J$5:$J$227)+SUMPRODUCT(('1_Presupuesto'!$D$5:$D$227=A21)*'1_Presupuesto'!$T$5:$T$227*'1_Presupuesto'!$J$5:$J$227)),0)),0)</f>
        <v>0</v>
      </c>
      <c r="S21" s="265">
        <f t="shared" si="5"/>
        <v>0</v>
      </c>
    </row>
    <row r="22" spans="1:19" ht="12.75" customHeight="1" x14ac:dyDescent="0.3">
      <c r="A22" s="272" t="s">
        <v>3219</v>
      </c>
      <c r="B22" s="269" t="s">
        <v>4090</v>
      </c>
      <c r="C22" s="269"/>
      <c r="D22" s="260">
        <f>IF($B22="MT",SUMPRODUCT(('1_Presupuesto'!$A$5:$A$227=$A22)*'1_Presupuesto'!$K$5:$K$227*'1_Presupuesto'!$J$5:$J$227),IF($B22="MO",SUMPRODUCT(('1_Presupuesto'!$C$5:$C$227=$A22)*'1_Presupuesto'!$L$5:$L$227*'1_Presupuesto'!$J$5:$J$227)+SUMPRODUCT(('1_Presupuesto'!$D$5:$D$227=$A22)*'1_Presupuesto'!$M$5:$M$227*'1_Presupuesto'!$J$5:$J$227),0))</f>
        <v>25092459.829940621</v>
      </c>
      <c r="E22" s="269"/>
      <c r="F22" s="260">
        <f>SUMIFS('2_Gastos'!$T:$T,'2_Gastos'!$A:$A,$A22,'2_Gastos'!$B:$B,$B22)+IF($B22="MO",SUMIFS('2_Quincenas'!$O:$O,'2_Quincenas'!$E:$E,$A22),0)</f>
        <v>8043319.9800000004</v>
      </c>
      <c r="G22" s="269"/>
      <c r="H22" s="260">
        <f>SUMIFS('2_Gastos'!$U:$U,'2_Gastos'!$A:$A,$A22,'2_Gastos'!$B:$B,$B22)+IF($B22="MO",SUMIFS('2_Quincenas'!$N:$N,'2_Quincenas'!$E:$E,$A22),0)</f>
        <v>0</v>
      </c>
      <c r="I22" s="269"/>
      <c r="J22" s="260">
        <f t="shared" si="0"/>
        <v>17049139.84994062</v>
      </c>
      <c r="K22" s="262">
        <f t="shared" si="1"/>
        <v>0.67945271071421165</v>
      </c>
      <c r="L22" s="269"/>
      <c r="M22" s="273">
        <f t="shared" si="2"/>
        <v>0</v>
      </c>
      <c r="N22" s="262">
        <f t="shared" si="3"/>
        <v>0</v>
      </c>
      <c r="O22" s="274" t="str">
        <f t="shared" si="4"/>
        <v>🟢</v>
      </c>
      <c r="Q22" s="264">
        <f>IFERROR(IF(B22="MT",SUMIF('1_Presupuesto'!$A:$A,A22,'1_Presupuesto'!$AK:$AK)/SUMIF('1_Presupuesto'!$A:$A,A22,'1_Presupuesto'!$X:$X),IFERROR((SUMIF('1_Presupuesto'!$C:$C,A22,'1_Presupuesto'!$AL:$AL)+SUMIF('1_Presupuesto'!$D:$D,A22,'1_Presupuesto'!$AM:$AM))/(SUMPRODUCT(('1_Presupuesto'!$C$5:$C$227=A22)*'1_Presupuesto'!$S$5:$S$227*'1_Presupuesto'!$J$5:$J$227)+SUMPRODUCT(('1_Presupuesto'!$D$5:$D$227=A22)*'1_Presupuesto'!$T$5:$T$227*'1_Presupuesto'!$J$5:$J$227)),0)),0)</f>
        <v>0.25558681041501058</v>
      </c>
      <c r="S22" s="265">
        <f t="shared" si="5"/>
        <v>0</v>
      </c>
    </row>
    <row r="23" spans="1:19" ht="12.75" customHeight="1" x14ac:dyDescent="0.3">
      <c r="A23" s="266" t="s">
        <v>3219</v>
      </c>
      <c r="B23" s="267" t="s">
        <v>56</v>
      </c>
      <c r="C23" s="267"/>
      <c r="D23" s="268">
        <f>IF($B23="MT",SUMPRODUCT(('1_Presupuesto'!$A$5:$A$227=$A23)*'1_Presupuesto'!$K$5:$K$227*'1_Presupuesto'!$J$5:$J$227),IF($B23="MO",SUMPRODUCT(('1_Presupuesto'!$C$5:$C$227=$A23)*'1_Presupuesto'!$L$5:$L$227*'1_Presupuesto'!$J$5:$J$227)+SUMPRODUCT(('1_Presupuesto'!$D$5:$D$227=$A23)*'1_Presupuesto'!$M$5:$M$227*'1_Presupuesto'!$J$5:$J$227),0))</f>
        <v>41278488.635223195</v>
      </c>
      <c r="E23" s="267"/>
      <c r="F23" s="268">
        <f>SUMIFS('2_Gastos'!$T:$T,'2_Gastos'!$A:$A,$A23,'2_Gastos'!$B:$B,$B23)+IF($B23="MO",SUMIFS('2_Quincenas'!$O:$O,'2_Quincenas'!$E:$E,$A23),0)</f>
        <v>16058609.598327959</v>
      </c>
      <c r="G23" s="267"/>
      <c r="H23" s="268">
        <f>SUMIFS('2_Gastos'!$U:$U,'2_Gastos'!$A:$A,$A23,'2_Gastos'!$B:$B,$B23)+IF($B23="MO",SUMIFS('2_Quincenas'!$N:$N,'2_Quincenas'!$E:$E,$A23),0)</f>
        <v>18573680.46318851</v>
      </c>
      <c r="I23" s="267"/>
      <c r="J23" s="268">
        <f t="shared" si="0"/>
        <v>25219879.036895238</v>
      </c>
      <c r="K23" s="262">
        <f t="shared" si="1"/>
        <v>0.61096905121121503</v>
      </c>
      <c r="L23" s="269"/>
      <c r="M23" s="270">
        <f t="shared" si="2"/>
        <v>0</v>
      </c>
      <c r="N23" s="262">
        <f t="shared" si="3"/>
        <v>0</v>
      </c>
      <c r="O23" s="271" t="str">
        <f t="shared" si="4"/>
        <v>🟢</v>
      </c>
      <c r="Q23" s="264">
        <f>IFERROR(IF(B23="MT",SUMIF('1_Presupuesto'!$A:$A,A23,'1_Presupuesto'!$AK:$AK)/SUMIF('1_Presupuesto'!$A:$A,A23,'1_Presupuesto'!$X:$X),IFERROR((SUMIF('1_Presupuesto'!$C:$C,A23,'1_Presupuesto'!$AL:$AL)+SUMIF('1_Presupuesto'!$D:$D,A23,'1_Presupuesto'!$AM:$AM))/(SUMPRODUCT(('1_Presupuesto'!$C$5:$C$227=A23)*'1_Presupuesto'!$S$5:$S$227*'1_Presupuesto'!$J$5:$J$227)+SUMPRODUCT(('1_Presupuesto'!$D$5:$D$227=A23)*'1_Presupuesto'!$T$5:$T$227*'1_Presupuesto'!$J$5:$J$227)),0)),0)</f>
        <v>0.2897040525799604</v>
      </c>
      <c r="S23" s="265">
        <f t="shared" si="5"/>
        <v>0</v>
      </c>
    </row>
    <row r="24" spans="1:19" ht="12.75" customHeight="1" x14ac:dyDescent="0.3">
      <c r="A24" s="272" t="s">
        <v>4271</v>
      </c>
      <c r="B24" s="269" t="s">
        <v>4090</v>
      </c>
      <c r="C24" s="269"/>
      <c r="D24" s="260">
        <f>IF($B24="MT",SUMPRODUCT(('1_Presupuesto'!$A$5:$A$227=$A24)*'1_Presupuesto'!$K$5:$K$227*'1_Presupuesto'!$J$5:$J$227),IF($B24="MO",SUMPRODUCT(('1_Presupuesto'!$C$5:$C$227=$A24)*'1_Presupuesto'!$L$5:$L$227*'1_Presupuesto'!$J$5:$J$227)+SUMPRODUCT(('1_Presupuesto'!$D$5:$D$227=$A24)*'1_Presupuesto'!$M$5:$M$227*'1_Presupuesto'!$J$5:$J$227),0))</f>
        <v>32568315.353200004</v>
      </c>
      <c r="E24" s="269"/>
      <c r="F24" s="260">
        <f>SUMIFS('2_Gastos'!$T:$T,'2_Gastos'!$A:$A,$A24,'2_Gastos'!$B:$B,$B24)+IF($B24="MO",SUMIFS('2_Quincenas'!$O:$O,'2_Quincenas'!$E:$E,$A24),0)</f>
        <v>11642897.610000001</v>
      </c>
      <c r="G24" s="269"/>
      <c r="H24" s="260">
        <f>SUMIFS('2_Gastos'!$U:$U,'2_Gastos'!$A:$A,$A24,'2_Gastos'!$B:$B,$B24)+IF($B24="MO",SUMIFS('2_Quincenas'!$N:$N,'2_Quincenas'!$E:$E,$A24),0)</f>
        <v>0</v>
      </c>
      <c r="I24" s="269"/>
      <c r="J24" s="260">
        <f t="shared" si="0"/>
        <v>20925417.743200004</v>
      </c>
      <c r="K24" s="262">
        <f t="shared" si="1"/>
        <v>0.64250844774333637</v>
      </c>
      <c r="L24" s="269"/>
      <c r="M24" s="273">
        <f t="shared" si="2"/>
        <v>0</v>
      </c>
      <c r="N24" s="262">
        <f t="shared" si="3"/>
        <v>0</v>
      </c>
      <c r="O24" s="274" t="str">
        <f t="shared" si="4"/>
        <v>🟢</v>
      </c>
      <c r="Q24" s="264">
        <f>IFERROR(IF(B24="MT",SUMIF('1_Presupuesto'!$A:$A,A24,'1_Presupuesto'!$AK:$AK)/SUMIF('1_Presupuesto'!$A:$A,A24,'1_Presupuesto'!$X:$X),IFERROR((SUMIF('1_Presupuesto'!$C:$C,A24,'1_Presupuesto'!$AL:$AL)+SUMIF('1_Presupuesto'!$D:$D,A24,'1_Presupuesto'!$AM:$AM))/(SUMPRODUCT(('1_Presupuesto'!$C$5:$C$227=A24)*'1_Presupuesto'!$S$5:$S$227*'1_Presupuesto'!$J$5:$J$227)+SUMPRODUCT(('1_Presupuesto'!$D$5:$D$227=A24)*'1_Presupuesto'!$T$5:$T$227*'1_Presupuesto'!$J$5:$J$227)),0)),0)</f>
        <v>0.14514187340221285</v>
      </c>
      <c r="S24" s="265">
        <f t="shared" si="5"/>
        <v>0</v>
      </c>
    </row>
    <row r="25" spans="1:19" ht="12.75" customHeight="1" x14ac:dyDescent="0.3">
      <c r="A25" s="266" t="s">
        <v>4271</v>
      </c>
      <c r="B25" s="267" t="s">
        <v>56</v>
      </c>
      <c r="C25" s="267"/>
      <c r="D25" s="268">
        <f>IF($B25="MT",SUMPRODUCT(('1_Presupuesto'!$A$5:$A$227=$A25)*'1_Presupuesto'!$K$5:$K$227*'1_Presupuesto'!$J$5:$J$227),IF($B25="MO",SUMPRODUCT(('1_Presupuesto'!$C$5:$C$227=$A25)*'1_Presupuesto'!$L$5:$L$227*'1_Presupuesto'!$J$5:$J$227)+SUMPRODUCT(('1_Presupuesto'!$D$5:$D$227=$A25)*'1_Presupuesto'!$M$5:$M$227*'1_Presupuesto'!$J$5:$J$227),0))</f>
        <v>75115077.759660289</v>
      </c>
      <c r="E25" s="267"/>
      <c r="F25" s="268">
        <f>SUMIFS('2_Gastos'!$T:$T,'2_Gastos'!$A:$A,$A25,'2_Gastos'!$B:$B,$B25)+IF($B25="MO",SUMIFS('2_Quincenas'!$O:$O,'2_Quincenas'!$E:$E,$A25),0)</f>
        <v>18868216.225529715</v>
      </c>
      <c r="G25" s="267"/>
      <c r="H25" s="268">
        <f>SUMIFS('2_Gastos'!$U:$U,'2_Gastos'!$A:$A,$A25,'2_Gastos'!$B:$B,$B25)+IF($B25="MO",SUMIFS('2_Quincenas'!$N:$N,'2_Quincenas'!$E:$E,$A25),0)</f>
        <v>21576050.551717896</v>
      </c>
      <c r="I25" s="267"/>
      <c r="J25" s="268">
        <f t="shared" si="0"/>
        <v>56246861.534130573</v>
      </c>
      <c r="K25" s="262">
        <f t="shared" si="1"/>
        <v>0.74880920331466816</v>
      </c>
      <c r="L25" s="269"/>
      <c r="M25" s="270">
        <f t="shared" si="2"/>
        <v>0</v>
      </c>
      <c r="N25" s="262">
        <f t="shared" si="3"/>
        <v>0</v>
      </c>
      <c r="O25" s="271" t="str">
        <f t="shared" si="4"/>
        <v>🟢</v>
      </c>
      <c r="Q25" s="264">
        <f>IFERROR(IF(B25="MT",SUMIF('1_Presupuesto'!$A:$A,A25,'1_Presupuesto'!$AK:$AK)/SUMIF('1_Presupuesto'!$A:$A,A25,'1_Presupuesto'!$X:$X),IFERROR((SUMIF('1_Presupuesto'!$C:$C,A25,'1_Presupuesto'!$AL:$AL)+SUMIF('1_Presupuesto'!$D:$D,A25,'1_Presupuesto'!$AM:$AM))/(SUMPRODUCT(('1_Presupuesto'!$C$5:$C$227=A25)*'1_Presupuesto'!$S$5:$S$227*'1_Presupuesto'!$J$5:$J$227)+SUMPRODUCT(('1_Presupuesto'!$D$5:$D$227=A25)*'1_Presupuesto'!$T$5:$T$227*'1_Presupuesto'!$J$5:$J$227)),0)),0)</f>
        <v>0.17125182543047709</v>
      </c>
      <c r="S25" s="265">
        <f t="shared" si="5"/>
        <v>0</v>
      </c>
    </row>
    <row r="26" spans="1:19" ht="12.75" customHeight="1" x14ac:dyDescent="0.3">
      <c r="A26" s="272" t="s">
        <v>4310</v>
      </c>
      <c r="B26" s="269" t="s">
        <v>4090</v>
      </c>
      <c r="C26" s="269"/>
      <c r="D26" s="260">
        <f>IF($B26="MT",SUMPRODUCT(('1_Presupuesto'!$A$5:$A$227=$A26)*'1_Presupuesto'!$K$5:$K$227*'1_Presupuesto'!$J$5:$J$227),IF($B26="MO",SUMPRODUCT(('1_Presupuesto'!$C$5:$C$227=$A26)*'1_Presupuesto'!$L$5:$L$227*'1_Presupuesto'!$J$5:$J$227)+SUMPRODUCT(('1_Presupuesto'!$D$5:$D$227=$A26)*'1_Presupuesto'!$M$5:$M$227*'1_Presupuesto'!$J$5:$J$227),0))</f>
        <v>0</v>
      </c>
      <c r="E26" s="269"/>
      <c r="F26" s="260">
        <f>SUMIFS('2_Gastos'!$T:$T,'2_Gastos'!$A:$A,$A26,'2_Gastos'!$B:$B,$B26)+IF($B26="MO",SUMIFS('2_Quincenas'!$O:$O,'2_Quincenas'!$E:$E,$A26),0)</f>
        <v>0</v>
      </c>
      <c r="G26" s="269"/>
      <c r="H26" s="260">
        <f>SUMIFS('2_Gastos'!$U:$U,'2_Gastos'!$A:$A,$A26,'2_Gastos'!$B:$B,$B26)+IF($B26="MO",SUMIFS('2_Quincenas'!$N:$N,'2_Quincenas'!$E:$E,$A26),0)</f>
        <v>0</v>
      </c>
      <c r="I26" s="269"/>
      <c r="J26" s="260">
        <f t="shared" si="0"/>
        <v>0</v>
      </c>
      <c r="K26" s="262">
        <f t="shared" si="1"/>
        <v>0</v>
      </c>
      <c r="L26" s="269"/>
      <c r="M26" s="273">
        <f t="shared" si="2"/>
        <v>0</v>
      </c>
      <c r="N26" s="262">
        <f t="shared" si="3"/>
        <v>0</v>
      </c>
      <c r="O26" s="274" t="str">
        <f t="shared" si="4"/>
        <v>🟢</v>
      </c>
      <c r="Q26" s="264">
        <f>IFERROR(IF(B26="MT",SUMIF('1_Presupuesto'!$A:$A,A26,'1_Presupuesto'!$AK:$AK)/SUMIF('1_Presupuesto'!$A:$A,A26,'1_Presupuesto'!$X:$X),IFERROR((SUMIF('1_Presupuesto'!$C:$C,A26,'1_Presupuesto'!$AL:$AL)+SUMIF('1_Presupuesto'!$D:$D,A26,'1_Presupuesto'!$AM:$AM))/(SUMPRODUCT(('1_Presupuesto'!$C$5:$C$227=A26)*'1_Presupuesto'!$S$5:$S$227*'1_Presupuesto'!$J$5:$J$227)+SUMPRODUCT(('1_Presupuesto'!$D$5:$D$227=A26)*'1_Presupuesto'!$T$5:$T$227*'1_Presupuesto'!$J$5:$J$227)),0)),0)</f>
        <v>0</v>
      </c>
      <c r="S26" s="265">
        <f t="shared" si="5"/>
        <v>0</v>
      </c>
    </row>
    <row r="27" spans="1:19" ht="12.75" customHeight="1" x14ac:dyDescent="0.3">
      <c r="A27" s="266" t="s">
        <v>4310</v>
      </c>
      <c r="B27" s="267" t="s">
        <v>56</v>
      </c>
      <c r="C27" s="267"/>
      <c r="D27" s="268">
        <f>IF($B27="MT",SUMPRODUCT(('1_Presupuesto'!$A$5:$A$227=$A27)*'1_Presupuesto'!$K$5:$K$227*'1_Presupuesto'!$J$5:$J$227),IF($B27="MO",SUMPRODUCT(('1_Presupuesto'!$C$5:$C$227=$A27)*'1_Presupuesto'!$L$5:$L$227*'1_Presupuesto'!$J$5:$J$227)+SUMPRODUCT(('1_Presupuesto'!$D$5:$D$227=$A27)*'1_Presupuesto'!$M$5:$M$227*'1_Presupuesto'!$J$5:$J$227),0))</f>
        <v>8568681.1640000008</v>
      </c>
      <c r="E27" s="267"/>
      <c r="F27" s="268">
        <f>SUMIFS('2_Gastos'!$T:$T,'2_Gastos'!$A:$A,$A27,'2_Gastos'!$B:$B,$B27)+IF($B27="MO",SUMIFS('2_Quincenas'!$O:$O,'2_Quincenas'!$E:$E,$A27),0)</f>
        <v>15201340.310000001</v>
      </c>
      <c r="G27" s="267"/>
      <c r="H27" s="268">
        <f>SUMIFS('2_Gastos'!$U:$U,'2_Gastos'!$A:$A,$A27,'2_Gastos'!$B:$B,$B27)+IF($B27="MO",SUMIFS('2_Quincenas'!$N:$N,'2_Quincenas'!$E:$E,$A27),0)</f>
        <v>0</v>
      </c>
      <c r="I27" s="267"/>
      <c r="J27" s="268">
        <f t="shared" si="0"/>
        <v>0</v>
      </c>
      <c r="K27" s="262">
        <f t="shared" si="1"/>
        <v>0</v>
      </c>
      <c r="L27" s="269"/>
      <c r="M27" s="270">
        <f t="shared" si="2"/>
        <v>6632659.1459999997</v>
      </c>
      <c r="N27" s="262">
        <f t="shared" si="3"/>
        <v>0.77405834329162571</v>
      </c>
      <c r="O27" s="271" t="str">
        <f t="shared" si="4"/>
        <v>🔴</v>
      </c>
      <c r="Q27" s="264">
        <f>IFERROR(IF(B27="MT",SUMIF('1_Presupuesto'!$A:$A,A27,'1_Presupuesto'!$AK:$AK)/SUMIF('1_Presupuesto'!$A:$A,A27,'1_Presupuesto'!$X:$X),IFERROR((SUMIF('1_Presupuesto'!$C:$C,A27,'1_Presupuesto'!$AL:$AL)+SUMIF('1_Presupuesto'!$D:$D,A27,'1_Presupuesto'!$AM:$AM))/(SUMPRODUCT(('1_Presupuesto'!$C$5:$C$227=A27)*'1_Presupuesto'!$S$5:$S$227*'1_Presupuesto'!$J$5:$J$227)+SUMPRODUCT(('1_Presupuesto'!$D$5:$D$227=A27)*'1_Presupuesto'!$T$5:$T$227*'1_Presupuesto'!$J$5:$J$227)),0)),0)</f>
        <v>0.88096184459688209</v>
      </c>
      <c r="S27" s="265">
        <f t="shared" si="5"/>
        <v>0</v>
      </c>
    </row>
    <row r="28" spans="1:19" ht="12.75" customHeight="1" x14ac:dyDescent="0.3">
      <c r="A28" s="272" t="s">
        <v>4317</v>
      </c>
      <c r="B28" s="269" t="s">
        <v>4090</v>
      </c>
      <c r="C28" s="269"/>
      <c r="D28" s="260">
        <f>IF($B28="MT",SUMPRODUCT(('1_Presupuesto'!$A$5:$A$227=$A28)*'1_Presupuesto'!$K$5:$K$227*'1_Presupuesto'!$J$5:$J$227),IF($B28="MO",SUMPRODUCT(('1_Presupuesto'!$C$5:$C$227=$A28)*'1_Presupuesto'!$L$5:$L$227*'1_Presupuesto'!$J$5:$J$227)+SUMPRODUCT(('1_Presupuesto'!$D$5:$D$227=$A28)*'1_Presupuesto'!$M$5:$M$227*'1_Presupuesto'!$J$5:$J$227),0))</f>
        <v>0</v>
      </c>
      <c r="E28" s="269"/>
      <c r="F28" s="260">
        <f>SUMIFS('2_Gastos'!$T:$T,'2_Gastos'!$A:$A,$A28,'2_Gastos'!$B:$B,$B28)+IF($B28="MO",SUMIFS('2_Quincenas'!$O:$O,'2_Quincenas'!$E:$E,$A28),0)</f>
        <v>0</v>
      </c>
      <c r="G28" s="269"/>
      <c r="H28" s="260">
        <f>SUMIFS('2_Gastos'!$U:$U,'2_Gastos'!$A:$A,$A28,'2_Gastos'!$B:$B,$B28)+IF($B28="MO",SUMIFS('2_Quincenas'!$N:$N,'2_Quincenas'!$E:$E,$A28),0)</f>
        <v>0</v>
      </c>
      <c r="I28" s="269"/>
      <c r="J28" s="260">
        <f t="shared" si="0"/>
        <v>0</v>
      </c>
      <c r="K28" s="262">
        <f t="shared" si="1"/>
        <v>0</v>
      </c>
      <c r="L28" s="269"/>
      <c r="M28" s="273">
        <f t="shared" si="2"/>
        <v>0</v>
      </c>
      <c r="N28" s="262">
        <f t="shared" si="3"/>
        <v>0</v>
      </c>
      <c r="O28" s="274" t="str">
        <f t="shared" si="4"/>
        <v>🟢</v>
      </c>
      <c r="Q28" s="264">
        <f>IFERROR(IF(B28="MT",SUMIF('1_Presupuesto'!$A:$A,A28,'1_Presupuesto'!$AK:$AK)/SUMIF('1_Presupuesto'!$A:$A,A28,'1_Presupuesto'!$X:$X),IFERROR((SUMIF('1_Presupuesto'!$C:$C,A28,'1_Presupuesto'!$AL:$AL)+SUMIF('1_Presupuesto'!$D:$D,A28,'1_Presupuesto'!$AM:$AM))/(SUMPRODUCT(('1_Presupuesto'!$C$5:$C$227=A28)*'1_Presupuesto'!$S$5:$S$227*'1_Presupuesto'!$J$5:$J$227)+SUMPRODUCT(('1_Presupuesto'!$D$5:$D$227=A28)*'1_Presupuesto'!$T$5:$T$227*'1_Presupuesto'!$J$5:$J$227)),0)),0)</f>
        <v>0</v>
      </c>
      <c r="S28" s="265">
        <f t="shared" si="5"/>
        <v>0</v>
      </c>
    </row>
    <row r="29" spans="1:19" ht="12.75" customHeight="1" x14ac:dyDescent="0.3">
      <c r="A29" s="266" t="s">
        <v>4317</v>
      </c>
      <c r="B29" s="267" t="s">
        <v>56</v>
      </c>
      <c r="C29" s="267"/>
      <c r="D29" s="268">
        <f>IF($B29="MT",SUMPRODUCT(('1_Presupuesto'!$A$5:$A$227=$A29)*'1_Presupuesto'!$K$5:$K$227*'1_Presupuesto'!$J$5:$J$227),IF($B29="MO",SUMPRODUCT(('1_Presupuesto'!$C$5:$C$227=$A29)*'1_Presupuesto'!$L$5:$L$227*'1_Presupuesto'!$J$5:$J$227)+SUMPRODUCT(('1_Presupuesto'!$D$5:$D$227=$A29)*'1_Presupuesto'!$M$5:$M$227*'1_Presupuesto'!$J$5:$J$227),0))</f>
        <v>13600000</v>
      </c>
      <c r="E29" s="267"/>
      <c r="F29" s="268">
        <f>SUMIFS('2_Gastos'!$T:$T,'2_Gastos'!$A:$A,$A29,'2_Gastos'!$B:$B,$B29)+IF($B29="MO",SUMIFS('2_Quincenas'!$O:$O,'2_Quincenas'!$E:$E,$A29),0)</f>
        <v>6339409.96</v>
      </c>
      <c r="G29" s="267"/>
      <c r="H29" s="268">
        <f>SUMIFS('2_Gastos'!$U:$U,'2_Gastos'!$A:$A,$A29,'2_Gastos'!$B:$B,$B29)+IF($B29="MO",SUMIFS('2_Quincenas'!$N:$N,'2_Quincenas'!$E:$E,$A29),0)</f>
        <v>0</v>
      </c>
      <c r="I29" s="267"/>
      <c r="J29" s="268">
        <f t="shared" si="0"/>
        <v>7260590.04</v>
      </c>
      <c r="K29" s="262">
        <f t="shared" si="1"/>
        <v>0.53386691470588232</v>
      </c>
      <c r="L29" s="269"/>
      <c r="M29" s="270">
        <f t="shared" si="2"/>
        <v>0</v>
      </c>
      <c r="N29" s="262">
        <f t="shared" si="3"/>
        <v>0</v>
      </c>
      <c r="O29" s="271" t="str">
        <f t="shared" si="4"/>
        <v>🟢</v>
      </c>
      <c r="Q29" s="264">
        <f>IFERROR(IF(B29="MT",SUMIF('1_Presupuesto'!$A:$A,A29,'1_Presupuesto'!$AK:$AK)/SUMIF('1_Presupuesto'!$A:$A,A29,'1_Presupuesto'!$X:$X),IFERROR((SUMIF('1_Presupuesto'!$C:$C,A29,'1_Presupuesto'!$AL:$AL)+SUMIF('1_Presupuesto'!$D:$D,A29,'1_Presupuesto'!$AM:$AM))/(SUMPRODUCT(('1_Presupuesto'!$C$5:$C$227=A29)*'1_Presupuesto'!$S$5:$S$227*'1_Presupuesto'!$J$5:$J$227)+SUMPRODUCT(('1_Presupuesto'!$D$5:$D$227=A29)*'1_Presupuesto'!$T$5:$T$227*'1_Presupuesto'!$J$5:$J$227)),0)),0)</f>
        <v>0.6</v>
      </c>
      <c r="S29" s="265">
        <f t="shared" si="5"/>
        <v>0</v>
      </c>
    </row>
    <row r="30" spans="1:19" ht="12.75" customHeight="1" x14ac:dyDescent="0.3">
      <c r="A30" s="272" t="s">
        <v>4320</v>
      </c>
      <c r="B30" s="269" t="s">
        <v>4090</v>
      </c>
      <c r="C30" s="269"/>
      <c r="D30" s="260">
        <f>IF($B30="MT",SUMPRODUCT(('1_Presupuesto'!$A$5:$A$227=$A30)*'1_Presupuesto'!$K$5:$K$227*'1_Presupuesto'!$J$5:$J$227),IF($B30="MO",SUMPRODUCT(('1_Presupuesto'!$C$5:$C$227=$A30)*'1_Presupuesto'!$L$5:$L$227*'1_Presupuesto'!$J$5:$J$227)+SUMPRODUCT(('1_Presupuesto'!$D$5:$D$227=$A30)*'1_Presupuesto'!$M$5:$M$227*'1_Presupuesto'!$J$5:$J$227),0))</f>
        <v>0</v>
      </c>
      <c r="E30" s="269"/>
      <c r="F30" s="260">
        <f>SUMIFS('2_Gastos'!$T:$T,'2_Gastos'!$A:$A,$A30,'2_Gastos'!$B:$B,$B30)+IF($B30="MO",SUMIFS('2_Quincenas'!$O:$O,'2_Quincenas'!$E:$E,$A30),0)</f>
        <v>0</v>
      </c>
      <c r="G30" s="269"/>
      <c r="H30" s="260">
        <f>SUMIFS('2_Gastos'!$U:$U,'2_Gastos'!$A:$A,$A30,'2_Gastos'!$B:$B,$B30)+IF($B30="MO",SUMIFS('2_Quincenas'!$N:$N,'2_Quincenas'!$E:$E,$A30),0)</f>
        <v>0</v>
      </c>
      <c r="I30" s="269"/>
      <c r="J30" s="260">
        <f t="shared" si="0"/>
        <v>0</v>
      </c>
      <c r="K30" s="262">
        <f t="shared" si="1"/>
        <v>0</v>
      </c>
      <c r="L30" s="269"/>
      <c r="M30" s="273">
        <f t="shared" si="2"/>
        <v>0</v>
      </c>
      <c r="N30" s="262">
        <f t="shared" si="3"/>
        <v>0</v>
      </c>
      <c r="O30" s="274" t="str">
        <f t="shared" si="4"/>
        <v>🟢</v>
      </c>
      <c r="Q30" s="264">
        <f>IFERROR(IF(B30="MT",SUMIF('1_Presupuesto'!$A:$A,A30,'1_Presupuesto'!$AK:$AK)/SUMIF('1_Presupuesto'!$A:$A,A30,'1_Presupuesto'!$X:$X),IFERROR((SUMIF('1_Presupuesto'!$C:$C,A30,'1_Presupuesto'!$AL:$AL)+SUMIF('1_Presupuesto'!$D:$D,A30,'1_Presupuesto'!$AM:$AM))/(SUMPRODUCT(('1_Presupuesto'!$C$5:$C$227=A30)*'1_Presupuesto'!$S$5:$S$227*'1_Presupuesto'!$J$5:$J$227)+SUMPRODUCT(('1_Presupuesto'!$D$5:$D$227=A30)*'1_Presupuesto'!$T$5:$T$227*'1_Presupuesto'!$J$5:$J$227)),0)),0)</f>
        <v>0</v>
      </c>
      <c r="S30" s="265">
        <f t="shared" si="5"/>
        <v>0</v>
      </c>
    </row>
    <row r="31" spans="1:19" ht="12.75" customHeight="1" x14ac:dyDescent="0.3">
      <c r="A31" s="266" t="s">
        <v>4320</v>
      </c>
      <c r="B31" s="267" t="s">
        <v>56</v>
      </c>
      <c r="C31" s="267"/>
      <c r="D31" s="268">
        <f>IF($B31="MT",SUMPRODUCT(('1_Presupuesto'!$A$5:$A$227=$A31)*'1_Presupuesto'!$K$5:$K$227*'1_Presupuesto'!$J$5:$J$227),IF($B31="MO",SUMPRODUCT(('1_Presupuesto'!$C$5:$C$227=$A31)*'1_Presupuesto'!$L$5:$L$227*'1_Presupuesto'!$J$5:$J$227)+SUMPRODUCT(('1_Presupuesto'!$D$5:$D$227=$A31)*'1_Presupuesto'!$M$5:$M$227*'1_Presupuesto'!$J$5:$J$227),0))</f>
        <v>74327579.893999979</v>
      </c>
      <c r="E31" s="267"/>
      <c r="F31" s="268">
        <f>SUMIFS('2_Gastos'!$T:$T,'2_Gastos'!$A:$A,$A31,'2_Gastos'!$B:$B,$B31)+IF($B31="MO",SUMIFS('2_Quincenas'!$O:$O,'2_Quincenas'!$E:$E,$A31),0)</f>
        <v>0</v>
      </c>
      <c r="G31" s="267"/>
      <c r="H31" s="268">
        <f>SUMIFS('2_Gastos'!$U:$U,'2_Gastos'!$A:$A,$A31,'2_Gastos'!$B:$B,$B31)+IF($B31="MO",SUMIFS('2_Quincenas'!$N:$N,'2_Quincenas'!$E:$E,$A31),0)</f>
        <v>0</v>
      </c>
      <c r="I31" s="267"/>
      <c r="J31" s="268">
        <f t="shared" si="0"/>
        <v>74327579.893999979</v>
      </c>
      <c r="K31" s="262">
        <f t="shared" si="1"/>
        <v>1</v>
      </c>
      <c r="L31" s="269"/>
      <c r="M31" s="270">
        <f t="shared" si="2"/>
        <v>0</v>
      </c>
      <c r="N31" s="262">
        <f t="shared" si="3"/>
        <v>0</v>
      </c>
      <c r="O31" s="271" t="str">
        <f t="shared" si="4"/>
        <v>🟢</v>
      </c>
      <c r="Q31" s="264">
        <f>IFERROR(IF(B31="MT",SUMIF('1_Presupuesto'!$A:$A,A31,'1_Presupuesto'!$AK:$AK)/SUMIF('1_Presupuesto'!$A:$A,A31,'1_Presupuesto'!$X:$X),IFERROR((SUMIF('1_Presupuesto'!$C:$C,A31,'1_Presupuesto'!$AL:$AL)+SUMIF('1_Presupuesto'!$D:$D,A31,'1_Presupuesto'!$AM:$AM))/(SUMPRODUCT(('1_Presupuesto'!$C$5:$C$227=A31)*'1_Presupuesto'!$S$5:$S$227*'1_Presupuesto'!$J$5:$J$227)+SUMPRODUCT(('1_Presupuesto'!$D$5:$D$227=A31)*'1_Presupuesto'!$T$5:$T$227*'1_Presupuesto'!$J$5:$J$227)),0)),0)</f>
        <v>0.6</v>
      </c>
      <c r="S31" s="265">
        <f t="shared" si="5"/>
        <v>0</v>
      </c>
    </row>
    <row r="32" spans="1:19" ht="12.75" customHeight="1" x14ac:dyDescent="0.3">
      <c r="A32" s="272" t="s">
        <v>5214</v>
      </c>
      <c r="B32" s="269" t="s">
        <v>4090</v>
      </c>
      <c r="C32" s="269"/>
      <c r="D32" s="260">
        <f>IF($B32="MT",SUMPRODUCT(('1_Presupuesto'!$A$5:$A$227=$A32)*'1_Presupuesto'!$K$5:$K$227*'1_Presupuesto'!$J$5:$J$227),IF($B32="MO",SUMPRODUCT(('1_Presupuesto'!$C$5:$C$227=$A32)*'1_Presupuesto'!$L$5:$L$227*'1_Presupuesto'!$J$5:$J$227)+SUMPRODUCT(('1_Presupuesto'!$D$5:$D$227=$A32)*'1_Presupuesto'!$M$5:$M$227*'1_Presupuesto'!$J$5:$J$227),0))</f>
        <v>0</v>
      </c>
      <c r="E32" s="269"/>
      <c r="F32" s="260">
        <f>SUMIFS('2_Gastos'!$T:$T,'2_Gastos'!$A:$A,$A32,'2_Gastos'!$B:$B,$B32)+IF($B32="MO",SUMIFS('2_Quincenas'!$O:$O,'2_Quincenas'!$E:$E,$A32),0)</f>
        <v>0</v>
      </c>
      <c r="G32" s="269"/>
      <c r="H32" s="260">
        <f>SUMIFS('2_Gastos'!$U:$U,'2_Gastos'!$A:$A,$A32,'2_Gastos'!$B:$B,$B32)+IF($B32="MO",SUMIFS('2_Quincenas'!$N:$N,'2_Quincenas'!$E:$E,$A32),0)</f>
        <v>0</v>
      </c>
      <c r="I32" s="269"/>
      <c r="J32" s="260">
        <f t="shared" si="0"/>
        <v>0</v>
      </c>
      <c r="K32" s="262">
        <f t="shared" si="1"/>
        <v>0</v>
      </c>
      <c r="L32" s="269"/>
      <c r="M32" s="273">
        <f t="shared" si="2"/>
        <v>0</v>
      </c>
      <c r="N32" s="262">
        <f t="shared" si="3"/>
        <v>0</v>
      </c>
      <c r="O32" s="274" t="str">
        <f t="shared" si="4"/>
        <v>🟢</v>
      </c>
      <c r="Q32" s="264">
        <f>IFERROR(IF(B32="MT",SUMIF('1_Presupuesto'!$A:$A,A32,'1_Presupuesto'!$AK:$AK)/SUMIF('1_Presupuesto'!$A:$A,A32,'1_Presupuesto'!$X:$X),IFERROR((SUMIF('1_Presupuesto'!$C:$C,A32,'1_Presupuesto'!$AL:$AL)+SUMIF('1_Presupuesto'!$D:$D,A32,'1_Presupuesto'!$AM:$AM))/(SUMPRODUCT(('1_Presupuesto'!$C$5:$C$227=A32)*'1_Presupuesto'!$S$5:$S$227*'1_Presupuesto'!$J$5:$J$227)+SUMPRODUCT(('1_Presupuesto'!$D$5:$D$227=A32)*'1_Presupuesto'!$T$5:$T$227*'1_Presupuesto'!$J$5:$J$227)),0)),0)</f>
        <v>0</v>
      </c>
      <c r="S32" s="265">
        <f t="shared" si="5"/>
        <v>0</v>
      </c>
    </row>
    <row r="33" spans="1:19" ht="12.75" customHeight="1" x14ac:dyDescent="0.3">
      <c r="A33" s="266" t="s">
        <v>5214</v>
      </c>
      <c r="B33" s="267" t="s">
        <v>56</v>
      </c>
      <c r="C33" s="267"/>
      <c r="D33" s="268">
        <f>IF($B33="MT",SUMPRODUCT(('1_Presupuesto'!$A$5:$A$227=$A33)*'1_Presupuesto'!$K$5:$K$227*'1_Presupuesto'!$J$5:$J$227),IF($B33="MO",SUMPRODUCT(('1_Presupuesto'!$C$5:$C$227=$A33)*'1_Presupuesto'!$L$5:$L$227*'1_Presupuesto'!$J$5:$J$227)+SUMPRODUCT(('1_Presupuesto'!$D$5:$D$227=$A33)*'1_Presupuesto'!$M$5:$M$227*'1_Presupuesto'!$J$5:$J$227),0))</f>
        <v>0</v>
      </c>
      <c r="E33" s="267"/>
      <c r="F33" s="268">
        <f>SUMIFS('2_Gastos'!$T:$T,'2_Gastos'!$A:$A,$A33,'2_Gastos'!$B:$B,$B33)+IF($B33="MO",SUMIFS('2_Quincenas'!$O:$O,'2_Quincenas'!$E:$E,$A33),0)</f>
        <v>0</v>
      </c>
      <c r="G33" s="267"/>
      <c r="H33" s="268">
        <f>SUMIFS('2_Gastos'!$U:$U,'2_Gastos'!$A:$A,$A33,'2_Gastos'!$B:$B,$B33)+IF($B33="MO",SUMIFS('2_Quincenas'!$N:$N,'2_Quincenas'!$E:$E,$A33),0)</f>
        <v>0</v>
      </c>
      <c r="I33" s="267"/>
      <c r="J33" s="268">
        <f t="shared" si="0"/>
        <v>0</v>
      </c>
      <c r="K33" s="262">
        <f t="shared" si="1"/>
        <v>0</v>
      </c>
      <c r="L33" s="269"/>
      <c r="M33" s="270">
        <f t="shared" si="2"/>
        <v>0</v>
      </c>
      <c r="N33" s="262">
        <f t="shared" si="3"/>
        <v>0</v>
      </c>
      <c r="O33" s="271" t="str">
        <f t="shared" si="4"/>
        <v>🟢</v>
      </c>
      <c r="Q33" s="264">
        <f>IFERROR(IF(B33="MT",SUMIF('1_Presupuesto'!$A:$A,A33,'1_Presupuesto'!$AK:$AK)/SUMIF('1_Presupuesto'!$A:$A,A33,'1_Presupuesto'!$X:$X),IFERROR((SUMIF('1_Presupuesto'!$C:$C,A33,'1_Presupuesto'!$AL:$AL)+SUMIF('1_Presupuesto'!$D:$D,A33,'1_Presupuesto'!$AM:$AM))/(SUMPRODUCT(('1_Presupuesto'!$C$5:$C$227=A33)*'1_Presupuesto'!$S$5:$S$227*'1_Presupuesto'!$J$5:$J$227)+SUMPRODUCT(('1_Presupuesto'!$D$5:$D$227=A33)*'1_Presupuesto'!$T$5:$T$227*'1_Presupuesto'!$J$5:$J$227)),0)),0)</f>
        <v>0</v>
      </c>
      <c r="S33" s="265">
        <f t="shared" si="5"/>
        <v>0</v>
      </c>
    </row>
    <row r="34" spans="1:19" ht="13.5" customHeight="1" x14ac:dyDescent="0.3">
      <c r="A34" s="276" t="s">
        <v>5215</v>
      </c>
      <c r="B34" s="277"/>
      <c r="C34" s="277"/>
      <c r="D34" s="278">
        <f>+SUM(D4:D33)</f>
        <v>994598033.29087806</v>
      </c>
      <c r="E34" s="277"/>
      <c r="F34" s="278">
        <f>+SUM(F4:F33)</f>
        <v>440731264.61309105</v>
      </c>
      <c r="G34" s="277"/>
      <c r="H34" s="278">
        <f>+SUM(H4:H33)</f>
        <v>147709624.84797835</v>
      </c>
      <c r="I34" s="277"/>
      <c r="J34" s="278">
        <f>+SUM(J4:J33)</f>
        <v>563106451.33908403</v>
      </c>
      <c r="K34" s="279">
        <f>IF(J34&gt;0,J34/D34,"")</f>
        <v>0.5661648550378735</v>
      </c>
      <c r="L34" s="277"/>
      <c r="M34" s="278">
        <f t="shared" si="2"/>
        <v>0</v>
      </c>
      <c r="N34" s="279">
        <f>IF(M34&gt;0,M34/D34,0)</f>
        <v>0</v>
      </c>
      <c r="O34" s="280" t="str">
        <f>IF($N34=0,"⚪","🔴")</f>
        <v>⚪</v>
      </c>
      <c r="Q34" s="264">
        <f>IFERROR((SUM('1_Presupuesto'!$AK:$AK)+SUM('1_Presupuesto'!$AL:$AL)+SUM('1_Presupuesto'!$AM:$AM))/(SUM('1_Presupuesto'!$X:$X)+SUMPRODUCT('1_Presupuesto'!$S$5:$S$227*'1_Presupuesto'!$J$5:$J$227)+SUMPRODUCT('1_Presupuesto'!$T$5:$T$227*'1_Presupuesto'!$J$5:$J$227)),0)</f>
        <v>0.4627424598186029</v>
      </c>
    </row>
    <row r="35" spans="1:19" ht="12.75" hidden="1" customHeight="1" x14ac:dyDescent="0.3"/>
    <row r="36" spans="1:19" ht="12.75" hidden="1" customHeight="1" x14ac:dyDescent="0.3"/>
    <row r="37" spans="1:19" ht="12.75" customHeight="1" x14ac:dyDescent="0.3">
      <c r="A37" s="552" t="s">
        <v>5216</v>
      </c>
      <c r="D37" s="553">
        <f>D34-'0_CONFIG'!B18</f>
        <v>0</v>
      </c>
      <c r="E37" s="557" t="str">
        <f>IF(ABS(D37)&lt;1,"✓","⚠")</f>
        <v>✓</v>
      </c>
    </row>
    <row r="38" spans="1:19" ht="12.75" customHeight="1" x14ac:dyDescent="0.3">
      <c r="B38" s="2"/>
      <c r="C38" s="2"/>
    </row>
    <row r="39" spans="1:19" ht="12.75" hidden="1" customHeight="1" x14ac:dyDescent="0.3"/>
    <row r="40" spans="1:19" ht="12.75" hidden="1" customHeight="1" x14ac:dyDescent="0.3"/>
    <row r="41" spans="1:19" ht="12.75" hidden="1" customHeight="1" x14ac:dyDescent="0.3"/>
    <row r="42" spans="1:19" ht="12.75" customHeight="1" x14ac:dyDescent="0.3">
      <c r="A42" s="253" t="s">
        <v>5217</v>
      </c>
      <c r="B42" s="254"/>
      <c r="C42" s="255"/>
      <c r="D42" s="254"/>
      <c r="E42" s="255"/>
      <c r="F42" s="254"/>
      <c r="G42" s="255"/>
      <c r="H42" s="254"/>
      <c r="I42" s="255"/>
      <c r="J42" s="254"/>
      <c r="K42" s="254"/>
      <c r="L42" s="255"/>
      <c r="M42" s="254"/>
      <c r="N42" s="254"/>
      <c r="O42" s="254"/>
      <c r="P42" s="147"/>
      <c r="R42" s="147"/>
    </row>
    <row r="43" spans="1:19" ht="12.75" customHeight="1" x14ac:dyDescent="0.3">
      <c r="A43" s="272" t="s">
        <v>4338</v>
      </c>
      <c r="B43" s="269"/>
      <c r="C43" s="269"/>
      <c r="D43" s="558">
        <f>IFERROR(_xlfn.XLOOKUP($A43,'1_GGBB'!$B$6:$B$48,'1_GGBB'!$G$6:$G$48,0),0)</f>
        <v>0</v>
      </c>
      <c r="E43" s="269"/>
      <c r="F43" s="260">
        <f>IFERROR(INDEX('2_Gastos_DirInd'!$Y:$Y,MATCH(A43,'2_Gastos_DirInd'!$A:$A,0)),0)</f>
        <v>0</v>
      </c>
      <c r="G43" s="269"/>
      <c r="H43" s="260">
        <f>IFERROR(INDEX('2_Gastos_DirInd'!$X:$X,MATCH(A43,'2_Gastos_DirInd'!$A:$A,0)),0)</f>
        <v>0</v>
      </c>
      <c r="I43" s="269"/>
      <c r="J43" s="260">
        <f t="shared" ref="J43:J55" si="6">IF(D43-F43&lt;0,0,D43-F43)</f>
        <v>0</v>
      </c>
      <c r="K43" s="262">
        <f t="shared" ref="K43:K55" si="7">IFERROR(J43/D43,0)</f>
        <v>0</v>
      </c>
      <c r="L43" s="269"/>
      <c r="M43" s="273">
        <f t="shared" ref="M43:M55" si="8">IF(D43-F43&lt;0,F43-D43,0)</f>
        <v>0</v>
      </c>
      <c r="N43" s="262">
        <f t="shared" ref="N43:N55" si="9">IFERROR(IF(M43&gt;0,M43/D43,0),0)</f>
        <v>0</v>
      </c>
      <c r="O43" s="271" t="str">
        <f t="shared" ref="O43:O55" si="10">IF($N43=0,"⚪","🔴")</f>
        <v>⚪</v>
      </c>
    </row>
    <row r="44" spans="1:19" ht="12.75" customHeight="1" x14ac:dyDescent="0.3">
      <c r="A44" s="272" t="s">
        <v>4340</v>
      </c>
      <c r="B44" s="269"/>
      <c r="C44" s="269"/>
      <c r="D44" s="558">
        <f>IFERROR(_xlfn.XLOOKUP($A44,'1_GGBB'!$B$6:$B$48,'1_GGBB'!$G$6:$G$48,0),0)</f>
        <v>0</v>
      </c>
      <c r="E44" s="269"/>
      <c r="F44" s="260">
        <f>IFERROR(INDEX('2_Gastos_DirInd'!$Y:$Y,MATCH(A44,'2_Gastos_DirInd'!$A:$A,0)),0)</f>
        <v>0</v>
      </c>
      <c r="G44" s="269"/>
      <c r="H44" s="260">
        <f>IFERROR(INDEX('2_Gastos_DirInd'!$X:$X,MATCH(A44,'2_Gastos_DirInd'!$A:$A,0)),0)</f>
        <v>0</v>
      </c>
      <c r="I44" s="269"/>
      <c r="J44" s="260">
        <f t="shared" si="6"/>
        <v>0</v>
      </c>
      <c r="K44" s="262">
        <f t="shared" si="7"/>
        <v>0</v>
      </c>
      <c r="L44" s="269"/>
      <c r="M44" s="273">
        <f t="shared" si="8"/>
        <v>0</v>
      </c>
      <c r="N44" s="262">
        <f t="shared" si="9"/>
        <v>0</v>
      </c>
      <c r="O44" s="271" t="str">
        <f t="shared" si="10"/>
        <v>⚪</v>
      </c>
    </row>
    <row r="45" spans="1:19" ht="12.75" customHeight="1" x14ac:dyDescent="0.3">
      <c r="A45" s="272" t="s">
        <v>4342</v>
      </c>
      <c r="B45" s="269"/>
      <c r="C45" s="269"/>
      <c r="D45" s="558">
        <f>IFERROR(_xlfn.XLOOKUP($A45,'1_GGBB'!$B$6:$B$48,'1_GGBB'!$G$6:$G$48,0),0)</f>
        <v>0</v>
      </c>
      <c r="E45" s="269"/>
      <c r="F45" s="260">
        <f>IFERROR(INDEX('2_Gastos_DirInd'!$Y:$Y,MATCH(A45,'2_Gastos_DirInd'!$A:$A,0)),0)</f>
        <v>0</v>
      </c>
      <c r="G45" s="269"/>
      <c r="H45" s="260">
        <f>IFERROR(INDEX('2_Gastos_DirInd'!$X:$X,MATCH(A45,'2_Gastos_DirInd'!$A:$A,0)),0)</f>
        <v>0</v>
      </c>
      <c r="I45" s="269"/>
      <c r="J45" s="260">
        <f t="shared" si="6"/>
        <v>0</v>
      </c>
      <c r="K45" s="262">
        <f t="shared" si="7"/>
        <v>0</v>
      </c>
      <c r="L45" s="269"/>
      <c r="M45" s="273">
        <f t="shared" si="8"/>
        <v>0</v>
      </c>
      <c r="N45" s="262">
        <f t="shared" si="9"/>
        <v>0</v>
      </c>
      <c r="O45" s="271" t="str">
        <f t="shared" si="10"/>
        <v>⚪</v>
      </c>
    </row>
    <row r="46" spans="1:19" ht="12.75" customHeight="1" x14ac:dyDescent="0.3">
      <c r="A46" s="272" t="s">
        <v>4345</v>
      </c>
      <c r="B46" s="269"/>
      <c r="C46" s="269"/>
      <c r="D46" s="558">
        <f>IFERROR(_xlfn.XLOOKUP($A46,'1_GGBB'!$B$6:$B$48,'1_GGBB'!$G$6:$G$48,0),0)</f>
        <v>0</v>
      </c>
      <c r="E46" s="269"/>
      <c r="F46" s="260">
        <f>IFERROR(INDEX('2_Gastos_DirInd'!$Y:$Y,MATCH(A46,'2_Gastos_DirInd'!$A:$A,0)),0)</f>
        <v>0</v>
      </c>
      <c r="G46" s="269"/>
      <c r="H46" s="260">
        <f>IFERROR(INDEX('2_Gastos_DirInd'!$X:$X,MATCH(A46,'2_Gastos_DirInd'!$A:$A,0)),0)</f>
        <v>0</v>
      </c>
      <c r="I46" s="269"/>
      <c r="J46" s="260">
        <f t="shared" si="6"/>
        <v>0</v>
      </c>
      <c r="K46" s="262">
        <f t="shared" si="7"/>
        <v>0</v>
      </c>
      <c r="L46" s="269"/>
      <c r="M46" s="273">
        <f t="shared" si="8"/>
        <v>0</v>
      </c>
      <c r="N46" s="262">
        <f t="shared" si="9"/>
        <v>0</v>
      </c>
      <c r="O46" s="271" t="str">
        <f t="shared" si="10"/>
        <v>⚪</v>
      </c>
    </row>
    <row r="47" spans="1:19" ht="12.75" customHeight="1" x14ac:dyDescent="0.3">
      <c r="A47" s="272" t="s">
        <v>4350</v>
      </c>
      <c r="B47" s="269"/>
      <c r="C47" s="269"/>
      <c r="D47" s="558">
        <f>IFERROR(_xlfn.XLOOKUP($A47,'1_GGBB'!$B$6:$B$48,'1_GGBB'!$G$6:$G$48,0),0)</f>
        <v>6018681.1639999999</v>
      </c>
      <c r="E47" s="269"/>
      <c r="F47" s="260">
        <f>IFERROR(INDEX('2_Gastos_DirInd'!$Y:$Y,MATCH(A47,'2_Gastos_DirInd'!$A:$A,0)),0)</f>
        <v>0</v>
      </c>
      <c r="G47" s="269"/>
      <c r="H47" s="260">
        <f>IFERROR(INDEX('2_Gastos_DirInd'!$X:$X,MATCH(A47,'2_Gastos_DirInd'!$A:$A,0)),0)</f>
        <v>0</v>
      </c>
      <c r="I47" s="269"/>
      <c r="J47" s="260">
        <f t="shared" si="6"/>
        <v>6018681.1639999999</v>
      </c>
      <c r="K47" s="262">
        <f t="shared" si="7"/>
        <v>1</v>
      </c>
      <c r="L47" s="269"/>
      <c r="M47" s="273">
        <f t="shared" si="8"/>
        <v>0</v>
      </c>
      <c r="N47" s="262">
        <f t="shared" si="9"/>
        <v>0</v>
      </c>
      <c r="O47" s="271" t="str">
        <f t="shared" si="10"/>
        <v>⚪</v>
      </c>
    </row>
    <row r="48" spans="1:19" ht="12.75" customHeight="1" x14ac:dyDescent="0.3">
      <c r="A48" s="272" t="s">
        <v>4352</v>
      </c>
      <c r="B48" s="269"/>
      <c r="C48" s="269"/>
      <c r="D48" s="558">
        <f>IFERROR(_xlfn.XLOOKUP($A48,'1_GGBB'!$B$6:$B$48,'1_GGBB'!$G$6:$G$48,0),0)</f>
        <v>2550000</v>
      </c>
      <c r="E48" s="269"/>
      <c r="F48" s="260">
        <f>IFERROR(INDEX('2_Gastos_DirInd'!$Y:$Y,MATCH(A48,'2_Gastos_DirInd'!$A:$A,0)),0)</f>
        <v>0</v>
      </c>
      <c r="G48" s="269"/>
      <c r="H48" s="260">
        <f>IFERROR(INDEX('2_Gastos_DirInd'!$X:$X,MATCH(A48,'2_Gastos_DirInd'!$A:$A,0)),0)</f>
        <v>0</v>
      </c>
      <c r="I48" s="269"/>
      <c r="J48" s="260">
        <f t="shared" si="6"/>
        <v>2550000</v>
      </c>
      <c r="K48" s="262">
        <f t="shared" si="7"/>
        <v>1</v>
      </c>
      <c r="L48" s="269"/>
      <c r="M48" s="273">
        <f t="shared" si="8"/>
        <v>0</v>
      </c>
      <c r="N48" s="262">
        <f t="shared" si="9"/>
        <v>0</v>
      </c>
      <c r="O48" s="271" t="str">
        <f t="shared" si="10"/>
        <v>⚪</v>
      </c>
    </row>
    <row r="49" spans="1:18" ht="12.75" customHeight="1" x14ac:dyDescent="0.3">
      <c r="A49" s="272" t="s">
        <v>4354</v>
      </c>
      <c r="B49" s="269"/>
      <c r="C49" s="269"/>
      <c r="D49" s="558">
        <f>IFERROR(_xlfn.XLOOKUP($A49,'1_GGBB'!$B$6:$B$48,'1_GGBB'!$G$6:$G$48,0),0)</f>
        <v>1700000</v>
      </c>
      <c r="E49" s="269"/>
      <c r="F49" s="260">
        <f>IFERROR(INDEX('2_Gastos_DirInd'!$Y:$Y,MATCH(A49,'2_Gastos_DirInd'!$A:$A,0)),0)</f>
        <v>0</v>
      </c>
      <c r="G49" s="269"/>
      <c r="H49" s="260">
        <f>IFERROR(INDEX('2_Gastos_DirInd'!$X:$X,MATCH(A49,'2_Gastos_DirInd'!$A:$A,0)),0)</f>
        <v>0</v>
      </c>
      <c r="I49" s="269"/>
      <c r="J49" s="260">
        <f t="shared" si="6"/>
        <v>1700000</v>
      </c>
      <c r="K49" s="262">
        <f t="shared" si="7"/>
        <v>1</v>
      </c>
      <c r="L49" s="269"/>
      <c r="M49" s="273">
        <f t="shared" si="8"/>
        <v>0</v>
      </c>
      <c r="N49" s="262">
        <f t="shared" si="9"/>
        <v>0</v>
      </c>
      <c r="O49" s="271" t="str">
        <f t="shared" si="10"/>
        <v>⚪</v>
      </c>
    </row>
    <row r="50" spans="1:18" ht="12.75" customHeight="1" x14ac:dyDescent="0.3">
      <c r="A50" s="272" t="s">
        <v>4356</v>
      </c>
      <c r="B50" s="269"/>
      <c r="C50" s="269"/>
      <c r="D50" s="558">
        <f>IFERROR(_xlfn.XLOOKUP($A50,'1_GGBB'!$B$6:$B$48,'1_GGBB'!$G$6:$G$48,0),0)</f>
        <v>4250000</v>
      </c>
      <c r="E50" s="269"/>
      <c r="F50" s="260">
        <f>IFERROR(INDEX('2_Gastos_DirInd'!$Y:$Y,MATCH(A50,'2_Gastos_DirInd'!$A:$A,0)),0)</f>
        <v>0</v>
      </c>
      <c r="G50" s="269"/>
      <c r="H50" s="260">
        <f>IFERROR(INDEX('2_Gastos_DirInd'!$X:$X,MATCH(A50,'2_Gastos_DirInd'!$A:$A,0)),0)</f>
        <v>0</v>
      </c>
      <c r="I50" s="269"/>
      <c r="J50" s="260">
        <f t="shared" si="6"/>
        <v>4250000</v>
      </c>
      <c r="K50" s="262">
        <f t="shared" si="7"/>
        <v>1</v>
      </c>
      <c r="L50" s="269"/>
      <c r="M50" s="273">
        <f t="shared" si="8"/>
        <v>0</v>
      </c>
      <c r="N50" s="262">
        <f t="shared" si="9"/>
        <v>0</v>
      </c>
      <c r="O50" s="271" t="str">
        <f t="shared" si="10"/>
        <v>⚪</v>
      </c>
    </row>
    <row r="51" spans="1:18" ht="12.75" customHeight="1" x14ac:dyDescent="0.3">
      <c r="A51" s="272" t="s">
        <v>4357</v>
      </c>
      <c r="B51" s="269"/>
      <c r="C51" s="269"/>
      <c r="D51" s="558">
        <f>IFERROR(_xlfn.XLOOKUP($A51,'1_GGBB'!$B$6:$B$48,'1_GGBB'!$G$6:$G$48,0),0)</f>
        <v>850000</v>
      </c>
      <c r="E51" s="269"/>
      <c r="F51" s="260">
        <f>IFERROR(INDEX('2_Gastos_DirInd'!$Y:$Y,MATCH(A51,'2_Gastos_DirInd'!$A:$A,0)),0)</f>
        <v>0</v>
      </c>
      <c r="G51" s="269"/>
      <c r="H51" s="260">
        <f>IFERROR(INDEX('2_Gastos_DirInd'!$X:$X,MATCH(A51,'2_Gastos_DirInd'!$A:$A,0)),0)</f>
        <v>0</v>
      </c>
      <c r="I51" s="269"/>
      <c r="J51" s="260">
        <f t="shared" si="6"/>
        <v>850000</v>
      </c>
      <c r="K51" s="262">
        <f t="shared" si="7"/>
        <v>1</v>
      </c>
      <c r="L51" s="269"/>
      <c r="M51" s="273">
        <f t="shared" si="8"/>
        <v>0</v>
      </c>
      <c r="N51" s="262">
        <f t="shared" si="9"/>
        <v>0</v>
      </c>
      <c r="O51" s="271" t="str">
        <f t="shared" si="10"/>
        <v>⚪</v>
      </c>
    </row>
    <row r="52" spans="1:18" ht="12.75" customHeight="1" x14ac:dyDescent="0.3">
      <c r="A52" s="272" t="s">
        <v>4361</v>
      </c>
      <c r="B52" s="269"/>
      <c r="C52" s="269"/>
      <c r="D52" s="558">
        <f>IFERROR(_xlfn.XLOOKUP($A52,'1_GGBB'!$B$6:$B$48,'1_GGBB'!$G$6:$G$48,0),0)</f>
        <v>25579394.947000001</v>
      </c>
      <c r="E52" s="269"/>
      <c r="F52" s="260">
        <f>IFERROR(INDEX('2_Gastos_DirInd'!$Y:$Y,MATCH(A52,'2_Gastos_DirInd'!$A:$A,0)),0)</f>
        <v>33166449.172131255</v>
      </c>
      <c r="G52" s="269"/>
      <c r="H52" s="260">
        <f>IFERROR(INDEX('2_Gastos_DirInd'!$X:$X,MATCH(A52,'2_Gastos_DirInd'!$A:$A,0)),0)</f>
        <v>36979101.983907364</v>
      </c>
      <c r="I52" s="269"/>
      <c r="J52" s="260">
        <f t="shared" si="6"/>
        <v>0</v>
      </c>
      <c r="K52" s="262">
        <f t="shared" si="7"/>
        <v>0</v>
      </c>
      <c r="L52" s="269"/>
      <c r="M52" s="273">
        <f t="shared" si="8"/>
        <v>7587054.2251312546</v>
      </c>
      <c r="N52" s="262">
        <f t="shared" si="9"/>
        <v>0.29660804099750915</v>
      </c>
      <c r="O52" s="271" t="str">
        <f t="shared" si="10"/>
        <v>🔴</v>
      </c>
    </row>
    <row r="53" spans="1:18" ht="12.75" customHeight="1" x14ac:dyDescent="0.3">
      <c r="A53" s="272" t="s">
        <v>4363</v>
      </c>
      <c r="B53" s="269"/>
      <c r="C53" s="269"/>
      <c r="D53" s="558">
        <f>IFERROR(_xlfn.XLOOKUP($A53,'1_GGBB'!$B$6:$B$48,'1_GGBB'!$G$6:$G$48,0),0)</f>
        <v>13447792.454999998</v>
      </c>
      <c r="E53" s="269"/>
      <c r="F53" s="260">
        <f>IFERROR(INDEX('2_Gastos_DirInd'!$Y:$Y,MATCH(A53,'2_Gastos_DirInd'!$A:$A,0)),0)</f>
        <v>8097506.1040252801</v>
      </c>
      <c r="G53" s="269"/>
      <c r="H53" s="260">
        <f>IFERROR(INDEX('2_Gastos_DirInd'!$X:$X,MATCH(A53,'2_Gastos_DirInd'!$A:$A,0)),0)</f>
        <v>9208806.5999999996</v>
      </c>
      <c r="I53" s="269"/>
      <c r="J53" s="260">
        <f t="shared" si="6"/>
        <v>5350286.3509747181</v>
      </c>
      <c r="K53" s="262">
        <f t="shared" si="7"/>
        <v>0.39785610678319461</v>
      </c>
      <c r="L53" s="269"/>
      <c r="M53" s="273">
        <f t="shared" si="8"/>
        <v>0</v>
      </c>
      <c r="N53" s="262">
        <f t="shared" si="9"/>
        <v>0</v>
      </c>
      <c r="O53" s="271" t="str">
        <f t="shared" si="10"/>
        <v>⚪</v>
      </c>
    </row>
    <row r="54" spans="1:18" ht="12.75" customHeight="1" x14ac:dyDescent="0.3">
      <c r="A54" s="272" t="s">
        <v>5218</v>
      </c>
      <c r="B54" s="269"/>
      <c r="C54" s="269"/>
      <c r="D54" s="558">
        <f>IFERROR(_xlfn.XLOOKUP($A54,'1_GGBB'!$B$6:$B$48,'1_GGBB'!$G$6:$G$48,0),0)</f>
        <v>74327579.894000009</v>
      </c>
      <c r="E54" s="269"/>
      <c r="F54" s="260">
        <f>IFERROR(INDEX('2_Gastos_DirInd'!$Y:$Y,MATCH(A54,'2_Gastos_DirInd'!$A:$A,0)),0)</f>
        <v>0</v>
      </c>
      <c r="G54" s="269"/>
      <c r="H54" s="260">
        <f>IFERROR(INDEX('2_Gastos_DirInd'!$X:$X,MATCH(A54,'2_Gastos_DirInd'!$A:$A,0)),0)</f>
        <v>0</v>
      </c>
      <c r="I54" s="269"/>
      <c r="J54" s="260">
        <f t="shared" si="6"/>
        <v>74327579.894000009</v>
      </c>
      <c r="K54" s="262">
        <f t="shared" si="7"/>
        <v>1</v>
      </c>
      <c r="L54" s="269"/>
      <c r="M54" s="273">
        <f t="shared" si="8"/>
        <v>0</v>
      </c>
      <c r="N54" s="262">
        <f t="shared" si="9"/>
        <v>0</v>
      </c>
      <c r="O54" s="271" t="str">
        <f t="shared" si="10"/>
        <v>⚪</v>
      </c>
    </row>
    <row r="55" spans="1:18" ht="12.75" customHeight="1" x14ac:dyDescent="0.3">
      <c r="A55" s="272" t="s">
        <v>4365</v>
      </c>
      <c r="B55" s="269"/>
      <c r="C55" s="269"/>
      <c r="D55" s="558">
        <f>IFERROR(_xlfn.XLOOKUP($A55,'1_GGBB'!$B$6:$B$48,'1_GGBB'!$G$6:$G$48,0),0)</f>
        <v>0</v>
      </c>
      <c r="E55" s="269"/>
      <c r="F55" s="260">
        <f>IFERROR(INDEX('2_Gastos_DirInd'!$Y:$Y,MATCH(A55,'2_Gastos_DirInd'!$A:$A,0)),0)</f>
        <v>0</v>
      </c>
      <c r="G55" s="269"/>
      <c r="H55" s="260">
        <f>IFERROR(INDEX('2_Gastos_DirInd'!$X:$X,MATCH(A55,'2_Gastos_DirInd'!$A:$A,0)),0)</f>
        <v>0</v>
      </c>
      <c r="I55" s="269"/>
      <c r="J55" s="260">
        <f t="shared" si="6"/>
        <v>0</v>
      </c>
      <c r="K55" s="262">
        <f t="shared" si="7"/>
        <v>0</v>
      </c>
      <c r="L55" s="269"/>
      <c r="M55" s="273">
        <f t="shared" si="8"/>
        <v>0</v>
      </c>
      <c r="N55" s="262">
        <f t="shared" si="9"/>
        <v>0</v>
      </c>
      <c r="O55" s="271" t="str">
        <f t="shared" si="10"/>
        <v>⚪</v>
      </c>
    </row>
    <row r="56" spans="1:18" ht="12.75" customHeight="1" x14ac:dyDescent="0.3">
      <c r="A56" s="272" t="s">
        <v>4367</v>
      </c>
      <c r="B56" s="269"/>
      <c r="C56" s="269"/>
      <c r="D56" s="558">
        <f>IFERROR(_xlfn.XLOOKUP($A56,'1_GGBB'!$B$6:$B$48,'1_GGBB'!$G$6:$G$48,0),0)</f>
        <v>30132725.439148206</v>
      </c>
      <c r="E56" s="269"/>
      <c r="F56" s="260"/>
      <c r="G56" s="269"/>
      <c r="H56" s="260"/>
      <c r="I56" s="269"/>
      <c r="J56" s="260"/>
      <c r="K56" s="262"/>
      <c r="L56" s="269"/>
      <c r="M56" s="273"/>
      <c r="N56" s="262"/>
      <c r="O56" s="271"/>
    </row>
    <row r="57" spans="1:18" ht="12.75" customHeight="1" x14ac:dyDescent="0.3">
      <c r="A57" s="272" t="s">
        <v>4368</v>
      </c>
      <c r="B57" s="269"/>
      <c r="C57" s="269"/>
      <c r="D57" s="558">
        <f>IFERROR(_xlfn.XLOOKUP($A57,'1_GGBB'!$B$6:$B$48,'1_GGBB'!$G$6:$G$48,0),0)</f>
        <v>8500000</v>
      </c>
      <c r="E57" s="269"/>
      <c r="F57" s="260"/>
      <c r="G57" s="269"/>
      <c r="H57" s="260"/>
      <c r="I57" s="269"/>
      <c r="J57" s="260"/>
      <c r="K57" s="262"/>
      <c r="L57" s="269"/>
      <c r="M57" s="273"/>
      <c r="N57" s="262"/>
      <c r="O57" s="271"/>
    </row>
    <row r="58" spans="1:18" ht="12.75" customHeight="1" x14ac:dyDescent="0.3">
      <c r="A58" s="272" t="s">
        <v>4369</v>
      </c>
      <c r="B58" s="269"/>
      <c r="C58" s="269"/>
      <c r="D58" s="558">
        <f>IFERROR(_xlfn.XLOOKUP($A58,'1_GGBB'!$B$6:$B$48,'1_GGBB'!$G$6:$G$48,0),0)</f>
        <v>8500000</v>
      </c>
      <c r="E58" s="269"/>
      <c r="F58" s="260"/>
      <c r="G58" s="269"/>
      <c r="H58" s="260"/>
      <c r="I58" s="269"/>
      <c r="J58" s="260"/>
      <c r="K58" s="262"/>
      <c r="L58" s="269"/>
      <c r="M58" s="273"/>
      <c r="N58" s="262"/>
      <c r="O58" s="271"/>
    </row>
    <row r="59" spans="1:18" ht="12.75" customHeight="1" x14ac:dyDescent="0.3">
      <c r="A59" s="272" t="s">
        <v>4370</v>
      </c>
      <c r="B59" s="269"/>
      <c r="C59" s="269"/>
      <c r="D59" s="558">
        <f>IFERROR(_xlfn.XLOOKUP($A59,'1_GGBB'!$B$6:$B$48,'1_GGBB'!$G$6:$G$48,0),0)</f>
        <v>8500000</v>
      </c>
      <c r="E59" s="269"/>
      <c r="F59" s="260"/>
      <c r="G59" s="269"/>
      <c r="H59" s="260"/>
      <c r="I59" s="269"/>
      <c r="J59" s="260"/>
      <c r="K59" s="262"/>
      <c r="L59" s="269"/>
      <c r="M59" s="273"/>
      <c r="N59" s="262"/>
      <c r="O59" s="271"/>
    </row>
    <row r="60" spans="1:18" ht="12.75" customHeight="1" x14ac:dyDescent="0.3">
      <c r="A60" s="272" t="s">
        <v>4372</v>
      </c>
      <c r="B60" s="269"/>
      <c r="C60" s="269"/>
      <c r="D60" s="558">
        <f>IFERROR(_xlfn.XLOOKUP($A60,'1_GGBB'!$B$6:$B$48,'1_GGBB'!$G$6:$G$48,0),0)</f>
        <v>12415558.47842069</v>
      </c>
      <c r="E60" s="269"/>
      <c r="F60" s="260"/>
      <c r="G60" s="269"/>
      <c r="H60" s="260"/>
      <c r="I60" s="269"/>
      <c r="J60" s="260"/>
      <c r="K60" s="262"/>
      <c r="L60" s="269"/>
      <c r="M60" s="273"/>
      <c r="N60" s="262"/>
      <c r="O60" s="271"/>
    </row>
    <row r="61" spans="1:18" ht="13.5" customHeight="1" x14ac:dyDescent="0.3">
      <c r="A61" s="276" t="s">
        <v>5219</v>
      </c>
      <c r="B61" s="277"/>
      <c r="C61" s="277"/>
      <c r="D61" s="278">
        <f>SUM(D43:D60)</f>
        <v>196771732.3775689</v>
      </c>
      <c r="E61" s="277"/>
      <c r="F61" s="278">
        <f>SUM(F43:F60)</f>
        <v>41263955.276156537</v>
      </c>
      <c r="G61" s="277"/>
      <c r="H61" s="278">
        <f>SUM(H43:H60)</f>
        <v>46187908.583907366</v>
      </c>
      <c r="I61" s="277"/>
      <c r="J61" s="278">
        <f>SUM(J43:J60)</f>
        <v>95046547.408974737</v>
      </c>
      <c r="K61" s="279"/>
      <c r="L61" s="277"/>
      <c r="M61" s="278">
        <f>SUM(M43:M60)</f>
        <v>7587054.2251312546</v>
      </c>
      <c r="N61" s="279">
        <f>IF(M61&gt;0,M61/D61,0)</f>
        <v>3.8557643079408822E-2</v>
      </c>
      <c r="O61" s="280" t="str">
        <f>IF($N61=0,"⚪","🔴")</f>
        <v>🔴</v>
      </c>
    </row>
    <row r="62" spans="1:18" ht="13.5" customHeight="1" x14ac:dyDescent="0.3">
      <c r="A62" s="555" t="s">
        <v>5220</v>
      </c>
      <c r="D62" s="556">
        <f>D61-SUM('1_GGBB'!G7:G30)</f>
        <v>0</v>
      </c>
      <c r="E62" s="557" t="str">
        <f>IF(ABS(D62)&lt;1,"✓","⚠")</f>
        <v>✓</v>
      </c>
      <c r="F62" s="554"/>
      <c r="H62" s="554"/>
      <c r="J62" s="554"/>
      <c r="K62" s="282"/>
      <c r="M62" s="554"/>
      <c r="N62" s="282"/>
      <c r="O62" s="303"/>
    </row>
    <row r="63" spans="1:18" ht="13.5" customHeight="1" x14ac:dyDescent="0.3">
      <c r="D63" s="281"/>
      <c r="F63" s="281"/>
      <c r="H63" s="281"/>
      <c r="J63" s="281"/>
      <c r="K63" s="282"/>
      <c r="M63" s="281"/>
      <c r="N63" s="282"/>
    </row>
    <row r="64" spans="1:18" ht="12.75" customHeight="1" x14ac:dyDescent="0.3">
      <c r="A64" s="253" t="s">
        <v>5221</v>
      </c>
      <c r="B64" s="254"/>
      <c r="C64" s="255"/>
      <c r="D64" s="254"/>
      <c r="E64" s="255"/>
      <c r="F64" s="254"/>
      <c r="G64" s="255"/>
      <c r="H64" s="254"/>
      <c r="I64" s="255"/>
      <c r="J64" s="254"/>
      <c r="K64" s="254"/>
      <c r="L64" s="255"/>
      <c r="M64" s="254"/>
      <c r="N64" s="254"/>
      <c r="O64" s="254"/>
      <c r="P64" s="147"/>
      <c r="R64" s="147"/>
    </row>
    <row r="65" spans="1:15" ht="12.75" customHeight="1" x14ac:dyDescent="0.3">
      <c r="A65" s="272" t="s">
        <v>5222</v>
      </c>
      <c r="B65" s="269"/>
      <c r="C65" s="269"/>
      <c r="D65" s="558">
        <f>IFERROR(_xlfn.XLOOKUP($A65,'1_GGBB'!$B$6:$B$48,'1_GGBB'!$G$6:$G$48,0),0)</f>
        <v>0</v>
      </c>
      <c r="E65" s="269"/>
      <c r="F65" s="260">
        <f>IFERROR(INDEX('2_Gastos_DirInd'!$Y:$Y,MATCH(A65,'2_Gastos_DirInd'!$A:$A,0)),0)</f>
        <v>0</v>
      </c>
      <c r="G65" s="269"/>
      <c r="H65" s="260">
        <f>IFERROR(INDEX('2_Gastos_DirInd'!$X:$X,MATCH(A65,'2_Gastos_DirInd'!$A:$A,0)),0)</f>
        <v>0</v>
      </c>
      <c r="I65" s="269"/>
      <c r="J65" s="260">
        <f>IFERROR(IF(D65-F65&lt;0,0,D65-F65),0)</f>
        <v>0</v>
      </c>
      <c r="K65" s="262">
        <f>IFERROR(J65/D65,0)</f>
        <v>0</v>
      </c>
      <c r="L65" s="269"/>
      <c r="M65" s="273">
        <f>IFERROR(IF(D65-F65&lt;0,F65-D65,0),0)</f>
        <v>0</v>
      </c>
      <c r="N65" s="262">
        <f>IFERROR(IF(M65&gt;0,M65/D65,0),0)</f>
        <v>0</v>
      </c>
      <c r="O65" s="271" t="str">
        <f>IF($N65=0,"⚪","🔴")</f>
        <v>⚪</v>
      </c>
    </row>
    <row r="66" spans="1:15" ht="12.75" customHeight="1" x14ac:dyDescent="0.3">
      <c r="A66" s="272" t="s">
        <v>4908</v>
      </c>
      <c r="B66" s="269"/>
      <c r="C66" s="269"/>
      <c r="D66" s="558">
        <f>IFERROR(_xlfn.XLOOKUP($A66,'1_GGBB'!$B$6:$B$48,'1_GGBB'!$G$6:$G$48,0),0)</f>
        <v>0</v>
      </c>
      <c r="E66" s="269"/>
      <c r="F66" s="260">
        <f>IFERROR(INDEX('2_Gastos_DirInd'!$Y:$Y,MATCH(A66,'2_Gastos_DirInd'!$A:$A,0)),0)</f>
        <v>77394.829364192206</v>
      </c>
      <c r="G66" s="269"/>
      <c r="H66" s="260">
        <f>IFERROR(INDEX('2_Gastos_DirInd'!$X:$X,MATCH(A66,'2_Gastos_DirInd'!$A:$A,0)),0)</f>
        <v>80615.33</v>
      </c>
      <c r="I66" s="269"/>
      <c r="J66" s="260">
        <f>IFERROR(IF(D66-F66&lt;0,0,D66-F66),0)</f>
        <v>0</v>
      </c>
      <c r="K66" s="262">
        <f>IFERROR(J66/D66,0)</f>
        <v>0</v>
      </c>
      <c r="L66" s="269"/>
      <c r="M66" s="273">
        <f>IFERROR(IF(D66-F66&lt;0,F66-D66,0),0)</f>
        <v>77394.829364192206</v>
      </c>
      <c r="N66" s="262">
        <f>IFERROR(IF(M66&gt;0,M66/D66,0),0)</f>
        <v>0</v>
      </c>
      <c r="O66" s="271" t="str">
        <f>IF($N66=0,"⚪","🔴")</f>
        <v>⚪</v>
      </c>
    </row>
    <row r="67" spans="1:15" ht="12.75" customHeight="1" x14ac:dyDescent="0.3">
      <c r="A67" s="272" t="s">
        <v>4909</v>
      </c>
      <c r="B67" s="269"/>
      <c r="C67" s="269"/>
      <c r="D67" s="558">
        <f>IFERROR(_xlfn.XLOOKUP($A67,'1_GGBB'!$B$6:$B$48,'1_GGBB'!$G$6:$G$48,0),0)</f>
        <v>0</v>
      </c>
      <c r="E67" s="269"/>
      <c r="F67" s="260">
        <f>IFERROR(INDEX('2_Gastos_DirInd'!$Y:$Y,MATCH(A67,'2_Gastos_DirInd'!$A:$A,0)),0)</f>
        <v>22394091.812282674</v>
      </c>
      <c r="G67" s="269"/>
      <c r="H67" s="260">
        <f>IFERROR(INDEX('2_Gastos_DirInd'!$X:$X,MATCH(A67,'2_Gastos_DirInd'!$A:$A,0)),0)</f>
        <v>25543569.506577969</v>
      </c>
      <c r="I67" s="269"/>
      <c r="J67" s="260">
        <f>IFERROR(IF(D67-F67&lt;0,0,D67-F67),0)</f>
        <v>0</v>
      </c>
      <c r="K67" s="262">
        <f>IFERROR(J67/D67,0)</f>
        <v>0</v>
      </c>
      <c r="L67" s="269"/>
      <c r="M67" s="273">
        <f>IFERROR(IF(D67-F67&lt;0,F67-D67,0),0)</f>
        <v>22394091.812282674</v>
      </c>
      <c r="N67" s="262">
        <f>IFERROR(IF(M67&gt;0,M67/D67,0),0)</f>
        <v>0</v>
      </c>
      <c r="O67" s="271" t="str">
        <f>IF($N67=0,"⚪","🔴")</f>
        <v>⚪</v>
      </c>
    </row>
    <row r="68" spans="1:15" ht="12.75" customHeight="1" x14ac:dyDescent="0.3">
      <c r="A68" s="276" t="s">
        <v>5223</v>
      </c>
      <c r="B68" s="277"/>
      <c r="C68" s="277"/>
      <c r="D68" s="278">
        <f>SUM(D65:D67)</f>
        <v>0</v>
      </c>
      <c r="E68" s="277"/>
      <c r="F68" s="278">
        <f>SUM(F65:F67)</f>
        <v>22471486.641646866</v>
      </c>
      <c r="G68" s="277"/>
      <c r="H68" s="278">
        <f>SUM(H65:H67)</f>
        <v>25624184.836577967</v>
      </c>
      <c r="I68" s="277"/>
      <c r="J68" s="278">
        <f>SUM(J65:J67)</f>
        <v>0</v>
      </c>
      <c r="K68" s="279"/>
      <c r="L68" s="277"/>
      <c r="M68" s="278">
        <f>SUM(M65:M67)</f>
        <v>22471486.641646866</v>
      </c>
      <c r="N68" s="279">
        <f>IFERROR(IF(M68&gt;0,M68/D68,0),0)</f>
        <v>0</v>
      </c>
      <c r="O68" s="280" t="str">
        <f>IF($N68&gt;0.1,"🔴",IF($N68&gt;0.05,"🟡","🟢"))</f>
        <v>🟢</v>
      </c>
    </row>
    <row r="69" spans="1:15" ht="12.75" customHeight="1" x14ac:dyDescent="0.3">
      <c r="A69" s="552" t="s">
        <v>5224</v>
      </c>
      <c r="D69" s="556">
        <f>D68-SUM('1_GGBB'!G43:G48)</f>
        <v>-82753394.946999997</v>
      </c>
      <c r="E69" s="557" t="str">
        <f>IF(ABS(D69)&lt;1,"✓","⚠")</f>
        <v>⚠</v>
      </c>
      <c r="H69" s="554"/>
      <c r="J69" s="554"/>
      <c r="K69" s="282"/>
      <c r="M69" s="554"/>
      <c r="N69" s="282"/>
      <c r="O69" s="303"/>
    </row>
    <row r="70" spans="1:15" x14ac:dyDescent="0.3">
      <c r="F70" s="554"/>
    </row>
    <row r="72" spans="1:15" ht="12.75" customHeight="1" x14ac:dyDescent="0.3">
      <c r="A72" s="283" t="s">
        <v>5225</v>
      </c>
    </row>
    <row r="73" spans="1:15" ht="25.5" customHeight="1" x14ac:dyDescent="0.3">
      <c r="A73" s="284" t="s">
        <v>5226</v>
      </c>
      <c r="D73" s="284" t="s">
        <v>5227</v>
      </c>
      <c r="F73" s="284" t="s">
        <v>5228</v>
      </c>
      <c r="H73" s="284" t="s">
        <v>5039</v>
      </c>
    </row>
    <row r="74" spans="1:15" ht="12.75" customHeight="1" x14ac:dyDescent="0.3">
      <c r="A74" s="285" t="s">
        <v>4111</v>
      </c>
      <c r="D74" s="286">
        <f>SUMIF('1_Presupuesto'!$AB:$AB,'3_Control_Ppto'!$A74,'1_Presupuesto'!$Z:$Z)</f>
        <v>21422380.834353875</v>
      </c>
      <c r="F74" s="286">
        <f>SUMIF('1_Presupuesto'!$AB:$AB,'3_Control_Ppto'!$A74,'1_Presupuesto'!AI:AI)</f>
        <v>21422380.834353875</v>
      </c>
      <c r="H74" s="287">
        <f t="shared" ref="H74:H106" si="11">IFERROR(F74/D74,0)</f>
        <v>1</v>
      </c>
    </row>
    <row r="75" spans="1:15" ht="12.75" customHeight="1" x14ac:dyDescent="0.3">
      <c r="A75" s="288" t="s">
        <v>4124</v>
      </c>
      <c r="D75" s="289">
        <f>SUMIF('1_Presupuesto'!$AB:$AB,'3_Control_Ppto'!$A75,'1_Presupuesto'!$Z:$Z)</f>
        <v>31937040.558926079</v>
      </c>
      <c r="F75" s="289">
        <f>SUMIF('1_Presupuesto'!$AB:$AB,'3_Control_Ppto'!$A75,'1_Presupuesto'!AI:AI)</f>
        <v>31937040.558926079</v>
      </c>
      <c r="H75" s="290">
        <f t="shared" si="11"/>
        <v>1</v>
      </c>
    </row>
    <row r="76" spans="1:15" ht="12.75" customHeight="1" x14ac:dyDescent="0.3">
      <c r="A76" s="285" t="s">
        <v>4131</v>
      </c>
      <c r="D76" s="286">
        <f>SUMIF('1_Presupuesto'!$AB:$AB,'3_Control_Ppto'!$A76,'1_Presupuesto'!$Z:$Z)</f>
        <v>486188360.14833701</v>
      </c>
      <c r="F76" s="286">
        <f>SUMIF('1_Presupuesto'!$AB:$AB,'3_Control_Ppto'!$A76,'1_Presupuesto'!AI:AI)</f>
        <v>391593877.99819112</v>
      </c>
      <c r="H76" s="287">
        <f t="shared" si="11"/>
        <v>0.80543655524520386</v>
      </c>
    </row>
    <row r="77" spans="1:15" ht="12.75" customHeight="1" x14ac:dyDescent="0.3">
      <c r="A77" s="288" t="s">
        <v>4137</v>
      </c>
      <c r="D77" s="289">
        <f>SUMIF('1_Presupuesto'!$AB:$AB,'3_Control_Ppto'!$A77,'1_Presupuesto'!$Z:$Z)</f>
        <v>64182206.936547853</v>
      </c>
      <c r="F77" s="289">
        <f>SUMIF('1_Presupuesto'!$AB:$AB,'3_Control_Ppto'!$A77,'1_Presupuesto'!AI:AI)</f>
        <v>41591871.641819775</v>
      </c>
      <c r="H77" s="290">
        <f t="shared" si="11"/>
        <v>0.64802806925817535</v>
      </c>
    </row>
    <row r="78" spans="1:15" ht="12.75" customHeight="1" x14ac:dyDescent="0.3">
      <c r="A78" s="285" t="s">
        <v>4152</v>
      </c>
      <c r="D78" s="286">
        <f>SUMIF('1_Presupuesto'!$AB:$AB,'3_Control_Ppto'!$A78,'1_Presupuesto'!$Z:$Z)</f>
        <v>20723409.652478661</v>
      </c>
      <c r="F78" s="286">
        <f>SUMIF('1_Presupuesto'!$AB:$AB,'3_Control_Ppto'!$A78,'1_Presupuesto'!AI:AI)</f>
        <v>828134.13677602704</v>
      </c>
      <c r="H78" s="287">
        <f t="shared" si="11"/>
        <v>3.9961287773750909E-2</v>
      </c>
    </row>
    <row r="79" spans="1:15" ht="12.75" customHeight="1" x14ac:dyDescent="0.3">
      <c r="A79" s="288" t="s">
        <v>4160</v>
      </c>
      <c r="D79" s="289">
        <f>SUMIF('1_Presupuesto'!$AB:$AB,'3_Control_Ppto'!$A79,'1_Presupuesto'!$Z:$Z)</f>
        <v>1855757.4252671902</v>
      </c>
      <c r="F79" s="289">
        <f>SUMIF('1_Presupuesto'!$AB:$AB,'3_Control_Ppto'!$A79,'1_Presupuesto'!AI:AI)</f>
        <v>0</v>
      </c>
      <c r="H79" s="290">
        <f t="shared" si="11"/>
        <v>0</v>
      </c>
    </row>
    <row r="80" spans="1:15" ht="12.75" customHeight="1" x14ac:dyDescent="0.3">
      <c r="A80" s="285" t="s">
        <v>4162</v>
      </c>
      <c r="D80" s="286">
        <f>SUMIF('1_Presupuesto'!$AB:$AB,'3_Control_Ppto'!$A80,'1_Presupuesto'!$Z:$Z)</f>
        <v>99444243.673145652</v>
      </c>
      <c r="F80" s="286">
        <f>SUMIF('1_Presupuesto'!$AB:$AB,'3_Control_Ppto'!$A80,'1_Presupuesto'!AI:AI)</f>
        <v>13486678.295320904</v>
      </c>
      <c r="H80" s="287">
        <f t="shared" si="11"/>
        <v>0.13562050247623236</v>
      </c>
    </row>
    <row r="81" spans="1:8" ht="12.75" customHeight="1" x14ac:dyDescent="0.3">
      <c r="A81" s="288" t="s">
        <v>4169</v>
      </c>
      <c r="D81" s="289">
        <f>SUMIF('1_Presupuesto'!$AB:$AB,'3_Control_Ppto'!$A81,'1_Presupuesto'!$Z:$Z)</f>
        <v>53340003.869058937</v>
      </c>
      <c r="F81" s="289">
        <f>SUMIF('1_Presupuesto'!$AB:$AB,'3_Control_Ppto'!$A81,'1_Presupuesto'!AI:AI)</f>
        <v>0</v>
      </c>
      <c r="H81" s="290">
        <f t="shared" si="11"/>
        <v>0</v>
      </c>
    </row>
    <row r="82" spans="1:8" ht="12.75" customHeight="1" x14ac:dyDescent="0.3">
      <c r="A82" s="285" t="s">
        <v>4178</v>
      </c>
      <c r="D82" s="286">
        <f>SUMIF('1_Presupuesto'!$AB:$AB,'3_Control_Ppto'!$A82,'1_Presupuesto'!$Z:$Z)</f>
        <v>5227135.5339705851</v>
      </c>
      <c r="F82" s="286">
        <f>SUMIF('1_Presupuesto'!$AB:$AB,'3_Control_Ppto'!$A82,'1_Presupuesto'!AI:AI)</f>
        <v>0</v>
      </c>
      <c r="H82" s="287">
        <f t="shared" si="11"/>
        <v>0</v>
      </c>
    </row>
    <row r="83" spans="1:8" ht="12.75" customHeight="1" x14ac:dyDescent="0.3">
      <c r="A83" s="288" t="s">
        <v>4182</v>
      </c>
      <c r="D83" s="289">
        <f>SUMIF('1_Presupuesto'!$AB:$AB,'3_Control_Ppto'!$A83,'1_Presupuesto'!$Z:$Z)</f>
        <v>4507448.4206947768</v>
      </c>
      <c r="F83" s="289">
        <f>SUMIF('1_Presupuesto'!$AB:$AB,'3_Control_Ppto'!$A83,'1_Presupuesto'!AI:AI)</f>
        <v>0</v>
      </c>
      <c r="H83" s="290">
        <f t="shared" si="11"/>
        <v>0</v>
      </c>
    </row>
    <row r="84" spans="1:8" ht="12.75" customHeight="1" x14ac:dyDescent="0.3">
      <c r="A84" s="285" t="s">
        <v>4187</v>
      </c>
      <c r="D84" s="286">
        <f>SUMIF('1_Presupuesto'!$AB:$AB,'3_Control_Ppto'!$A84,'1_Presupuesto'!$Z:$Z)</f>
        <v>33574758.470998526</v>
      </c>
      <c r="F84" s="286">
        <f>SUMIF('1_Presupuesto'!$AB:$AB,'3_Control_Ppto'!$A84,'1_Presupuesto'!AI:AI)</f>
        <v>0</v>
      </c>
      <c r="H84" s="287">
        <f t="shared" si="11"/>
        <v>0</v>
      </c>
    </row>
    <row r="85" spans="1:8" ht="12.75" customHeight="1" x14ac:dyDescent="0.3">
      <c r="A85" s="288" t="s">
        <v>4199</v>
      </c>
      <c r="D85" s="289">
        <f>SUMIF('1_Presupuesto'!$AB:$AB,'3_Control_Ppto'!$A85,'1_Presupuesto'!$Z:$Z)</f>
        <v>9682638.1045002677</v>
      </c>
      <c r="F85" s="289">
        <f>SUMIF('1_Presupuesto'!$AB:$AB,'3_Control_Ppto'!$A85,'1_Presupuesto'!AI:AI)</f>
        <v>0</v>
      </c>
      <c r="H85" s="290">
        <f t="shared" si="11"/>
        <v>0</v>
      </c>
    </row>
    <row r="86" spans="1:8" ht="12.75" customHeight="1" x14ac:dyDescent="0.3">
      <c r="A86" s="285" t="s">
        <v>4203</v>
      </c>
      <c r="D86" s="286">
        <f>SUMIF('1_Presupuesto'!$AB:$AB,'3_Control_Ppto'!$A86,'1_Presupuesto'!$Z:$Z)</f>
        <v>15980655.019833036</v>
      </c>
      <c r="F86" s="286">
        <f>SUMIF('1_Presupuesto'!$AB:$AB,'3_Control_Ppto'!$A86,'1_Presupuesto'!AI:AI)</f>
        <v>0</v>
      </c>
      <c r="H86" s="287">
        <f t="shared" si="11"/>
        <v>0</v>
      </c>
    </row>
    <row r="87" spans="1:8" ht="12.75" customHeight="1" x14ac:dyDescent="0.3">
      <c r="A87" s="288" t="s">
        <v>4208</v>
      </c>
      <c r="D87" s="289">
        <f>SUMIF('1_Presupuesto'!$AB:$AB,'3_Control_Ppto'!$A87,'1_Presupuesto'!$Z:$Z)</f>
        <v>36420809.676751427</v>
      </c>
      <c r="F87" s="289">
        <f>SUMIF('1_Presupuesto'!$AB:$AB,'3_Control_Ppto'!$A87,'1_Presupuesto'!AI:AI)</f>
        <v>1242248.6011785998</v>
      </c>
      <c r="H87" s="290">
        <f t="shared" si="11"/>
        <v>3.4108209350753864E-2</v>
      </c>
    </row>
    <row r="88" spans="1:8" ht="12.75" customHeight="1" x14ac:dyDescent="0.3">
      <c r="A88" s="285" t="s">
        <v>4216</v>
      </c>
      <c r="D88" s="286">
        <f>SUMIF('1_Presupuesto'!$AB:$AB,'3_Control_Ppto'!$A88,'1_Presupuesto'!$Z:$Z)</f>
        <v>87972366.432122782</v>
      </c>
      <c r="F88" s="286">
        <f>SUMIF('1_Presupuesto'!$AB:$AB,'3_Control_Ppto'!$A88,'1_Presupuesto'!AI:AI)</f>
        <v>0</v>
      </c>
      <c r="H88" s="287">
        <f t="shared" si="11"/>
        <v>0</v>
      </c>
    </row>
    <row r="89" spans="1:8" ht="12.75" customHeight="1" x14ac:dyDescent="0.3">
      <c r="A89" s="288" t="s">
        <v>4229</v>
      </c>
      <c r="D89" s="289">
        <f>SUMIF('1_Presupuesto'!$AB:$AB,'3_Control_Ppto'!$A89,'1_Presupuesto'!$Z:$Z)</f>
        <v>0</v>
      </c>
      <c r="F89" s="289">
        <f>SUMIF('1_Presupuesto'!$AB:$AB,'3_Control_Ppto'!$A89,'1_Presupuesto'!AI:AI)</f>
        <v>0</v>
      </c>
      <c r="H89" s="290">
        <f t="shared" si="11"/>
        <v>0</v>
      </c>
    </row>
    <row r="90" spans="1:8" ht="12.75" customHeight="1" x14ac:dyDescent="0.3">
      <c r="A90" s="285" t="s">
        <v>4230</v>
      </c>
      <c r="D90" s="286">
        <f>SUMIF('1_Presupuesto'!$AB:$AB,'3_Control_Ppto'!$A90,'1_Presupuesto'!$Z:$Z)</f>
        <v>10141493.192152996</v>
      </c>
      <c r="F90" s="286">
        <f>SUMIF('1_Presupuesto'!$AB:$AB,'3_Control_Ppto'!$A90,'1_Presupuesto'!AI:AI)</f>
        <v>5916378.5160725024</v>
      </c>
      <c r="H90" s="287">
        <f t="shared" si="11"/>
        <v>0.5833833740232961</v>
      </c>
    </row>
    <row r="91" spans="1:8" ht="12.75" customHeight="1" x14ac:dyDescent="0.3">
      <c r="A91" s="288" t="s">
        <v>4235</v>
      </c>
      <c r="D91" s="289">
        <f>SUMIF('1_Presupuesto'!$AB:$AB,'3_Control_Ppto'!$A91,'1_Presupuesto'!$Z:$Z)</f>
        <v>94367360.592842713</v>
      </c>
      <c r="F91" s="289">
        <f>SUMIF('1_Presupuesto'!$AB:$AB,'3_Control_Ppto'!$A91,'1_Presupuesto'!AI:AI)</f>
        <v>27166485.663446445</v>
      </c>
      <c r="H91" s="290">
        <f t="shared" si="11"/>
        <v>0.28788010486654309</v>
      </c>
    </row>
    <row r="92" spans="1:8" ht="12.75" customHeight="1" x14ac:dyDescent="0.3">
      <c r="A92" s="285" t="s">
        <v>4269</v>
      </c>
      <c r="D92" s="286">
        <f>SUMIF('1_Presupuesto'!$AB:$AB,'3_Control_Ppto'!$A92,'1_Presupuesto'!$Z:$Z)</f>
        <v>0</v>
      </c>
      <c r="F92" s="286">
        <f>SUMIF('1_Presupuesto'!$AB:$AB,'3_Control_Ppto'!$A92,'1_Presupuesto'!AI:AI)</f>
        <v>0</v>
      </c>
      <c r="H92" s="287">
        <f t="shared" si="11"/>
        <v>0</v>
      </c>
    </row>
    <row r="93" spans="1:8" ht="12.75" customHeight="1" x14ac:dyDescent="0.3">
      <c r="A93" s="288" t="s">
        <v>4270</v>
      </c>
      <c r="D93" s="289">
        <f>SUMIF('1_Presupuesto'!$AB:$AB,'3_Control_Ppto'!$A93,'1_Presupuesto'!$Z:$Z)</f>
        <v>22865506.829080135</v>
      </c>
      <c r="F93" s="289">
        <f>SUMIF('1_Presupuesto'!$AB:$AB,'3_Control_Ppto'!$A93,'1_Presupuesto'!AI:AI)</f>
        <v>5441652.7940491401</v>
      </c>
      <c r="H93" s="290">
        <f t="shared" si="11"/>
        <v>0.23798522528827123</v>
      </c>
    </row>
    <row r="94" spans="1:8" ht="12.75" customHeight="1" x14ac:dyDescent="0.3">
      <c r="A94" s="285" t="s">
        <v>4275</v>
      </c>
      <c r="D94" s="286">
        <f>SUMIF('1_Presupuesto'!$AB:$AB,'3_Control_Ppto'!$A94,'1_Presupuesto'!$Z:$Z)</f>
        <v>7621835.6096933754</v>
      </c>
      <c r="F94" s="286">
        <f>SUMIF('1_Presupuesto'!$AB:$AB,'3_Control_Ppto'!$A94,'1_Presupuesto'!AI:AI)</f>
        <v>1524367.1219386761</v>
      </c>
      <c r="H94" s="287">
        <f t="shared" si="11"/>
        <v>0.20000000000000012</v>
      </c>
    </row>
    <row r="95" spans="1:8" ht="12.75" customHeight="1" x14ac:dyDescent="0.3">
      <c r="A95" s="288" t="s">
        <v>4279</v>
      </c>
      <c r="D95" s="289">
        <f>SUMIF('1_Presupuesto'!$AB:$AB,'3_Control_Ppto'!$A95,'1_Presupuesto'!$Z:$Z)</f>
        <v>37516408.89307677</v>
      </c>
      <c r="F95" s="289">
        <f>SUMIF('1_Presupuesto'!$AB:$AB,'3_Control_Ppto'!$A95,'1_Presupuesto'!AI:AI)</f>
        <v>7933733.0083488692</v>
      </c>
      <c r="H95" s="290">
        <f t="shared" si="11"/>
        <v>0.21147367891634614</v>
      </c>
    </row>
    <row r="96" spans="1:8" ht="12.75" customHeight="1" x14ac:dyDescent="0.3">
      <c r="A96" s="285" t="s">
        <v>4285</v>
      </c>
      <c r="D96" s="286">
        <f>SUMIF('1_Presupuesto'!$AB:$AB,'3_Control_Ppto'!$A96,'1_Presupuesto'!$Z:$Z)</f>
        <v>2841283.27802988</v>
      </c>
      <c r="F96" s="286">
        <f>SUMIF('1_Presupuesto'!$AB:$AB,'3_Control_Ppto'!$A96,'1_Presupuesto'!AI:AI)</f>
        <v>852384.98340896401</v>
      </c>
      <c r="H96" s="287">
        <f t="shared" si="11"/>
        <v>0.3</v>
      </c>
    </row>
    <row r="97" spans="1:8" ht="12.75" customHeight="1" x14ac:dyDescent="0.3">
      <c r="A97" s="288" t="s">
        <v>4286</v>
      </c>
      <c r="D97" s="289">
        <f>SUMIF('1_Presupuesto'!$AB:$AB,'3_Control_Ppto'!$A97,'1_Presupuesto'!$Z:$Z)</f>
        <v>42853580.123887464</v>
      </c>
      <c r="F97" s="289">
        <f>SUMIF('1_Presupuesto'!$AB:$AB,'3_Control_Ppto'!$A97,'1_Presupuesto'!AI:AI)</f>
        <v>5817023.0044961367</v>
      </c>
      <c r="H97" s="290">
        <f t="shared" si="11"/>
        <v>0.13574182104924318</v>
      </c>
    </row>
    <row r="98" spans="1:8" ht="12.75" customHeight="1" x14ac:dyDescent="0.3">
      <c r="A98" s="285" t="s">
        <v>4289</v>
      </c>
      <c r="D98" s="286">
        <f>SUMIF('1_Presupuesto'!$AB:$AB,'3_Control_Ppto'!$A98,'1_Presupuesto'!$Z:$Z)</f>
        <v>6935717.6302301455</v>
      </c>
      <c r="F98" s="286">
        <f>SUMIF('1_Presupuesto'!$AB:$AB,'3_Control_Ppto'!$A98,'1_Presupuesto'!AI:AI)</f>
        <v>0</v>
      </c>
      <c r="H98" s="287">
        <f t="shared" si="11"/>
        <v>0</v>
      </c>
    </row>
    <row r="99" spans="1:8" ht="12.75" customHeight="1" x14ac:dyDescent="0.3">
      <c r="A99" s="288" t="s">
        <v>4291</v>
      </c>
      <c r="D99" s="289">
        <f>SUMIF('1_Presupuesto'!$AB:$AB,'3_Control_Ppto'!$A99,'1_Presupuesto'!$Z:$Z)</f>
        <v>35731754.989663891</v>
      </c>
      <c r="F99" s="289">
        <f>SUMIF('1_Presupuesto'!$AB:$AB,'3_Control_Ppto'!$A99,'1_Presupuesto'!AI:AI)</f>
        <v>4001552.1347727948</v>
      </c>
      <c r="H99" s="290">
        <f t="shared" si="11"/>
        <v>0.11198868166230072</v>
      </c>
    </row>
    <row r="100" spans="1:8" ht="12.75" customHeight="1" x14ac:dyDescent="0.3">
      <c r="A100" s="285" t="s">
        <v>4295</v>
      </c>
      <c r="D100" s="286">
        <f>SUMIF('1_Presupuesto'!$AB:$AB,'3_Control_Ppto'!$A100,'1_Presupuesto'!$Z:$Z)</f>
        <v>0</v>
      </c>
      <c r="F100" s="286">
        <f>SUMIF('1_Presupuesto'!$AB:$AB,'3_Control_Ppto'!$A100,'1_Presupuesto'!AI:AI)</f>
        <v>0</v>
      </c>
      <c r="H100" s="287">
        <f t="shared" si="11"/>
        <v>0</v>
      </c>
    </row>
    <row r="101" spans="1:8" ht="12.75" customHeight="1" x14ac:dyDescent="0.3">
      <c r="A101" s="288" t="s">
        <v>4298</v>
      </c>
      <c r="D101" s="289">
        <f>SUMIF('1_Presupuesto'!$AB:$AB,'3_Control_Ppto'!$A101,'1_Presupuesto'!$Z:$Z)</f>
        <v>0</v>
      </c>
      <c r="F101" s="289">
        <f>SUMIF('1_Presupuesto'!$AB:$AB,'3_Control_Ppto'!$A101,'1_Presupuesto'!AI:AI)</f>
        <v>0</v>
      </c>
      <c r="H101" s="290">
        <f t="shared" si="11"/>
        <v>0</v>
      </c>
    </row>
    <row r="102" spans="1:8" ht="12.75" customHeight="1" x14ac:dyDescent="0.3">
      <c r="A102" s="285" t="s">
        <v>4300</v>
      </c>
      <c r="D102" s="286">
        <f>SUMIF('1_Presupuesto'!$AB:$AB,'3_Control_Ppto'!$A102,'1_Presupuesto'!$Z:$Z)</f>
        <v>3160933.9272752577</v>
      </c>
      <c r="F102" s="286">
        <f>SUMIF('1_Presupuesto'!$AB:$AB,'3_Control_Ppto'!$A102,'1_Presupuesto'!AI:AI)</f>
        <v>0</v>
      </c>
      <c r="H102" s="287">
        <f t="shared" si="11"/>
        <v>0</v>
      </c>
    </row>
    <row r="103" spans="1:8" ht="12.75" customHeight="1" x14ac:dyDescent="0.3">
      <c r="A103" s="288" t="s">
        <v>4303</v>
      </c>
      <c r="D103" s="289">
        <f>SUMIF('1_Presupuesto'!$AB:$AB,'3_Control_Ppto'!$A103,'1_Presupuesto'!$Z:$Z)</f>
        <v>20519860.498921376</v>
      </c>
      <c r="F103" s="289">
        <f>SUMIF('1_Presupuesto'!$AB:$AB,'3_Control_Ppto'!$A103,'1_Presupuesto'!AI:AI)</f>
        <v>0</v>
      </c>
      <c r="H103" s="290">
        <f t="shared" si="11"/>
        <v>0</v>
      </c>
    </row>
    <row r="104" spans="1:8" ht="12.75" customHeight="1" x14ac:dyDescent="0.3">
      <c r="A104" s="285" t="s">
        <v>4308</v>
      </c>
      <c r="D104" s="286">
        <f>SUMIF('1_Presupuesto'!$AB:$AB,'3_Control_Ppto'!$A104,'1_Presupuesto'!$Z:$Z)</f>
        <v>82836273.237695873</v>
      </c>
      <c r="F104" s="286">
        <f>SUMIF('1_Presupuesto'!$AB:$AB,'3_Control_Ppto'!$A104,'1_Presupuesto'!AI:AI)</f>
        <v>49160781.229017228</v>
      </c>
      <c r="H104" s="287">
        <f t="shared" si="11"/>
        <v>0.59346925335416811</v>
      </c>
    </row>
    <row r="105" spans="1:8" ht="12.75" customHeight="1" x14ac:dyDescent="0.3">
      <c r="A105" s="288" t="s">
        <v>4319</v>
      </c>
      <c r="D105" s="289">
        <f>SUMIF('1_Presupuesto'!$AB:$AB,'3_Control_Ppto'!$A105,'1_Presupuesto'!$Z:$Z)</f>
        <v>118901916.23721412</v>
      </c>
      <c r="F105" s="289">
        <f>SUMIF('1_Presupuesto'!$AB:$AB,'3_Control_Ppto'!$A105,'1_Presupuesto'!AI:AI)</f>
        <v>71341149.742328465</v>
      </c>
      <c r="H105" s="290">
        <f t="shared" si="11"/>
        <v>0.6</v>
      </c>
    </row>
    <row r="106" spans="1:8" ht="12.75" customHeight="1" x14ac:dyDescent="0.3">
      <c r="A106" s="291" t="s">
        <v>4324</v>
      </c>
      <c r="D106" s="292">
        <f>SUM(D74:D105)</f>
        <v>1458753139.7967508</v>
      </c>
      <c r="F106" s="292">
        <f>SUM(F74:F105)</f>
        <v>681257740.26444554</v>
      </c>
      <c r="H106" s="293">
        <f t="shared" si="11"/>
        <v>0.46701372677721587</v>
      </c>
    </row>
    <row r="108" spans="1:8" ht="14.5" customHeight="1" x14ac:dyDescent="0.35">
      <c r="A108" s="551" t="s">
        <v>5229</v>
      </c>
    </row>
    <row r="109" spans="1:8" ht="14.5" customHeight="1" x14ac:dyDescent="0.35">
      <c r="A109" t="s">
        <v>5230</v>
      </c>
      <c r="B109" t="str">
        <f>IF(ABS(D109)&lt;1,"✓","⚠")</f>
        <v>✓</v>
      </c>
      <c r="D109">
        <f>SUMPRODUCT(('1_Presupuesto'!$A$5:$A$227="")*('1_Presupuesto'!$K$5:$K$227)*('1_Presupuesto'!$J$5:$J$227))</f>
        <v>0</v>
      </c>
    </row>
    <row r="110" spans="1:8" ht="14.5" customHeight="1" x14ac:dyDescent="0.35">
      <c r="A110" t="s">
        <v>5231</v>
      </c>
      <c r="B110" t="str">
        <f>IF(ABS(D110)&lt;1,"✓","⚠")</f>
        <v>✓</v>
      </c>
      <c r="D110">
        <f>SUMPRODUCT(('1_Presupuesto'!$C$5:$C$227="")*('1_Presupuesto'!$L$5:$L$227)*('1_Presupuesto'!$J$5:$J$227))</f>
        <v>0</v>
      </c>
    </row>
    <row r="111" spans="1:8" ht="14.5" customHeight="1" x14ac:dyDescent="0.35">
      <c r="A111" t="s">
        <v>5232</v>
      </c>
      <c r="B111" t="str">
        <f>IF(ABS(D111)&lt;1,"✓","⚠")</f>
        <v>✓</v>
      </c>
      <c r="D111">
        <f>SUMPRODUCT(('1_Presupuesto'!$D$5:$D$227="")*('1_Presupuesto'!$M$5:$M$227)*('1_Presupuesto'!$J$5:$J$227))</f>
        <v>0</v>
      </c>
    </row>
  </sheetData>
  <conditionalFormatting sqref="K4:K41 K43:K63 K65:K72 K103:K1048576">
    <cfRule type="colorScale" priority="3">
      <colorScale>
        <cfvo type="min"/>
        <cfvo type="max"/>
        <color rgb="FFFFF7CD"/>
        <color rgb="FFACDCB9"/>
      </colorScale>
    </cfRule>
  </conditionalFormatting>
  <conditionalFormatting sqref="N4:N41 N43:N63 N65:N1048576">
    <cfRule type="colorScale" priority="2">
      <colorScale>
        <cfvo type="min"/>
        <cfvo type="max"/>
        <color rgb="FFFCFCFF"/>
        <color rgb="FFF8696B"/>
      </colorScale>
    </cfRule>
  </conditionalFormatting>
  <conditionalFormatting sqref="O1:O2 O4:O41 O43:O63 O65:O1048576">
    <cfRule type="expression" dxfId="5" priority="4">
      <formula>N1=0</formula>
    </cfRule>
    <cfRule type="expression" dxfId="4" priority="5">
      <formula>N1&lt;0</formula>
    </cfRule>
    <cfRule type="expression" dxfId="3" priority="6">
      <formula>N1&gt;0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57"/>
  <sheetViews>
    <sheetView showGridLines="0" zoomScaleNormal="100" workbookViewId="0">
      <pane ySplit="3" topLeftCell="A4" activePane="bottomLeft" state="frozen"/>
      <selection pane="bottomLeft" activeCell="C4" sqref="C4"/>
    </sheetView>
  </sheetViews>
  <sheetFormatPr defaultColWidth="8.7265625" defaultRowHeight="13" x14ac:dyDescent="0.3"/>
  <cols>
    <col min="1" max="1" width="17.453125" style="2" customWidth="1"/>
    <col min="2" max="2" width="13.81640625" style="2" customWidth="1"/>
    <col min="3" max="4" width="9.1796875" style="2" customWidth="1"/>
    <col min="5" max="5" width="9.453125" style="2" customWidth="1"/>
    <col min="6" max="6" width="8.7265625" style="2" customWidth="1"/>
    <col min="7" max="7" width="5.1796875" style="2" customWidth="1"/>
    <col min="8" max="8" width="8.7265625" style="2" customWidth="1"/>
    <col min="9" max="9" width="5.1796875" style="2" customWidth="1"/>
    <col min="10" max="10" width="5.26953125" style="2" customWidth="1"/>
    <col min="11" max="14" width="8.7265625" style="2" customWidth="1"/>
    <col min="15" max="16384" width="8.7265625" style="2"/>
  </cols>
  <sheetData>
    <row r="1" spans="1:10" ht="13.5" customHeight="1" x14ac:dyDescent="0.3">
      <c r="A1" s="16" t="s">
        <v>5233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3.5" customHeight="1" x14ac:dyDescent="0.3">
      <c r="A2" s="321"/>
      <c r="B2" s="321"/>
      <c r="C2" s="321"/>
      <c r="D2" s="321"/>
      <c r="E2" s="321"/>
      <c r="F2" s="321"/>
      <c r="G2" s="321"/>
      <c r="H2" s="321"/>
      <c r="I2" s="321"/>
      <c r="J2" s="321"/>
    </row>
    <row r="3" spans="1:10" s="257" customFormat="1" ht="27" customHeight="1" x14ac:dyDescent="0.35">
      <c r="A3" s="254" t="s">
        <v>18</v>
      </c>
      <c r="B3" s="254" t="s">
        <v>4</v>
      </c>
      <c r="C3" s="254" t="s">
        <v>5234</v>
      </c>
      <c r="D3" s="254" t="s">
        <v>5235</v>
      </c>
      <c r="E3" s="254" t="s">
        <v>5236</v>
      </c>
      <c r="F3" s="254" t="s">
        <v>5237</v>
      </c>
      <c r="G3" s="254" t="s">
        <v>5210</v>
      </c>
      <c r="H3" s="254" t="s">
        <v>5238</v>
      </c>
      <c r="I3" s="254" t="s">
        <v>5210</v>
      </c>
      <c r="J3" s="254" t="s">
        <v>4936</v>
      </c>
    </row>
    <row r="4" spans="1:10" ht="13.5" customHeight="1" x14ac:dyDescent="0.3">
      <c r="A4" s="294" t="s">
        <v>106</v>
      </c>
      <c r="B4" s="294" t="s">
        <v>64</v>
      </c>
      <c r="C4" s="295">
        <f>+SUMIFS('1_Composicion'!Q:Q,'1_Composicion'!S:S,'3_Control_Jornales'!A4,'1_Composicion'!E:E,'3_Control_Jornales'!B4)</f>
        <v>504.88087456271882</v>
      </c>
      <c r="D4" s="295">
        <f>+C4*8</f>
        <v>4039.0469965017505</v>
      </c>
      <c r="E4" s="295">
        <f>IF($A4="Total",SUMIFS('2_Quincenas'!$G:$G,'2_Quincenas'!$E:$E,$A3)+SUMIFS('2_Quincenas'!$H:$H,'2_Quincenas'!$E:$E,$A3)*1.5+SUMIFS('2_Quincenas'!$I:$I,'2_Quincenas'!$E:$E,$A3)*2,SUMIFS('2_Quincenas'!$G:$G,'2_Quincenas'!$E:$E,$A4,'2_Quincenas'!$D:$D,$B4)+SUMIFS('2_Quincenas'!$H:$H,'2_Quincenas'!$E:$E,$A4,'2_Quincenas'!$D:$D,$B4)*1.5+SUMIFS('2_Quincenas'!$I:$I,'2_Quincenas'!$E:$E,$A4,'2_Quincenas'!$D:$D,$B4)*2)</f>
        <v>1470</v>
      </c>
      <c r="F4" s="295">
        <f>IF(D4-E4&lt;0,0,D4-E4)</f>
        <v>2569.0469965017505</v>
      </c>
      <c r="G4" s="261">
        <f>IF(F4&gt;0,F4/D4,0)</f>
        <v>0.63605276163580715</v>
      </c>
      <c r="H4" s="295">
        <f>IF(E4&gt;D4,E4-D4,0)</f>
        <v>0</v>
      </c>
      <c r="I4" s="261">
        <f>IF(AND(H4&gt;0,D4&gt;0),H4/D4,IF(H4&gt;0,1,0))</f>
        <v>0</v>
      </c>
      <c r="J4" s="263" t="str">
        <f>IF($F4=0,"⚪","🔴")</f>
        <v>🔴</v>
      </c>
    </row>
    <row r="5" spans="1:10" ht="13.5" customHeight="1" x14ac:dyDescent="0.3">
      <c r="A5" s="294" t="s">
        <v>106</v>
      </c>
      <c r="B5" s="294" t="s">
        <v>498</v>
      </c>
      <c r="C5" s="295">
        <f>+SUMIFS('1_Composicion'!Q:Q,'1_Composicion'!S:S,'3_Control_Jornales'!A5,'1_Composicion'!E:E,'3_Control_Jornales'!B5)</f>
        <v>129.32500000000002</v>
      </c>
      <c r="D5" s="295">
        <f>+C5*8</f>
        <v>1034.6000000000001</v>
      </c>
      <c r="E5" s="295">
        <f>IF($A5="Total",SUMIFS('2_Quincenas'!$G:$G,'2_Quincenas'!$E:$E,$A4)+SUMIFS('2_Quincenas'!$H:$H,'2_Quincenas'!$E:$E,$A4)*1.5+SUMIFS('2_Quincenas'!$I:$I,'2_Quincenas'!$E:$E,$A4)*2,SUMIFS('2_Quincenas'!$G:$G,'2_Quincenas'!$E:$E,$A5,'2_Quincenas'!$D:$D,$B5)+SUMIFS('2_Quincenas'!$H:$H,'2_Quincenas'!$E:$E,$A5,'2_Quincenas'!$D:$D,$B5)*1.5+SUMIFS('2_Quincenas'!$I:$I,'2_Quincenas'!$E:$E,$A5,'2_Quincenas'!$D:$D,$B5)*2)</f>
        <v>2553.5</v>
      </c>
      <c r="F5" s="295">
        <f>IF(D5-E5&lt;0,0,D5-E5)</f>
        <v>0</v>
      </c>
      <c r="G5" s="261">
        <f>IF(F5&gt;0,F5/D5,0)</f>
        <v>0</v>
      </c>
      <c r="H5" s="295">
        <f>IF(E5&gt;D5,E5-D5,0)</f>
        <v>1518.8999999999999</v>
      </c>
      <c r="I5" s="261">
        <f>IF(AND(H5&gt;0,D5&gt;0),H5/D5,IF(H5&gt;0,1,0))</f>
        <v>1.4681036149236417</v>
      </c>
      <c r="J5" s="263" t="str">
        <f>IF($F5=0,"⚪","🔴")</f>
        <v>⚪</v>
      </c>
    </row>
    <row r="6" spans="1:10" ht="13.5" customHeight="1" x14ac:dyDescent="0.3">
      <c r="A6" s="294" t="s">
        <v>106</v>
      </c>
      <c r="B6" s="294" t="s">
        <v>414</v>
      </c>
      <c r="C6" s="295">
        <f>+SUMIFS('1_Composicion'!Q:Q,'1_Composicion'!S:S,'3_Control_Jornales'!A6,'1_Composicion'!E:E,'3_Control_Jornales'!B6)</f>
        <v>44</v>
      </c>
      <c r="D6" s="295">
        <f>+C6*8</f>
        <v>352</v>
      </c>
      <c r="E6" s="295">
        <f>IF($A6="Total",SUMIFS('2_Quincenas'!$G:$G,'2_Quincenas'!$E:$E,$A5)+SUMIFS('2_Quincenas'!$H:$H,'2_Quincenas'!$E:$E,$A5)*1.5+SUMIFS('2_Quincenas'!$I:$I,'2_Quincenas'!$E:$E,$A5)*2,SUMIFS('2_Quincenas'!$G:$G,'2_Quincenas'!$E:$E,$A6,'2_Quincenas'!$D:$D,$B6)+SUMIFS('2_Quincenas'!$H:$H,'2_Quincenas'!$E:$E,$A6,'2_Quincenas'!$D:$D,$B6)*1.5+SUMIFS('2_Quincenas'!$I:$I,'2_Quincenas'!$E:$E,$A6,'2_Quincenas'!$D:$D,$B6)*2)</f>
        <v>1165</v>
      </c>
      <c r="F6" s="295">
        <f>IF(D6-E6&lt;0,0,D6-E6)</f>
        <v>0</v>
      </c>
      <c r="G6" s="261">
        <f>IF(F6&gt;0,F6/D6,0)</f>
        <v>0</v>
      </c>
      <c r="H6" s="295">
        <f>IF(E6&gt;D6,E6-D6,0)</f>
        <v>813</v>
      </c>
      <c r="I6" s="261">
        <f>IF(AND(H6&gt;0,D6&gt;0),H6/D6,IF(H6&gt;0,1,0))</f>
        <v>2.3096590909090908</v>
      </c>
      <c r="J6" s="263" t="str">
        <f>IF($F6=0,"⚪","🔴")</f>
        <v>⚪</v>
      </c>
    </row>
    <row r="7" spans="1:10" ht="13.5" customHeight="1" x14ac:dyDescent="0.3">
      <c r="A7" s="294" t="s">
        <v>106</v>
      </c>
      <c r="B7" s="294" t="s">
        <v>59</v>
      </c>
      <c r="C7" s="295">
        <f>+SUMIFS('1_Composicion'!Q:Q,'1_Composicion'!S:S,'3_Control_Jornales'!A7,'1_Composicion'!E:E,'3_Control_Jornales'!B7)</f>
        <v>764.20215856357538</v>
      </c>
      <c r="D7" s="295">
        <f>+C7*8</f>
        <v>6113.617268508603</v>
      </c>
      <c r="E7" s="295">
        <f>IF($A7="Total",SUMIFS('2_Quincenas'!$G:$G,'2_Quincenas'!$E:$E,$A6)+SUMIFS('2_Quincenas'!$H:$H,'2_Quincenas'!$E:$E,$A6)*1.5+SUMIFS('2_Quincenas'!$I:$I,'2_Quincenas'!$E:$E,$A6)*2,SUMIFS('2_Quincenas'!$G:$G,'2_Quincenas'!$E:$E,$A7,'2_Quincenas'!$D:$D,$B7)+SUMIFS('2_Quincenas'!$H:$H,'2_Quincenas'!$E:$E,$A7,'2_Quincenas'!$D:$D,$B7)*1.5+SUMIFS('2_Quincenas'!$I:$I,'2_Quincenas'!$E:$E,$A7,'2_Quincenas'!$D:$D,$B7)*2)</f>
        <v>3512.5</v>
      </c>
      <c r="F7" s="295">
        <f>IF(D7-E7&lt;0,0,D7-E7)</f>
        <v>2601.117268508603</v>
      </c>
      <c r="G7" s="261">
        <f>IF(F7&gt;0,F7/D7,0)</f>
        <v>0.42546288952483563</v>
      </c>
      <c r="H7" s="295">
        <f>IF(E7&gt;D7,E7-D7,0)</f>
        <v>0</v>
      </c>
      <c r="I7" s="261">
        <f>IF(AND(H7&gt;0,D7&gt;0),H7/D7,IF(H7&gt;0,1,0))</f>
        <v>0</v>
      </c>
      <c r="J7" s="263" t="str">
        <f>IF($F7=0,"⚪","🔴")</f>
        <v>🔴</v>
      </c>
    </row>
    <row r="8" spans="1:10" ht="13.5" customHeight="1" x14ac:dyDescent="0.3">
      <c r="A8" s="296" t="s">
        <v>4921</v>
      </c>
      <c r="B8" s="296"/>
      <c r="C8" s="297">
        <f>+SUM(C4:C7)</f>
        <v>1442.4080331262942</v>
      </c>
      <c r="D8" s="298">
        <f>+C8*8</f>
        <v>11539.264265010353</v>
      </c>
      <c r="E8" s="298">
        <f>IF($A8="Total",SUMIFS('2_Quincenas'!$G:$G,'2_Quincenas'!$E:$E,$A7)+SUMIFS('2_Quincenas'!$H:$H,'2_Quincenas'!$E:$E,$A7)*1.5+SUMIFS('2_Quincenas'!$I:$I,'2_Quincenas'!$E:$E,$A7)*2,SUMIFS('2_Quincenas'!$G:$G,'2_Quincenas'!$E:$E,$A8,'2_Quincenas'!$D:$D,$B8)+SUMIFS('2_Quincenas'!$H:$H,'2_Quincenas'!$E:$E,$A8,'2_Quincenas'!$D:$D,$B8)*1.5+SUMIFS('2_Quincenas'!$I:$I,'2_Quincenas'!$E:$E,$A8,'2_Quincenas'!$D:$D,$B8)*2)</f>
        <v>8701</v>
      </c>
      <c r="F8" s="298">
        <f>IF(D8-E8&lt;0,0,D8-E8)</f>
        <v>2838.2642650103535</v>
      </c>
      <c r="G8" s="299">
        <f>IF(F8&gt;0,F8/D8,0)</f>
        <v>0.24596579121743573</v>
      </c>
      <c r="H8" s="298">
        <f>IF(E8&gt;D8,E8-D8,0)</f>
        <v>0</v>
      </c>
      <c r="I8" s="300">
        <f>IF(AND(H8&gt;0,D8&gt;0),H8/D8,IF(H8&gt;0,1,0))</f>
        <v>0</v>
      </c>
      <c r="J8" s="301" t="str">
        <f>IF($F8=0,"⚪","🔴")</f>
        <v>🔴</v>
      </c>
    </row>
    <row r="9" spans="1:10" ht="6" customHeight="1" x14ac:dyDescent="0.3">
      <c r="D9" s="302"/>
      <c r="E9" s="302"/>
      <c r="F9" s="302"/>
      <c r="G9" s="282"/>
      <c r="H9" s="302"/>
      <c r="I9" s="282"/>
      <c r="J9" s="303"/>
    </row>
    <row r="10" spans="1:10" ht="13.5" customHeight="1" x14ac:dyDescent="0.3">
      <c r="A10" s="294" t="s">
        <v>3219</v>
      </c>
      <c r="B10" s="294" t="s">
        <v>64</v>
      </c>
      <c r="C10" s="295">
        <f>+SUMIFS('1_Composicion'!Q:Q,'1_Composicion'!S:S,'3_Control_Jornales'!A10,'1_Composicion'!E:E,'3_Control_Jornales'!B10)</f>
        <v>20</v>
      </c>
      <c r="D10" s="295">
        <f>+C10*8</f>
        <v>160</v>
      </c>
      <c r="E10" s="295">
        <f>IF($A10="Total",SUMIFS('2_Quincenas'!$G:$G,'2_Quincenas'!$E:$E,$A9)+SUMIFS('2_Quincenas'!$H:$H,'2_Quincenas'!$E:$E,$A9)*1.5+SUMIFS('2_Quincenas'!$I:$I,'2_Quincenas'!$E:$E,$A9)*2,SUMIFS('2_Quincenas'!$G:$G,'2_Quincenas'!$E:$E,$A10,'2_Quincenas'!$D:$D,$B10)+SUMIFS('2_Quincenas'!$H:$H,'2_Quincenas'!$E:$E,$A10,'2_Quincenas'!$D:$D,$B10)*1.5+SUMIFS('2_Quincenas'!$I:$I,'2_Quincenas'!$E:$E,$A10,'2_Quincenas'!$D:$D,$B10)*2)</f>
        <v>0</v>
      </c>
      <c r="F10" s="295">
        <f>IF(D10-E10&lt;0,0,D10-E10)</f>
        <v>160</v>
      </c>
      <c r="G10" s="261">
        <f>IF(F10&gt;0,F10/D10,0)</f>
        <v>1</v>
      </c>
      <c r="H10" s="295">
        <f>IF(E10&gt;D10,E10-D10,0)</f>
        <v>0</v>
      </c>
      <c r="I10" s="261">
        <f>IF(AND(H10&gt;0,D10&gt;0),H10/D10,IF(H10&gt;0,1,0))</f>
        <v>0</v>
      </c>
      <c r="J10" s="263" t="str">
        <f>IF($F10=0,"⚪","🔴")</f>
        <v>🔴</v>
      </c>
    </row>
    <row r="11" spans="1:10" ht="13.5" customHeight="1" x14ac:dyDescent="0.3">
      <c r="A11" s="294" t="s">
        <v>3219</v>
      </c>
      <c r="B11" s="294" t="s">
        <v>498</v>
      </c>
      <c r="C11" s="295">
        <f>+SUMIFS('1_Composicion'!Q:Q,'1_Composicion'!S:S,'3_Control_Jornales'!A11,'1_Composicion'!E:E,'3_Control_Jornales'!B11)</f>
        <v>0</v>
      </c>
      <c r="D11" s="295">
        <f>+C11*8</f>
        <v>0</v>
      </c>
      <c r="E11" s="295">
        <f>IF($A11="Total",SUMIFS('2_Quincenas'!$G:$G,'2_Quincenas'!$E:$E,$A10)+SUMIFS('2_Quincenas'!$H:$H,'2_Quincenas'!$E:$E,$A10)*1.5+SUMIFS('2_Quincenas'!$I:$I,'2_Quincenas'!$E:$E,$A10)*2,SUMIFS('2_Quincenas'!$G:$G,'2_Quincenas'!$E:$E,$A11,'2_Quincenas'!$D:$D,$B11)+SUMIFS('2_Quincenas'!$H:$H,'2_Quincenas'!$E:$E,$A11,'2_Quincenas'!$D:$D,$B11)*1.5+SUMIFS('2_Quincenas'!$I:$I,'2_Quincenas'!$E:$E,$A11,'2_Quincenas'!$D:$D,$B11)*2)</f>
        <v>808</v>
      </c>
      <c r="F11" s="295">
        <f>IF(D11-E11&lt;0,0,D11-E11)</f>
        <v>0</v>
      </c>
      <c r="G11" s="261">
        <f>IF(F11&gt;0,F11/D11,0)</f>
        <v>0</v>
      </c>
      <c r="H11" s="295">
        <f>IF(E11&gt;D11,E11-D11,0)</f>
        <v>808</v>
      </c>
      <c r="I11" s="261">
        <f>IF(AND(H11&gt;0,D11&gt;0),H11/D11,IF(H11&gt;0,1,0))</f>
        <v>1</v>
      </c>
      <c r="J11" s="263" t="str">
        <f>IF($F11=0,"⚪","🔴")</f>
        <v>⚪</v>
      </c>
    </row>
    <row r="12" spans="1:10" ht="13.5" customHeight="1" x14ac:dyDescent="0.3">
      <c r="A12" s="294" t="s">
        <v>3219</v>
      </c>
      <c r="B12" s="294" t="s">
        <v>414</v>
      </c>
      <c r="C12" s="295">
        <f>+SUMIFS('1_Composicion'!Q:Q,'1_Composicion'!S:S,'3_Control_Jornales'!A12,'1_Composicion'!E:E,'3_Control_Jornales'!B12)</f>
        <v>20</v>
      </c>
      <c r="D12" s="295">
        <f>+C12*8</f>
        <v>160</v>
      </c>
      <c r="E12" s="295">
        <f>IF($A12="Total",SUMIFS('2_Quincenas'!$G:$G,'2_Quincenas'!$E:$E,$A11)+SUMIFS('2_Quincenas'!$H:$H,'2_Quincenas'!$E:$E,$A11)*1.5+SUMIFS('2_Quincenas'!$I:$I,'2_Quincenas'!$E:$E,$A11)*2,SUMIFS('2_Quincenas'!$G:$G,'2_Quincenas'!$E:$E,$A12,'2_Quincenas'!$D:$D,$B12)+SUMIFS('2_Quincenas'!$H:$H,'2_Quincenas'!$E:$E,$A12,'2_Quincenas'!$D:$D,$B12)*1.5+SUMIFS('2_Quincenas'!$I:$I,'2_Quincenas'!$E:$E,$A12,'2_Quincenas'!$D:$D,$B12)*2)</f>
        <v>811.5</v>
      </c>
      <c r="F12" s="295">
        <f>IF(D12-E12&lt;0,0,D12-E12)</f>
        <v>0</v>
      </c>
      <c r="G12" s="261">
        <f>IF(F12&gt;0,F12/D12,0)</f>
        <v>0</v>
      </c>
      <c r="H12" s="295">
        <f>IF(E12&gt;D12,E12-D12,0)</f>
        <v>651.5</v>
      </c>
      <c r="I12" s="261">
        <f>IF(AND(H12&gt;0,D12&gt;0),H12/D12,IF(H12&gt;0,1,0))</f>
        <v>4.0718750000000004</v>
      </c>
      <c r="J12" s="263" t="str">
        <f>IF($F12=0,"⚪","🔴")</f>
        <v>⚪</v>
      </c>
    </row>
    <row r="13" spans="1:10" ht="13.5" customHeight="1" x14ac:dyDescent="0.3">
      <c r="A13" s="294" t="s">
        <v>3219</v>
      </c>
      <c r="B13" s="294" t="s">
        <v>59</v>
      </c>
      <c r="C13" s="295">
        <f>+SUMIFS('1_Composicion'!Q:Q,'1_Composicion'!S:S,'3_Control_Jornales'!A13,'1_Composicion'!E:E,'3_Control_Jornales'!B13)</f>
        <v>0</v>
      </c>
      <c r="D13" s="295">
        <f>+C13*8</f>
        <v>0</v>
      </c>
      <c r="E13" s="295">
        <f>IF($A13="Total",SUMIFS('2_Quincenas'!$G:$G,'2_Quincenas'!$E:$E,$A12)+SUMIFS('2_Quincenas'!$H:$H,'2_Quincenas'!$E:$E,$A12)*1.5+SUMIFS('2_Quincenas'!$I:$I,'2_Quincenas'!$E:$E,$A12)*2,SUMIFS('2_Quincenas'!$G:$G,'2_Quincenas'!$E:$E,$A13,'2_Quincenas'!$D:$D,$B13)+SUMIFS('2_Quincenas'!$H:$H,'2_Quincenas'!$E:$E,$A13,'2_Quincenas'!$D:$D,$B13)*1.5+SUMIFS('2_Quincenas'!$I:$I,'2_Quincenas'!$E:$E,$A13,'2_Quincenas'!$D:$D,$B13)*2)</f>
        <v>0</v>
      </c>
      <c r="F13" s="295">
        <f>IF(D13-E13&lt;0,0,D13-E13)</f>
        <v>0</v>
      </c>
      <c r="G13" s="261">
        <f>IF(F13&gt;0,F13/D13,0)</f>
        <v>0</v>
      </c>
      <c r="H13" s="295">
        <f>IF(E13&gt;D13,E13-D13,0)</f>
        <v>0</v>
      </c>
      <c r="I13" s="261">
        <f>IF(AND(H13&gt;0,D13&gt;0),H13/D13,IF(H13&gt;0,1,0))</f>
        <v>0</v>
      </c>
      <c r="J13" s="263" t="str">
        <f>IF($F13=0,"⚪","🔴")</f>
        <v>⚪</v>
      </c>
    </row>
    <row r="14" spans="1:10" ht="13.5" customHeight="1" x14ac:dyDescent="0.3">
      <c r="A14" s="296" t="s">
        <v>4921</v>
      </c>
      <c r="B14" s="296"/>
      <c r="C14" s="297">
        <f>+SUM(C10:C13)</f>
        <v>40</v>
      </c>
      <c r="D14" s="298">
        <f>+C14*8</f>
        <v>320</v>
      </c>
      <c r="E14" s="298">
        <f>IF($A14="Total",SUMIFS('2_Quincenas'!$G:$G,'2_Quincenas'!$E:$E,$A13)+SUMIFS('2_Quincenas'!$H:$H,'2_Quincenas'!$E:$E,$A13)*1.5+SUMIFS('2_Quincenas'!$I:$I,'2_Quincenas'!$E:$E,$A13)*2,SUMIFS('2_Quincenas'!$G:$G,'2_Quincenas'!$E:$E,$A14,'2_Quincenas'!$D:$D,$B14)+SUMIFS('2_Quincenas'!$H:$H,'2_Quincenas'!$E:$E,$A14,'2_Quincenas'!$D:$D,$B14)*1.5+SUMIFS('2_Quincenas'!$I:$I,'2_Quincenas'!$E:$E,$A14,'2_Quincenas'!$D:$D,$B14)*2)</f>
        <v>1619.5</v>
      </c>
      <c r="F14" s="298">
        <f>IF(D14-E14&lt;0,0,D14-E14)</f>
        <v>0</v>
      </c>
      <c r="G14" s="299">
        <f>IF(F14&gt;0,F14/D14,0)</f>
        <v>0</v>
      </c>
      <c r="H14" s="298">
        <f>IF(E14&gt;D14,E14-D14,0)</f>
        <v>1299.5</v>
      </c>
      <c r="I14" s="300">
        <f>IF(AND(H14&gt;0,D14&gt;0),H14/D14,IF(H14&gt;0,1,0))</f>
        <v>4.0609374999999996</v>
      </c>
      <c r="J14" s="301" t="str">
        <f>IF($F14=0,"⚪","🔴")</f>
        <v>⚪</v>
      </c>
    </row>
    <row r="15" spans="1:10" ht="6" customHeight="1" x14ac:dyDescent="0.3">
      <c r="D15" s="302"/>
      <c r="E15" s="302"/>
      <c r="F15" s="302"/>
      <c r="G15" s="282"/>
      <c r="H15" s="302"/>
      <c r="I15" s="282"/>
      <c r="J15" s="303"/>
    </row>
    <row r="16" spans="1:10" ht="13.5" customHeight="1" x14ac:dyDescent="0.3">
      <c r="A16" s="294" t="s">
        <v>4271</v>
      </c>
      <c r="B16" s="294" t="s">
        <v>64</v>
      </c>
      <c r="C16" s="295">
        <f>+SUMIFS('1_Composicion'!Q:Q,'1_Composicion'!S:S,'3_Control_Jornales'!A16,'1_Composicion'!E:E,'3_Control_Jornales'!B16)</f>
        <v>0</v>
      </c>
      <c r="D16" s="295">
        <f>+C16*8</f>
        <v>0</v>
      </c>
      <c r="E16" s="295">
        <f>IF($A16="Total",SUMIFS('2_Quincenas'!$G:$G,'2_Quincenas'!$E:$E,$A15)+SUMIFS('2_Quincenas'!$H:$H,'2_Quincenas'!$E:$E,$A15)*1.5+SUMIFS('2_Quincenas'!$I:$I,'2_Quincenas'!$E:$E,$A15)*2,SUMIFS('2_Quincenas'!$G:$G,'2_Quincenas'!$E:$E,$A16,'2_Quincenas'!$D:$D,$B16)+SUMIFS('2_Quincenas'!$H:$H,'2_Quincenas'!$E:$E,$A16,'2_Quincenas'!$D:$D,$B16)*1.5+SUMIFS('2_Quincenas'!$I:$I,'2_Quincenas'!$E:$E,$A16,'2_Quincenas'!$D:$D,$B16)*2)</f>
        <v>0</v>
      </c>
      <c r="F16" s="295">
        <f>IF(D16-E16&lt;0,0,D16-E16)</f>
        <v>0</v>
      </c>
      <c r="G16" s="261">
        <f>IF(F16&gt;0,F16/D16,0)</f>
        <v>0</v>
      </c>
      <c r="H16" s="295">
        <f>IF(E16&gt;D16,E16-D16,0)</f>
        <v>0</v>
      </c>
      <c r="I16" s="261">
        <f>IF(AND(H16&gt;0,D16&gt;0),H16/D16,IF(H16&gt;0,1,0))</f>
        <v>0</v>
      </c>
      <c r="J16" s="263" t="str">
        <f>IF($F16=0,"⚪","🔴")</f>
        <v>⚪</v>
      </c>
    </row>
    <row r="17" spans="1:10" ht="13.5" customHeight="1" x14ac:dyDescent="0.3">
      <c r="A17" s="294" t="s">
        <v>4271</v>
      </c>
      <c r="B17" s="294" t="s">
        <v>498</v>
      </c>
      <c r="C17" s="295">
        <f>+SUMIFS('1_Composicion'!Q:Q,'1_Composicion'!S:S,'3_Control_Jornales'!A17,'1_Composicion'!E:E,'3_Control_Jornales'!B17)</f>
        <v>0</v>
      </c>
      <c r="D17" s="295">
        <f>+C17*8</f>
        <v>0</v>
      </c>
      <c r="E17" s="295">
        <f>IF($A17="Total",SUMIFS('2_Quincenas'!$G:$G,'2_Quincenas'!$E:$E,$A16)+SUMIFS('2_Quincenas'!$H:$H,'2_Quincenas'!$E:$E,$A16)*1.5+SUMIFS('2_Quincenas'!$I:$I,'2_Quincenas'!$E:$E,$A16)*2,SUMIFS('2_Quincenas'!$G:$G,'2_Quincenas'!$E:$E,$A17,'2_Quincenas'!$D:$D,$B17)+SUMIFS('2_Quincenas'!$H:$H,'2_Quincenas'!$E:$E,$A17,'2_Quincenas'!$D:$D,$B17)*1.5+SUMIFS('2_Quincenas'!$I:$I,'2_Quincenas'!$E:$E,$A17,'2_Quincenas'!$D:$D,$B17)*2)</f>
        <v>1733.5</v>
      </c>
      <c r="F17" s="295">
        <f>IF(D17-E17&lt;0,0,D17-E17)</f>
        <v>0</v>
      </c>
      <c r="G17" s="261">
        <f>IF(F17&gt;0,F17/D17,0)</f>
        <v>0</v>
      </c>
      <c r="H17" s="295">
        <f>IF(E17&gt;D17,E17-D17,0)</f>
        <v>1733.5</v>
      </c>
      <c r="I17" s="261">
        <f>IF(AND(H17&gt;0,D17&gt;0),H17/D17,IF(H17&gt;0,1,0))</f>
        <v>1</v>
      </c>
      <c r="J17" s="263" t="str">
        <f>IF($F17=0,"⚪","🔴")</f>
        <v>⚪</v>
      </c>
    </row>
    <row r="18" spans="1:10" ht="13.5" customHeight="1" x14ac:dyDescent="0.3">
      <c r="A18" s="294" t="s">
        <v>4271</v>
      </c>
      <c r="B18" s="294" t="s">
        <v>414</v>
      </c>
      <c r="C18" s="295">
        <f>+SUMIFS('1_Composicion'!Q:Q,'1_Composicion'!S:S,'3_Control_Jornales'!A18,'1_Composicion'!E:E,'3_Control_Jornales'!B18)</f>
        <v>0</v>
      </c>
      <c r="D18" s="295">
        <f>+C18*8</f>
        <v>0</v>
      </c>
      <c r="E18" s="295">
        <f>IF($A18="Total",SUMIFS('2_Quincenas'!$G:$G,'2_Quincenas'!$E:$E,$A17)+SUMIFS('2_Quincenas'!$H:$H,'2_Quincenas'!$E:$E,$A17)*1.5+SUMIFS('2_Quincenas'!$I:$I,'2_Quincenas'!$E:$E,$A17)*2,SUMIFS('2_Quincenas'!$G:$G,'2_Quincenas'!$E:$E,$A18,'2_Quincenas'!$D:$D,$B18)+SUMIFS('2_Quincenas'!$H:$H,'2_Quincenas'!$E:$E,$A18,'2_Quincenas'!$D:$D,$B18)*1.5+SUMIFS('2_Quincenas'!$I:$I,'2_Quincenas'!$E:$E,$A18,'2_Quincenas'!$D:$D,$B18)*2)</f>
        <v>0</v>
      </c>
      <c r="F18" s="295">
        <f>IF(D18-E18&lt;0,0,D18-E18)</f>
        <v>0</v>
      </c>
      <c r="G18" s="261">
        <f>IF(F18&gt;0,F18/D18,0)</f>
        <v>0</v>
      </c>
      <c r="H18" s="295">
        <f>IF(E18&gt;D18,E18-D18,0)</f>
        <v>0</v>
      </c>
      <c r="I18" s="261">
        <f>IF(AND(H18&gt;0,D18&gt;0),H18/D18,IF(H18&gt;0,1,0))</f>
        <v>0</v>
      </c>
      <c r="J18" s="263" t="str">
        <f>IF($F18=0,"⚪","🔴")</f>
        <v>⚪</v>
      </c>
    </row>
    <row r="19" spans="1:10" ht="13.5" customHeight="1" x14ac:dyDescent="0.3">
      <c r="A19" s="294" t="s">
        <v>4271</v>
      </c>
      <c r="B19" s="294" t="s">
        <v>59</v>
      </c>
      <c r="C19" s="295">
        <f>+SUMIFS('1_Composicion'!Q:Q,'1_Composicion'!S:S,'3_Control_Jornales'!A19,'1_Composicion'!E:E,'3_Control_Jornales'!B19)</f>
        <v>0</v>
      </c>
      <c r="D19" s="295">
        <f>+C19*8</f>
        <v>0</v>
      </c>
      <c r="E19" s="295">
        <f>IF($A19="Total",SUMIFS('2_Quincenas'!$G:$G,'2_Quincenas'!$E:$E,$A18)+SUMIFS('2_Quincenas'!$H:$H,'2_Quincenas'!$E:$E,$A18)*1.5+SUMIFS('2_Quincenas'!$I:$I,'2_Quincenas'!$E:$E,$A18)*2,SUMIFS('2_Quincenas'!$G:$G,'2_Quincenas'!$E:$E,$A19,'2_Quincenas'!$D:$D,$B19)+SUMIFS('2_Quincenas'!$H:$H,'2_Quincenas'!$E:$E,$A19,'2_Quincenas'!$D:$D,$B19)*1.5+SUMIFS('2_Quincenas'!$I:$I,'2_Quincenas'!$E:$E,$A19,'2_Quincenas'!$D:$D,$B19)*2)</f>
        <v>0</v>
      </c>
      <c r="F19" s="295">
        <f>IF(D19-E19&lt;0,0,D19-E19)</f>
        <v>0</v>
      </c>
      <c r="G19" s="261">
        <f>IF(F19&gt;0,F19/D19,0)</f>
        <v>0</v>
      </c>
      <c r="H19" s="295">
        <f>IF(E19&gt;D19,E19-D19,0)</f>
        <v>0</v>
      </c>
      <c r="I19" s="261">
        <f>IF(AND(H19&gt;0,D19&gt;0),H19/D19,IF(H19&gt;0,1,0))</f>
        <v>0</v>
      </c>
      <c r="J19" s="263" t="str">
        <f>IF($F19=0,"⚪","🔴")</f>
        <v>⚪</v>
      </c>
    </row>
    <row r="20" spans="1:10" ht="13.5" customHeight="1" x14ac:dyDescent="0.3">
      <c r="A20" s="296" t="s">
        <v>4921</v>
      </c>
      <c r="B20" s="296"/>
      <c r="C20" s="297">
        <f>+SUM(C16:C19)</f>
        <v>0</v>
      </c>
      <c r="D20" s="298">
        <f>+C20*8</f>
        <v>0</v>
      </c>
      <c r="E20" s="298">
        <f>IF($A20="Total",SUMIFS('2_Quincenas'!$G:$G,'2_Quincenas'!$E:$E,$A19)+SUMIFS('2_Quincenas'!$H:$H,'2_Quincenas'!$E:$E,$A19)*1.5+SUMIFS('2_Quincenas'!$I:$I,'2_Quincenas'!$E:$E,$A19)*2,SUMIFS('2_Quincenas'!$G:$G,'2_Quincenas'!$E:$E,$A20,'2_Quincenas'!$D:$D,$B20)+SUMIFS('2_Quincenas'!$H:$H,'2_Quincenas'!$E:$E,$A20,'2_Quincenas'!$D:$D,$B20)*1.5+SUMIFS('2_Quincenas'!$I:$I,'2_Quincenas'!$E:$E,$A20,'2_Quincenas'!$D:$D,$B20)*2)</f>
        <v>1733.5</v>
      </c>
      <c r="F20" s="298">
        <f>IF(D20-E20&lt;0,0,D20-E20)</f>
        <v>0</v>
      </c>
      <c r="G20" s="299">
        <f>IF(F20&gt;0,F20/D20,0)</f>
        <v>0</v>
      </c>
      <c r="H20" s="298">
        <f>IF(E20&gt;D20,E20-D20,0)</f>
        <v>1733.5</v>
      </c>
      <c r="I20" s="300">
        <f>IF(AND(H20&gt;0,D20&gt;0),H20/D20,IF(H20&gt;0,1,0))</f>
        <v>1</v>
      </c>
      <c r="J20" s="301" t="str">
        <f>IF($F20=0,"⚪","🔴")</f>
        <v>⚪</v>
      </c>
    </row>
    <row r="21" spans="1:10" ht="6" customHeight="1" x14ac:dyDescent="0.3">
      <c r="D21" s="302"/>
      <c r="E21" s="302"/>
      <c r="F21" s="302"/>
      <c r="G21" s="282"/>
      <c r="H21" s="302"/>
      <c r="I21" s="282"/>
      <c r="J21" s="303"/>
    </row>
    <row r="22" spans="1:10" ht="13.5" customHeight="1" x14ac:dyDescent="0.3">
      <c r="A22" s="294" t="s">
        <v>2779</v>
      </c>
      <c r="B22" s="294" t="s">
        <v>64</v>
      </c>
      <c r="C22" s="295">
        <f>+SUMIFS('1_Composicion'!Q:Q,'1_Composicion'!S:S,'3_Control_Jornales'!A22,'1_Composicion'!E:E,'3_Control_Jornales'!B22)</f>
        <v>3</v>
      </c>
      <c r="D22" s="295">
        <f>+C22*8</f>
        <v>24</v>
      </c>
      <c r="E22" s="295">
        <f>IF($A22="Total",SUMIFS('2_Quincenas'!$G:$G,'2_Quincenas'!$E:$E,$A21)+SUMIFS('2_Quincenas'!$H:$H,'2_Quincenas'!$E:$E,$A21)*1.5+SUMIFS('2_Quincenas'!$I:$I,'2_Quincenas'!$E:$E,$A21)*2,SUMIFS('2_Quincenas'!$G:$G,'2_Quincenas'!$E:$E,$A22,'2_Quincenas'!$D:$D,$B22)+SUMIFS('2_Quincenas'!$H:$H,'2_Quincenas'!$E:$E,$A22,'2_Quincenas'!$D:$D,$B22)*1.5+SUMIFS('2_Quincenas'!$I:$I,'2_Quincenas'!$E:$E,$A22,'2_Quincenas'!$D:$D,$B22)*2)</f>
        <v>0</v>
      </c>
      <c r="F22" s="295">
        <f>IF(D22-E22&lt;0,0,D22-E22)</f>
        <v>24</v>
      </c>
      <c r="G22" s="261">
        <f>IF(F22&gt;0,F22/D22,0)</f>
        <v>1</v>
      </c>
      <c r="H22" s="295">
        <f>IF(E22&gt;D22,E22-D22,0)</f>
        <v>0</v>
      </c>
      <c r="I22" s="261">
        <f>IF(AND(H22&gt;0,D22&gt;0),H22/D22,IF(H22&gt;0,1,0))</f>
        <v>0</v>
      </c>
      <c r="J22" s="263" t="str">
        <f>IF($F22=0,"⚪","🔴")</f>
        <v>🔴</v>
      </c>
    </row>
    <row r="23" spans="1:10" ht="13.5" customHeight="1" x14ac:dyDescent="0.3">
      <c r="A23" s="294" t="s">
        <v>2779</v>
      </c>
      <c r="B23" s="294" t="s">
        <v>498</v>
      </c>
      <c r="C23" s="295">
        <f>+SUMIFS('1_Composicion'!Q:Q,'1_Composicion'!S:S,'3_Control_Jornales'!A23,'1_Composicion'!E:E,'3_Control_Jornales'!B23)</f>
        <v>0</v>
      </c>
      <c r="D23" s="295">
        <f>+C23*8</f>
        <v>0</v>
      </c>
      <c r="E23" s="295">
        <f>IF($A23="Total",SUMIFS('2_Quincenas'!$G:$G,'2_Quincenas'!$E:$E,$A22)+SUMIFS('2_Quincenas'!$H:$H,'2_Quincenas'!$E:$E,$A22)*1.5+SUMIFS('2_Quincenas'!$I:$I,'2_Quincenas'!$E:$E,$A22)*2,SUMIFS('2_Quincenas'!$G:$G,'2_Quincenas'!$E:$E,$A23,'2_Quincenas'!$D:$D,$B23)+SUMIFS('2_Quincenas'!$H:$H,'2_Quincenas'!$E:$E,$A23,'2_Quincenas'!$D:$D,$B23)*1.5+SUMIFS('2_Quincenas'!$I:$I,'2_Quincenas'!$E:$E,$A23,'2_Quincenas'!$D:$D,$B23)*2)</f>
        <v>0</v>
      </c>
      <c r="F23" s="295">
        <f>IF(D23-E23&lt;0,0,D23-E23)</f>
        <v>0</v>
      </c>
      <c r="G23" s="261">
        <f>IF(F23&gt;0,F23/D23,0)</f>
        <v>0</v>
      </c>
      <c r="H23" s="295">
        <f>IF(E23&gt;D23,E23-D23,0)</f>
        <v>0</v>
      </c>
      <c r="I23" s="261">
        <f>IF(AND(H23&gt;0,D23&gt;0),H23/D23,IF(H23&gt;0,1,0))</f>
        <v>0</v>
      </c>
      <c r="J23" s="263" t="str">
        <f>IF($F23=0,"⚪","🔴")</f>
        <v>⚪</v>
      </c>
    </row>
    <row r="24" spans="1:10" ht="13.5" customHeight="1" x14ac:dyDescent="0.3">
      <c r="A24" s="294" t="s">
        <v>2779</v>
      </c>
      <c r="B24" s="294" t="s">
        <v>414</v>
      </c>
      <c r="C24" s="295">
        <f>+SUMIFS('1_Composicion'!Q:Q,'1_Composicion'!S:S,'3_Control_Jornales'!A24,'1_Composicion'!E:E,'3_Control_Jornales'!B24)</f>
        <v>3</v>
      </c>
      <c r="D24" s="295">
        <f>+C24*8</f>
        <v>24</v>
      </c>
      <c r="E24" s="295">
        <f>IF($A24="Total",SUMIFS('2_Quincenas'!$G:$G,'2_Quincenas'!$E:$E,$A23)+SUMIFS('2_Quincenas'!$H:$H,'2_Quincenas'!$E:$E,$A23)*1.5+SUMIFS('2_Quincenas'!$I:$I,'2_Quincenas'!$E:$E,$A23)*2,SUMIFS('2_Quincenas'!$G:$G,'2_Quincenas'!$E:$E,$A24,'2_Quincenas'!$D:$D,$B24)+SUMIFS('2_Quincenas'!$H:$H,'2_Quincenas'!$E:$E,$A24,'2_Quincenas'!$D:$D,$B24)*1.5+SUMIFS('2_Quincenas'!$I:$I,'2_Quincenas'!$E:$E,$A24,'2_Quincenas'!$D:$D,$B24)*2)</f>
        <v>0</v>
      </c>
      <c r="F24" s="295">
        <f>IF(D24-E24&lt;0,0,D24-E24)</f>
        <v>24</v>
      </c>
      <c r="G24" s="261">
        <f>IF(F24&gt;0,F24/D24,0)</f>
        <v>1</v>
      </c>
      <c r="H24" s="295">
        <f>IF(E24&gt;D24,E24-D24,0)</f>
        <v>0</v>
      </c>
      <c r="I24" s="261">
        <f>IF(AND(H24&gt;0,D24&gt;0),H24/D24,IF(H24&gt;0,1,0))</f>
        <v>0</v>
      </c>
      <c r="J24" s="263" t="str">
        <f>IF($F24=0,"⚪","🔴")</f>
        <v>🔴</v>
      </c>
    </row>
    <row r="25" spans="1:10" ht="13.5" customHeight="1" x14ac:dyDescent="0.3">
      <c r="A25" s="294" t="s">
        <v>2779</v>
      </c>
      <c r="B25" s="294" t="s">
        <v>59</v>
      </c>
      <c r="C25" s="295">
        <f>+SUMIFS('1_Composicion'!Q:Q,'1_Composicion'!S:S,'3_Control_Jornales'!A25,'1_Composicion'!E:E,'3_Control_Jornales'!B25)</f>
        <v>0</v>
      </c>
      <c r="D25" s="295">
        <f>+C25*8</f>
        <v>0</v>
      </c>
      <c r="E25" s="295">
        <f>IF($A25="Total",SUMIFS('2_Quincenas'!$G:$G,'2_Quincenas'!$E:$E,$A24)+SUMIFS('2_Quincenas'!$H:$H,'2_Quincenas'!$E:$E,$A24)*1.5+SUMIFS('2_Quincenas'!$I:$I,'2_Quincenas'!$E:$E,$A24)*2,SUMIFS('2_Quincenas'!$G:$G,'2_Quincenas'!$E:$E,$A25,'2_Quincenas'!$D:$D,$B25)+SUMIFS('2_Quincenas'!$H:$H,'2_Quincenas'!$E:$E,$A25,'2_Quincenas'!$D:$D,$B25)*1.5+SUMIFS('2_Quincenas'!$I:$I,'2_Quincenas'!$E:$E,$A25,'2_Quincenas'!$D:$D,$B25)*2)</f>
        <v>0</v>
      </c>
      <c r="F25" s="295">
        <f>IF(D25-E25&lt;0,0,D25-E25)</f>
        <v>0</v>
      </c>
      <c r="G25" s="261">
        <f>IF(F25&gt;0,F25/D25,0)</f>
        <v>0</v>
      </c>
      <c r="H25" s="295">
        <f>IF(E25&gt;D25,E25-D25,0)</f>
        <v>0</v>
      </c>
      <c r="I25" s="261">
        <f>IF(AND(H25&gt;0,D25&gt;0),H25/D25,IF(H25&gt;0,1,0))</f>
        <v>0</v>
      </c>
      <c r="J25" s="263" t="str">
        <f>IF($F25=0,"⚪","🔴")</f>
        <v>⚪</v>
      </c>
    </row>
    <row r="26" spans="1:10" ht="13.5" customHeight="1" x14ac:dyDescent="0.3">
      <c r="A26" s="296" t="s">
        <v>4921</v>
      </c>
      <c r="B26" s="296"/>
      <c r="C26" s="297">
        <f>+SUM(C22:C25)</f>
        <v>6</v>
      </c>
      <c r="D26" s="298">
        <f>+C26*8</f>
        <v>48</v>
      </c>
      <c r="E26" s="298">
        <f>IF($A26="Total",SUMIFS('2_Quincenas'!$G:$G,'2_Quincenas'!$E:$E,$A25)+SUMIFS('2_Quincenas'!$H:$H,'2_Quincenas'!$E:$E,$A25)*1.5+SUMIFS('2_Quincenas'!$I:$I,'2_Quincenas'!$E:$E,$A25)*2,SUMIFS('2_Quincenas'!$G:$G,'2_Quincenas'!$E:$E,$A26,'2_Quincenas'!$D:$D,$B26)+SUMIFS('2_Quincenas'!$H:$H,'2_Quincenas'!$E:$E,$A26,'2_Quincenas'!$D:$D,$B26)*1.5+SUMIFS('2_Quincenas'!$I:$I,'2_Quincenas'!$E:$E,$A26,'2_Quincenas'!$D:$D,$B26)*2)</f>
        <v>0</v>
      </c>
      <c r="F26" s="298">
        <f>IF(D26-E26&lt;0,0,D26-E26)</f>
        <v>48</v>
      </c>
      <c r="G26" s="299">
        <f>IF(F26&gt;0,F26/D26,0)</f>
        <v>1</v>
      </c>
      <c r="H26" s="298">
        <f>IF(E26&gt;D26,E26-D26,0)</f>
        <v>0</v>
      </c>
      <c r="I26" s="300">
        <f>IF(AND(H26&gt;0,D26&gt;0),H26/D26,IF(H26&gt;0,1,0))</f>
        <v>0</v>
      </c>
      <c r="J26" s="301" t="str">
        <f>IF($F26=0,"⚪","🔴")</f>
        <v>🔴</v>
      </c>
    </row>
    <row r="27" spans="1:10" ht="6" customHeight="1" x14ac:dyDescent="0.3">
      <c r="D27" s="302"/>
      <c r="E27" s="302"/>
      <c r="F27" s="302"/>
      <c r="G27" s="282"/>
      <c r="H27" s="302"/>
      <c r="I27" s="282"/>
      <c r="J27" s="303"/>
    </row>
    <row r="28" spans="1:10" ht="13.5" customHeight="1" x14ac:dyDescent="0.3">
      <c r="A28" s="294" t="s">
        <v>4165</v>
      </c>
      <c r="B28" s="294" t="s">
        <v>64</v>
      </c>
      <c r="C28" s="295">
        <f>+SUMIFS('1_Composicion'!Q:Q,'1_Composicion'!S:S,'3_Control_Jornales'!A28,'1_Composicion'!E:E,'3_Control_Jornales'!B28)</f>
        <v>0</v>
      </c>
      <c r="D28" s="295">
        <f>+C28*8</f>
        <v>0</v>
      </c>
      <c r="E28" s="295">
        <f>IF($A28="Total",SUMIFS('2_Quincenas'!$G:$G,'2_Quincenas'!$E:$E,$A27)+SUMIFS('2_Quincenas'!$H:$H,'2_Quincenas'!$E:$E,$A27)*1.5+SUMIFS('2_Quincenas'!$I:$I,'2_Quincenas'!$E:$E,$A27)*2,SUMIFS('2_Quincenas'!$G:$G,'2_Quincenas'!$E:$E,$A28,'2_Quincenas'!$D:$D,$B28)+SUMIFS('2_Quincenas'!$H:$H,'2_Quincenas'!$E:$E,$A28,'2_Quincenas'!$D:$D,$B28)*1.5+SUMIFS('2_Quincenas'!$I:$I,'2_Quincenas'!$E:$E,$A28,'2_Quincenas'!$D:$D,$B28)*2)</f>
        <v>0</v>
      </c>
      <c r="F28" s="295">
        <f>IF(D28-E28&lt;0,0,D28-E28)</f>
        <v>0</v>
      </c>
      <c r="G28" s="261">
        <f>IF(F28&gt;0,F28/D28,0)</f>
        <v>0</v>
      </c>
      <c r="H28" s="295">
        <f>IF(E28&gt;D28,E28-D28,0)</f>
        <v>0</v>
      </c>
      <c r="I28" s="261">
        <f>IF(AND(H28&gt;0,D28&gt;0),H28/D28,IF(H28&gt;0,1,0))</f>
        <v>0</v>
      </c>
      <c r="J28" s="263" t="str">
        <f>IF($F28=0,"⚪","🔴")</f>
        <v>⚪</v>
      </c>
    </row>
    <row r="29" spans="1:10" ht="13.5" customHeight="1" x14ac:dyDescent="0.3">
      <c r="A29" s="294" t="s">
        <v>4165</v>
      </c>
      <c r="B29" s="294" t="s">
        <v>498</v>
      </c>
      <c r="C29" s="295">
        <f>+SUMIFS('1_Composicion'!Q:Q,'1_Composicion'!S:S,'3_Control_Jornales'!A29,'1_Composicion'!E:E,'3_Control_Jornales'!B29)</f>
        <v>0</v>
      </c>
      <c r="D29" s="295">
        <f>+C29*8</f>
        <v>0</v>
      </c>
      <c r="E29" s="295">
        <f>IF($A29="Total",SUMIFS('2_Quincenas'!$G:$G,'2_Quincenas'!$E:$E,$A28)+SUMIFS('2_Quincenas'!$H:$H,'2_Quincenas'!$E:$E,$A28)*1.5+SUMIFS('2_Quincenas'!$I:$I,'2_Quincenas'!$E:$E,$A28)*2,SUMIFS('2_Quincenas'!$G:$G,'2_Quincenas'!$E:$E,$A29,'2_Quincenas'!$D:$D,$B29)+SUMIFS('2_Quincenas'!$H:$H,'2_Quincenas'!$E:$E,$A29,'2_Quincenas'!$D:$D,$B29)*1.5+SUMIFS('2_Quincenas'!$I:$I,'2_Quincenas'!$E:$E,$A29,'2_Quincenas'!$D:$D,$B29)*2)</f>
        <v>340</v>
      </c>
      <c r="F29" s="295">
        <f>IF(D29-E29&lt;0,0,D29-E29)</f>
        <v>0</v>
      </c>
      <c r="G29" s="261">
        <f>IF(F29&gt;0,F29/D29,0)</f>
        <v>0</v>
      </c>
      <c r="H29" s="295">
        <f>IF(E29&gt;D29,E29-D29,0)</f>
        <v>340</v>
      </c>
      <c r="I29" s="261">
        <f>IF(AND(H29&gt;0,D29&gt;0),H29/D29,IF(H29&gt;0,1,0))</f>
        <v>1</v>
      </c>
      <c r="J29" s="263" t="str">
        <f>IF($F29=0,"⚪","🔴")</f>
        <v>⚪</v>
      </c>
    </row>
    <row r="30" spans="1:10" ht="13.5" customHeight="1" x14ac:dyDescent="0.3">
      <c r="A30" s="294" t="s">
        <v>4165</v>
      </c>
      <c r="B30" s="294" t="s">
        <v>414</v>
      </c>
      <c r="C30" s="295">
        <f>+SUMIFS('1_Composicion'!Q:Q,'1_Composicion'!S:S,'3_Control_Jornales'!A30,'1_Composicion'!E:E,'3_Control_Jornales'!B30)</f>
        <v>0</v>
      </c>
      <c r="D30" s="295">
        <f>+C30*8</f>
        <v>0</v>
      </c>
      <c r="E30" s="295">
        <f>IF($A30="Total",SUMIFS('2_Quincenas'!$G:$G,'2_Quincenas'!$E:$E,$A29)+SUMIFS('2_Quincenas'!$H:$H,'2_Quincenas'!$E:$E,$A29)*1.5+SUMIFS('2_Quincenas'!$I:$I,'2_Quincenas'!$E:$E,$A29)*2,SUMIFS('2_Quincenas'!$G:$G,'2_Quincenas'!$E:$E,$A30,'2_Quincenas'!$D:$D,$B30)+SUMIFS('2_Quincenas'!$H:$H,'2_Quincenas'!$E:$E,$A30,'2_Quincenas'!$D:$D,$B30)*1.5+SUMIFS('2_Quincenas'!$I:$I,'2_Quincenas'!$E:$E,$A30,'2_Quincenas'!$D:$D,$B30)*2)</f>
        <v>0</v>
      </c>
      <c r="F30" s="295">
        <f>IF(D30-E30&lt;0,0,D30-E30)</f>
        <v>0</v>
      </c>
      <c r="G30" s="261">
        <f>IF(F30&gt;0,F30/D30,0)</f>
        <v>0</v>
      </c>
      <c r="H30" s="295">
        <f>IF(E30&gt;D30,E30-D30,0)</f>
        <v>0</v>
      </c>
      <c r="I30" s="261">
        <f>IF(AND(H30&gt;0,D30&gt;0),H30/D30,IF(H30&gt;0,1,0))</f>
        <v>0</v>
      </c>
      <c r="J30" s="263" t="str">
        <f>IF($F30=0,"⚪","🔴")</f>
        <v>⚪</v>
      </c>
    </row>
    <row r="31" spans="1:10" ht="13.5" customHeight="1" x14ac:dyDescent="0.3">
      <c r="A31" s="294" t="s">
        <v>4165</v>
      </c>
      <c r="B31" s="294" t="s">
        <v>59</v>
      </c>
      <c r="C31" s="295">
        <f>+SUMIFS('1_Composicion'!Q:Q,'1_Composicion'!S:S,'3_Control_Jornales'!A31,'1_Composicion'!E:E,'3_Control_Jornales'!B31)</f>
        <v>0</v>
      </c>
      <c r="D31" s="295">
        <f>+C31*8</f>
        <v>0</v>
      </c>
      <c r="E31" s="295">
        <f>IF($A31="Total",SUMIFS('2_Quincenas'!$G:$G,'2_Quincenas'!$E:$E,$A30)+SUMIFS('2_Quincenas'!$H:$H,'2_Quincenas'!$E:$E,$A30)*1.5+SUMIFS('2_Quincenas'!$I:$I,'2_Quincenas'!$E:$E,$A30)*2,SUMIFS('2_Quincenas'!$G:$G,'2_Quincenas'!$E:$E,$A31,'2_Quincenas'!$D:$D,$B31)+SUMIFS('2_Quincenas'!$H:$H,'2_Quincenas'!$E:$E,$A31,'2_Quincenas'!$D:$D,$B31)*1.5+SUMIFS('2_Quincenas'!$I:$I,'2_Quincenas'!$E:$E,$A31,'2_Quincenas'!$D:$D,$B31)*2)</f>
        <v>40</v>
      </c>
      <c r="F31" s="295">
        <f>IF(D31-E31&lt;0,0,D31-E31)</f>
        <v>0</v>
      </c>
      <c r="G31" s="261">
        <f>IF(F31&gt;0,F31/D31,0)</f>
        <v>0</v>
      </c>
      <c r="H31" s="295">
        <f>IF(E31&gt;D31,E31-D31,0)</f>
        <v>40</v>
      </c>
      <c r="I31" s="261">
        <f>IF(AND(H31&gt;0,D31&gt;0),H31/D31,IF(H31&gt;0,1,0))</f>
        <v>1</v>
      </c>
      <c r="J31" s="263" t="str">
        <f>IF($F31=0,"⚪","🔴")</f>
        <v>⚪</v>
      </c>
    </row>
    <row r="32" spans="1:10" ht="13.5" customHeight="1" x14ac:dyDescent="0.3">
      <c r="A32" s="296" t="s">
        <v>4921</v>
      </c>
      <c r="B32" s="296"/>
      <c r="C32" s="297">
        <f>+SUM(C28:C31)</f>
        <v>0</v>
      </c>
      <c r="D32" s="298">
        <f>+C32*8</f>
        <v>0</v>
      </c>
      <c r="E32" s="298">
        <f>IF($A32="Total",SUMIFS('2_Quincenas'!$G:$G,'2_Quincenas'!$E:$E,$A31)+SUMIFS('2_Quincenas'!$H:$H,'2_Quincenas'!$E:$E,$A31)*1.5+SUMIFS('2_Quincenas'!$I:$I,'2_Quincenas'!$E:$E,$A31)*2,SUMIFS('2_Quincenas'!$G:$G,'2_Quincenas'!$E:$E,$A32,'2_Quincenas'!$D:$D,$B32)+SUMIFS('2_Quincenas'!$H:$H,'2_Quincenas'!$E:$E,$A32,'2_Quincenas'!$D:$D,$B32)*1.5+SUMIFS('2_Quincenas'!$I:$I,'2_Quincenas'!$E:$E,$A32,'2_Quincenas'!$D:$D,$B32)*2)</f>
        <v>380</v>
      </c>
      <c r="F32" s="298">
        <f>IF(D32-E32&lt;0,0,D32-E32)</f>
        <v>0</v>
      </c>
      <c r="G32" s="299">
        <f>IF(F32&gt;0,F32/D32,0)</f>
        <v>0</v>
      </c>
      <c r="H32" s="298">
        <f>IF(E32&gt;D32,E32-D32,0)</f>
        <v>380</v>
      </c>
      <c r="I32" s="300">
        <f>IF(AND(H32&gt;0,D32&gt;0),H32/D32,IF(H32&gt;0,1,0))</f>
        <v>1</v>
      </c>
      <c r="J32" s="301" t="str">
        <f>IF($F32=0,"⚪","🔴")</f>
        <v>⚪</v>
      </c>
    </row>
    <row r="33" spans="1:10" ht="6" customHeight="1" x14ac:dyDescent="0.3">
      <c r="D33" s="302"/>
      <c r="E33" s="302"/>
      <c r="F33" s="302"/>
      <c r="G33" s="282"/>
      <c r="H33" s="302"/>
      <c r="I33" s="282"/>
      <c r="J33" s="303"/>
    </row>
    <row r="34" spans="1:10" ht="13.5" customHeight="1" x14ac:dyDescent="0.3">
      <c r="A34" s="294" t="s">
        <v>1478</v>
      </c>
      <c r="B34" s="294" t="s">
        <v>64</v>
      </c>
      <c r="C34" s="295">
        <f>+SUMIFS('1_Composicion'!Q:Q,'1_Composicion'!S:S,'3_Control_Jornales'!A34,'1_Composicion'!E:E,'3_Control_Jornales'!B34)</f>
        <v>0</v>
      </c>
      <c r="D34" s="295">
        <f>+C34*8</f>
        <v>0</v>
      </c>
      <c r="E34" s="295">
        <f>IF($A34="Total",SUMIFS('2_Quincenas'!$G:$G,'2_Quincenas'!$E:$E,$A33)+SUMIFS('2_Quincenas'!$H:$H,'2_Quincenas'!$E:$E,$A33)*1.5+SUMIFS('2_Quincenas'!$I:$I,'2_Quincenas'!$E:$E,$A33)*2,SUMIFS('2_Quincenas'!$G:$G,'2_Quincenas'!$E:$E,$A34,'2_Quincenas'!$D:$D,$B34)+SUMIFS('2_Quincenas'!$H:$H,'2_Quincenas'!$E:$E,$A34,'2_Quincenas'!$D:$D,$B34)*1.5+SUMIFS('2_Quincenas'!$I:$I,'2_Quincenas'!$E:$E,$A34,'2_Quincenas'!$D:$D,$B34)*2)</f>
        <v>0</v>
      </c>
      <c r="F34" s="295">
        <f>IF(D34-E34&lt;0,0,D34-E34)</f>
        <v>0</v>
      </c>
      <c r="G34" s="261">
        <f>IF(F34&gt;0,F34/D34,0)</f>
        <v>0</v>
      </c>
      <c r="H34" s="295">
        <f>IF(E34&gt;D34,E34-D34,0)</f>
        <v>0</v>
      </c>
      <c r="I34" s="261">
        <f>IF(AND(H34&gt;0,D34&gt;0),H34/D34,IF(H34&gt;0,1,0))</f>
        <v>0</v>
      </c>
      <c r="J34" s="263" t="str">
        <f>IF($F34=0,"⚪","🔴")</f>
        <v>⚪</v>
      </c>
    </row>
    <row r="35" spans="1:10" ht="13.5" customHeight="1" x14ac:dyDescent="0.3">
      <c r="A35" s="294" t="s">
        <v>1478</v>
      </c>
      <c r="B35" s="294" t="s">
        <v>498</v>
      </c>
      <c r="C35" s="295">
        <f>+SUMIFS('1_Composicion'!Q:Q,'1_Composicion'!S:S,'3_Control_Jornales'!A35,'1_Composicion'!E:E,'3_Control_Jornales'!B35)</f>
        <v>12.000000000000011</v>
      </c>
      <c r="D35" s="295">
        <f>+C35*8</f>
        <v>96.000000000000085</v>
      </c>
      <c r="E35" s="295">
        <f>IF($A35="Total",SUMIFS('2_Quincenas'!$G:$G,'2_Quincenas'!$E:$E,$A34)+SUMIFS('2_Quincenas'!$H:$H,'2_Quincenas'!$E:$E,$A34)*1.5+SUMIFS('2_Quincenas'!$I:$I,'2_Quincenas'!$E:$E,$A34)*2,SUMIFS('2_Quincenas'!$G:$G,'2_Quincenas'!$E:$E,$A35,'2_Quincenas'!$D:$D,$B35)+SUMIFS('2_Quincenas'!$H:$H,'2_Quincenas'!$E:$E,$A35,'2_Quincenas'!$D:$D,$B35)*1.5+SUMIFS('2_Quincenas'!$I:$I,'2_Quincenas'!$E:$E,$A35,'2_Quincenas'!$D:$D,$B35)*2)</f>
        <v>0</v>
      </c>
      <c r="F35" s="295">
        <f>IF(D35-E35&lt;0,0,D35-E35)</f>
        <v>96.000000000000085</v>
      </c>
      <c r="G35" s="261">
        <f>IF(F35&gt;0,F35/D35,0)</f>
        <v>1</v>
      </c>
      <c r="H35" s="295">
        <f>IF(E35&gt;D35,E35-D35,0)</f>
        <v>0</v>
      </c>
      <c r="I35" s="261">
        <f>IF(AND(H35&gt;0,D35&gt;0),H35/D35,IF(H35&gt;0,1,0))</f>
        <v>0</v>
      </c>
      <c r="J35" s="263" t="str">
        <f>IF($F35=0,"⚪","🔴")</f>
        <v>🔴</v>
      </c>
    </row>
    <row r="36" spans="1:10" ht="13.5" customHeight="1" x14ac:dyDescent="0.3">
      <c r="A36" s="294" t="s">
        <v>1478</v>
      </c>
      <c r="B36" s="294" t="s">
        <v>414</v>
      </c>
      <c r="C36" s="295">
        <f>+SUMIFS('1_Composicion'!Q:Q,'1_Composicion'!S:S,'3_Control_Jornales'!A36,'1_Composicion'!E:E,'3_Control_Jornales'!B36)</f>
        <v>5.0000000000000098</v>
      </c>
      <c r="D36" s="295">
        <f>+C36*8</f>
        <v>40.000000000000078</v>
      </c>
      <c r="E36" s="295">
        <f>IF($A36="Total",SUMIFS('2_Quincenas'!$G:$G,'2_Quincenas'!$E:$E,$A35)+SUMIFS('2_Quincenas'!$H:$H,'2_Quincenas'!$E:$E,$A35)*1.5+SUMIFS('2_Quincenas'!$I:$I,'2_Quincenas'!$E:$E,$A35)*2,SUMIFS('2_Quincenas'!$G:$G,'2_Quincenas'!$E:$E,$A36,'2_Quincenas'!$D:$D,$B36)+SUMIFS('2_Quincenas'!$H:$H,'2_Quincenas'!$E:$E,$A36,'2_Quincenas'!$D:$D,$B36)*1.5+SUMIFS('2_Quincenas'!$I:$I,'2_Quincenas'!$E:$E,$A36,'2_Quincenas'!$D:$D,$B36)*2)</f>
        <v>0</v>
      </c>
      <c r="F36" s="295">
        <f>IF(D36-E36&lt;0,0,D36-E36)</f>
        <v>40.000000000000078</v>
      </c>
      <c r="G36" s="261">
        <f>IF(F36&gt;0,F36/D36,0)</f>
        <v>1</v>
      </c>
      <c r="H36" s="295">
        <f>IF(E36&gt;D36,E36-D36,0)</f>
        <v>0</v>
      </c>
      <c r="I36" s="261">
        <f>IF(AND(H36&gt;0,D36&gt;0),H36/D36,IF(H36&gt;0,1,0))</f>
        <v>0</v>
      </c>
      <c r="J36" s="263" t="str">
        <f>IF($F36=0,"⚪","🔴")</f>
        <v>🔴</v>
      </c>
    </row>
    <row r="37" spans="1:10" ht="13.5" customHeight="1" x14ac:dyDescent="0.3">
      <c r="A37" s="294" t="s">
        <v>1478</v>
      </c>
      <c r="B37" s="294" t="s">
        <v>59</v>
      </c>
      <c r="C37" s="295">
        <f>+SUMIFS('1_Composicion'!Q:Q,'1_Composicion'!S:S,'3_Control_Jornales'!A37,'1_Composicion'!E:E,'3_Control_Jornales'!B37)</f>
        <v>57</v>
      </c>
      <c r="D37" s="295">
        <f>+C37*8</f>
        <v>456</v>
      </c>
      <c r="E37" s="295">
        <f>IF($A37="Total",SUMIFS('2_Quincenas'!$G:$G,'2_Quincenas'!$E:$E,$A36)+SUMIFS('2_Quincenas'!$H:$H,'2_Quincenas'!$E:$E,$A36)*1.5+SUMIFS('2_Quincenas'!$I:$I,'2_Quincenas'!$E:$E,$A36)*2,SUMIFS('2_Quincenas'!$G:$G,'2_Quincenas'!$E:$E,$A37,'2_Quincenas'!$D:$D,$B37)+SUMIFS('2_Quincenas'!$H:$H,'2_Quincenas'!$E:$E,$A37,'2_Quincenas'!$D:$D,$B37)*1.5+SUMIFS('2_Quincenas'!$I:$I,'2_Quincenas'!$E:$E,$A37,'2_Quincenas'!$D:$D,$B37)*2)</f>
        <v>0</v>
      </c>
      <c r="F37" s="295">
        <f>IF(D37-E37&lt;0,0,D37-E37)</f>
        <v>456</v>
      </c>
      <c r="G37" s="261">
        <f>IF(F37&gt;0,F37/D37,0)</f>
        <v>1</v>
      </c>
      <c r="H37" s="295">
        <f>IF(E37&gt;D37,E37-D37,0)</f>
        <v>0</v>
      </c>
      <c r="I37" s="261">
        <f>IF(AND(H37&gt;0,D37&gt;0),H37/D37,IF(H37&gt;0,1,0))</f>
        <v>0</v>
      </c>
      <c r="J37" s="263" t="str">
        <f>IF($F37=0,"⚪","🔴")</f>
        <v>🔴</v>
      </c>
    </row>
    <row r="38" spans="1:10" ht="13.5" customHeight="1" x14ac:dyDescent="0.3">
      <c r="A38" s="296" t="s">
        <v>4921</v>
      </c>
      <c r="B38" s="296"/>
      <c r="C38" s="297">
        <f>+SUM(C34:C37)</f>
        <v>74.000000000000028</v>
      </c>
      <c r="D38" s="298">
        <f>+C38*8</f>
        <v>592.00000000000023</v>
      </c>
      <c r="E38" s="298">
        <f>IF($A38="Total",SUMIFS('2_Quincenas'!$G:$G,'2_Quincenas'!$E:$E,$A37)+SUMIFS('2_Quincenas'!$H:$H,'2_Quincenas'!$E:$E,$A37)*1.5+SUMIFS('2_Quincenas'!$I:$I,'2_Quincenas'!$E:$E,$A37)*2,SUMIFS('2_Quincenas'!$G:$G,'2_Quincenas'!$E:$E,$A38,'2_Quincenas'!$D:$D,$B38)+SUMIFS('2_Quincenas'!$H:$H,'2_Quincenas'!$E:$E,$A38,'2_Quincenas'!$D:$D,$B38)*1.5+SUMIFS('2_Quincenas'!$I:$I,'2_Quincenas'!$E:$E,$A38,'2_Quincenas'!$D:$D,$B38)*2)</f>
        <v>0</v>
      </c>
      <c r="F38" s="298">
        <f>IF(D38-E38&lt;0,0,D38-E38)</f>
        <v>592.00000000000023</v>
      </c>
      <c r="G38" s="299">
        <f>IF(F38&gt;0,F38/D38,0)</f>
        <v>1</v>
      </c>
      <c r="H38" s="298">
        <f>IF(E38&gt;D38,E38-D38,0)</f>
        <v>0</v>
      </c>
      <c r="I38" s="300">
        <f>IF(AND(H38&gt;0,D38&gt;0),H38/D38,IF(H38&gt;0,1,0))</f>
        <v>0</v>
      </c>
      <c r="J38" s="301" t="str">
        <f>IF($F38=0,"⚪","🔴")</f>
        <v>🔴</v>
      </c>
    </row>
    <row r="39" spans="1:10" ht="6" customHeight="1" x14ac:dyDescent="0.3">
      <c r="D39" s="302"/>
      <c r="E39" s="302"/>
      <c r="F39" s="302"/>
      <c r="G39" s="282"/>
      <c r="H39" s="302"/>
      <c r="I39" s="282"/>
      <c r="J39" s="303"/>
    </row>
    <row r="40" spans="1:10" ht="13.5" customHeight="1" x14ac:dyDescent="0.3">
      <c r="A40" s="294" t="s">
        <v>5239</v>
      </c>
      <c r="B40" s="294" t="s">
        <v>64</v>
      </c>
      <c r="C40" s="295">
        <f>+SUMIFS('1_Composicion'!Q:Q,'1_Composicion'!S:S,'3_Control_Jornales'!A40,'1_Composicion'!E:E,'3_Control_Jornales'!B40)</f>
        <v>0</v>
      </c>
      <c r="D40" s="295">
        <f>+C40*8</f>
        <v>0</v>
      </c>
      <c r="E40" s="295">
        <f>IF($A40="Total",SUMIFS('2_Quincenas'!$G:$G,'2_Quincenas'!$E:$E,$A39)+SUMIFS('2_Quincenas'!$H:$H,'2_Quincenas'!$E:$E,$A39)*1.5+SUMIFS('2_Quincenas'!$I:$I,'2_Quincenas'!$E:$E,$A39)*2,SUMIFS('2_Quincenas'!$G:$G,'2_Quincenas'!$E:$E,$A40,'2_Quincenas'!$D:$D,$B40)+SUMIFS('2_Quincenas'!$H:$H,'2_Quincenas'!$E:$E,$A40,'2_Quincenas'!$D:$D,$B40)*1.5+SUMIFS('2_Quincenas'!$I:$I,'2_Quincenas'!$E:$E,$A40,'2_Quincenas'!$D:$D,$B40)*2)</f>
        <v>0</v>
      </c>
      <c r="F40" s="295">
        <f>IF(D40-E40&lt;0,0,D40-E40)</f>
        <v>0</v>
      </c>
      <c r="G40" s="261">
        <f>IF(F40&gt;0,F40/D40,0)</f>
        <v>0</v>
      </c>
      <c r="H40" s="295">
        <f>IF(E40&gt;D40,E40-D40,0)</f>
        <v>0</v>
      </c>
      <c r="I40" s="261">
        <f>IF(AND(H40&gt;0,D40&gt;0),H40/D40,IF(H40&gt;0,1,0))</f>
        <v>0</v>
      </c>
      <c r="J40" s="263" t="str">
        <f>IF($F40=0,"⚪","🔴")</f>
        <v>⚪</v>
      </c>
    </row>
    <row r="41" spans="1:10" ht="13.5" customHeight="1" x14ac:dyDescent="0.3">
      <c r="A41" s="294" t="s">
        <v>5239</v>
      </c>
      <c r="B41" s="294" t="s">
        <v>498</v>
      </c>
      <c r="C41" s="295">
        <f>+SUMIFS('1_Composicion'!Q:Q,'1_Composicion'!S:S,'3_Control_Jornales'!A41,'1_Composicion'!E:E,'3_Control_Jornales'!B41)</f>
        <v>0</v>
      </c>
      <c r="D41" s="295">
        <f>+C41*8</f>
        <v>0</v>
      </c>
      <c r="E41" s="295">
        <f>IF($A41="Total",SUMIFS('2_Quincenas'!$G:$G,'2_Quincenas'!$E:$E,$A40)+SUMIFS('2_Quincenas'!$H:$H,'2_Quincenas'!$E:$E,$A40)*1.5+SUMIFS('2_Quincenas'!$I:$I,'2_Quincenas'!$E:$E,$A40)*2,SUMIFS('2_Quincenas'!$G:$G,'2_Quincenas'!$E:$E,$A41,'2_Quincenas'!$D:$D,$B41)+SUMIFS('2_Quincenas'!$H:$H,'2_Quincenas'!$E:$E,$A41,'2_Quincenas'!$D:$D,$B41)*1.5+SUMIFS('2_Quincenas'!$I:$I,'2_Quincenas'!$E:$E,$A41,'2_Quincenas'!$D:$D,$B41)*2)</f>
        <v>0</v>
      </c>
      <c r="F41" s="295">
        <f>IF(D41-E41&lt;0,0,D41-E41)</f>
        <v>0</v>
      </c>
      <c r="G41" s="261">
        <f>IF(F41&gt;0,F41/D41,0)</f>
        <v>0</v>
      </c>
      <c r="H41" s="295">
        <f>IF(E41&gt;D41,E41-D41,0)</f>
        <v>0</v>
      </c>
      <c r="I41" s="261">
        <f>IF(AND(H41&gt;0,D41&gt;0),H41/D41,IF(H41&gt;0,1,0))</f>
        <v>0</v>
      </c>
      <c r="J41" s="263" t="str">
        <f>IF($F41=0,"⚪","🔴")</f>
        <v>⚪</v>
      </c>
    </row>
    <row r="42" spans="1:10" ht="13.5" customHeight="1" x14ac:dyDescent="0.3">
      <c r="A42" s="294" t="s">
        <v>5239</v>
      </c>
      <c r="B42" s="294" t="s">
        <v>414</v>
      </c>
      <c r="C42" s="295">
        <f>+SUMIFS('1_Composicion'!Q:Q,'1_Composicion'!S:S,'3_Control_Jornales'!A42,'1_Composicion'!E:E,'3_Control_Jornales'!B42)</f>
        <v>0</v>
      </c>
      <c r="D42" s="295">
        <f>+C42*8</f>
        <v>0</v>
      </c>
      <c r="E42" s="295">
        <f>IF($A42="Total",SUMIFS('2_Quincenas'!$G:$G,'2_Quincenas'!$E:$E,$A41)+SUMIFS('2_Quincenas'!$H:$H,'2_Quincenas'!$E:$E,$A41)*1.5+SUMIFS('2_Quincenas'!$I:$I,'2_Quincenas'!$E:$E,$A41)*2,SUMIFS('2_Quincenas'!$G:$G,'2_Quincenas'!$E:$E,$A42,'2_Quincenas'!$D:$D,$B42)+SUMIFS('2_Quincenas'!$H:$H,'2_Quincenas'!$E:$E,$A42,'2_Quincenas'!$D:$D,$B42)*1.5+SUMIFS('2_Quincenas'!$I:$I,'2_Quincenas'!$E:$E,$A42,'2_Quincenas'!$D:$D,$B42)*2)</f>
        <v>0</v>
      </c>
      <c r="F42" s="295">
        <f>IF(D42-E42&lt;0,0,D42-E42)</f>
        <v>0</v>
      </c>
      <c r="G42" s="261">
        <f>IF(F42&gt;0,F42/D42,0)</f>
        <v>0</v>
      </c>
      <c r="H42" s="295">
        <f>IF(E42&gt;D42,E42-D42,0)</f>
        <v>0</v>
      </c>
      <c r="I42" s="261">
        <f>IF(AND(H42&gt;0,D42&gt;0),H42/D42,IF(H42&gt;0,1,0))</f>
        <v>0</v>
      </c>
      <c r="J42" s="263" t="str">
        <f>IF($F42=0,"⚪","🔴")</f>
        <v>⚪</v>
      </c>
    </row>
    <row r="43" spans="1:10" ht="13.5" customHeight="1" x14ac:dyDescent="0.3">
      <c r="A43" s="294" t="s">
        <v>5239</v>
      </c>
      <c r="B43" s="294" t="s">
        <v>59</v>
      </c>
      <c r="C43" s="295">
        <f>+SUMIFS('1_Composicion'!Q:Q,'1_Composicion'!S:S,'3_Control_Jornales'!A43,'1_Composicion'!E:E,'3_Control_Jornales'!B43)</f>
        <v>0</v>
      </c>
      <c r="D43" s="295">
        <f>+C43*8</f>
        <v>0</v>
      </c>
      <c r="E43" s="295">
        <f>IF($A43="Total",SUMIFS('2_Quincenas'!$G:$G,'2_Quincenas'!$E:$E,$A42)+SUMIFS('2_Quincenas'!$H:$H,'2_Quincenas'!$E:$E,$A42)*1.5+SUMIFS('2_Quincenas'!$I:$I,'2_Quincenas'!$E:$E,$A42)*2,SUMIFS('2_Quincenas'!$G:$G,'2_Quincenas'!$E:$E,$A43,'2_Quincenas'!$D:$D,$B43)+SUMIFS('2_Quincenas'!$H:$H,'2_Quincenas'!$E:$E,$A43,'2_Quincenas'!$D:$D,$B43)*1.5+SUMIFS('2_Quincenas'!$I:$I,'2_Quincenas'!$E:$E,$A43,'2_Quincenas'!$D:$D,$B43)*2)</f>
        <v>0</v>
      </c>
      <c r="F43" s="295">
        <f>IF(D43-E43&lt;0,0,D43-E43)</f>
        <v>0</v>
      </c>
      <c r="G43" s="261">
        <f>IF(F43&gt;0,F43/D43,0)</f>
        <v>0</v>
      </c>
      <c r="H43" s="295">
        <f>IF(E43&gt;D43,E43-D43,0)</f>
        <v>0</v>
      </c>
      <c r="I43" s="261">
        <f>IF(AND(H43&gt;0,D43&gt;0),H43/D43,IF(H43&gt;0,1,0))</f>
        <v>0</v>
      </c>
      <c r="J43" s="263" t="str">
        <f>IF($F43=0,"⚪","🔴")</f>
        <v>⚪</v>
      </c>
    </row>
    <row r="44" spans="1:10" ht="13.5" customHeight="1" x14ac:dyDescent="0.3">
      <c r="A44" s="296" t="s">
        <v>4921</v>
      </c>
      <c r="B44" s="296"/>
      <c r="C44" s="297">
        <f>+SUM(C40:C43)</f>
        <v>0</v>
      </c>
      <c r="D44" s="298">
        <f>+C44*8</f>
        <v>0</v>
      </c>
      <c r="E44" s="298">
        <f>IF($A44="Total",SUMIFS('2_Quincenas'!$G:$G,'2_Quincenas'!$E:$E,$A43)+SUMIFS('2_Quincenas'!$H:$H,'2_Quincenas'!$E:$E,$A43)*1.5+SUMIFS('2_Quincenas'!$I:$I,'2_Quincenas'!$E:$E,$A43)*2,SUMIFS('2_Quincenas'!$G:$G,'2_Quincenas'!$E:$E,$A44,'2_Quincenas'!$D:$D,$B44)+SUMIFS('2_Quincenas'!$H:$H,'2_Quincenas'!$E:$E,$A44,'2_Quincenas'!$D:$D,$B44)*1.5+SUMIFS('2_Quincenas'!$I:$I,'2_Quincenas'!$E:$E,$A44,'2_Quincenas'!$D:$D,$B44)*2)</f>
        <v>0</v>
      </c>
      <c r="F44" s="298">
        <f>IF(D44-E44&lt;0,0,D44-E44)</f>
        <v>0</v>
      </c>
      <c r="G44" s="299">
        <f>IF(F44&gt;0,F44/D44,0)</f>
        <v>0</v>
      </c>
      <c r="H44" s="298">
        <f>IF(E44&gt;D44,E44-D44,0)</f>
        <v>0</v>
      </c>
      <c r="I44" s="300">
        <f>IF(AND(H44&gt;0,D44&gt;0),H44/D44,IF(H44&gt;0,1,0))</f>
        <v>0</v>
      </c>
      <c r="J44" s="301" t="str">
        <f>IF($F44=0,"⚪","🔴")</f>
        <v>⚪</v>
      </c>
    </row>
    <row r="45" spans="1:10" ht="6" customHeight="1" x14ac:dyDescent="0.3">
      <c r="D45" s="302"/>
      <c r="E45" s="302"/>
      <c r="F45" s="302"/>
      <c r="G45" s="282"/>
      <c r="H45" s="302"/>
      <c r="I45" s="282"/>
      <c r="J45" s="303"/>
    </row>
    <row r="46" spans="1:10" ht="13.5" customHeight="1" x14ac:dyDescent="0.3">
      <c r="A46" s="294" t="s">
        <v>476</v>
      </c>
      <c r="B46" s="294" t="s">
        <v>64</v>
      </c>
      <c r="C46" s="295">
        <f>+SUMIFS('1_Composicion'!Q:Q,'1_Composicion'!S:S,'3_Control_Jornales'!A46,'1_Composicion'!E:E,'3_Control_Jornales'!B46)</f>
        <v>12.069875776397529</v>
      </c>
      <c r="D46" s="295">
        <f>+C46*8</f>
        <v>96.559006211180233</v>
      </c>
      <c r="E46" s="295">
        <f>IF($A46="Total",SUMIFS('2_Quincenas'!$G:$G,'2_Quincenas'!$E:$E,$A45)+SUMIFS('2_Quincenas'!$H:$H,'2_Quincenas'!$E:$E,$A45)*1.5+SUMIFS('2_Quincenas'!$I:$I,'2_Quincenas'!$E:$E,$A45)*2,SUMIFS('2_Quincenas'!$G:$G,'2_Quincenas'!$E:$E,$A46,'2_Quincenas'!$D:$D,$B46)+SUMIFS('2_Quincenas'!$H:$H,'2_Quincenas'!$E:$E,$A46,'2_Quincenas'!$D:$D,$B46)*1.5+SUMIFS('2_Quincenas'!$I:$I,'2_Quincenas'!$E:$E,$A46,'2_Quincenas'!$D:$D,$B46)*2)</f>
        <v>0</v>
      </c>
      <c r="F46" s="295">
        <f>IF(D46-E46&lt;0,0,D46-E46)</f>
        <v>96.559006211180233</v>
      </c>
      <c r="G46" s="261">
        <f>IF(F46&gt;0,F46/D46,0)</f>
        <v>1</v>
      </c>
      <c r="H46" s="295">
        <f>IF(E46&gt;D46,E46-D46,0)</f>
        <v>0</v>
      </c>
      <c r="I46" s="261">
        <f>IF(AND(H46&gt;0,D46&gt;0),H46/D46,IF(H46&gt;0,1,0))</f>
        <v>0</v>
      </c>
      <c r="J46" s="263" t="str">
        <f>IF($F46=0,"⚪","🔴")</f>
        <v>🔴</v>
      </c>
    </row>
    <row r="47" spans="1:10" ht="13.5" customHeight="1" x14ac:dyDescent="0.3">
      <c r="A47" s="294" t="s">
        <v>476</v>
      </c>
      <c r="B47" s="294" t="s">
        <v>498</v>
      </c>
      <c r="C47" s="295">
        <f>+SUMIFS('1_Composicion'!Q:Q,'1_Composicion'!S:S,'3_Control_Jornales'!A47,'1_Composicion'!E:E,'3_Control_Jornales'!B47)</f>
        <v>59.858974358974393</v>
      </c>
      <c r="D47" s="295">
        <f>+C47*8</f>
        <v>478.87179487179515</v>
      </c>
      <c r="E47" s="295">
        <f>IF($A47="Total",SUMIFS('2_Quincenas'!$G:$G,'2_Quincenas'!$E:$E,$A46)+SUMIFS('2_Quincenas'!$H:$H,'2_Quincenas'!$E:$E,$A46)*1.5+SUMIFS('2_Quincenas'!$I:$I,'2_Quincenas'!$E:$E,$A46)*2,SUMIFS('2_Quincenas'!$G:$G,'2_Quincenas'!$E:$E,$A47,'2_Quincenas'!$D:$D,$B47)+SUMIFS('2_Quincenas'!$H:$H,'2_Quincenas'!$E:$E,$A47,'2_Quincenas'!$D:$D,$B47)*1.5+SUMIFS('2_Quincenas'!$I:$I,'2_Quincenas'!$E:$E,$A47,'2_Quincenas'!$D:$D,$B47)*2)</f>
        <v>172</v>
      </c>
      <c r="F47" s="295">
        <f>IF(D47-E47&lt;0,0,D47-E47)</f>
        <v>306.87179487179515</v>
      </c>
      <c r="G47" s="261">
        <f>IF(F47&gt;0,F47/D47,0)</f>
        <v>0.64082244591989745</v>
      </c>
      <c r="H47" s="295">
        <f>IF(E47&gt;D47,E47-D47,0)</f>
        <v>0</v>
      </c>
      <c r="I47" s="261">
        <f>IF(AND(H47&gt;0,D47&gt;0),H47/D47,IF(H47&gt;0,1,0))</f>
        <v>0</v>
      </c>
      <c r="J47" s="263" t="str">
        <f>IF($F47=0,"⚪","🔴")</f>
        <v>🔴</v>
      </c>
    </row>
    <row r="48" spans="1:10" ht="13.5" customHeight="1" x14ac:dyDescent="0.3">
      <c r="A48" s="294" t="s">
        <v>476</v>
      </c>
      <c r="B48" s="294" t="s">
        <v>414</v>
      </c>
      <c r="C48" s="295">
        <f>+SUMIFS('1_Composicion'!Q:Q,'1_Composicion'!S:S,'3_Control_Jornales'!A48,'1_Composicion'!E:E,'3_Control_Jornales'!B48)</f>
        <v>28.8589743589744</v>
      </c>
      <c r="D48" s="295">
        <f>+C48*8</f>
        <v>230.8717948717952</v>
      </c>
      <c r="E48" s="295">
        <f>IF($A48="Total",SUMIFS('2_Quincenas'!$G:$G,'2_Quincenas'!$E:$E,$A47)+SUMIFS('2_Quincenas'!$H:$H,'2_Quincenas'!$E:$E,$A47)*1.5+SUMIFS('2_Quincenas'!$I:$I,'2_Quincenas'!$E:$E,$A47)*2,SUMIFS('2_Quincenas'!$G:$G,'2_Quincenas'!$E:$E,$A48,'2_Quincenas'!$D:$D,$B48)+SUMIFS('2_Quincenas'!$H:$H,'2_Quincenas'!$E:$E,$A48,'2_Quincenas'!$D:$D,$B48)*1.5+SUMIFS('2_Quincenas'!$I:$I,'2_Quincenas'!$E:$E,$A48,'2_Quincenas'!$D:$D,$B48)*2)</f>
        <v>0</v>
      </c>
      <c r="F48" s="295">
        <f>IF(D48-E48&lt;0,0,D48-E48)</f>
        <v>230.8717948717952</v>
      </c>
      <c r="G48" s="261">
        <f>IF(F48&gt;0,F48/D48,0)</f>
        <v>1</v>
      </c>
      <c r="H48" s="295">
        <f>IF(E48&gt;D48,E48-D48,0)</f>
        <v>0</v>
      </c>
      <c r="I48" s="261">
        <f>IF(AND(H48&gt;0,D48&gt;0),H48/D48,IF(H48&gt;0,1,0))</f>
        <v>0</v>
      </c>
      <c r="J48" s="263" t="str">
        <f>IF($F48=0,"⚪","🔴")</f>
        <v>🔴</v>
      </c>
    </row>
    <row r="49" spans="1:10" ht="13.5" customHeight="1" x14ac:dyDescent="0.3">
      <c r="A49" s="294" t="s">
        <v>476</v>
      </c>
      <c r="B49" s="294" t="s">
        <v>59</v>
      </c>
      <c r="C49" s="295">
        <f>+SUMIFS('1_Composicion'!Q:Q,'1_Composicion'!S:S,'3_Control_Jornales'!A49,'1_Composicion'!E:E,'3_Control_Jornales'!B49)</f>
        <v>25.467080745341612</v>
      </c>
      <c r="D49" s="295">
        <f>+C49*8</f>
        <v>203.73664596273289</v>
      </c>
      <c r="E49" s="295">
        <f>IF($A49="Total",SUMIFS('2_Quincenas'!$G:$G,'2_Quincenas'!$E:$E,$A48)+SUMIFS('2_Quincenas'!$H:$H,'2_Quincenas'!$E:$E,$A48)*1.5+SUMIFS('2_Quincenas'!$I:$I,'2_Quincenas'!$E:$E,$A48)*2,SUMIFS('2_Quincenas'!$G:$G,'2_Quincenas'!$E:$E,$A49,'2_Quincenas'!$D:$D,$B49)+SUMIFS('2_Quincenas'!$H:$H,'2_Quincenas'!$E:$E,$A49,'2_Quincenas'!$D:$D,$B49)*1.5+SUMIFS('2_Quincenas'!$I:$I,'2_Quincenas'!$E:$E,$A49,'2_Quincenas'!$D:$D,$B49)*2)</f>
        <v>0</v>
      </c>
      <c r="F49" s="295">
        <f>IF(D49-E49&lt;0,0,D49-E49)</f>
        <v>203.73664596273289</v>
      </c>
      <c r="G49" s="261">
        <f>IF(F49&gt;0,F49/D49,0)</f>
        <v>1</v>
      </c>
      <c r="H49" s="295">
        <f>IF(E49&gt;D49,E49-D49,0)</f>
        <v>0</v>
      </c>
      <c r="I49" s="261">
        <f>IF(AND(H49&gt;0,D49&gt;0),H49/D49,IF(H49&gt;0,1,0))</f>
        <v>0</v>
      </c>
      <c r="J49" s="263" t="str">
        <f>IF($F49=0,"⚪","🔴")</f>
        <v>🔴</v>
      </c>
    </row>
    <row r="50" spans="1:10" ht="13.5" customHeight="1" x14ac:dyDescent="0.3">
      <c r="A50" s="296" t="s">
        <v>4921</v>
      </c>
      <c r="B50" s="296"/>
      <c r="C50" s="297">
        <f>+SUM(C46:C49)</f>
        <v>126.25490523968793</v>
      </c>
      <c r="D50" s="298">
        <f>+C50*8</f>
        <v>1010.0392419175034</v>
      </c>
      <c r="E50" s="298">
        <f>IF($A50="Total",SUMIFS('2_Quincenas'!$G:$G,'2_Quincenas'!$E:$E,$A49)+SUMIFS('2_Quincenas'!$H:$H,'2_Quincenas'!$E:$E,$A49)*1.5+SUMIFS('2_Quincenas'!$I:$I,'2_Quincenas'!$E:$E,$A49)*2,SUMIFS('2_Quincenas'!$G:$G,'2_Quincenas'!$E:$E,$A50,'2_Quincenas'!$D:$D,$B50)+SUMIFS('2_Quincenas'!$H:$H,'2_Quincenas'!$E:$E,$A50,'2_Quincenas'!$D:$D,$B50)*1.5+SUMIFS('2_Quincenas'!$I:$I,'2_Quincenas'!$E:$E,$A50,'2_Quincenas'!$D:$D,$B50)*2)</f>
        <v>172</v>
      </c>
      <c r="F50" s="298">
        <f>IF(D50-E50&lt;0,0,D50-E50)</f>
        <v>838.03924191750343</v>
      </c>
      <c r="G50" s="299">
        <f>IF(F50&gt;0,F50/D50,0)</f>
        <v>0.82970958665579408</v>
      </c>
      <c r="H50" s="298">
        <f>IF(E50&gt;D50,E50-D50,0)</f>
        <v>0</v>
      </c>
      <c r="I50" s="300">
        <f>IF(AND(H50&gt;0,D50&gt;0),H50/D50,IF(H50&gt;0,1,0))</f>
        <v>0</v>
      </c>
      <c r="J50" s="301" t="str">
        <f>IF($F50=0,"⚪","🔴")</f>
        <v>🔴</v>
      </c>
    </row>
    <row r="51" spans="1:10" ht="6" customHeight="1" x14ac:dyDescent="0.3">
      <c r="D51" s="302"/>
      <c r="E51" s="302"/>
      <c r="F51" s="302"/>
      <c r="G51" s="282"/>
      <c r="H51" s="302"/>
      <c r="I51" s="282"/>
      <c r="J51" s="303"/>
    </row>
    <row r="52" spans="1:10" ht="12.75" customHeight="1" x14ac:dyDescent="0.3">
      <c r="A52" s="294" t="s">
        <v>5214</v>
      </c>
      <c r="B52" s="294" t="s">
        <v>64</v>
      </c>
      <c r="C52" s="295">
        <f>+SUMIFS('1_Composicion'!Q:Q,'1_Composicion'!S:S,'3_Control_Jornales'!A52,'1_Composicion'!E:E,'3_Control_Jornales'!B52)</f>
        <v>0</v>
      </c>
      <c r="D52" s="295">
        <f>+C52*8</f>
        <v>0</v>
      </c>
      <c r="E52" s="295">
        <f>IF($A52="Total",SUMIFS('2_Quincenas'!$G:$G,'2_Quincenas'!$E:$E,$A51)+SUMIFS('2_Quincenas'!$H:$H,'2_Quincenas'!$E:$E,$A51)*1.5+SUMIFS('2_Quincenas'!$I:$I,'2_Quincenas'!$E:$E,$A51)*2,SUMIFS('2_Quincenas'!$G:$G,'2_Quincenas'!$E:$E,$A52,'2_Quincenas'!$D:$D,$B52)+SUMIFS('2_Quincenas'!$H:$H,'2_Quincenas'!$E:$E,$A52,'2_Quincenas'!$D:$D,$B52)*1.5+SUMIFS('2_Quincenas'!$I:$I,'2_Quincenas'!$E:$E,$A52,'2_Quincenas'!$D:$D,$B52)*2)</f>
        <v>0</v>
      </c>
      <c r="F52" s="295">
        <f>IF(D52-E52&lt;0,0,D52-E52)</f>
        <v>0</v>
      </c>
      <c r="G52" s="261">
        <f>IF(F52&gt;0,F52/D52,0)</f>
        <v>0</v>
      </c>
      <c r="H52" s="295">
        <f>IF(E52&gt;D52,E52-D52,0)</f>
        <v>0</v>
      </c>
      <c r="I52" s="261">
        <f>IF(AND(H52&gt;0,D52&gt;0),H52/D52,IF(H52&gt;0,1,0))</f>
        <v>0</v>
      </c>
      <c r="J52" s="263" t="str">
        <f>IF($F52=0,"⚪","🔴")</f>
        <v>⚪</v>
      </c>
    </row>
    <row r="53" spans="1:10" ht="12.75" customHeight="1" x14ac:dyDescent="0.3">
      <c r="A53" s="294" t="s">
        <v>5214</v>
      </c>
      <c r="B53" s="294" t="s">
        <v>498</v>
      </c>
      <c r="C53" s="295">
        <f>+SUMIFS('1_Composicion'!Q:Q,'1_Composicion'!S:S,'3_Control_Jornales'!A53,'1_Composicion'!E:E,'3_Control_Jornales'!B53)</f>
        <v>0</v>
      </c>
      <c r="D53" s="295">
        <f>+C53*8</f>
        <v>0</v>
      </c>
      <c r="E53" s="295">
        <f>IF($A53="Total",SUMIFS('2_Quincenas'!$G:$G,'2_Quincenas'!$E:$E,$A52)+SUMIFS('2_Quincenas'!$H:$H,'2_Quincenas'!$E:$E,$A52)*1.5+SUMIFS('2_Quincenas'!$I:$I,'2_Quincenas'!$E:$E,$A52)*2,SUMIFS('2_Quincenas'!$G:$G,'2_Quincenas'!$E:$E,$A53,'2_Quincenas'!$D:$D,$B53)+SUMIFS('2_Quincenas'!$H:$H,'2_Quincenas'!$E:$E,$A53,'2_Quincenas'!$D:$D,$B53)*1.5+SUMIFS('2_Quincenas'!$I:$I,'2_Quincenas'!$E:$E,$A53,'2_Quincenas'!$D:$D,$B53)*2)</f>
        <v>0</v>
      </c>
      <c r="F53" s="295">
        <f>IF(D53-E53&lt;0,0,D53-E53)</f>
        <v>0</v>
      </c>
      <c r="G53" s="261">
        <f>IF(F53&gt;0,F53/D53,0)</f>
        <v>0</v>
      </c>
      <c r="H53" s="295">
        <f>IF(E53&gt;D53,E53-D53,0)</f>
        <v>0</v>
      </c>
      <c r="I53" s="261">
        <f>IF(AND(H53&gt;0,D53&gt;0),H53/D53,IF(H53&gt;0,1,0))</f>
        <v>0</v>
      </c>
      <c r="J53" s="263" t="str">
        <f>IF($F53=0,"⚪","🔴")</f>
        <v>⚪</v>
      </c>
    </row>
    <row r="54" spans="1:10" ht="12.75" customHeight="1" x14ac:dyDescent="0.3">
      <c r="A54" s="294" t="s">
        <v>5214</v>
      </c>
      <c r="B54" s="294" t="s">
        <v>414</v>
      </c>
      <c r="C54" s="295">
        <f>+SUMIFS('1_Composicion'!Q:Q,'1_Composicion'!S:S,'3_Control_Jornales'!A54,'1_Composicion'!E:E,'3_Control_Jornales'!B54)</f>
        <v>0</v>
      </c>
      <c r="D54" s="295">
        <f>+C54*8</f>
        <v>0</v>
      </c>
      <c r="E54" s="295">
        <f>IF($A54="Total",SUMIFS('2_Quincenas'!$G:$G,'2_Quincenas'!$E:$E,$A53)+SUMIFS('2_Quincenas'!$H:$H,'2_Quincenas'!$E:$E,$A53)*1.5+SUMIFS('2_Quincenas'!$I:$I,'2_Quincenas'!$E:$E,$A53)*2,SUMIFS('2_Quincenas'!$G:$G,'2_Quincenas'!$E:$E,$A54,'2_Quincenas'!$D:$D,$B54)+SUMIFS('2_Quincenas'!$H:$H,'2_Quincenas'!$E:$E,$A54,'2_Quincenas'!$D:$D,$B54)*1.5+SUMIFS('2_Quincenas'!$I:$I,'2_Quincenas'!$E:$E,$A54,'2_Quincenas'!$D:$D,$B54)*2)</f>
        <v>0</v>
      </c>
      <c r="F54" s="295">
        <f>IF(D54-E54&lt;0,0,D54-E54)</f>
        <v>0</v>
      </c>
      <c r="G54" s="261">
        <f>IF(F54&gt;0,F54/D54,0)</f>
        <v>0</v>
      </c>
      <c r="H54" s="295">
        <f>IF(E54&gt;D54,E54-D54,0)</f>
        <v>0</v>
      </c>
      <c r="I54" s="261">
        <f>IF(AND(H54&gt;0,D54&gt;0),H54/D54,IF(H54&gt;0,1,0))</f>
        <v>0</v>
      </c>
      <c r="J54" s="263" t="str">
        <f>IF($F54=0,"⚪","🔴")</f>
        <v>⚪</v>
      </c>
    </row>
    <row r="55" spans="1:10" ht="12.75" customHeight="1" x14ac:dyDescent="0.3">
      <c r="A55" s="294" t="s">
        <v>5214</v>
      </c>
      <c r="B55" s="294" t="s">
        <v>59</v>
      </c>
      <c r="C55" s="295">
        <f>+SUMIFS('1_Composicion'!Q:Q,'1_Composicion'!S:S,'3_Control_Jornales'!A55,'1_Composicion'!E:E,'3_Control_Jornales'!B55)</f>
        <v>0</v>
      </c>
      <c r="D55" s="295">
        <f>+C55*8</f>
        <v>0</v>
      </c>
      <c r="E55" s="295">
        <f>IF($A55="Total",SUMIFS('2_Quincenas'!$G:$G,'2_Quincenas'!$E:$E,$A54)+SUMIFS('2_Quincenas'!$H:$H,'2_Quincenas'!$E:$E,$A54)*1.5+SUMIFS('2_Quincenas'!$I:$I,'2_Quincenas'!$E:$E,$A54)*2,SUMIFS('2_Quincenas'!$G:$G,'2_Quincenas'!$E:$E,$A55,'2_Quincenas'!$D:$D,$B55)+SUMIFS('2_Quincenas'!$H:$H,'2_Quincenas'!$E:$E,$A55,'2_Quincenas'!$D:$D,$B55)*1.5+SUMIFS('2_Quincenas'!$I:$I,'2_Quincenas'!$E:$E,$A55,'2_Quincenas'!$D:$D,$B55)*2)</f>
        <v>0</v>
      </c>
      <c r="F55" s="295">
        <f>IF(D55-E55&lt;0,0,D55-E55)</f>
        <v>0</v>
      </c>
      <c r="G55" s="261">
        <f>IF(F55&gt;0,F55/D55,0)</f>
        <v>0</v>
      </c>
      <c r="H55" s="295">
        <f>IF(E55&gt;D55,E55-D55,0)</f>
        <v>0</v>
      </c>
      <c r="I55" s="261">
        <f>IF(AND(H55&gt;0,D55&gt;0),H55/D55,IF(H55&gt;0,1,0))</f>
        <v>0</v>
      </c>
      <c r="J55" s="263" t="str">
        <f>IF($F55=0,"⚪","🔴")</f>
        <v>⚪</v>
      </c>
    </row>
    <row r="56" spans="1:10" ht="13.5" customHeight="1" x14ac:dyDescent="0.3">
      <c r="A56" s="296" t="s">
        <v>4921</v>
      </c>
      <c r="B56" s="296"/>
      <c r="C56" s="297">
        <f>+SUM(C52:C55)</f>
        <v>0</v>
      </c>
      <c r="D56" s="297">
        <f>+C56*8</f>
        <v>0</v>
      </c>
      <c r="E56" s="297">
        <f>IF($A56="Total",SUMIFS('2_Quincenas'!$G:$G,'2_Quincenas'!$E:$E,$A55)+SUMIFS('2_Quincenas'!$H:$H,'2_Quincenas'!$E:$E,$A55)*1.5+SUMIFS('2_Quincenas'!$I:$I,'2_Quincenas'!$E:$E,$A55)*2,SUMIFS('2_Quincenas'!$G:$G,'2_Quincenas'!$E:$E,$A56,'2_Quincenas'!$D:$D,$B56)+SUMIFS('2_Quincenas'!$H:$H,'2_Quincenas'!$E:$E,$A56,'2_Quincenas'!$D:$D,$B56)*1.5+SUMIFS('2_Quincenas'!$I:$I,'2_Quincenas'!$E:$E,$A56,'2_Quincenas'!$D:$D,$B56)*2)</f>
        <v>0</v>
      </c>
      <c r="F56" s="297">
        <f>IF(D56-E56&lt;0,0,D56-E56)</f>
        <v>0</v>
      </c>
      <c r="G56" s="304">
        <f>IF(F56&gt;0,F56/D56,0)</f>
        <v>0</v>
      </c>
      <c r="H56" s="297">
        <f>IF(E56&gt;D56,E56-D56,0)</f>
        <v>0</v>
      </c>
      <c r="I56" s="305">
        <f>IF(AND(H56&gt;0,D56&gt;0),H56/D56,IF(H56&gt;0,1,0))</f>
        <v>0</v>
      </c>
      <c r="J56" s="306" t="str">
        <f>IF($F56=0,"⚪","🔴")</f>
        <v>⚪</v>
      </c>
    </row>
    <row r="57" spans="1:10" ht="6" customHeight="1" x14ac:dyDescent="0.3">
      <c r="D57" s="295"/>
      <c r="E57" s="295"/>
      <c r="F57" s="295"/>
      <c r="G57" s="261"/>
      <c r="H57" s="295"/>
      <c r="I57" s="261"/>
      <c r="J57" s="263"/>
    </row>
  </sheetData>
  <conditionalFormatting sqref="G4:G51">
    <cfRule type="colorScale" priority="10">
      <colorScale>
        <cfvo type="min"/>
        <cfvo type="max"/>
        <color rgb="FFFFF7CD"/>
        <color rgb="FFACDCB9"/>
      </colorScale>
    </cfRule>
  </conditionalFormatting>
  <conditionalFormatting sqref="G52:G55">
    <cfRule type="colorScale" priority="8">
      <colorScale>
        <cfvo type="min"/>
        <cfvo type="max"/>
        <color rgb="FFFFF7CD"/>
        <color rgb="FFACDCB9"/>
      </colorScale>
    </cfRule>
  </conditionalFormatting>
  <conditionalFormatting sqref="G56:G57">
    <cfRule type="colorScale" priority="6">
      <colorScale>
        <cfvo type="min"/>
        <cfvo type="max"/>
        <color rgb="FFFFF7CD"/>
        <color rgb="FFACDCB9"/>
      </colorScale>
    </cfRule>
  </conditionalFormatting>
  <conditionalFormatting sqref="I4:I51">
    <cfRule type="colorScale" priority="9">
      <colorScale>
        <cfvo type="min"/>
        <cfvo type="max"/>
        <color rgb="FFFCFCFF"/>
        <color rgb="FFF8696B"/>
      </colorScale>
    </cfRule>
  </conditionalFormatting>
  <conditionalFormatting sqref="I52:I55">
    <cfRule type="colorScale" priority="7">
      <colorScale>
        <cfvo type="min"/>
        <cfvo type="max"/>
        <color rgb="FFFCFCFF"/>
        <color rgb="FFF8696B"/>
      </colorScale>
    </cfRule>
  </conditionalFormatting>
  <conditionalFormatting sqref="I56:I57">
    <cfRule type="colorScale" priority="5">
      <colorScale>
        <cfvo type="min"/>
        <cfvo type="max"/>
        <color rgb="FFFCFCFF"/>
        <color rgb="FFF8696B"/>
      </colorScale>
    </cfRule>
  </conditionalFormatting>
  <conditionalFormatting sqref="J4:J57">
    <cfRule type="expression" dxfId="2" priority="2">
      <formula>I4=0</formula>
    </cfRule>
    <cfRule type="expression" dxfId="1" priority="3">
      <formula>I4&lt;0</formula>
    </cfRule>
    <cfRule type="expression" dxfId="0" priority="4">
      <formula>I4&gt;0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C29"/>
  <sheetViews>
    <sheetView zoomScaleNormal="100" workbookViewId="0">
      <pane xSplit="1" ySplit="4" topLeftCell="B5" activePane="bottomRight" state="frozen"/>
      <selection pane="topRight" activeCell="S1" sqref="S1"/>
      <selection pane="bottomLeft" activeCell="A12" sqref="A12"/>
      <selection pane="bottomRight" activeCell="A6" sqref="A6"/>
    </sheetView>
  </sheetViews>
  <sheetFormatPr defaultColWidth="8.54296875" defaultRowHeight="13" x14ac:dyDescent="0.3"/>
  <cols>
    <col min="1" max="1" width="38" style="544" customWidth="1"/>
    <col min="2" max="23" width="11" style="544" customWidth="1"/>
    <col min="24" max="24" width="14" style="544" customWidth="1"/>
    <col min="25" max="25" width="15" style="544" customWidth="1"/>
    <col min="26" max="26" width="11" style="544" customWidth="1"/>
    <col min="27" max="27" width="14" style="544" customWidth="1"/>
    <col min="28" max="31" width="8.54296875" style="544" customWidth="1"/>
    <col min="32" max="16384" width="8.54296875" style="544"/>
  </cols>
  <sheetData>
    <row r="1" spans="1:29" ht="17.25" customHeight="1" x14ac:dyDescent="0.3">
      <c r="A1" s="16" t="s">
        <v>5240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</row>
    <row r="2" spans="1:29" ht="15" customHeight="1" x14ac:dyDescent="0.3">
      <c r="A2" s="547" t="s">
        <v>5241</v>
      </c>
      <c r="B2" s="547"/>
      <c r="C2" s="547"/>
      <c r="D2" s="547"/>
      <c r="E2" s="547"/>
      <c r="F2" s="547"/>
      <c r="G2" s="547"/>
      <c r="H2" s="547"/>
      <c r="I2" s="547"/>
      <c r="J2" s="547"/>
      <c r="K2" s="547"/>
      <c r="L2" s="547"/>
      <c r="M2" s="547"/>
      <c r="N2" s="547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  <c r="AA2" s="547"/>
      <c r="AB2" s="547"/>
      <c r="AC2" s="547"/>
    </row>
    <row r="4" spans="1:29" x14ac:dyDescent="0.3">
      <c r="A4" s="545" t="s">
        <v>4896</v>
      </c>
      <c r="B4" s="546">
        <v>45597</v>
      </c>
      <c r="C4" s="546">
        <v>45627</v>
      </c>
      <c r="D4" s="546">
        <v>45658</v>
      </c>
      <c r="E4" s="546">
        <v>45689</v>
      </c>
      <c r="F4" s="546">
        <v>45717</v>
      </c>
      <c r="G4" s="546">
        <v>45748</v>
      </c>
      <c r="H4" s="546">
        <v>45778</v>
      </c>
      <c r="I4" s="546">
        <v>45809</v>
      </c>
      <c r="J4" s="546">
        <v>45839</v>
      </c>
      <c r="K4" s="546">
        <v>45870</v>
      </c>
      <c r="L4" s="546">
        <v>45901</v>
      </c>
      <c r="M4" s="546">
        <v>45931</v>
      </c>
      <c r="N4" s="546">
        <v>45962</v>
      </c>
      <c r="O4" s="546">
        <v>45992</v>
      </c>
      <c r="P4" s="546">
        <v>46023</v>
      </c>
      <c r="Q4" s="546">
        <v>46054</v>
      </c>
      <c r="R4" s="546">
        <v>46082</v>
      </c>
      <c r="S4" s="546">
        <v>46113</v>
      </c>
      <c r="T4" s="546">
        <v>46143</v>
      </c>
      <c r="U4" s="546">
        <v>46174</v>
      </c>
      <c r="V4" s="546">
        <v>46204</v>
      </c>
      <c r="W4" s="546">
        <v>46235</v>
      </c>
      <c r="X4" s="529" t="s">
        <v>5242</v>
      </c>
      <c r="Y4" s="529" t="s">
        <v>5243</v>
      </c>
      <c r="Z4" s="529" t="s">
        <v>5039</v>
      </c>
      <c r="AA4" s="529" t="s">
        <v>5244</v>
      </c>
    </row>
    <row r="5" spans="1:29" ht="15" customHeight="1" x14ac:dyDescent="0.3">
      <c r="A5" s="577" t="s">
        <v>5245</v>
      </c>
      <c r="B5" s="578"/>
      <c r="C5" s="578"/>
      <c r="D5" s="578"/>
      <c r="E5" s="578"/>
      <c r="F5" s="578"/>
      <c r="G5" s="578"/>
      <c r="H5" s="578"/>
      <c r="I5" s="578"/>
      <c r="J5" s="578"/>
      <c r="K5" s="578"/>
      <c r="L5" s="578"/>
      <c r="M5" s="578"/>
      <c r="N5" s="578"/>
      <c r="O5" s="578"/>
      <c r="P5" s="578"/>
      <c r="Q5" s="578"/>
      <c r="R5" s="578"/>
      <c r="S5" s="578"/>
      <c r="T5" s="578"/>
      <c r="U5" s="578"/>
      <c r="V5" s="578"/>
      <c r="W5" s="578"/>
      <c r="X5" s="578"/>
      <c r="Y5" s="578"/>
      <c r="Z5" s="578"/>
      <c r="AA5" s="578"/>
    </row>
    <row r="6" spans="1:29" ht="15" customHeight="1" x14ac:dyDescent="0.3">
      <c r="A6" s="530" t="s">
        <v>5246</v>
      </c>
      <c r="B6" s="531">
        <f>-1*(SUMIFS(Tabla18[Monto Base],Tabla18[Mes],B$4,Tabla18[Descripción de Cuenta],"Obra civil Reforma")+SUMIFS(Tabla18[Monto Base],Tabla18[Mes],B$4,Tabla18[Descripción de Cuenta],"Otros ingresos"))</f>
        <v>0</v>
      </c>
      <c r="C6" s="531">
        <f>-1*(SUMIFS(Tabla18[Monto Base],Tabla18[Mes],C$4,Tabla18[Descripción de Cuenta],"Obra civil Reforma")+SUMIFS(Tabla18[Monto Base],Tabla18[Mes],C$4,Tabla18[Descripción de Cuenta],"Otros ingresos"))</f>
        <v>0</v>
      </c>
      <c r="D6" s="531">
        <f>-1*(SUMIFS(Tabla18[Monto Base],Tabla18[Mes],D$4,Tabla18[Descripción de Cuenta],"Obra civil Reforma")+SUMIFS(Tabla18[Monto Base],Tabla18[Mes],D$4,Tabla18[Descripción de Cuenta],"Otros ingresos"))</f>
        <v>0</v>
      </c>
      <c r="E6" s="531">
        <f>-1*(SUMIFS(Tabla18[Monto Base],Tabla18[Mes],E$4,Tabla18[Descripción de Cuenta],"Obra civil Reforma")+SUMIFS(Tabla18[Monto Base],Tabla18[Mes],E$4,Tabla18[Descripción de Cuenta],"Otros ingresos"))</f>
        <v>0</v>
      </c>
      <c r="F6" s="531">
        <f>-1*(SUMIFS(Tabla18[Monto Base],Tabla18[Mes],F$4,Tabla18[Descripción de Cuenta],"Obra civil Reforma")+SUMIFS(Tabla18[Monto Base],Tabla18[Mes],F$4,Tabla18[Descripción de Cuenta],"Otros ingresos"))</f>
        <v>0</v>
      </c>
      <c r="G6" s="531">
        <f>-1*(SUMIFS(Tabla18[Monto Base],Tabla18[Mes],G$4,Tabla18[Descripción de Cuenta],"Obra civil Reforma")+SUMIFS(Tabla18[Monto Base],Tabla18[Mes],G$4,Tabla18[Descripción de Cuenta],"Otros ingresos"))</f>
        <v>18080000</v>
      </c>
      <c r="H6" s="531">
        <f>-1*(SUMIFS(Tabla18[Monto Base],Tabla18[Mes],H$4,Tabla18[Descripción de Cuenta],"Obra civil Reforma")+SUMIFS(Tabla18[Monto Base],Tabla18[Mes],H$4,Tabla18[Descripción de Cuenta],"Otros ingresos"))</f>
        <v>186765000</v>
      </c>
      <c r="I6" s="531">
        <f>-1*(SUMIFS(Tabla18[Monto Base],Tabla18[Mes],I$4,Tabla18[Descripción de Cuenta],"Obra civil Reforma")+SUMIFS(Tabla18[Monto Base],Tabla18[Mes],I$4,Tabla18[Descripción de Cuenta],"Otros ingresos"))</f>
        <v>73906000</v>
      </c>
      <c r="J6" s="531">
        <f>-1*(SUMIFS(Tabla18[Monto Base],Tabla18[Mes],J$4,Tabla18[Descripción de Cuenta],"Obra civil Reforma")+SUMIFS(Tabla18[Monto Base],Tabla18[Mes],J$4,Tabla18[Descripción de Cuenta],"Otros ingresos"))</f>
        <v>47500000</v>
      </c>
      <c r="K6" s="531">
        <f>-1*(SUMIFS(Tabla18[Monto Base],Tabla18[Mes],K$4,Tabla18[Descripción de Cuenta],"Obra civil Reforma")+SUMIFS(Tabla18[Monto Base],Tabla18[Mes],K$4,Tabla18[Descripción de Cuenta],"Otros ingresos"))</f>
        <v>97489230.670000002</v>
      </c>
      <c r="L6" s="531">
        <f>-1*(SUMIFS(Tabla18[Monto Base],Tabla18[Mes],L$4,Tabla18[Descripción de Cuenta],"Obra civil Reforma")+SUMIFS(Tabla18[Monto Base],Tabla18[Mes],L$4,Tabla18[Descripción de Cuenta],"Otros ingresos"))</f>
        <v>22499463.739999998</v>
      </c>
      <c r="M6" s="531">
        <f>-1*(SUMIFS(Tabla18[Monto Base],Tabla18[Mes],M$4,Tabla18[Descripción de Cuenta],"Obra civil Reforma")+SUMIFS(Tabla18[Monto Base],Tabla18[Mes],M$4,Tabla18[Descripción de Cuenta],"Otros ingresos"))</f>
        <v>50900936.710000001</v>
      </c>
      <c r="N6" s="531">
        <f>-1*(SUMIFS(Tabla18[Monto Base],Tabla18[Mes],N$4,Tabla18[Descripción de Cuenta],"Obra civil Reforma")+SUMIFS(Tabla18[Monto Base],Tabla18[Mes],N$4,Tabla18[Descripción de Cuenta],"Otros ingresos"))</f>
        <v>0</v>
      </c>
      <c r="O6" s="531">
        <f>-1*(SUMIFS(Tabla18[Monto Base],Tabla18[Mes],O$4,Tabla18[Descripción de Cuenta],"Obra civil Reforma")+SUMIFS(Tabla18[Monto Base],Tabla18[Mes],O$4,Tabla18[Descripción de Cuenta],"Otros ingresos"))</f>
        <v>33776391.350000001</v>
      </c>
      <c r="P6" s="531">
        <f>-1*(SUMIFS(Tabla18[Monto Base],Tabla18[Mes],P$4,Tabla18[Descripción de Cuenta],"Obra civil Reforma")+SUMIFS(Tabla18[Monto Base],Tabla18[Mes],P$4,Tabla18[Descripción de Cuenta],"Otros ingresos"))</f>
        <v>44846120.590000004</v>
      </c>
      <c r="Q6" s="531">
        <f>-1*(SUMIFS(Tabla18[Monto Base],Tabla18[Mes],Q$4,Tabla18[Descripción de Cuenta],"Obra civil Reforma")+SUMIFS(Tabla18[Monto Base],Tabla18[Mes],Q$4,Tabla18[Descripción de Cuenta],"Otros ingresos"))</f>
        <v>33279445.32</v>
      </c>
      <c r="R6" s="531">
        <f>-1*(SUMIFS(Tabla18[Monto Base],Tabla18[Mes],R$4,Tabla18[Descripción de Cuenta],"Obra civil Reforma")+SUMIFS(Tabla18[Monto Base],Tabla18[Mes],R$4,Tabla18[Descripción de Cuenta],"Otros ingresos"))</f>
        <v>23894376.559999999</v>
      </c>
      <c r="S6" s="531">
        <f>-1*(SUMIFS(Tabla18[Monto Base],Tabla18[Mes],S$4,Tabla18[Descripción de Cuenta],"Obra civil Reforma")+SUMIFS(Tabla18[Monto Base],Tabla18[Mes],S$4,Tabla18[Descripción de Cuenta],"Otros ingresos"))</f>
        <v>27641241.100000001</v>
      </c>
      <c r="T6" s="531">
        <f>-1*(SUMIFS(Tabla18[Monto Base],Tabla18[Mes],T$4,Tabla18[Descripción de Cuenta],"Obra civil Reforma")+SUMIFS(Tabla18[Monto Base],Tabla18[Mes],T$4,Tabla18[Descripción de Cuenta],"Otros ingresos"))</f>
        <v>0</v>
      </c>
      <c r="U6" s="531">
        <f>-1*(SUMIFS(Tabla18[Monto Base],Tabla18[Mes],U$4,Tabla18[Descripción de Cuenta],"Obra civil Reforma")+SUMIFS(Tabla18[Monto Base],Tabla18[Mes],U$4,Tabla18[Descripción de Cuenta],"Otros ingresos"))</f>
        <v>0</v>
      </c>
      <c r="V6" s="531">
        <f>-1*(SUMIFS(Tabla18[Monto Base],Tabla18[Mes],V$4,Tabla18[Descripción de Cuenta],"Obra civil Reforma")+SUMIFS(Tabla18[Monto Base],Tabla18[Mes],V$4,Tabla18[Descripción de Cuenta],"Otros ingresos"))</f>
        <v>0</v>
      </c>
      <c r="W6" s="531">
        <f>-1*(SUMIFS(Tabla18[Monto Base],Tabla18[Mes],W$4,Tabla18[Descripción de Cuenta],"Obra civil Reforma")+SUMIFS(Tabla18[Monto Base],Tabla18[Mes],W$4,Tabla18[Descripción de Cuenta],"Otros ingresos"))</f>
        <v>0</v>
      </c>
      <c r="X6" s="532">
        <f>SUM(B6:W6)</f>
        <v>660578206.04000008</v>
      </c>
      <c r="Y6" s="533">
        <f>'0_CONFIG'!B19</f>
        <v>1458753139.7967503</v>
      </c>
      <c r="Z6" s="534">
        <f>IFERROR(SUM('2_Certificaciones'!$K$5:$K$200)/Y6,0)</f>
        <v>0.68141475177270794</v>
      </c>
      <c r="AA6" s="532">
        <f>Y6-X6</f>
        <v>798174933.75675023</v>
      </c>
    </row>
    <row r="7" spans="1:29" ht="15" customHeight="1" x14ac:dyDescent="0.3">
      <c r="A7" s="535" t="s">
        <v>5247</v>
      </c>
      <c r="B7" s="536">
        <f>SUMIFS(Tabla18[Monto CAC],Tabla18[Mes],B$4,Tabla18[Descripción de Cuenta],"Obra civil Reforma")+SUMIFS(Tabla18[Monto CAC],Tabla18[Mes],B$4,Tabla18[Descripción de Cuenta],"Otros ingresos")</f>
        <v>0</v>
      </c>
      <c r="C7" s="536">
        <f>SUMIFS(Tabla18[Monto CAC],Tabla18[Mes],C$4,Tabla18[Descripción de Cuenta],"Obra civil Reforma")+SUMIFS(Tabla18[Monto CAC],Tabla18[Mes],C$4,Tabla18[Descripción de Cuenta],"Otros ingresos")</f>
        <v>0</v>
      </c>
      <c r="D7" s="536">
        <f>SUMIFS(Tabla18[Monto CAC],Tabla18[Mes],D$4,Tabla18[Descripción de Cuenta],"Obra civil Reforma")+SUMIFS(Tabla18[Monto CAC],Tabla18[Mes],D$4,Tabla18[Descripción de Cuenta],"Otros ingresos")</f>
        <v>0</v>
      </c>
      <c r="E7" s="536">
        <f>SUMIFS(Tabla18[Monto CAC],Tabla18[Mes],E$4,Tabla18[Descripción de Cuenta],"Obra civil Reforma")+SUMIFS(Tabla18[Monto CAC],Tabla18[Mes],E$4,Tabla18[Descripción de Cuenta],"Otros ingresos")</f>
        <v>0</v>
      </c>
      <c r="F7" s="536">
        <f>SUMIFS(Tabla18[Monto CAC],Tabla18[Mes],F$4,Tabla18[Descripción de Cuenta],"Obra civil Reforma")+SUMIFS(Tabla18[Monto CAC],Tabla18[Mes],F$4,Tabla18[Descripción de Cuenta],"Otros ingresos")</f>
        <v>0</v>
      </c>
      <c r="G7" s="536">
        <f>SUMIFS(Tabla18[Monto CAC],Tabla18[Mes],G$4,Tabla18[Descripción de Cuenta],"Obra civil Reforma")+SUMIFS(Tabla18[Monto CAC],Tabla18[Mes],G$4,Tabla18[Descripción de Cuenta],"Otros ingresos")</f>
        <v>0</v>
      </c>
      <c r="H7" s="536">
        <f>SUMIFS(Tabla18[Monto CAC],Tabla18[Mes],H$4,Tabla18[Descripción de Cuenta],"Obra civil Reforma")+SUMIFS(Tabla18[Monto CAC],Tabla18[Mes],H$4,Tabla18[Descripción de Cuenta],"Otros ingresos")</f>
        <v>0</v>
      </c>
      <c r="I7" s="536">
        <f>SUMIFS(Tabla18[Monto CAC],Tabla18[Mes],I$4,Tabla18[Descripción de Cuenta],"Obra civil Reforma")+SUMIFS(Tabla18[Monto CAC],Tabla18[Mes],I$4,Tabla18[Descripción de Cuenta],"Otros ingresos")</f>
        <v>0</v>
      </c>
      <c r="J7" s="536">
        <f>SUMIFS(Tabla18[Monto CAC],Tabla18[Mes],J$4,Tabla18[Descripción de Cuenta],"Obra civil Reforma")+SUMIFS(Tabla18[Monto CAC],Tabla18[Mes],J$4,Tabla18[Descripción de Cuenta],"Otros ingresos")</f>
        <v>0</v>
      </c>
      <c r="K7" s="536">
        <f>SUMIFS(Tabla18[Monto CAC],Tabla18[Mes],K$4,Tabla18[Descripción de Cuenta],"Obra civil Reforma")+SUMIFS(Tabla18[Monto CAC],Tabla18[Mes],K$4,Tabla18[Descripción de Cuenta],"Otros ingresos")</f>
        <v>0</v>
      </c>
      <c r="L7" s="536">
        <f>SUMIFS(Tabla18[Monto CAC],Tabla18[Mes],L$4,Tabla18[Descripción de Cuenta],"Obra civil Reforma")+SUMIFS(Tabla18[Monto CAC],Tabla18[Mes],L$4,Tabla18[Descripción de Cuenta],"Otros ingresos")</f>
        <v>0</v>
      </c>
      <c r="M7" s="536">
        <f>SUMIFS(Tabla18[Monto CAC],Tabla18[Mes],M$4,Tabla18[Descripción de Cuenta],"Obra civil Reforma")+SUMIFS(Tabla18[Monto CAC],Tabla18[Mes],M$4,Tabla18[Descripción de Cuenta],"Otros ingresos")</f>
        <v>0</v>
      </c>
      <c r="N7" s="536">
        <f>SUMIFS(Tabla18[Monto CAC],Tabla18[Mes],N$4,Tabla18[Descripción de Cuenta],"Obra civil Reforma")+SUMIFS(Tabla18[Monto CAC],Tabla18[Mes],N$4,Tabla18[Descripción de Cuenta],"Otros ingresos")</f>
        <v>0</v>
      </c>
      <c r="O7" s="536">
        <f>SUMIFS(Tabla18[Monto CAC],Tabla18[Mes],O$4,Tabla18[Descripción de Cuenta],"Obra civil Reforma")+SUMIFS(Tabla18[Monto CAC],Tabla18[Mes],O$4,Tabla18[Descripción de Cuenta],"Otros ingresos")</f>
        <v>0</v>
      </c>
      <c r="P7" s="536">
        <f>SUMIFS(Tabla18[Monto CAC],Tabla18[Mes],P$4,Tabla18[Descripción de Cuenta],"Obra civil Reforma")+SUMIFS(Tabla18[Monto CAC],Tabla18[Mes],P$4,Tabla18[Descripción de Cuenta],"Otros ingresos")</f>
        <v>0</v>
      </c>
      <c r="Q7" s="536">
        <f>SUMIFS(Tabla18[Monto CAC],Tabla18[Mes],Q$4,Tabla18[Descripción de Cuenta],"Obra civil Reforma")+SUMIFS(Tabla18[Monto CAC],Tabla18[Mes],Q$4,Tabla18[Descripción de Cuenta],"Otros ingresos")</f>
        <v>0</v>
      </c>
      <c r="R7" s="536">
        <f>SUMIFS(Tabla18[Monto CAC],Tabla18[Mes],R$4,Tabla18[Descripción de Cuenta],"Obra civil Reforma")+SUMIFS(Tabla18[Monto CAC],Tabla18[Mes],R$4,Tabla18[Descripción de Cuenta],"Otros ingresos")</f>
        <v>0</v>
      </c>
      <c r="S7" s="536">
        <f>SUMIFS(Tabla18[Monto CAC],Tabla18[Mes],S$4,Tabla18[Descripción de Cuenta],"Obra civil Reforma")+SUMIFS(Tabla18[Monto CAC],Tabla18[Mes],S$4,Tabla18[Descripción de Cuenta],"Otros ingresos")</f>
        <v>0</v>
      </c>
      <c r="T7" s="536">
        <f>SUMIFS(Tabla18[Monto CAC],Tabla18[Mes],T$4,Tabla18[Descripción de Cuenta],"Obra civil Reforma")+SUMIFS(Tabla18[Monto CAC],Tabla18[Mes],T$4,Tabla18[Descripción de Cuenta],"Otros ingresos")</f>
        <v>0</v>
      </c>
      <c r="U7" s="536">
        <f>SUMIFS(Tabla18[Monto CAC],Tabla18[Mes],U$4,Tabla18[Descripción de Cuenta],"Obra civil Reforma")+SUMIFS(Tabla18[Monto CAC],Tabla18[Mes],U$4,Tabla18[Descripción de Cuenta],"Otros ingresos")</f>
        <v>0</v>
      </c>
      <c r="V7" s="536">
        <f>SUMIFS(Tabla18[Monto CAC],Tabla18[Mes],V$4,Tabla18[Descripción de Cuenta],"Obra civil Reforma")+SUMIFS(Tabla18[Monto CAC],Tabla18[Mes],V$4,Tabla18[Descripción de Cuenta],"Otros ingresos")</f>
        <v>0</v>
      </c>
      <c r="W7" s="536">
        <f>SUMIFS(Tabla18[Monto CAC],Tabla18[Mes],W$4,Tabla18[Descripción de Cuenta],"Obra civil Reforma")+SUMIFS(Tabla18[Monto CAC],Tabla18[Mes],W$4,Tabla18[Descripción de Cuenta],"Otros ingresos")</f>
        <v>0</v>
      </c>
      <c r="X7" s="532">
        <f>SUM(B7:W7)</f>
        <v>0</v>
      </c>
    </row>
    <row r="9" spans="1:29" ht="15" customHeight="1" x14ac:dyDescent="0.3">
      <c r="A9" s="579" t="s">
        <v>5248</v>
      </c>
      <c r="B9" s="578"/>
      <c r="C9" s="578"/>
      <c r="D9" s="578"/>
      <c r="E9" s="578"/>
      <c r="F9" s="578"/>
      <c r="G9" s="578"/>
      <c r="H9" s="578"/>
      <c r="I9" s="578"/>
      <c r="J9" s="578"/>
      <c r="K9" s="578"/>
      <c r="L9" s="578"/>
      <c r="M9" s="578"/>
      <c r="N9" s="578"/>
      <c r="O9" s="578"/>
      <c r="P9" s="578"/>
      <c r="Q9" s="578"/>
      <c r="R9" s="578"/>
      <c r="S9" s="578"/>
      <c r="T9" s="578"/>
      <c r="U9" s="578"/>
      <c r="V9" s="578"/>
      <c r="W9" s="578"/>
      <c r="X9" s="578"/>
      <c r="Y9" s="578"/>
      <c r="Z9" s="578"/>
      <c r="AA9" s="578"/>
    </row>
    <row r="10" spans="1:29" ht="15" customHeight="1" x14ac:dyDescent="0.3">
      <c r="A10" s="530" t="s">
        <v>5249</v>
      </c>
      <c r="B10" s="531">
        <f>SUMIFS(Tabla18[Monto Real],Tabla18[Mes],B$4,Tabla18[En Ppto],TRUE())+SUMIFS('2_Quincenas'!$N:$N,'2_Quincenas'!$A:$A,B$4)</f>
        <v>0</v>
      </c>
      <c r="C10" s="531">
        <f>SUMIFS(Tabla18[Monto Real],Tabla18[Mes],C$4,Tabla18[En Ppto],TRUE())+SUMIFS('2_Quincenas'!$N:$N,'2_Quincenas'!$A:$A,C$4)</f>
        <v>245905.63</v>
      </c>
      <c r="D10" s="531">
        <f>SUMIFS(Tabla18[Monto Real],Tabla18[Mes],D$4,Tabla18[En Ppto],TRUE())+SUMIFS('2_Quincenas'!$N:$N,'2_Quincenas'!$A:$A,D$4)</f>
        <v>398100</v>
      </c>
      <c r="E10" s="531">
        <f>SUMIFS(Tabla18[Monto Real],Tabla18[Mes],E$4,Tabla18[En Ppto],TRUE())+SUMIFS('2_Quincenas'!$N:$N,'2_Quincenas'!$A:$A,E$4)</f>
        <v>6016025.9700000007</v>
      </c>
      <c r="F10" s="531">
        <f>SUMIFS(Tabla18[Monto Real],Tabla18[Mes],F$4,Tabla18[En Ppto],TRUE())+SUMIFS('2_Quincenas'!$N:$N,'2_Quincenas'!$A:$A,F$4)</f>
        <v>31606246.23</v>
      </c>
      <c r="G10" s="531">
        <f>SUMIFS(Tabla18[Monto Real],Tabla18[Mes],G$4,Tabla18[En Ppto],TRUE())+SUMIFS('2_Quincenas'!$N:$N,'2_Quincenas'!$A:$A,G$4)</f>
        <v>70711458.879999965</v>
      </c>
      <c r="H10" s="531">
        <f>SUMIFS(Tabla18[Monto Real],Tabla18[Mes],H$4,Tabla18[En Ppto],TRUE())+SUMIFS('2_Quincenas'!$N:$N,'2_Quincenas'!$A:$A,H$4)</f>
        <v>18905130.830000002</v>
      </c>
      <c r="I10" s="531">
        <f>SUMIFS(Tabla18[Monto Real],Tabla18[Mes],I$4,Tabla18[En Ppto],TRUE())+SUMIFS('2_Quincenas'!$N:$N,'2_Quincenas'!$A:$A,I$4)</f>
        <v>12402837.500000002</v>
      </c>
      <c r="J10" s="531">
        <f>SUMIFS(Tabla18[Monto Real],Tabla18[Mes],J$4,Tabla18[En Ppto],TRUE())+SUMIFS('2_Quincenas'!$N:$N,'2_Quincenas'!$A:$A,J$4)</f>
        <v>49664172.839999989</v>
      </c>
      <c r="K10" s="531">
        <f>SUMIFS(Tabla18[Monto Real],Tabla18[Mes],K$4,Tabla18[En Ppto],TRUE())+SUMIFS('2_Quincenas'!$N:$N,'2_Quincenas'!$A:$A,K$4)</f>
        <v>13065593.01</v>
      </c>
      <c r="L10" s="531">
        <f>SUMIFS(Tabla18[Monto Real],Tabla18[Mes],L$4,Tabla18[En Ppto],TRUE())+SUMIFS('2_Quincenas'!$N:$N,'2_Quincenas'!$A:$A,L$4)</f>
        <v>13930234.140000001</v>
      </c>
      <c r="M10" s="531">
        <f>SUMIFS(Tabla18[Monto Real],Tabla18[Mes],M$4,Tabla18[En Ppto],TRUE())+SUMIFS('2_Quincenas'!$N:$N,'2_Quincenas'!$A:$A,M$4)</f>
        <v>45273792.439999998</v>
      </c>
      <c r="N10" s="531">
        <f>SUMIFS(Tabla18[Monto Real],Tabla18[Mes],N$4,Tabla18[En Ppto],TRUE())+SUMIFS('2_Quincenas'!$N:$N,'2_Quincenas'!$A:$A,N$4)</f>
        <v>17970662.050000001</v>
      </c>
      <c r="O10" s="531">
        <f>SUMIFS(Tabla18[Monto Real],Tabla18[Mes],O$4,Tabla18[En Ppto],TRUE())+SUMIFS('2_Quincenas'!$N:$N,'2_Quincenas'!$A:$A,O$4)</f>
        <v>45965156.611542851</v>
      </c>
      <c r="P10" s="531">
        <f>SUMIFS(Tabla18[Monto Real],Tabla18[Mes],P$4,Tabla18[En Ppto],TRUE())+SUMIFS('2_Quincenas'!$N:$N,'2_Quincenas'!$A:$A,P$4)</f>
        <v>54927798.223443143</v>
      </c>
      <c r="Q10" s="531">
        <f>SUMIFS(Tabla18[Monto Real],Tabla18[Mes],Q$4,Tabla18[En Ppto],TRUE())+SUMIFS('2_Quincenas'!$N:$N,'2_Quincenas'!$A:$A,Q$4)</f>
        <v>46223902.279622525</v>
      </c>
      <c r="R10" s="531">
        <f>SUMIFS(Tabla18[Monto Real],Tabla18[Mes],R$4,Tabla18[En Ppto],TRUE())+SUMIFS('2_Quincenas'!$N:$N,'2_Quincenas'!$A:$A,R$4)</f>
        <v>71071827.917873859</v>
      </c>
      <c r="S10" s="531">
        <f>SUMIFS(Tabla18[Monto Real],Tabla18[Mes],S$4,Tabla18[En Ppto],TRUE())+SUMIFS('2_Quincenas'!$N:$N,'2_Quincenas'!$A:$A,S$4)</f>
        <v>33955348.215495959</v>
      </c>
      <c r="T10" s="531">
        <f>SUMIFS(Tabla18[Monto Real],Tabla18[Mes],T$4,Tabla18[En Ppto],TRUE())+SUMIFS('2_Quincenas'!$N:$N,'2_Quincenas'!$A:$A,T$4)</f>
        <v>2306800.6799999997</v>
      </c>
      <c r="U10" s="531">
        <f>SUMIFS(Tabla18[Monto Real],Tabla18[Mes],U$4,Tabla18[En Ppto],TRUE())+SUMIFS('2_Quincenas'!$N:$N,'2_Quincenas'!$A:$A,U$4)</f>
        <v>0</v>
      </c>
      <c r="V10" s="531">
        <f>SUMIFS(Tabla18[Monto Real],Tabla18[Mes],V$4,Tabla18[En Ppto],TRUE())+SUMIFS('2_Quincenas'!$N:$N,'2_Quincenas'!$A:$A,V$4)</f>
        <v>0</v>
      </c>
      <c r="W10" s="531">
        <f>SUMIFS(Tabla18[Monto Real],Tabla18[Mes],W$4,Tabla18[En Ppto],TRUE())+SUMIFS('2_Quincenas'!$N:$N,'2_Quincenas'!$A:$A,W$4)</f>
        <v>0</v>
      </c>
      <c r="X10" s="532">
        <f>SUM(B10:W10)</f>
        <v>534640993.44797832</v>
      </c>
      <c r="Y10" s="533">
        <f>'3_Control_Ppto'!D34</f>
        <v>994598033.29087806</v>
      </c>
      <c r="Z10" s="537">
        <f>IFERROR(X10/Y10,0)</f>
        <v>0.53754479252184317</v>
      </c>
      <c r="AA10" s="532">
        <f>Y10-X10</f>
        <v>459957039.84289974</v>
      </c>
    </row>
    <row r="11" spans="1:29" ht="15" customHeight="1" x14ac:dyDescent="0.3">
      <c r="A11" s="530" t="s">
        <v>5250</v>
      </c>
      <c r="B11" s="531">
        <f>'2_Gastos_DirInd'!B20</f>
        <v>0</v>
      </c>
      <c r="C11" s="531">
        <f>'2_Gastos_DirInd'!C20</f>
        <v>3175204.795152606</v>
      </c>
      <c r="D11" s="531">
        <f>'2_Gastos_DirInd'!D20</f>
        <v>2020935.698407003</v>
      </c>
      <c r="E11" s="531">
        <f>'2_Gastos_DirInd'!E20</f>
        <v>2883500.712157737</v>
      </c>
      <c r="F11" s="531">
        <f>'2_Gastos_DirInd'!F20</f>
        <v>2286455.70014511</v>
      </c>
      <c r="G11" s="531">
        <f>'2_Gastos_DirInd'!G20</f>
        <v>6273647.6279414985</v>
      </c>
      <c r="H11" s="531">
        <f>'2_Gastos_DirInd'!H20</f>
        <v>1963509.916221051</v>
      </c>
      <c r="I11" s="531">
        <f>'2_Gastos_DirInd'!I20</f>
        <v>2816808.0355222621</v>
      </c>
      <c r="J11" s="531">
        <f>'2_Gastos_DirInd'!J20</f>
        <v>2808099.7541841259</v>
      </c>
      <c r="K11" s="531">
        <f>'2_Gastos_DirInd'!K20</f>
        <v>3875715.7924199011</v>
      </c>
      <c r="L11" s="531">
        <f>'2_Gastos_DirInd'!L20</f>
        <v>5086371.5325098252</v>
      </c>
      <c r="M11" s="531">
        <f>'2_Gastos_DirInd'!M20</f>
        <v>4395052.307965708</v>
      </c>
      <c r="N11" s="531">
        <f>'2_Gastos_DirInd'!N20</f>
        <v>2897224.546148601</v>
      </c>
      <c r="O11" s="531">
        <f>'2_Gastos_DirInd'!O20</f>
        <v>4034621.531112582</v>
      </c>
      <c r="P11" s="531">
        <f>'2_Gastos_DirInd'!P20</f>
        <v>2054329.6221242631</v>
      </c>
      <c r="Q11" s="531">
        <f>'2_Gastos_DirInd'!Q20</f>
        <v>2194575.9691565987</v>
      </c>
      <c r="R11" s="531">
        <f>'2_Gastos_DirInd'!R20</f>
        <v>2284148.6447303421</v>
      </c>
      <c r="S11" s="531">
        <f>'2_Gastos_DirInd'!S20</f>
        <v>0</v>
      </c>
      <c r="T11" s="531">
        <f>'2_Gastos_DirInd'!T20</f>
        <v>0</v>
      </c>
      <c r="U11" s="531">
        <f>'2_Gastos_DirInd'!U20</f>
        <v>0</v>
      </c>
      <c r="V11" s="531">
        <f>'2_Gastos_DirInd'!V20</f>
        <v>0</v>
      </c>
      <c r="W11" s="531">
        <f>'2_Gastos_DirInd'!W20</f>
        <v>0</v>
      </c>
      <c r="X11" s="532">
        <f>SUM(B11:W11)</f>
        <v>51050202.18589922</v>
      </c>
      <c r="Y11" s="533">
        <f>'3_Control_Ppto'!D61</f>
        <v>196771732.3775689</v>
      </c>
      <c r="Z11" s="537">
        <f>IFERROR(X11/Y11,0)</f>
        <v>0.25943869868433761</v>
      </c>
      <c r="AA11" s="532">
        <f>Y11-X11</f>
        <v>145721530.19166967</v>
      </c>
    </row>
    <row r="12" spans="1:29" ht="15" customHeight="1" x14ac:dyDescent="0.3">
      <c r="A12" s="530" t="s">
        <v>5251</v>
      </c>
      <c r="B12" s="531">
        <f>'2_Gastos_DirInd'!B26</f>
        <v>0</v>
      </c>
      <c r="C12" s="531">
        <f>'2_Gastos_DirInd'!C26</f>
        <v>639132.78099999996</v>
      </c>
      <c r="D12" s="531">
        <f>'2_Gastos_DirInd'!D26</f>
        <v>1825790.2788300649</v>
      </c>
      <c r="E12" s="531">
        <f>'2_Gastos_DirInd'!E26</f>
        <v>1406464.9016055511</v>
      </c>
      <c r="F12" s="531">
        <f>'2_Gastos_DirInd'!F26</f>
        <v>2714187.33</v>
      </c>
      <c r="G12" s="531">
        <f>'2_Gastos_DirInd'!G26</f>
        <v>2169029.3109897091</v>
      </c>
      <c r="H12" s="531">
        <f>'2_Gastos_DirInd'!H26</f>
        <v>1800256.2010195889</v>
      </c>
      <c r="I12" s="531">
        <f>'2_Gastos_DirInd'!I26</f>
        <v>2949259.0807494689</v>
      </c>
      <c r="J12" s="531">
        <f>'2_Gastos_DirInd'!J26</f>
        <v>4175013.8419041201</v>
      </c>
      <c r="K12" s="531">
        <f>'2_Gastos_DirInd'!K26</f>
        <v>2235375.3423326672</v>
      </c>
      <c r="L12" s="531">
        <f>'2_Gastos_DirInd'!L26</f>
        <v>3075477.5714285802</v>
      </c>
      <c r="M12" s="531">
        <f>'2_Gastos_DirInd'!M26</f>
        <v>3414307.4146795804</v>
      </c>
      <c r="N12" s="531">
        <f>'2_Gastos_DirInd'!N26</f>
        <v>2992482.3548999997</v>
      </c>
      <c r="O12" s="531">
        <f>'2_Gastos_DirInd'!O26</f>
        <v>4350156.4105809405</v>
      </c>
      <c r="P12" s="531">
        <f>'2_Gastos_DirInd'!P26</f>
        <v>3484073.8068855703</v>
      </c>
      <c r="Q12" s="531">
        <f>'2_Gastos_DirInd'!Q26</f>
        <v>3538872.3654952096</v>
      </c>
      <c r="R12" s="531">
        <f>'2_Gastos_DirInd'!R26</f>
        <v>3226372.3404952101</v>
      </c>
      <c r="S12" s="531">
        <f>'2_Gastos_DirInd'!S26</f>
        <v>0</v>
      </c>
      <c r="T12" s="531">
        <f>'2_Gastos_DirInd'!T26</f>
        <v>0</v>
      </c>
      <c r="U12" s="531">
        <f>'2_Gastos_DirInd'!U26</f>
        <v>0</v>
      </c>
      <c r="V12" s="531">
        <f>'2_Gastos_DirInd'!V26</f>
        <v>0</v>
      </c>
      <c r="W12" s="531">
        <f>'2_Gastos_DirInd'!W26</f>
        <v>0</v>
      </c>
      <c r="X12" s="532">
        <f>SUM(B12:W12)</f>
        <v>43996251.332896262</v>
      </c>
      <c r="Y12" s="533">
        <f>'3_Control_Ppto'!D68</f>
        <v>0</v>
      </c>
      <c r="Z12" s="537">
        <f>IFERROR(X12/Y12,0)</f>
        <v>0</v>
      </c>
      <c r="AA12" s="532">
        <f>Y12-X12</f>
        <v>-43996251.332896262</v>
      </c>
    </row>
    <row r="13" spans="1:29" ht="15" customHeight="1" x14ac:dyDescent="0.3">
      <c r="A13" s="538" t="s">
        <v>5252</v>
      </c>
      <c r="B13" s="539">
        <f t="shared" ref="B13:W13" si="0">B10+B11+B12</f>
        <v>0</v>
      </c>
      <c r="C13" s="539">
        <f t="shared" si="0"/>
        <v>4060243.2061526058</v>
      </c>
      <c r="D13" s="539">
        <f t="shared" si="0"/>
        <v>4244825.9772370681</v>
      </c>
      <c r="E13" s="539">
        <f t="shared" si="0"/>
        <v>10305991.58376329</v>
      </c>
      <c r="F13" s="539">
        <f t="shared" si="0"/>
        <v>36606889.260145105</v>
      </c>
      <c r="G13" s="539">
        <f t="shared" si="0"/>
        <v>79154135.818931177</v>
      </c>
      <c r="H13" s="539">
        <f t="shared" si="0"/>
        <v>22668896.947240643</v>
      </c>
      <c r="I13" s="539">
        <f t="shared" si="0"/>
        <v>18168904.616271734</v>
      </c>
      <c r="J13" s="539">
        <f t="shared" si="0"/>
        <v>56647286.436088234</v>
      </c>
      <c r="K13" s="539">
        <f t="shared" si="0"/>
        <v>19176684.144752569</v>
      </c>
      <c r="L13" s="539">
        <f t="shared" si="0"/>
        <v>22092083.243938409</v>
      </c>
      <c r="M13" s="539">
        <f t="shared" si="0"/>
        <v>53083152.162645288</v>
      </c>
      <c r="N13" s="539">
        <f t="shared" si="0"/>
        <v>23860368.951048601</v>
      </c>
      <c r="O13" s="539">
        <f t="shared" si="0"/>
        <v>54349934.553236373</v>
      </c>
      <c r="P13" s="539">
        <f t="shared" si="0"/>
        <v>60466201.652452976</v>
      </c>
      <c r="Q13" s="539">
        <f t="shared" si="0"/>
        <v>51957350.614274338</v>
      </c>
      <c r="R13" s="539">
        <f t="shared" si="0"/>
        <v>76582348.903099418</v>
      </c>
      <c r="S13" s="539">
        <f t="shared" si="0"/>
        <v>33955348.215495959</v>
      </c>
      <c r="T13" s="539">
        <f t="shared" si="0"/>
        <v>2306800.6799999997</v>
      </c>
      <c r="U13" s="539">
        <f t="shared" si="0"/>
        <v>0</v>
      </c>
      <c r="V13" s="539">
        <f t="shared" si="0"/>
        <v>0</v>
      </c>
      <c r="W13" s="539">
        <f t="shared" si="0"/>
        <v>0</v>
      </c>
      <c r="X13" s="540">
        <f>SUM(B13:W13)</f>
        <v>629687446.96677375</v>
      </c>
      <c r="Y13" s="540">
        <f>Y10+Y11+Y12</f>
        <v>1191369765.668447</v>
      </c>
      <c r="Z13" s="541">
        <f>IFERROR(X13/Y13,0)</f>
        <v>0.52854073110834088</v>
      </c>
      <c r="AA13" s="539">
        <f>Y13-X13</f>
        <v>561682318.70167327</v>
      </c>
    </row>
    <row r="15" spans="1:29" ht="15" customHeight="1" x14ac:dyDescent="0.3">
      <c r="A15" s="580" t="s">
        <v>5253</v>
      </c>
      <c r="B15" s="578"/>
      <c r="C15" s="578"/>
      <c r="D15" s="578"/>
      <c r="E15" s="578"/>
      <c r="F15" s="578"/>
      <c r="G15" s="578"/>
      <c r="H15" s="578"/>
      <c r="I15" s="578"/>
      <c r="J15" s="578"/>
      <c r="K15" s="578"/>
      <c r="L15" s="578"/>
      <c r="M15" s="578"/>
      <c r="N15" s="578"/>
      <c r="O15" s="578"/>
      <c r="P15" s="578"/>
      <c r="Q15" s="578"/>
      <c r="R15" s="578"/>
      <c r="S15" s="578"/>
      <c r="T15" s="578"/>
      <c r="U15" s="578"/>
      <c r="V15" s="578"/>
      <c r="W15" s="578"/>
      <c r="X15" s="578"/>
      <c r="Y15" s="578"/>
      <c r="Z15" s="578"/>
      <c r="AA15" s="578"/>
    </row>
    <row r="16" spans="1:29" ht="15" customHeight="1" x14ac:dyDescent="0.3">
      <c r="A16" s="530" t="s">
        <v>5254</v>
      </c>
      <c r="B16" s="532">
        <f t="shared" ref="B16:W16" si="1">B6-B13</f>
        <v>0</v>
      </c>
      <c r="C16" s="532">
        <f t="shared" si="1"/>
        <v>-4060243.2061526058</v>
      </c>
      <c r="D16" s="532">
        <f t="shared" si="1"/>
        <v>-4244825.9772370681</v>
      </c>
      <c r="E16" s="532">
        <f t="shared" si="1"/>
        <v>-10305991.58376329</v>
      </c>
      <c r="F16" s="532">
        <f t="shared" si="1"/>
        <v>-36606889.260145105</v>
      </c>
      <c r="G16" s="532">
        <f t="shared" si="1"/>
        <v>-61074135.818931177</v>
      </c>
      <c r="H16" s="532">
        <f t="shared" si="1"/>
        <v>164096103.05275935</v>
      </c>
      <c r="I16" s="532">
        <f t="shared" si="1"/>
        <v>55737095.383728266</v>
      </c>
      <c r="J16" s="532">
        <f t="shared" si="1"/>
        <v>-9147286.4360882342</v>
      </c>
      <c r="K16" s="532">
        <f t="shared" si="1"/>
        <v>78312546.525247425</v>
      </c>
      <c r="L16" s="532">
        <f t="shared" si="1"/>
        <v>407380.49606158957</v>
      </c>
      <c r="M16" s="532">
        <f t="shared" si="1"/>
        <v>-2182215.4526452869</v>
      </c>
      <c r="N16" s="532">
        <f t="shared" si="1"/>
        <v>-23860368.951048601</v>
      </c>
      <c r="O16" s="532">
        <f t="shared" si="1"/>
        <v>-20573543.203236371</v>
      </c>
      <c r="P16" s="532">
        <f t="shared" si="1"/>
        <v>-15620081.062452972</v>
      </c>
      <c r="Q16" s="532">
        <f t="shared" si="1"/>
        <v>-18677905.294274338</v>
      </c>
      <c r="R16" s="532">
        <f t="shared" si="1"/>
        <v>-52687972.343099415</v>
      </c>
      <c r="S16" s="532">
        <f t="shared" si="1"/>
        <v>-6314107.1154959574</v>
      </c>
      <c r="T16" s="532">
        <f t="shared" si="1"/>
        <v>-2306800.6799999997</v>
      </c>
      <c r="U16" s="532">
        <f t="shared" si="1"/>
        <v>0</v>
      </c>
      <c r="V16" s="532">
        <f t="shared" si="1"/>
        <v>0</v>
      </c>
      <c r="W16" s="532">
        <f t="shared" si="1"/>
        <v>0</v>
      </c>
      <c r="X16" s="532">
        <f>SUM(B16:W16)</f>
        <v>30890759.073226213</v>
      </c>
      <c r="Y16" s="533">
        <f>Y6-Y13</f>
        <v>267383374.12830329</v>
      </c>
      <c r="AA16" s="532">
        <f>Y16-X16</f>
        <v>236492615.05507708</v>
      </c>
    </row>
    <row r="17" spans="1:24" ht="15" customHeight="1" x14ac:dyDescent="0.3">
      <c r="A17" s="542" t="s">
        <v>5255</v>
      </c>
      <c r="B17" s="543">
        <f>B16</f>
        <v>0</v>
      </c>
      <c r="C17" s="543">
        <f t="shared" ref="C17:W17" si="2">B17+C16</f>
        <v>-4060243.2061526058</v>
      </c>
      <c r="D17" s="543">
        <f t="shared" si="2"/>
        <v>-8305069.1833896739</v>
      </c>
      <c r="E17" s="543">
        <f t="shared" si="2"/>
        <v>-18611060.767152965</v>
      </c>
      <c r="F17" s="543">
        <f t="shared" si="2"/>
        <v>-55217950.02729807</v>
      </c>
      <c r="G17" s="543">
        <f t="shared" si="2"/>
        <v>-116292085.84622926</v>
      </c>
      <c r="H17" s="543">
        <f t="shared" si="2"/>
        <v>47804017.206530094</v>
      </c>
      <c r="I17" s="543">
        <f t="shared" si="2"/>
        <v>103541112.59025836</v>
      </c>
      <c r="J17" s="543">
        <f t="shared" si="2"/>
        <v>94393826.154170126</v>
      </c>
      <c r="K17" s="543">
        <f t="shared" si="2"/>
        <v>172706372.67941755</v>
      </c>
      <c r="L17" s="543">
        <f t="shared" si="2"/>
        <v>173113753.17547914</v>
      </c>
      <c r="M17" s="543">
        <f t="shared" si="2"/>
        <v>170931537.72283387</v>
      </c>
      <c r="N17" s="543">
        <f t="shared" si="2"/>
        <v>147071168.77178526</v>
      </c>
      <c r="O17" s="543">
        <f t="shared" si="2"/>
        <v>126497625.56854889</v>
      </c>
      <c r="P17" s="543">
        <f t="shared" si="2"/>
        <v>110877544.50609592</v>
      </c>
      <c r="Q17" s="543">
        <f t="shared" si="2"/>
        <v>92199639.211821586</v>
      </c>
      <c r="R17" s="543">
        <f t="shared" si="2"/>
        <v>39511666.868722171</v>
      </c>
      <c r="S17" s="543">
        <f t="shared" si="2"/>
        <v>33197559.753226213</v>
      </c>
      <c r="T17" s="543">
        <f t="shared" si="2"/>
        <v>30890759.073226213</v>
      </c>
      <c r="U17" s="543">
        <f t="shared" si="2"/>
        <v>30890759.073226213</v>
      </c>
      <c r="V17" s="543">
        <f t="shared" si="2"/>
        <v>30890759.073226213</v>
      </c>
      <c r="W17" s="543">
        <f t="shared" si="2"/>
        <v>30890759.073226213</v>
      </c>
      <c r="X17" s="543">
        <f>W17</f>
        <v>30890759.073226213</v>
      </c>
    </row>
    <row r="29" spans="1:24" x14ac:dyDescent="0.3">
      <c r="S29" s="548"/>
    </row>
  </sheetData>
  <mergeCells count="3">
    <mergeCell ref="A5:AA5"/>
    <mergeCell ref="A9:AA9"/>
    <mergeCell ref="A15:AA15"/>
  </mergeCell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28"/>
  <sheetViews>
    <sheetView zoomScaleNormal="100" workbookViewId="0"/>
  </sheetViews>
  <sheetFormatPr defaultColWidth="8.54296875" defaultRowHeight="14.5" x14ac:dyDescent="0.35"/>
  <cols>
    <col min="1" max="1" width="30" customWidth="1"/>
    <col min="2" max="2" width="10" customWidth="1"/>
  </cols>
  <sheetData>
    <row r="1" spans="1:3" ht="14.25" customHeight="1" x14ac:dyDescent="0.35">
      <c r="A1" s="308" t="s">
        <v>5256</v>
      </c>
      <c r="B1" s="307" t="s">
        <v>5257</v>
      </c>
      <c r="C1" s="309"/>
    </row>
    <row r="2" spans="1:3" ht="14.25" customHeight="1" x14ac:dyDescent="0.35">
      <c r="A2" s="310" t="s">
        <v>4310</v>
      </c>
      <c r="B2" s="311" t="s">
        <v>4090</v>
      </c>
      <c r="C2" s="309"/>
    </row>
    <row r="3" spans="1:3" ht="14.25" customHeight="1" x14ac:dyDescent="0.35">
      <c r="A3" s="310" t="s">
        <v>4114</v>
      </c>
      <c r="B3" s="311" t="s">
        <v>56</v>
      </c>
      <c r="C3" s="309"/>
    </row>
    <row r="4" spans="1:3" ht="14.25" customHeight="1" x14ac:dyDescent="0.35">
      <c r="A4" s="310" t="s">
        <v>4320</v>
      </c>
      <c r="C4" s="309"/>
    </row>
    <row r="5" spans="1:3" ht="14.25" customHeight="1" x14ac:dyDescent="0.35">
      <c r="A5" s="310" t="s">
        <v>4317</v>
      </c>
      <c r="C5" s="309"/>
    </row>
    <row r="6" spans="1:3" ht="14.25" customHeight="1" x14ac:dyDescent="0.35">
      <c r="A6" s="310" t="s">
        <v>1285</v>
      </c>
    </row>
    <row r="7" spans="1:3" ht="14.25" customHeight="1" x14ac:dyDescent="0.35">
      <c r="A7" s="310" t="s">
        <v>4125</v>
      </c>
    </row>
    <row r="8" spans="1:3" ht="14.25" customHeight="1" x14ac:dyDescent="0.35">
      <c r="A8" s="310" t="s">
        <v>1478</v>
      </c>
    </row>
    <row r="9" spans="1:3" ht="14.25" customHeight="1" x14ac:dyDescent="0.35">
      <c r="A9" s="310" t="s">
        <v>106</v>
      </c>
    </row>
    <row r="10" spans="1:3" ht="14.25" customHeight="1" x14ac:dyDescent="0.35">
      <c r="A10" s="310" t="s">
        <v>4165</v>
      </c>
    </row>
    <row r="11" spans="1:3" ht="14.25" customHeight="1" x14ac:dyDescent="0.35">
      <c r="A11" s="310" t="s">
        <v>5258</v>
      </c>
    </row>
    <row r="12" spans="1:3" ht="14.25" customHeight="1" x14ac:dyDescent="0.35">
      <c r="A12" s="310" t="s">
        <v>476</v>
      </c>
    </row>
    <row r="13" spans="1:3" ht="14.25" customHeight="1" x14ac:dyDescent="0.35">
      <c r="A13" s="310" t="s">
        <v>2779</v>
      </c>
    </row>
    <row r="14" spans="1:3" ht="14.25" customHeight="1" x14ac:dyDescent="0.35">
      <c r="A14" s="310" t="s">
        <v>3219</v>
      </c>
    </row>
    <row r="15" spans="1:3" ht="14.25" customHeight="1" x14ac:dyDescent="0.35">
      <c r="A15" s="310" t="s">
        <v>4271</v>
      </c>
    </row>
    <row r="16" spans="1:3" ht="14.25" customHeight="1" x14ac:dyDescent="0.35">
      <c r="A16" s="310" t="s">
        <v>5259</v>
      </c>
    </row>
    <row r="17" spans="1:1" ht="14.25" customHeight="1" x14ac:dyDescent="0.35">
      <c r="A17" s="310" t="s">
        <v>4119</v>
      </c>
    </row>
    <row r="18" spans="1:1" ht="14.25" customHeight="1" x14ac:dyDescent="0.35">
      <c r="A18" s="310" t="s">
        <v>5260</v>
      </c>
    </row>
    <row r="19" spans="1:1" ht="14.25" customHeight="1" x14ac:dyDescent="0.35">
      <c r="A19" s="310" t="s">
        <v>4373</v>
      </c>
    </row>
    <row r="20" spans="1:1" ht="14.25" customHeight="1" x14ac:dyDescent="0.35">
      <c r="A20" s="310" t="s">
        <v>5261</v>
      </c>
    </row>
    <row r="21" spans="1:1" ht="14.25" customHeight="1" x14ac:dyDescent="0.35">
      <c r="A21" s="310" t="s">
        <v>5262</v>
      </c>
    </row>
    <row r="22" spans="1:1" ht="14.25" customHeight="1" x14ac:dyDescent="0.35">
      <c r="A22" s="310" t="s">
        <v>5263</v>
      </c>
    </row>
    <row r="23" spans="1:1" ht="14.25" customHeight="1" x14ac:dyDescent="0.35">
      <c r="A23" s="310" t="s">
        <v>5264</v>
      </c>
    </row>
    <row r="24" spans="1:1" ht="14.25" customHeight="1" x14ac:dyDescent="0.35">
      <c r="A24" s="310" t="s">
        <v>5214</v>
      </c>
    </row>
    <row r="25" spans="1:1" ht="14.25" customHeight="1" x14ac:dyDescent="0.35">
      <c r="A25" s="309"/>
    </row>
    <row r="26" spans="1:1" ht="14.25" customHeight="1" x14ac:dyDescent="0.35">
      <c r="A26" s="309"/>
    </row>
    <row r="27" spans="1:1" ht="14.25" customHeight="1" x14ac:dyDescent="0.35">
      <c r="A27" s="309"/>
    </row>
    <row r="28" spans="1:1" ht="14.25" customHeight="1" x14ac:dyDescent="0.35">
      <c r="A28" s="309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0_CONFIG</vt:lpstr>
      <vt:lpstr>0_Indice_CAC</vt:lpstr>
      <vt:lpstr>0_Jornales_MO</vt:lpstr>
      <vt:lpstr>1_Presupuesto</vt:lpstr>
      <vt:lpstr>1_GGBB</vt:lpstr>
      <vt:lpstr>1_Composicion</vt:lpstr>
      <vt:lpstr>2_Gastos</vt:lpstr>
      <vt:lpstr>2_Gastos_DirInd</vt:lpstr>
      <vt:lpstr>2_Quincenas</vt:lpstr>
      <vt:lpstr>2_Subcontratos</vt:lpstr>
      <vt:lpstr>2_Pagos_Subc</vt:lpstr>
      <vt:lpstr>2_Pagos_Quincena_SC</vt:lpstr>
      <vt:lpstr>2_Certificaciones</vt:lpstr>
      <vt:lpstr>3_Dashboard</vt:lpstr>
      <vt:lpstr>3_Control_Ppto</vt:lpstr>
      <vt:lpstr>3_Control_Jornales</vt:lpstr>
      <vt:lpstr>3_Cash_Flow</vt:lpstr>
      <vt:lpstr>_Listas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Rebeca</dc:creator>
  <cp:lastModifiedBy>Pedro Pagliaricci</cp:lastModifiedBy>
  <cp:revision>0</cp:revision>
  <cp:lastPrinted>2025-10-02T18:28:42Z</cp:lastPrinted>
  <dcterms:created xsi:type="dcterms:W3CDTF">2022-09-08T13:59:40Z</dcterms:created>
  <dcterms:modified xsi:type="dcterms:W3CDTF">2026-06-14T16:35:42Z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0x010100AE9CEA585CBBC74FBBAE7EC15B2535DB</vt:lpwstr>
  </property>
  <property fmtid="{D5CDD505-2E9C-101B-9397-08002B2CF9AE}" pid="3" name="MediaServiceImageTags">
    <vt:lpwstr/>
  </property>
</Properties>
</file>